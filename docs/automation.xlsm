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Files (x86)\XpgAnalyzer\docs\"/>
    </mc:Choice>
  </mc:AlternateContent>
  <xr:revisionPtr revIDLastSave="0" documentId="13_ncr:1_{ED15FBC7-0523-427B-9FA4-65831E22ED81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nfig" sheetId="1" r:id="rId1"/>
    <sheet name="Cartes API" sheetId="2" r:id="rId2"/>
    <sheet name="Vue Rack" sheetId="3" state="hidden" r:id="rId3"/>
    <sheet name="ES" sheetId="4" r:id="rId4"/>
    <sheet name="Catalogue" sheetId="5" state="hidden" r:id="rId5"/>
    <sheet name="Equipements" sheetId="6" r:id="rId6"/>
    <sheet name="Cablage" sheetId="7" state="hidden" r:id="rId7"/>
    <sheet name="Liens" sheetId="8" state="hidden" r:id="rId8"/>
    <sheet name="Indices" sheetId="9" r:id="rId9"/>
    <sheet name="Reports TOR" sheetId="10" r:id="rId10"/>
    <sheet name="Reports bits" sheetId="11" r:id="rId11"/>
    <sheet name="Reports ANA" sheetId="12" r:id="rId12"/>
    <sheet name="Memoire MW" sheetId="13" r:id="rId13"/>
    <sheet name="Memoire MX" sheetId="14" state="hidden" r:id="rId14"/>
    <sheet name="ST genere" sheetId="15" state="hidden" r:id="rId15"/>
    <sheet name="_ASSISTANT" sheetId="16" state="hidden" r:id="rId16"/>
    <sheet name="_ETAT" sheetId="17" state="hidden" r:id="rId17"/>
  </sheets>
  <definedNames>
    <definedName name="_xlnm._FilterDatabase" localSheetId="6" hidden="1">Cablage!$A$7:$J$7</definedName>
    <definedName name="_xlnm._FilterDatabase" localSheetId="1" hidden="1">'Cartes API'!$A$7:$P$7</definedName>
    <definedName name="_xlnm._FilterDatabase" localSheetId="4" hidden="1">Catalogue!$A$7:$K$7</definedName>
    <definedName name="_xlnm._FilterDatabase" localSheetId="5" hidden="1">Equipements!$A$7:$M$7</definedName>
    <definedName name="_xlnm._FilterDatabase" localSheetId="3" hidden="1">ES!$A$7:$AX$7</definedName>
    <definedName name="_xlnm._FilterDatabase" localSheetId="8" hidden="1">Indices!$A$7:$D$7</definedName>
    <definedName name="_xlnm._FilterDatabase" localSheetId="7" hidden="1">Liens!$A$7:$P$7</definedName>
    <definedName name="_xlnm._FilterDatabase" localSheetId="11" hidden="1">'Reports ANA'!$A$7:$L$7</definedName>
    <definedName name="_xlnm._FilterDatabase" localSheetId="10" hidden="1">'Reports bits'!$A$7:$L$7</definedName>
    <definedName name="_xlnm._FilterDatabase" localSheetId="9" hidden="1">'Reports TOR'!$A$7:$L$7</definedName>
    <definedName name="CartesNoms">'Cartes API'!$A$9:$A$48</definedName>
    <definedName name="CatFamilles">Catalogue!$A$9:$A$908</definedName>
    <definedName name="CatParams">Catalogue!$D$9:$D$908</definedName>
    <definedName name="CheminLibs">Config!$C$6</definedName>
    <definedName name="EqNoms">Equipements!$A$9:$A$308</definedName>
    <definedName name="ES_Acces">ES!$I$9:$I$608</definedName>
    <definedName name="ES_Familles">ES!$A$9:$A$608</definedName>
    <definedName name="_xlnm.Print_Titles" localSheetId="6">Cablage!$1:$8</definedName>
    <definedName name="_xlnm.Print_Titles" localSheetId="1">'Cartes API'!$1:$8</definedName>
    <definedName name="_xlnm.Print_Titles" localSheetId="4">Catalogue!$1:$8</definedName>
    <definedName name="_xlnm.Print_Titles" localSheetId="0">Config!$1:$8</definedName>
    <definedName name="_xlnm.Print_Titles" localSheetId="5">Equipements!$1:$8</definedName>
    <definedName name="_xlnm.Print_Titles" localSheetId="3">ES!$1:$8</definedName>
    <definedName name="_xlnm.Print_Titles" localSheetId="8">Indices!$1:$8</definedName>
    <definedName name="_xlnm.Print_Titles" localSheetId="7">Liens!$1:$8</definedName>
    <definedName name="_xlnm.Print_Titles" localSheetId="12">'Memoire MW'!$1:$8</definedName>
    <definedName name="_xlnm.Print_Titles" localSheetId="13">'Memoire MX'!$1:$8</definedName>
    <definedName name="_xlnm.Print_Titles" localSheetId="11">'Reports ANA'!$1:$8</definedName>
    <definedName name="_xlnm.Print_Titles" localSheetId="10">'Reports bits'!$1:$8</definedName>
    <definedName name="_xlnm.Print_Titles" localSheetId="9">'Reports TOR'!$1:$8</definedName>
    <definedName name="_xlnm.Print_Titles" localSheetId="2">'Vue Rack'!$1:$8</definedName>
    <definedName name="JournalDebut">Indices!$A$53</definedName>
    <definedName name="MW_Debut">Config!$C$10</definedName>
    <definedName name="MW_Fin">Config!$C$11</definedName>
    <definedName name="MX_Debut">Config!$C$12</definedName>
    <definedName name="MX_Fin">Config!$C$13</definedName>
    <definedName name="VueRack">'Vue Rack'!$A$9</definedName>
    <definedName name="_xlnm.Print_Area" localSheetId="6">Cablage!$A$1:$J$608</definedName>
    <definedName name="_xlnm.Print_Area" localSheetId="1">'Cartes API'!$A$1:$P$51</definedName>
    <definedName name="_xlnm.Print_Area" localSheetId="4">Catalogue!$A$1:$K$908</definedName>
    <definedName name="_xlnm.Print_Area" localSheetId="0">Config!$A$1:$G$25</definedName>
    <definedName name="_xlnm.Print_Area" localSheetId="5">Equipements!$A$1:$M$308</definedName>
    <definedName name="_xlnm.Print_Area" localSheetId="3">ES!$A$1:$AX$608</definedName>
    <definedName name="_xlnm.Print_Area" localSheetId="8">Indices!$A$1:$D$251</definedName>
    <definedName name="_xlnm.Print_Area" localSheetId="7">Liens!$A$1:$P$808</definedName>
    <definedName name="_xlnm.Print_Area" localSheetId="12">'Memoire MW'!$A$1:$BM$73</definedName>
    <definedName name="_xlnm.Print_Area" localSheetId="13">'Memoire MX'!$A$1:$BM$73</definedName>
    <definedName name="_xlnm.Print_Area" localSheetId="11">'Reports ANA'!$A$1:$L$408</definedName>
    <definedName name="_xlnm.Print_Area" localSheetId="10">'Reports bits'!$A$1:$L$608</definedName>
    <definedName name="_xlnm.Print_Area" localSheetId="9">'Reports TOR'!$A$1:$L$408</definedName>
    <definedName name="_xlnm.Print_Area" localSheetId="2">'Vue Rack'!$A$1:$R$72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O83" i="8" l="1"/>
  <c r="J83" i="8"/>
  <c r="C83" i="8"/>
  <c r="O82" i="8"/>
  <c r="J82" i="8"/>
  <c r="C82" i="8"/>
  <c r="O81" i="8"/>
  <c r="J81" i="8"/>
  <c r="C81" i="8"/>
  <c r="O80" i="8"/>
  <c r="J80" i="8"/>
  <c r="C80" i="8"/>
  <c r="O79" i="8"/>
  <c r="J79" i="8"/>
  <c r="C79" i="8"/>
  <c r="O78" i="8"/>
  <c r="J78" i="8"/>
  <c r="C78" i="8"/>
  <c r="O77" i="8"/>
  <c r="J77" i="8"/>
  <c r="C77" i="8"/>
  <c r="O76" i="8"/>
  <c r="J76" i="8"/>
  <c r="C76" i="8"/>
  <c r="O75" i="8"/>
  <c r="J75" i="8"/>
  <c r="C75" i="8"/>
  <c r="O74" i="8"/>
  <c r="J74" i="8"/>
  <c r="C74" i="8"/>
  <c r="O73" i="8"/>
  <c r="J73" i="8"/>
  <c r="C73" i="8"/>
  <c r="O72" i="8"/>
  <c r="J72" i="8"/>
  <c r="C72" i="8"/>
  <c r="O71" i="8"/>
  <c r="J71" i="8"/>
  <c r="C71" i="8"/>
  <c r="O70" i="8"/>
  <c r="J70" i="8"/>
  <c r="C70" i="8"/>
  <c r="O69" i="8"/>
  <c r="J69" i="8"/>
  <c r="C69" i="8"/>
  <c r="O68" i="8"/>
  <c r="J68" i="8"/>
  <c r="C68" i="8"/>
  <c r="O67" i="8"/>
  <c r="J67" i="8"/>
  <c r="C67" i="8"/>
  <c r="O66" i="8"/>
  <c r="J66" i="8"/>
  <c r="C66" i="8"/>
  <c r="O65" i="8"/>
  <c r="J65" i="8"/>
  <c r="C65" i="8"/>
  <c r="O64" i="8"/>
  <c r="J64" i="8"/>
  <c r="C64" i="8"/>
  <c r="O63" i="8"/>
  <c r="J63" i="8"/>
  <c r="C63" i="8"/>
  <c r="O62" i="8"/>
  <c r="J62" i="8"/>
  <c r="C62" i="8"/>
  <c r="O61" i="8"/>
  <c r="J61" i="8"/>
  <c r="C61" i="8"/>
  <c r="O60" i="8"/>
  <c r="J60" i="8"/>
  <c r="C60" i="8"/>
  <c r="O59" i="8"/>
  <c r="J59" i="8"/>
  <c r="C59" i="8"/>
  <c r="I11" i="6"/>
  <c r="L42" i="16"/>
  <c r="L41" i="16"/>
  <c r="L40" i="16"/>
  <c r="L39" i="16"/>
  <c r="L38" i="16"/>
  <c r="L37" i="16"/>
  <c r="L36" i="16"/>
  <c r="L35" i="16"/>
  <c r="L34" i="16"/>
  <c r="H34" i="16"/>
  <c r="L33" i="16"/>
  <c r="H33" i="16"/>
  <c r="L32" i="16"/>
  <c r="L31" i="16"/>
  <c r="L30" i="16"/>
  <c r="H30" i="16"/>
  <c r="L29" i="16"/>
  <c r="L28" i="16"/>
  <c r="L27" i="16"/>
  <c r="L26" i="16"/>
  <c r="L25" i="16"/>
  <c r="H25" i="16"/>
  <c r="L24" i="16"/>
  <c r="H24" i="16"/>
  <c r="L23" i="16"/>
  <c r="H23" i="16"/>
  <c r="L22" i="16"/>
  <c r="L21" i="16"/>
  <c r="L20" i="16"/>
  <c r="L19" i="16"/>
  <c r="L18" i="16"/>
  <c r="O58" i="8"/>
  <c r="J58" i="8"/>
  <c r="C58" i="8"/>
  <c r="O57" i="8"/>
  <c r="J57" i="8"/>
  <c r="C57" i="8"/>
  <c r="O56" i="8"/>
  <c r="J56" i="8"/>
  <c r="C56" i="8"/>
  <c r="O55" i="8"/>
  <c r="J55" i="8"/>
  <c r="C55" i="8"/>
  <c r="O54" i="8"/>
  <c r="J54" i="8"/>
  <c r="C54" i="8"/>
  <c r="O53" i="8"/>
  <c r="J53" i="8"/>
  <c r="C53" i="8"/>
  <c r="O52" i="8"/>
  <c r="J52" i="8"/>
  <c r="C52" i="8"/>
  <c r="O51" i="8"/>
  <c r="J51" i="8"/>
  <c r="C51" i="8"/>
  <c r="O50" i="8"/>
  <c r="J50" i="8"/>
  <c r="C50" i="8"/>
  <c r="O49" i="8"/>
  <c r="J49" i="8"/>
  <c r="C49" i="8"/>
  <c r="O48" i="8"/>
  <c r="J48" i="8"/>
  <c r="C48" i="8"/>
  <c r="O47" i="8"/>
  <c r="J47" i="8"/>
  <c r="C47" i="8"/>
  <c r="O46" i="8"/>
  <c r="J46" i="8"/>
  <c r="C46" i="8"/>
  <c r="O45" i="8"/>
  <c r="J45" i="8"/>
  <c r="C45" i="8"/>
  <c r="O44" i="8"/>
  <c r="J44" i="8"/>
  <c r="C44" i="8"/>
  <c r="O43" i="8"/>
  <c r="J43" i="8"/>
  <c r="C43" i="8"/>
  <c r="O42" i="8"/>
  <c r="J42" i="8"/>
  <c r="C42" i="8"/>
  <c r="O41" i="8"/>
  <c r="J41" i="8"/>
  <c r="C41" i="8"/>
  <c r="O40" i="8"/>
  <c r="J40" i="8"/>
  <c r="C40" i="8"/>
  <c r="O39" i="8"/>
  <c r="J39" i="8"/>
  <c r="C39" i="8"/>
  <c r="O38" i="8"/>
  <c r="J38" i="8"/>
  <c r="C38" i="8"/>
  <c r="O37" i="8"/>
  <c r="J37" i="8"/>
  <c r="C37" i="8"/>
  <c r="O36" i="8"/>
  <c r="J36" i="8"/>
  <c r="C36" i="8"/>
  <c r="O35" i="8"/>
  <c r="J35" i="8"/>
  <c r="C35" i="8"/>
  <c r="O34" i="8"/>
  <c r="J34" i="8"/>
  <c r="C34" i="8"/>
  <c r="I10" i="6"/>
  <c r="O33" i="8"/>
  <c r="J33" i="8"/>
  <c r="C33" i="8"/>
  <c r="O32" i="8"/>
  <c r="J32" i="8"/>
  <c r="C32" i="8"/>
  <c r="O31" i="8"/>
  <c r="J31" i="8"/>
  <c r="C31" i="8"/>
  <c r="O30" i="8"/>
  <c r="J30" i="8"/>
  <c r="C30" i="8"/>
  <c r="O29" i="8"/>
  <c r="J29" i="8"/>
  <c r="C29" i="8"/>
  <c r="O28" i="8"/>
  <c r="J28" i="8"/>
  <c r="C28" i="8"/>
  <c r="O27" i="8"/>
  <c r="J27" i="8"/>
  <c r="C27" i="8"/>
  <c r="O26" i="8"/>
  <c r="J26" i="8"/>
  <c r="C26" i="8"/>
  <c r="O25" i="8"/>
  <c r="J25" i="8"/>
  <c r="C25" i="8"/>
  <c r="O24" i="8"/>
  <c r="J24" i="8"/>
  <c r="C24" i="8"/>
  <c r="O23" i="8"/>
  <c r="J23" i="8"/>
  <c r="C23" i="8"/>
  <c r="O22" i="8"/>
  <c r="J22" i="8"/>
  <c r="C22" i="8"/>
  <c r="O21" i="8"/>
  <c r="J21" i="8"/>
  <c r="C21" i="8"/>
  <c r="O20" i="8"/>
  <c r="J20" i="8"/>
  <c r="C20" i="8"/>
  <c r="O19" i="8"/>
  <c r="J19" i="8"/>
  <c r="C19" i="8"/>
  <c r="O18" i="8"/>
  <c r="J18" i="8"/>
  <c r="C18" i="8"/>
  <c r="O17" i="8"/>
  <c r="J17" i="8"/>
  <c r="C17" i="8"/>
  <c r="O16" i="8"/>
  <c r="J16" i="8"/>
  <c r="C16" i="8"/>
  <c r="O15" i="8"/>
  <c r="J15" i="8"/>
  <c r="C15" i="8"/>
  <c r="O14" i="8"/>
  <c r="J14" i="8"/>
  <c r="C14" i="8"/>
  <c r="H9" i="7"/>
  <c r="C9" i="7"/>
  <c r="O13" i="8"/>
  <c r="J13" i="8"/>
  <c r="C13" i="8"/>
  <c r="O12" i="8"/>
  <c r="J12" i="8"/>
  <c r="C12" i="8"/>
  <c r="O11" i="8"/>
  <c r="J11" i="8"/>
  <c r="C11" i="8"/>
  <c r="O10" i="8"/>
  <c r="J10" i="8"/>
  <c r="C10" i="8"/>
  <c r="O9" i="8"/>
  <c r="J9" i="8"/>
  <c r="C9" i="8"/>
  <c r="I9" i="6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O808" i="8"/>
  <c r="J808" i="8"/>
  <c r="C808" i="8"/>
  <c r="O807" i="8"/>
  <c r="J807" i="8"/>
  <c r="C807" i="8"/>
  <c r="O806" i="8"/>
  <c r="J806" i="8"/>
  <c r="C806" i="8"/>
  <c r="O805" i="8"/>
  <c r="J805" i="8"/>
  <c r="C805" i="8"/>
  <c r="O804" i="8"/>
  <c r="J804" i="8"/>
  <c r="C804" i="8"/>
  <c r="O803" i="8"/>
  <c r="J803" i="8"/>
  <c r="C803" i="8"/>
  <c r="O802" i="8"/>
  <c r="J802" i="8"/>
  <c r="C802" i="8"/>
  <c r="O801" i="8"/>
  <c r="J801" i="8"/>
  <c r="C801" i="8"/>
  <c r="O800" i="8"/>
  <c r="J800" i="8"/>
  <c r="C800" i="8"/>
  <c r="O799" i="8"/>
  <c r="J799" i="8"/>
  <c r="C799" i="8"/>
  <c r="O798" i="8"/>
  <c r="J798" i="8"/>
  <c r="C798" i="8"/>
  <c r="O797" i="8"/>
  <c r="J797" i="8"/>
  <c r="C797" i="8"/>
  <c r="O796" i="8"/>
  <c r="J796" i="8"/>
  <c r="C796" i="8"/>
  <c r="O795" i="8"/>
  <c r="J795" i="8"/>
  <c r="C795" i="8"/>
  <c r="O794" i="8"/>
  <c r="J794" i="8"/>
  <c r="C794" i="8"/>
  <c r="O793" i="8"/>
  <c r="J793" i="8"/>
  <c r="C793" i="8"/>
  <c r="O792" i="8"/>
  <c r="J792" i="8"/>
  <c r="C792" i="8"/>
  <c r="O791" i="8"/>
  <c r="J791" i="8"/>
  <c r="C791" i="8"/>
  <c r="O790" i="8"/>
  <c r="J790" i="8"/>
  <c r="C790" i="8"/>
  <c r="O789" i="8"/>
  <c r="J789" i="8"/>
  <c r="C789" i="8"/>
  <c r="O788" i="8"/>
  <c r="J788" i="8"/>
  <c r="C788" i="8"/>
  <c r="O787" i="8"/>
  <c r="J787" i="8"/>
  <c r="C787" i="8"/>
  <c r="O786" i="8"/>
  <c r="J786" i="8"/>
  <c r="C786" i="8"/>
  <c r="O785" i="8"/>
  <c r="J785" i="8"/>
  <c r="C785" i="8"/>
  <c r="O784" i="8"/>
  <c r="J784" i="8"/>
  <c r="C784" i="8"/>
  <c r="O783" i="8"/>
  <c r="J783" i="8"/>
  <c r="C783" i="8"/>
  <c r="O782" i="8"/>
  <c r="J782" i="8"/>
  <c r="C782" i="8"/>
  <c r="O781" i="8"/>
  <c r="J781" i="8"/>
  <c r="C781" i="8"/>
  <c r="O780" i="8"/>
  <c r="J780" i="8"/>
  <c r="C780" i="8"/>
  <c r="O779" i="8"/>
  <c r="J779" i="8"/>
  <c r="C779" i="8"/>
  <c r="O778" i="8"/>
  <c r="J778" i="8"/>
  <c r="C778" i="8"/>
  <c r="O777" i="8"/>
  <c r="J777" i="8"/>
  <c r="C777" i="8"/>
  <c r="O776" i="8"/>
  <c r="J776" i="8"/>
  <c r="C776" i="8"/>
  <c r="O775" i="8"/>
  <c r="J775" i="8"/>
  <c r="C775" i="8"/>
  <c r="O774" i="8"/>
  <c r="J774" i="8"/>
  <c r="C774" i="8"/>
  <c r="O773" i="8"/>
  <c r="J773" i="8"/>
  <c r="C773" i="8"/>
  <c r="O772" i="8"/>
  <c r="J772" i="8"/>
  <c r="C772" i="8"/>
  <c r="O771" i="8"/>
  <c r="J771" i="8"/>
  <c r="C771" i="8"/>
  <c r="O770" i="8"/>
  <c r="J770" i="8"/>
  <c r="C770" i="8"/>
  <c r="O769" i="8"/>
  <c r="J769" i="8"/>
  <c r="C769" i="8"/>
  <c r="O768" i="8"/>
  <c r="J768" i="8"/>
  <c r="C768" i="8"/>
  <c r="O767" i="8"/>
  <c r="J767" i="8"/>
  <c r="C767" i="8"/>
  <c r="O766" i="8"/>
  <c r="J766" i="8"/>
  <c r="C766" i="8"/>
  <c r="O765" i="8"/>
  <c r="J765" i="8"/>
  <c r="C765" i="8"/>
  <c r="O764" i="8"/>
  <c r="J764" i="8"/>
  <c r="C764" i="8"/>
  <c r="O763" i="8"/>
  <c r="J763" i="8"/>
  <c r="C763" i="8"/>
  <c r="O762" i="8"/>
  <c r="J762" i="8"/>
  <c r="C762" i="8"/>
  <c r="O761" i="8"/>
  <c r="J761" i="8"/>
  <c r="C761" i="8"/>
  <c r="O760" i="8"/>
  <c r="J760" i="8"/>
  <c r="C760" i="8"/>
  <c r="O759" i="8"/>
  <c r="J759" i="8"/>
  <c r="C759" i="8"/>
  <c r="O758" i="8"/>
  <c r="J758" i="8"/>
  <c r="C758" i="8"/>
  <c r="O757" i="8"/>
  <c r="J757" i="8"/>
  <c r="C757" i="8"/>
  <c r="O756" i="8"/>
  <c r="J756" i="8"/>
  <c r="C756" i="8"/>
  <c r="O755" i="8"/>
  <c r="J755" i="8"/>
  <c r="C755" i="8"/>
  <c r="O754" i="8"/>
  <c r="J754" i="8"/>
  <c r="C754" i="8"/>
  <c r="O753" i="8"/>
  <c r="J753" i="8"/>
  <c r="C753" i="8"/>
  <c r="O752" i="8"/>
  <c r="J752" i="8"/>
  <c r="C752" i="8"/>
  <c r="O751" i="8"/>
  <c r="J751" i="8"/>
  <c r="C751" i="8"/>
  <c r="O750" i="8"/>
  <c r="J750" i="8"/>
  <c r="C750" i="8"/>
  <c r="O749" i="8"/>
  <c r="J749" i="8"/>
  <c r="C749" i="8"/>
  <c r="O748" i="8"/>
  <c r="J748" i="8"/>
  <c r="C748" i="8"/>
  <c r="O747" i="8"/>
  <c r="J747" i="8"/>
  <c r="C747" i="8"/>
  <c r="O746" i="8"/>
  <c r="J746" i="8"/>
  <c r="C746" i="8"/>
  <c r="O745" i="8"/>
  <c r="J745" i="8"/>
  <c r="C745" i="8"/>
  <c r="O744" i="8"/>
  <c r="J744" i="8"/>
  <c r="C744" i="8"/>
  <c r="O743" i="8"/>
  <c r="J743" i="8"/>
  <c r="C743" i="8"/>
  <c r="O742" i="8"/>
  <c r="J742" i="8"/>
  <c r="C742" i="8"/>
  <c r="O741" i="8"/>
  <c r="J741" i="8"/>
  <c r="C741" i="8"/>
  <c r="O740" i="8"/>
  <c r="J740" i="8"/>
  <c r="C740" i="8"/>
  <c r="O739" i="8"/>
  <c r="J739" i="8"/>
  <c r="C739" i="8"/>
  <c r="O738" i="8"/>
  <c r="J738" i="8"/>
  <c r="C738" i="8"/>
  <c r="O737" i="8"/>
  <c r="J737" i="8"/>
  <c r="C737" i="8"/>
  <c r="O736" i="8"/>
  <c r="J736" i="8"/>
  <c r="C736" i="8"/>
  <c r="O735" i="8"/>
  <c r="J735" i="8"/>
  <c r="C735" i="8"/>
  <c r="O734" i="8"/>
  <c r="J734" i="8"/>
  <c r="C734" i="8"/>
  <c r="O733" i="8"/>
  <c r="J733" i="8"/>
  <c r="C733" i="8"/>
  <c r="O732" i="8"/>
  <c r="J732" i="8"/>
  <c r="C732" i="8"/>
  <c r="O731" i="8"/>
  <c r="J731" i="8"/>
  <c r="C731" i="8"/>
  <c r="O730" i="8"/>
  <c r="J730" i="8"/>
  <c r="C730" i="8"/>
  <c r="O729" i="8"/>
  <c r="J729" i="8"/>
  <c r="C729" i="8"/>
  <c r="O728" i="8"/>
  <c r="J728" i="8"/>
  <c r="C728" i="8"/>
  <c r="O727" i="8"/>
  <c r="J727" i="8"/>
  <c r="C727" i="8"/>
  <c r="O726" i="8"/>
  <c r="J726" i="8"/>
  <c r="C726" i="8"/>
  <c r="O725" i="8"/>
  <c r="J725" i="8"/>
  <c r="C725" i="8"/>
  <c r="O724" i="8"/>
  <c r="J724" i="8"/>
  <c r="C724" i="8"/>
  <c r="O723" i="8"/>
  <c r="J723" i="8"/>
  <c r="C723" i="8"/>
  <c r="O722" i="8"/>
  <c r="J722" i="8"/>
  <c r="C722" i="8"/>
  <c r="O721" i="8"/>
  <c r="J721" i="8"/>
  <c r="C721" i="8"/>
  <c r="O720" i="8"/>
  <c r="J720" i="8"/>
  <c r="C720" i="8"/>
  <c r="O719" i="8"/>
  <c r="J719" i="8"/>
  <c r="C719" i="8"/>
  <c r="O718" i="8"/>
  <c r="J718" i="8"/>
  <c r="C718" i="8"/>
  <c r="O717" i="8"/>
  <c r="J717" i="8"/>
  <c r="C717" i="8"/>
  <c r="O716" i="8"/>
  <c r="J716" i="8"/>
  <c r="C716" i="8"/>
  <c r="O715" i="8"/>
  <c r="J715" i="8"/>
  <c r="C715" i="8"/>
  <c r="O714" i="8"/>
  <c r="J714" i="8"/>
  <c r="C714" i="8"/>
  <c r="O713" i="8"/>
  <c r="J713" i="8"/>
  <c r="C713" i="8"/>
  <c r="O712" i="8"/>
  <c r="J712" i="8"/>
  <c r="C712" i="8"/>
  <c r="O711" i="8"/>
  <c r="J711" i="8"/>
  <c r="C711" i="8"/>
  <c r="O710" i="8"/>
  <c r="J710" i="8"/>
  <c r="C710" i="8"/>
  <c r="O709" i="8"/>
  <c r="J709" i="8"/>
  <c r="C709" i="8"/>
  <c r="O708" i="8"/>
  <c r="J708" i="8"/>
  <c r="C708" i="8"/>
  <c r="O707" i="8"/>
  <c r="J707" i="8"/>
  <c r="C707" i="8"/>
  <c r="O706" i="8"/>
  <c r="J706" i="8"/>
  <c r="C706" i="8"/>
  <c r="O705" i="8"/>
  <c r="J705" i="8"/>
  <c r="C705" i="8"/>
  <c r="O704" i="8"/>
  <c r="J704" i="8"/>
  <c r="C704" i="8"/>
  <c r="O703" i="8"/>
  <c r="J703" i="8"/>
  <c r="C703" i="8"/>
  <c r="O702" i="8"/>
  <c r="J702" i="8"/>
  <c r="C702" i="8"/>
  <c r="O701" i="8"/>
  <c r="J701" i="8"/>
  <c r="C701" i="8"/>
  <c r="O700" i="8"/>
  <c r="J700" i="8"/>
  <c r="C700" i="8"/>
  <c r="O699" i="8"/>
  <c r="J699" i="8"/>
  <c r="C699" i="8"/>
  <c r="O698" i="8"/>
  <c r="J698" i="8"/>
  <c r="C698" i="8"/>
  <c r="O697" i="8"/>
  <c r="J697" i="8"/>
  <c r="C697" i="8"/>
  <c r="O696" i="8"/>
  <c r="J696" i="8"/>
  <c r="C696" i="8"/>
  <c r="O695" i="8"/>
  <c r="J695" i="8"/>
  <c r="C695" i="8"/>
  <c r="O694" i="8"/>
  <c r="J694" i="8"/>
  <c r="C694" i="8"/>
  <c r="O693" i="8"/>
  <c r="J693" i="8"/>
  <c r="C693" i="8"/>
  <c r="O692" i="8"/>
  <c r="J692" i="8"/>
  <c r="C692" i="8"/>
  <c r="O691" i="8"/>
  <c r="J691" i="8"/>
  <c r="C691" i="8"/>
  <c r="O690" i="8"/>
  <c r="J690" i="8"/>
  <c r="C690" i="8"/>
  <c r="O689" i="8"/>
  <c r="J689" i="8"/>
  <c r="C689" i="8"/>
  <c r="O688" i="8"/>
  <c r="J688" i="8"/>
  <c r="C688" i="8"/>
  <c r="O687" i="8"/>
  <c r="J687" i="8"/>
  <c r="C687" i="8"/>
  <c r="O686" i="8"/>
  <c r="J686" i="8"/>
  <c r="C686" i="8"/>
  <c r="O685" i="8"/>
  <c r="J685" i="8"/>
  <c r="C685" i="8"/>
  <c r="O684" i="8"/>
  <c r="J684" i="8"/>
  <c r="C684" i="8"/>
  <c r="O683" i="8"/>
  <c r="J683" i="8"/>
  <c r="C683" i="8"/>
  <c r="O682" i="8"/>
  <c r="J682" i="8"/>
  <c r="C682" i="8"/>
  <c r="O681" i="8"/>
  <c r="J681" i="8"/>
  <c r="C681" i="8"/>
  <c r="O680" i="8"/>
  <c r="J680" i="8"/>
  <c r="C680" i="8"/>
  <c r="O679" i="8"/>
  <c r="J679" i="8"/>
  <c r="C679" i="8"/>
  <c r="O678" i="8"/>
  <c r="J678" i="8"/>
  <c r="C678" i="8"/>
  <c r="O677" i="8"/>
  <c r="J677" i="8"/>
  <c r="C677" i="8"/>
  <c r="O676" i="8"/>
  <c r="J676" i="8"/>
  <c r="C676" i="8"/>
  <c r="O675" i="8"/>
  <c r="J675" i="8"/>
  <c r="C675" i="8"/>
  <c r="O674" i="8"/>
  <c r="J674" i="8"/>
  <c r="C674" i="8"/>
  <c r="O673" i="8"/>
  <c r="J673" i="8"/>
  <c r="C673" i="8"/>
  <c r="O672" i="8"/>
  <c r="J672" i="8"/>
  <c r="C672" i="8"/>
  <c r="O671" i="8"/>
  <c r="J671" i="8"/>
  <c r="C671" i="8"/>
  <c r="O670" i="8"/>
  <c r="J670" i="8"/>
  <c r="C670" i="8"/>
  <c r="O669" i="8"/>
  <c r="J669" i="8"/>
  <c r="C669" i="8"/>
  <c r="O668" i="8"/>
  <c r="J668" i="8"/>
  <c r="C668" i="8"/>
  <c r="O667" i="8"/>
  <c r="J667" i="8"/>
  <c r="C667" i="8"/>
  <c r="O666" i="8"/>
  <c r="J666" i="8"/>
  <c r="C666" i="8"/>
  <c r="O665" i="8"/>
  <c r="J665" i="8"/>
  <c r="C665" i="8"/>
  <c r="O664" i="8"/>
  <c r="J664" i="8"/>
  <c r="C664" i="8"/>
  <c r="O663" i="8"/>
  <c r="J663" i="8"/>
  <c r="C663" i="8"/>
  <c r="O662" i="8"/>
  <c r="J662" i="8"/>
  <c r="C662" i="8"/>
  <c r="O661" i="8"/>
  <c r="J661" i="8"/>
  <c r="C661" i="8"/>
  <c r="O660" i="8"/>
  <c r="J660" i="8"/>
  <c r="C660" i="8"/>
  <c r="O659" i="8"/>
  <c r="J659" i="8"/>
  <c r="C659" i="8"/>
  <c r="O658" i="8"/>
  <c r="J658" i="8"/>
  <c r="C658" i="8"/>
  <c r="O657" i="8"/>
  <c r="J657" i="8"/>
  <c r="C657" i="8"/>
  <c r="O656" i="8"/>
  <c r="J656" i="8"/>
  <c r="C656" i="8"/>
  <c r="O655" i="8"/>
  <c r="J655" i="8"/>
  <c r="C655" i="8"/>
  <c r="O654" i="8"/>
  <c r="J654" i="8"/>
  <c r="C654" i="8"/>
  <c r="O653" i="8"/>
  <c r="J653" i="8"/>
  <c r="C653" i="8"/>
  <c r="O652" i="8"/>
  <c r="J652" i="8"/>
  <c r="C652" i="8"/>
  <c r="O651" i="8"/>
  <c r="J651" i="8"/>
  <c r="C651" i="8"/>
  <c r="O650" i="8"/>
  <c r="J650" i="8"/>
  <c r="C650" i="8"/>
  <c r="O649" i="8"/>
  <c r="J649" i="8"/>
  <c r="C649" i="8"/>
  <c r="O648" i="8"/>
  <c r="J648" i="8"/>
  <c r="C648" i="8"/>
  <c r="O647" i="8"/>
  <c r="J647" i="8"/>
  <c r="C647" i="8"/>
  <c r="O646" i="8"/>
  <c r="J646" i="8"/>
  <c r="C646" i="8"/>
  <c r="O645" i="8"/>
  <c r="J645" i="8"/>
  <c r="C645" i="8"/>
  <c r="O644" i="8"/>
  <c r="J644" i="8"/>
  <c r="C644" i="8"/>
  <c r="O643" i="8"/>
  <c r="J643" i="8"/>
  <c r="C643" i="8"/>
  <c r="O642" i="8"/>
  <c r="J642" i="8"/>
  <c r="C642" i="8"/>
  <c r="O641" i="8"/>
  <c r="J641" i="8"/>
  <c r="C641" i="8"/>
  <c r="O640" i="8"/>
  <c r="J640" i="8"/>
  <c r="C640" i="8"/>
  <c r="O639" i="8"/>
  <c r="J639" i="8"/>
  <c r="C639" i="8"/>
  <c r="O638" i="8"/>
  <c r="J638" i="8"/>
  <c r="C638" i="8"/>
  <c r="O637" i="8"/>
  <c r="J637" i="8"/>
  <c r="C637" i="8"/>
  <c r="O636" i="8"/>
  <c r="J636" i="8"/>
  <c r="C636" i="8"/>
  <c r="O635" i="8"/>
  <c r="J635" i="8"/>
  <c r="C635" i="8"/>
  <c r="O634" i="8"/>
  <c r="J634" i="8"/>
  <c r="C634" i="8"/>
  <c r="O633" i="8"/>
  <c r="J633" i="8"/>
  <c r="C633" i="8"/>
  <c r="O632" i="8"/>
  <c r="J632" i="8"/>
  <c r="C632" i="8"/>
  <c r="O631" i="8"/>
  <c r="J631" i="8"/>
  <c r="C631" i="8"/>
  <c r="O630" i="8"/>
  <c r="J630" i="8"/>
  <c r="C630" i="8"/>
  <c r="O629" i="8"/>
  <c r="J629" i="8"/>
  <c r="C629" i="8"/>
  <c r="O628" i="8"/>
  <c r="J628" i="8"/>
  <c r="C628" i="8"/>
  <c r="O627" i="8"/>
  <c r="J627" i="8"/>
  <c r="C627" i="8"/>
  <c r="O626" i="8"/>
  <c r="J626" i="8"/>
  <c r="C626" i="8"/>
  <c r="O625" i="8"/>
  <c r="J625" i="8"/>
  <c r="C625" i="8"/>
  <c r="O624" i="8"/>
  <c r="J624" i="8"/>
  <c r="C624" i="8"/>
  <c r="O623" i="8"/>
  <c r="J623" i="8"/>
  <c r="C623" i="8"/>
  <c r="O622" i="8"/>
  <c r="J622" i="8"/>
  <c r="C622" i="8"/>
  <c r="O621" i="8"/>
  <c r="J621" i="8"/>
  <c r="C621" i="8"/>
  <c r="O620" i="8"/>
  <c r="J620" i="8"/>
  <c r="C620" i="8"/>
  <c r="O619" i="8"/>
  <c r="J619" i="8"/>
  <c r="C619" i="8"/>
  <c r="O618" i="8"/>
  <c r="J618" i="8"/>
  <c r="C618" i="8"/>
  <c r="O617" i="8"/>
  <c r="J617" i="8"/>
  <c r="C617" i="8"/>
  <c r="O616" i="8"/>
  <c r="J616" i="8"/>
  <c r="C616" i="8"/>
  <c r="O615" i="8"/>
  <c r="J615" i="8"/>
  <c r="C615" i="8"/>
  <c r="O614" i="8"/>
  <c r="J614" i="8"/>
  <c r="C614" i="8"/>
  <c r="O613" i="8"/>
  <c r="J613" i="8"/>
  <c r="C613" i="8"/>
  <c r="O612" i="8"/>
  <c r="J612" i="8"/>
  <c r="C612" i="8"/>
  <c r="O611" i="8"/>
  <c r="J611" i="8"/>
  <c r="C611" i="8"/>
  <c r="O610" i="8"/>
  <c r="J610" i="8"/>
  <c r="C610" i="8"/>
  <c r="O609" i="8"/>
  <c r="J609" i="8"/>
  <c r="C609" i="8"/>
  <c r="O608" i="8"/>
  <c r="J608" i="8"/>
  <c r="C608" i="8"/>
  <c r="O607" i="8"/>
  <c r="J607" i="8"/>
  <c r="C607" i="8"/>
  <c r="O606" i="8"/>
  <c r="J606" i="8"/>
  <c r="C606" i="8"/>
  <c r="O605" i="8"/>
  <c r="J605" i="8"/>
  <c r="C605" i="8"/>
  <c r="O604" i="8"/>
  <c r="J604" i="8"/>
  <c r="C604" i="8"/>
  <c r="O603" i="8"/>
  <c r="J603" i="8"/>
  <c r="C603" i="8"/>
  <c r="O602" i="8"/>
  <c r="J602" i="8"/>
  <c r="C602" i="8"/>
  <c r="O601" i="8"/>
  <c r="J601" i="8"/>
  <c r="C601" i="8"/>
  <c r="O600" i="8"/>
  <c r="J600" i="8"/>
  <c r="C600" i="8"/>
  <c r="O599" i="8"/>
  <c r="J599" i="8"/>
  <c r="C599" i="8"/>
  <c r="O598" i="8"/>
  <c r="J598" i="8"/>
  <c r="C598" i="8"/>
  <c r="O597" i="8"/>
  <c r="J597" i="8"/>
  <c r="C597" i="8"/>
  <c r="O596" i="8"/>
  <c r="J596" i="8"/>
  <c r="C596" i="8"/>
  <c r="O595" i="8"/>
  <c r="J595" i="8"/>
  <c r="C595" i="8"/>
  <c r="O594" i="8"/>
  <c r="J594" i="8"/>
  <c r="C594" i="8"/>
  <c r="O593" i="8"/>
  <c r="J593" i="8"/>
  <c r="C593" i="8"/>
  <c r="O592" i="8"/>
  <c r="J592" i="8"/>
  <c r="C592" i="8"/>
  <c r="O591" i="8"/>
  <c r="J591" i="8"/>
  <c r="C591" i="8"/>
  <c r="O590" i="8"/>
  <c r="J590" i="8"/>
  <c r="C590" i="8"/>
  <c r="O589" i="8"/>
  <c r="J589" i="8"/>
  <c r="C589" i="8"/>
  <c r="O588" i="8"/>
  <c r="J588" i="8"/>
  <c r="C588" i="8"/>
  <c r="O587" i="8"/>
  <c r="J587" i="8"/>
  <c r="C587" i="8"/>
  <c r="O586" i="8"/>
  <c r="J586" i="8"/>
  <c r="C586" i="8"/>
  <c r="O585" i="8"/>
  <c r="J585" i="8"/>
  <c r="C585" i="8"/>
  <c r="O584" i="8"/>
  <c r="J584" i="8"/>
  <c r="C584" i="8"/>
  <c r="O583" i="8"/>
  <c r="J583" i="8"/>
  <c r="C583" i="8"/>
  <c r="O582" i="8"/>
  <c r="J582" i="8"/>
  <c r="C582" i="8"/>
  <c r="O581" i="8"/>
  <c r="J581" i="8"/>
  <c r="C581" i="8"/>
  <c r="O580" i="8"/>
  <c r="J580" i="8"/>
  <c r="C580" i="8"/>
  <c r="O579" i="8"/>
  <c r="J579" i="8"/>
  <c r="C579" i="8"/>
  <c r="O578" i="8"/>
  <c r="J578" i="8"/>
  <c r="C578" i="8"/>
  <c r="O577" i="8"/>
  <c r="J577" i="8"/>
  <c r="C577" i="8"/>
  <c r="O576" i="8"/>
  <c r="J576" i="8"/>
  <c r="C576" i="8"/>
  <c r="O575" i="8"/>
  <c r="J575" i="8"/>
  <c r="C575" i="8"/>
  <c r="O574" i="8"/>
  <c r="J574" i="8"/>
  <c r="C574" i="8"/>
  <c r="O573" i="8"/>
  <c r="J573" i="8"/>
  <c r="C573" i="8"/>
  <c r="O572" i="8"/>
  <c r="J572" i="8"/>
  <c r="C572" i="8"/>
  <c r="O571" i="8"/>
  <c r="J571" i="8"/>
  <c r="C571" i="8"/>
  <c r="O570" i="8"/>
  <c r="J570" i="8"/>
  <c r="C570" i="8"/>
  <c r="O569" i="8"/>
  <c r="J569" i="8"/>
  <c r="C569" i="8"/>
  <c r="O568" i="8"/>
  <c r="J568" i="8"/>
  <c r="C568" i="8"/>
  <c r="O567" i="8"/>
  <c r="J567" i="8"/>
  <c r="C567" i="8"/>
  <c r="O566" i="8"/>
  <c r="J566" i="8"/>
  <c r="C566" i="8"/>
  <c r="O565" i="8"/>
  <c r="J565" i="8"/>
  <c r="C565" i="8"/>
  <c r="O564" i="8"/>
  <c r="J564" i="8"/>
  <c r="C564" i="8"/>
  <c r="O563" i="8"/>
  <c r="J563" i="8"/>
  <c r="C563" i="8"/>
  <c r="O562" i="8"/>
  <c r="J562" i="8"/>
  <c r="C562" i="8"/>
  <c r="O561" i="8"/>
  <c r="J561" i="8"/>
  <c r="C561" i="8"/>
  <c r="O560" i="8"/>
  <c r="J560" i="8"/>
  <c r="C560" i="8"/>
  <c r="O559" i="8"/>
  <c r="J559" i="8"/>
  <c r="C559" i="8"/>
  <c r="O558" i="8"/>
  <c r="J558" i="8"/>
  <c r="C558" i="8"/>
  <c r="O557" i="8"/>
  <c r="J557" i="8"/>
  <c r="C557" i="8"/>
  <c r="O556" i="8"/>
  <c r="J556" i="8"/>
  <c r="C556" i="8"/>
  <c r="O555" i="8"/>
  <c r="J555" i="8"/>
  <c r="C555" i="8"/>
  <c r="O554" i="8"/>
  <c r="J554" i="8"/>
  <c r="C554" i="8"/>
  <c r="O553" i="8"/>
  <c r="J553" i="8"/>
  <c r="C553" i="8"/>
  <c r="O552" i="8"/>
  <c r="J552" i="8"/>
  <c r="C552" i="8"/>
  <c r="O551" i="8"/>
  <c r="J551" i="8"/>
  <c r="C551" i="8"/>
  <c r="O550" i="8"/>
  <c r="J550" i="8"/>
  <c r="C550" i="8"/>
  <c r="O549" i="8"/>
  <c r="J549" i="8"/>
  <c r="C549" i="8"/>
  <c r="O548" i="8"/>
  <c r="J548" i="8"/>
  <c r="C548" i="8"/>
  <c r="O547" i="8"/>
  <c r="J547" i="8"/>
  <c r="C547" i="8"/>
  <c r="O546" i="8"/>
  <c r="J546" i="8"/>
  <c r="C546" i="8"/>
  <c r="O545" i="8"/>
  <c r="J545" i="8"/>
  <c r="C545" i="8"/>
  <c r="O544" i="8"/>
  <c r="J544" i="8"/>
  <c r="C544" i="8"/>
  <c r="O543" i="8"/>
  <c r="J543" i="8"/>
  <c r="C543" i="8"/>
  <c r="O542" i="8"/>
  <c r="J542" i="8"/>
  <c r="C542" i="8"/>
  <c r="O541" i="8"/>
  <c r="J541" i="8"/>
  <c r="C541" i="8"/>
  <c r="O540" i="8"/>
  <c r="J540" i="8"/>
  <c r="C540" i="8"/>
  <c r="O539" i="8"/>
  <c r="J539" i="8"/>
  <c r="C539" i="8"/>
  <c r="O538" i="8"/>
  <c r="J538" i="8"/>
  <c r="C538" i="8"/>
  <c r="O537" i="8"/>
  <c r="J537" i="8"/>
  <c r="C537" i="8"/>
  <c r="O536" i="8"/>
  <c r="J536" i="8"/>
  <c r="C536" i="8"/>
  <c r="O535" i="8"/>
  <c r="J535" i="8"/>
  <c r="C535" i="8"/>
  <c r="O534" i="8"/>
  <c r="J534" i="8"/>
  <c r="C534" i="8"/>
  <c r="O533" i="8"/>
  <c r="J533" i="8"/>
  <c r="C533" i="8"/>
  <c r="O532" i="8"/>
  <c r="J532" i="8"/>
  <c r="C532" i="8"/>
  <c r="O531" i="8"/>
  <c r="J531" i="8"/>
  <c r="C531" i="8"/>
  <c r="O530" i="8"/>
  <c r="J530" i="8"/>
  <c r="C530" i="8"/>
  <c r="O529" i="8"/>
  <c r="J529" i="8"/>
  <c r="C529" i="8"/>
  <c r="O528" i="8"/>
  <c r="J528" i="8"/>
  <c r="C528" i="8"/>
  <c r="O527" i="8"/>
  <c r="J527" i="8"/>
  <c r="C527" i="8"/>
  <c r="O526" i="8"/>
  <c r="J526" i="8"/>
  <c r="C526" i="8"/>
  <c r="O525" i="8"/>
  <c r="J525" i="8"/>
  <c r="C525" i="8"/>
  <c r="O524" i="8"/>
  <c r="J524" i="8"/>
  <c r="C524" i="8"/>
  <c r="O523" i="8"/>
  <c r="J523" i="8"/>
  <c r="C523" i="8"/>
  <c r="O522" i="8"/>
  <c r="J522" i="8"/>
  <c r="C522" i="8"/>
  <c r="O521" i="8"/>
  <c r="J521" i="8"/>
  <c r="C521" i="8"/>
  <c r="O520" i="8"/>
  <c r="J520" i="8"/>
  <c r="C520" i="8"/>
  <c r="O519" i="8"/>
  <c r="J519" i="8"/>
  <c r="C519" i="8"/>
  <c r="O518" i="8"/>
  <c r="J518" i="8"/>
  <c r="C518" i="8"/>
  <c r="O517" i="8"/>
  <c r="J517" i="8"/>
  <c r="C517" i="8"/>
  <c r="O516" i="8"/>
  <c r="J516" i="8"/>
  <c r="C516" i="8"/>
  <c r="O515" i="8"/>
  <c r="J515" i="8"/>
  <c r="C515" i="8"/>
  <c r="O514" i="8"/>
  <c r="J514" i="8"/>
  <c r="C514" i="8"/>
  <c r="O513" i="8"/>
  <c r="J513" i="8"/>
  <c r="C513" i="8"/>
  <c r="O512" i="8"/>
  <c r="J512" i="8"/>
  <c r="C512" i="8"/>
  <c r="O511" i="8"/>
  <c r="J511" i="8"/>
  <c r="C511" i="8"/>
  <c r="O510" i="8"/>
  <c r="J510" i="8"/>
  <c r="C510" i="8"/>
  <c r="O509" i="8"/>
  <c r="J509" i="8"/>
  <c r="C509" i="8"/>
  <c r="O508" i="8"/>
  <c r="J508" i="8"/>
  <c r="C508" i="8"/>
  <c r="O507" i="8"/>
  <c r="J507" i="8"/>
  <c r="C507" i="8"/>
  <c r="O506" i="8"/>
  <c r="J506" i="8"/>
  <c r="C506" i="8"/>
  <c r="O505" i="8"/>
  <c r="J505" i="8"/>
  <c r="C505" i="8"/>
  <c r="O504" i="8"/>
  <c r="J504" i="8"/>
  <c r="C504" i="8"/>
  <c r="O503" i="8"/>
  <c r="J503" i="8"/>
  <c r="C503" i="8"/>
  <c r="O502" i="8"/>
  <c r="J502" i="8"/>
  <c r="C502" i="8"/>
  <c r="O501" i="8"/>
  <c r="J501" i="8"/>
  <c r="C501" i="8"/>
  <c r="O500" i="8"/>
  <c r="J500" i="8"/>
  <c r="C500" i="8"/>
  <c r="O499" i="8"/>
  <c r="J499" i="8"/>
  <c r="C499" i="8"/>
  <c r="O498" i="8"/>
  <c r="J498" i="8"/>
  <c r="C498" i="8"/>
  <c r="O497" i="8"/>
  <c r="J497" i="8"/>
  <c r="C497" i="8"/>
  <c r="O496" i="8"/>
  <c r="J496" i="8"/>
  <c r="C496" i="8"/>
  <c r="O495" i="8"/>
  <c r="J495" i="8"/>
  <c r="C495" i="8"/>
  <c r="O494" i="8"/>
  <c r="J494" i="8"/>
  <c r="C494" i="8"/>
  <c r="O493" i="8"/>
  <c r="J493" i="8"/>
  <c r="C493" i="8"/>
  <c r="O492" i="8"/>
  <c r="J492" i="8"/>
  <c r="C492" i="8"/>
  <c r="O491" i="8"/>
  <c r="J491" i="8"/>
  <c r="C491" i="8"/>
  <c r="O490" i="8"/>
  <c r="J490" i="8"/>
  <c r="C490" i="8"/>
  <c r="O489" i="8"/>
  <c r="J489" i="8"/>
  <c r="C489" i="8"/>
  <c r="O488" i="8"/>
  <c r="J488" i="8"/>
  <c r="C488" i="8"/>
  <c r="O487" i="8"/>
  <c r="J487" i="8"/>
  <c r="C487" i="8"/>
  <c r="O486" i="8"/>
  <c r="J486" i="8"/>
  <c r="C486" i="8"/>
  <c r="O485" i="8"/>
  <c r="J485" i="8"/>
  <c r="C485" i="8"/>
  <c r="O484" i="8"/>
  <c r="J484" i="8"/>
  <c r="C484" i="8"/>
  <c r="O483" i="8"/>
  <c r="J483" i="8"/>
  <c r="C483" i="8"/>
  <c r="O482" i="8"/>
  <c r="J482" i="8"/>
  <c r="C482" i="8"/>
  <c r="O481" i="8"/>
  <c r="J481" i="8"/>
  <c r="C481" i="8"/>
  <c r="O480" i="8"/>
  <c r="J480" i="8"/>
  <c r="C480" i="8"/>
  <c r="O479" i="8"/>
  <c r="J479" i="8"/>
  <c r="C479" i="8"/>
  <c r="O478" i="8"/>
  <c r="J478" i="8"/>
  <c r="C478" i="8"/>
  <c r="O477" i="8"/>
  <c r="J477" i="8"/>
  <c r="C477" i="8"/>
  <c r="O476" i="8"/>
  <c r="J476" i="8"/>
  <c r="C476" i="8"/>
  <c r="O475" i="8"/>
  <c r="J475" i="8"/>
  <c r="C475" i="8"/>
  <c r="O474" i="8"/>
  <c r="J474" i="8"/>
  <c r="C474" i="8"/>
  <c r="O473" i="8"/>
  <c r="J473" i="8"/>
  <c r="C473" i="8"/>
  <c r="O472" i="8"/>
  <c r="J472" i="8"/>
  <c r="C472" i="8"/>
  <c r="O471" i="8"/>
  <c r="J471" i="8"/>
  <c r="C471" i="8"/>
  <c r="O470" i="8"/>
  <c r="J470" i="8"/>
  <c r="C470" i="8"/>
  <c r="O469" i="8"/>
  <c r="J469" i="8"/>
  <c r="C469" i="8"/>
  <c r="O468" i="8"/>
  <c r="J468" i="8"/>
  <c r="C468" i="8"/>
  <c r="O467" i="8"/>
  <c r="J467" i="8"/>
  <c r="C467" i="8"/>
  <c r="O466" i="8"/>
  <c r="J466" i="8"/>
  <c r="C466" i="8"/>
  <c r="O465" i="8"/>
  <c r="J465" i="8"/>
  <c r="C465" i="8"/>
  <c r="O464" i="8"/>
  <c r="J464" i="8"/>
  <c r="C464" i="8"/>
  <c r="O463" i="8"/>
  <c r="J463" i="8"/>
  <c r="C463" i="8"/>
  <c r="O462" i="8"/>
  <c r="J462" i="8"/>
  <c r="C462" i="8"/>
  <c r="O461" i="8"/>
  <c r="J461" i="8"/>
  <c r="C461" i="8"/>
  <c r="O460" i="8"/>
  <c r="J460" i="8"/>
  <c r="C460" i="8"/>
  <c r="O459" i="8"/>
  <c r="J459" i="8"/>
  <c r="C459" i="8"/>
  <c r="O458" i="8"/>
  <c r="J458" i="8"/>
  <c r="C458" i="8"/>
  <c r="O457" i="8"/>
  <c r="J457" i="8"/>
  <c r="C457" i="8"/>
  <c r="O456" i="8"/>
  <c r="J456" i="8"/>
  <c r="C456" i="8"/>
  <c r="O455" i="8"/>
  <c r="J455" i="8"/>
  <c r="C455" i="8"/>
  <c r="O454" i="8"/>
  <c r="J454" i="8"/>
  <c r="C454" i="8"/>
  <c r="O453" i="8"/>
  <c r="J453" i="8"/>
  <c r="C453" i="8"/>
  <c r="O452" i="8"/>
  <c r="J452" i="8"/>
  <c r="C452" i="8"/>
  <c r="O451" i="8"/>
  <c r="J451" i="8"/>
  <c r="C451" i="8"/>
  <c r="O450" i="8"/>
  <c r="J450" i="8"/>
  <c r="C450" i="8"/>
  <c r="O449" i="8"/>
  <c r="J449" i="8"/>
  <c r="C449" i="8"/>
  <c r="O448" i="8"/>
  <c r="J448" i="8"/>
  <c r="C448" i="8"/>
  <c r="O447" i="8"/>
  <c r="J447" i="8"/>
  <c r="C447" i="8"/>
  <c r="O446" i="8"/>
  <c r="J446" i="8"/>
  <c r="C446" i="8"/>
  <c r="O445" i="8"/>
  <c r="J445" i="8"/>
  <c r="C445" i="8"/>
  <c r="O444" i="8"/>
  <c r="J444" i="8"/>
  <c r="C444" i="8"/>
  <c r="O443" i="8"/>
  <c r="J443" i="8"/>
  <c r="C443" i="8"/>
  <c r="O442" i="8"/>
  <c r="J442" i="8"/>
  <c r="C442" i="8"/>
  <c r="O441" i="8"/>
  <c r="J441" i="8"/>
  <c r="C441" i="8"/>
  <c r="O440" i="8"/>
  <c r="J440" i="8"/>
  <c r="C440" i="8"/>
  <c r="O439" i="8"/>
  <c r="J439" i="8"/>
  <c r="C439" i="8"/>
  <c r="O438" i="8"/>
  <c r="J438" i="8"/>
  <c r="C438" i="8"/>
  <c r="O437" i="8"/>
  <c r="J437" i="8"/>
  <c r="C437" i="8"/>
  <c r="O436" i="8"/>
  <c r="J436" i="8"/>
  <c r="C436" i="8"/>
  <c r="O435" i="8"/>
  <c r="J435" i="8"/>
  <c r="C435" i="8"/>
  <c r="O434" i="8"/>
  <c r="J434" i="8"/>
  <c r="C434" i="8"/>
  <c r="O433" i="8"/>
  <c r="J433" i="8"/>
  <c r="C433" i="8"/>
  <c r="O432" i="8"/>
  <c r="J432" i="8"/>
  <c r="C432" i="8"/>
  <c r="O431" i="8"/>
  <c r="J431" i="8"/>
  <c r="C431" i="8"/>
  <c r="O430" i="8"/>
  <c r="J430" i="8"/>
  <c r="C430" i="8"/>
  <c r="O429" i="8"/>
  <c r="J429" i="8"/>
  <c r="C429" i="8"/>
  <c r="O428" i="8"/>
  <c r="J428" i="8"/>
  <c r="C428" i="8"/>
  <c r="O427" i="8"/>
  <c r="J427" i="8"/>
  <c r="C427" i="8"/>
  <c r="O426" i="8"/>
  <c r="J426" i="8"/>
  <c r="C426" i="8"/>
  <c r="O425" i="8"/>
  <c r="J425" i="8"/>
  <c r="C425" i="8"/>
  <c r="O424" i="8"/>
  <c r="J424" i="8"/>
  <c r="C424" i="8"/>
  <c r="O423" i="8"/>
  <c r="J423" i="8"/>
  <c r="C423" i="8"/>
  <c r="O422" i="8"/>
  <c r="J422" i="8"/>
  <c r="C422" i="8"/>
  <c r="O421" i="8"/>
  <c r="J421" i="8"/>
  <c r="C421" i="8"/>
  <c r="O420" i="8"/>
  <c r="J420" i="8"/>
  <c r="C420" i="8"/>
  <c r="O419" i="8"/>
  <c r="J419" i="8"/>
  <c r="C419" i="8"/>
  <c r="O418" i="8"/>
  <c r="J418" i="8"/>
  <c r="C418" i="8"/>
  <c r="O417" i="8"/>
  <c r="J417" i="8"/>
  <c r="C417" i="8"/>
  <c r="O416" i="8"/>
  <c r="J416" i="8"/>
  <c r="C416" i="8"/>
  <c r="O415" i="8"/>
  <c r="J415" i="8"/>
  <c r="C415" i="8"/>
  <c r="O414" i="8"/>
  <c r="J414" i="8"/>
  <c r="C414" i="8"/>
  <c r="O413" i="8"/>
  <c r="J413" i="8"/>
  <c r="C413" i="8"/>
  <c r="O412" i="8"/>
  <c r="J412" i="8"/>
  <c r="C412" i="8"/>
  <c r="O411" i="8"/>
  <c r="J411" i="8"/>
  <c r="C411" i="8"/>
  <c r="O410" i="8"/>
  <c r="J410" i="8"/>
  <c r="C410" i="8"/>
  <c r="O409" i="8"/>
  <c r="J409" i="8"/>
  <c r="C409" i="8"/>
  <c r="O408" i="8"/>
  <c r="J408" i="8"/>
  <c r="C408" i="8"/>
  <c r="O407" i="8"/>
  <c r="J407" i="8"/>
  <c r="C407" i="8"/>
  <c r="O406" i="8"/>
  <c r="J406" i="8"/>
  <c r="C406" i="8"/>
  <c r="O405" i="8"/>
  <c r="J405" i="8"/>
  <c r="C405" i="8"/>
  <c r="O404" i="8"/>
  <c r="J404" i="8"/>
  <c r="C404" i="8"/>
  <c r="O403" i="8"/>
  <c r="J403" i="8"/>
  <c r="C403" i="8"/>
  <c r="O402" i="8"/>
  <c r="J402" i="8"/>
  <c r="C402" i="8"/>
  <c r="O401" i="8"/>
  <c r="J401" i="8"/>
  <c r="C401" i="8"/>
  <c r="O400" i="8"/>
  <c r="J400" i="8"/>
  <c r="C400" i="8"/>
  <c r="O399" i="8"/>
  <c r="J399" i="8"/>
  <c r="C399" i="8"/>
  <c r="O398" i="8"/>
  <c r="J398" i="8"/>
  <c r="C398" i="8"/>
  <c r="O397" i="8"/>
  <c r="J397" i="8"/>
  <c r="C397" i="8"/>
  <c r="O396" i="8"/>
  <c r="J396" i="8"/>
  <c r="C396" i="8"/>
  <c r="O395" i="8"/>
  <c r="J395" i="8"/>
  <c r="C395" i="8"/>
  <c r="O394" i="8"/>
  <c r="J394" i="8"/>
  <c r="C394" i="8"/>
  <c r="O393" i="8"/>
  <c r="J393" i="8"/>
  <c r="C393" i="8"/>
  <c r="O392" i="8"/>
  <c r="J392" i="8"/>
  <c r="C392" i="8"/>
  <c r="O391" i="8"/>
  <c r="J391" i="8"/>
  <c r="C391" i="8"/>
  <c r="O390" i="8"/>
  <c r="J390" i="8"/>
  <c r="C390" i="8"/>
  <c r="O389" i="8"/>
  <c r="J389" i="8"/>
  <c r="C389" i="8"/>
  <c r="O388" i="8"/>
  <c r="J388" i="8"/>
  <c r="C388" i="8"/>
  <c r="O387" i="8"/>
  <c r="J387" i="8"/>
  <c r="C387" i="8"/>
  <c r="O386" i="8"/>
  <c r="J386" i="8"/>
  <c r="C386" i="8"/>
  <c r="O385" i="8"/>
  <c r="J385" i="8"/>
  <c r="C385" i="8"/>
  <c r="O384" i="8"/>
  <c r="J384" i="8"/>
  <c r="C384" i="8"/>
  <c r="O383" i="8"/>
  <c r="J383" i="8"/>
  <c r="C383" i="8"/>
  <c r="O382" i="8"/>
  <c r="J382" i="8"/>
  <c r="C382" i="8"/>
  <c r="O381" i="8"/>
  <c r="J381" i="8"/>
  <c r="C381" i="8"/>
  <c r="O380" i="8"/>
  <c r="J380" i="8"/>
  <c r="C380" i="8"/>
  <c r="O379" i="8"/>
  <c r="J379" i="8"/>
  <c r="C379" i="8"/>
  <c r="O378" i="8"/>
  <c r="J378" i="8"/>
  <c r="C378" i="8"/>
  <c r="O377" i="8"/>
  <c r="J377" i="8"/>
  <c r="C377" i="8"/>
  <c r="O376" i="8"/>
  <c r="J376" i="8"/>
  <c r="C376" i="8"/>
  <c r="O375" i="8"/>
  <c r="J375" i="8"/>
  <c r="C375" i="8"/>
  <c r="O374" i="8"/>
  <c r="J374" i="8"/>
  <c r="C374" i="8"/>
  <c r="O373" i="8"/>
  <c r="J373" i="8"/>
  <c r="C373" i="8"/>
  <c r="O372" i="8"/>
  <c r="J372" i="8"/>
  <c r="C372" i="8"/>
  <c r="O371" i="8"/>
  <c r="J371" i="8"/>
  <c r="C371" i="8"/>
  <c r="O370" i="8"/>
  <c r="J370" i="8"/>
  <c r="C370" i="8"/>
  <c r="O369" i="8"/>
  <c r="J369" i="8"/>
  <c r="C369" i="8"/>
  <c r="O368" i="8"/>
  <c r="J368" i="8"/>
  <c r="C368" i="8"/>
  <c r="O367" i="8"/>
  <c r="J367" i="8"/>
  <c r="C367" i="8"/>
  <c r="O366" i="8"/>
  <c r="J366" i="8"/>
  <c r="C366" i="8"/>
  <c r="O365" i="8"/>
  <c r="J365" i="8"/>
  <c r="C365" i="8"/>
  <c r="O364" i="8"/>
  <c r="J364" i="8"/>
  <c r="C364" i="8"/>
  <c r="O363" i="8"/>
  <c r="J363" i="8"/>
  <c r="C363" i="8"/>
  <c r="O362" i="8"/>
  <c r="J362" i="8"/>
  <c r="C362" i="8"/>
  <c r="O361" i="8"/>
  <c r="J361" i="8"/>
  <c r="C361" i="8"/>
  <c r="O360" i="8"/>
  <c r="J360" i="8"/>
  <c r="C360" i="8"/>
  <c r="O359" i="8"/>
  <c r="J359" i="8"/>
  <c r="C359" i="8"/>
  <c r="O358" i="8"/>
  <c r="J358" i="8"/>
  <c r="C358" i="8"/>
  <c r="O357" i="8"/>
  <c r="J357" i="8"/>
  <c r="C357" i="8"/>
  <c r="O356" i="8"/>
  <c r="J356" i="8"/>
  <c r="C356" i="8"/>
  <c r="O355" i="8"/>
  <c r="J355" i="8"/>
  <c r="C355" i="8"/>
  <c r="O354" i="8"/>
  <c r="J354" i="8"/>
  <c r="C354" i="8"/>
  <c r="O353" i="8"/>
  <c r="J353" i="8"/>
  <c r="C353" i="8"/>
  <c r="O352" i="8"/>
  <c r="J352" i="8"/>
  <c r="C352" i="8"/>
  <c r="O351" i="8"/>
  <c r="J351" i="8"/>
  <c r="C351" i="8"/>
  <c r="O350" i="8"/>
  <c r="J350" i="8"/>
  <c r="C350" i="8"/>
  <c r="O349" i="8"/>
  <c r="J349" i="8"/>
  <c r="C349" i="8"/>
  <c r="O348" i="8"/>
  <c r="J348" i="8"/>
  <c r="C348" i="8"/>
  <c r="O347" i="8"/>
  <c r="J347" i="8"/>
  <c r="C347" i="8"/>
  <c r="O346" i="8"/>
  <c r="J346" i="8"/>
  <c r="C346" i="8"/>
  <c r="O345" i="8"/>
  <c r="J345" i="8"/>
  <c r="C345" i="8"/>
  <c r="O344" i="8"/>
  <c r="J344" i="8"/>
  <c r="C344" i="8"/>
  <c r="O343" i="8"/>
  <c r="J343" i="8"/>
  <c r="C343" i="8"/>
  <c r="O342" i="8"/>
  <c r="J342" i="8"/>
  <c r="C342" i="8"/>
  <c r="O341" i="8"/>
  <c r="J341" i="8"/>
  <c r="C341" i="8"/>
  <c r="O340" i="8"/>
  <c r="J340" i="8"/>
  <c r="C340" i="8"/>
  <c r="O339" i="8"/>
  <c r="J339" i="8"/>
  <c r="C339" i="8"/>
  <c r="O338" i="8"/>
  <c r="J338" i="8"/>
  <c r="C338" i="8"/>
  <c r="O337" i="8"/>
  <c r="J337" i="8"/>
  <c r="C337" i="8"/>
  <c r="O336" i="8"/>
  <c r="J336" i="8"/>
  <c r="C336" i="8"/>
  <c r="O335" i="8"/>
  <c r="J335" i="8"/>
  <c r="C335" i="8"/>
  <c r="O334" i="8"/>
  <c r="J334" i="8"/>
  <c r="C334" i="8"/>
  <c r="O333" i="8"/>
  <c r="J333" i="8"/>
  <c r="C333" i="8"/>
  <c r="O332" i="8"/>
  <c r="J332" i="8"/>
  <c r="C332" i="8"/>
  <c r="O331" i="8"/>
  <c r="J331" i="8"/>
  <c r="C331" i="8"/>
  <c r="O330" i="8"/>
  <c r="J330" i="8"/>
  <c r="C330" i="8"/>
  <c r="O329" i="8"/>
  <c r="J329" i="8"/>
  <c r="C329" i="8"/>
  <c r="O328" i="8"/>
  <c r="J328" i="8"/>
  <c r="C328" i="8"/>
  <c r="O327" i="8"/>
  <c r="J327" i="8"/>
  <c r="C327" i="8"/>
  <c r="O326" i="8"/>
  <c r="J326" i="8"/>
  <c r="C326" i="8"/>
  <c r="O325" i="8"/>
  <c r="J325" i="8"/>
  <c r="C325" i="8"/>
  <c r="O324" i="8"/>
  <c r="J324" i="8"/>
  <c r="C324" i="8"/>
  <c r="O323" i="8"/>
  <c r="J323" i="8"/>
  <c r="C323" i="8"/>
  <c r="O322" i="8"/>
  <c r="J322" i="8"/>
  <c r="C322" i="8"/>
  <c r="O321" i="8"/>
  <c r="J321" i="8"/>
  <c r="C321" i="8"/>
  <c r="O320" i="8"/>
  <c r="J320" i="8"/>
  <c r="C320" i="8"/>
  <c r="O319" i="8"/>
  <c r="J319" i="8"/>
  <c r="C319" i="8"/>
  <c r="O318" i="8"/>
  <c r="J318" i="8"/>
  <c r="C318" i="8"/>
  <c r="O317" i="8"/>
  <c r="J317" i="8"/>
  <c r="C317" i="8"/>
  <c r="O316" i="8"/>
  <c r="J316" i="8"/>
  <c r="C316" i="8"/>
  <c r="O315" i="8"/>
  <c r="J315" i="8"/>
  <c r="C315" i="8"/>
  <c r="O314" i="8"/>
  <c r="J314" i="8"/>
  <c r="C314" i="8"/>
  <c r="O313" i="8"/>
  <c r="J313" i="8"/>
  <c r="C313" i="8"/>
  <c r="O312" i="8"/>
  <c r="J312" i="8"/>
  <c r="C312" i="8"/>
  <c r="O311" i="8"/>
  <c r="J311" i="8"/>
  <c r="C311" i="8"/>
  <c r="O310" i="8"/>
  <c r="J310" i="8"/>
  <c r="C310" i="8"/>
  <c r="O309" i="8"/>
  <c r="J309" i="8"/>
  <c r="C309" i="8"/>
  <c r="O308" i="8"/>
  <c r="J308" i="8"/>
  <c r="C308" i="8"/>
  <c r="O307" i="8"/>
  <c r="J307" i="8"/>
  <c r="C307" i="8"/>
  <c r="O306" i="8"/>
  <c r="J306" i="8"/>
  <c r="C306" i="8"/>
  <c r="O305" i="8"/>
  <c r="J305" i="8"/>
  <c r="C305" i="8"/>
  <c r="O304" i="8"/>
  <c r="J304" i="8"/>
  <c r="C304" i="8"/>
  <c r="O303" i="8"/>
  <c r="J303" i="8"/>
  <c r="C303" i="8"/>
  <c r="O302" i="8"/>
  <c r="J302" i="8"/>
  <c r="C302" i="8"/>
  <c r="O301" i="8"/>
  <c r="J301" i="8"/>
  <c r="C301" i="8"/>
  <c r="O300" i="8"/>
  <c r="J300" i="8"/>
  <c r="C300" i="8"/>
  <c r="O299" i="8"/>
  <c r="J299" i="8"/>
  <c r="C299" i="8"/>
  <c r="O298" i="8"/>
  <c r="J298" i="8"/>
  <c r="C298" i="8"/>
  <c r="O297" i="8"/>
  <c r="J297" i="8"/>
  <c r="C297" i="8"/>
  <c r="O296" i="8"/>
  <c r="J296" i="8"/>
  <c r="C296" i="8"/>
  <c r="O295" i="8"/>
  <c r="J295" i="8"/>
  <c r="C295" i="8"/>
  <c r="O294" i="8"/>
  <c r="J294" i="8"/>
  <c r="C294" i="8"/>
  <c r="O293" i="8"/>
  <c r="J293" i="8"/>
  <c r="C293" i="8"/>
  <c r="O292" i="8"/>
  <c r="J292" i="8"/>
  <c r="C292" i="8"/>
  <c r="O291" i="8"/>
  <c r="J291" i="8"/>
  <c r="C291" i="8"/>
  <c r="O290" i="8"/>
  <c r="J290" i="8"/>
  <c r="C290" i="8"/>
  <c r="O289" i="8"/>
  <c r="J289" i="8"/>
  <c r="C289" i="8"/>
  <c r="O288" i="8"/>
  <c r="J288" i="8"/>
  <c r="C288" i="8"/>
  <c r="O287" i="8"/>
  <c r="J287" i="8"/>
  <c r="C287" i="8"/>
  <c r="O286" i="8"/>
  <c r="J286" i="8"/>
  <c r="C286" i="8"/>
  <c r="O285" i="8"/>
  <c r="J285" i="8"/>
  <c r="C285" i="8"/>
  <c r="O284" i="8"/>
  <c r="J284" i="8"/>
  <c r="C284" i="8"/>
  <c r="O283" i="8"/>
  <c r="J283" i="8"/>
  <c r="C283" i="8"/>
  <c r="O282" i="8"/>
  <c r="J282" i="8"/>
  <c r="C282" i="8"/>
  <c r="O281" i="8"/>
  <c r="J281" i="8"/>
  <c r="C281" i="8"/>
  <c r="O280" i="8"/>
  <c r="J280" i="8"/>
  <c r="C280" i="8"/>
  <c r="O279" i="8"/>
  <c r="J279" i="8"/>
  <c r="C279" i="8"/>
  <c r="O278" i="8"/>
  <c r="J278" i="8"/>
  <c r="C278" i="8"/>
  <c r="O277" i="8"/>
  <c r="J277" i="8"/>
  <c r="C277" i="8"/>
  <c r="O276" i="8"/>
  <c r="J276" i="8"/>
  <c r="C276" i="8"/>
  <c r="O275" i="8"/>
  <c r="J275" i="8"/>
  <c r="C275" i="8"/>
  <c r="O274" i="8"/>
  <c r="J274" i="8"/>
  <c r="C274" i="8"/>
  <c r="O273" i="8"/>
  <c r="J273" i="8"/>
  <c r="C273" i="8"/>
  <c r="O272" i="8"/>
  <c r="J272" i="8"/>
  <c r="C272" i="8"/>
  <c r="O271" i="8"/>
  <c r="J271" i="8"/>
  <c r="C271" i="8"/>
  <c r="O270" i="8"/>
  <c r="J270" i="8"/>
  <c r="C270" i="8"/>
  <c r="O269" i="8"/>
  <c r="J269" i="8"/>
  <c r="C269" i="8"/>
  <c r="O268" i="8"/>
  <c r="J268" i="8"/>
  <c r="C268" i="8"/>
  <c r="O267" i="8"/>
  <c r="J267" i="8"/>
  <c r="C267" i="8"/>
  <c r="O266" i="8"/>
  <c r="J266" i="8"/>
  <c r="C266" i="8"/>
  <c r="O265" i="8"/>
  <c r="J265" i="8"/>
  <c r="C265" i="8"/>
  <c r="O264" i="8"/>
  <c r="J264" i="8"/>
  <c r="C264" i="8"/>
  <c r="O263" i="8"/>
  <c r="J263" i="8"/>
  <c r="C263" i="8"/>
  <c r="O262" i="8"/>
  <c r="J262" i="8"/>
  <c r="C262" i="8"/>
  <c r="O261" i="8"/>
  <c r="J261" i="8"/>
  <c r="C261" i="8"/>
  <c r="O260" i="8"/>
  <c r="J260" i="8"/>
  <c r="C260" i="8"/>
  <c r="O259" i="8"/>
  <c r="J259" i="8"/>
  <c r="C259" i="8"/>
  <c r="O258" i="8"/>
  <c r="J258" i="8"/>
  <c r="C258" i="8"/>
  <c r="O257" i="8"/>
  <c r="J257" i="8"/>
  <c r="C257" i="8"/>
  <c r="O256" i="8"/>
  <c r="J256" i="8"/>
  <c r="C256" i="8"/>
  <c r="O255" i="8"/>
  <c r="J255" i="8"/>
  <c r="C255" i="8"/>
  <c r="O254" i="8"/>
  <c r="J254" i="8"/>
  <c r="C254" i="8"/>
  <c r="O253" i="8"/>
  <c r="J253" i="8"/>
  <c r="C253" i="8"/>
  <c r="O252" i="8"/>
  <c r="J252" i="8"/>
  <c r="C252" i="8"/>
  <c r="O251" i="8"/>
  <c r="J251" i="8"/>
  <c r="C251" i="8"/>
  <c r="O250" i="8"/>
  <c r="J250" i="8"/>
  <c r="C250" i="8"/>
  <c r="O249" i="8"/>
  <c r="J249" i="8"/>
  <c r="C249" i="8"/>
  <c r="O248" i="8"/>
  <c r="J248" i="8"/>
  <c r="C248" i="8"/>
  <c r="O247" i="8"/>
  <c r="J247" i="8"/>
  <c r="C247" i="8"/>
  <c r="O246" i="8"/>
  <c r="J246" i="8"/>
  <c r="C246" i="8"/>
  <c r="O245" i="8"/>
  <c r="J245" i="8"/>
  <c r="C245" i="8"/>
  <c r="O244" i="8"/>
  <c r="J244" i="8"/>
  <c r="C244" i="8"/>
  <c r="O243" i="8"/>
  <c r="J243" i="8"/>
  <c r="C243" i="8"/>
  <c r="O242" i="8"/>
  <c r="J242" i="8"/>
  <c r="C242" i="8"/>
  <c r="O241" i="8"/>
  <c r="J241" i="8"/>
  <c r="C241" i="8"/>
  <c r="O240" i="8"/>
  <c r="J240" i="8"/>
  <c r="C240" i="8"/>
  <c r="O239" i="8"/>
  <c r="J239" i="8"/>
  <c r="C239" i="8"/>
  <c r="O238" i="8"/>
  <c r="J238" i="8"/>
  <c r="C238" i="8"/>
  <c r="O237" i="8"/>
  <c r="J237" i="8"/>
  <c r="C237" i="8"/>
  <c r="O236" i="8"/>
  <c r="J236" i="8"/>
  <c r="C236" i="8"/>
  <c r="O235" i="8"/>
  <c r="J235" i="8"/>
  <c r="C235" i="8"/>
  <c r="O234" i="8"/>
  <c r="J234" i="8"/>
  <c r="C234" i="8"/>
  <c r="O233" i="8"/>
  <c r="J233" i="8"/>
  <c r="C233" i="8"/>
  <c r="O232" i="8"/>
  <c r="J232" i="8"/>
  <c r="C232" i="8"/>
  <c r="O231" i="8"/>
  <c r="J231" i="8"/>
  <c r="C231" i="8"/>
  <c r="O230" i="8"/>
  <c r="J230" i="8"/>
  <c r="C230" i="8"/>
  <c r="O229" i="8"/>
  <c r="J229" i="8"/>
  <c r="C229" i="8"/>
  <c r="O228" i="8"/>
  <c r="J228" i="8"/>
  <c r="C228" i="8"/>
  <c r="O227" i="8"/>
  <c r="J227" i="8"/>
  <c r="C227" i="8"/>
  <c r="O226" i="8"/>
  <c r="J226" i="8"/>
  <c r="C226" i="8"/>
  <c r="O225" i="8"/>
  <c r="J225" i="8"/>
  <c r="C225" i="8"/>
  <c r="O224" i="8"/>
  <c r="J224" i="8"/>
  <c r="C224" i="8"/>
  <c r="O223" i="8"/>
  <c r="J223" i="8"/>
  <c r="C223" i="8"/>
  <c r="O222" i="8"/>
  <c r="J222" i="8"/>
  <c r="C222" i="8"/>
  <c r="O221" i="8"/>
  <c r="J221" i="8"/>
  <c r="C221" i="8"/>
  <c r="O220" i="8"/>
  <c r="J220" i="8"/>
  <c r="C220" i="8"/>
  <c r="O219" i="8"/>
  <c r="J219" i="8"/>
  <c r="C219" i="8"/>
  <c r="O218" i="8"/>
  <c r="J218" i="8"/>
  <c r="C218" i="8"/>
  <c r="O217" i="8"/>
  <c r="J217" i="8"/>
  <c r="C217" i="8"/>
  <c r="O216" i="8"/>
  <c r="J216" i="8"/>
  <c r="C216" i="8"/>
  <c r="O215" i="8"/>
  <c r="J215" i="8"/>
  <c r="C215" i="8"/>
  <c r="O214" i="8"/>
  <c r="J214" i="8"/>
  <c r="C214" i="8"/>
  <c r="O213" i="8"/>
  <c r="J213" i="8"/>
  <c r="C213" i="8"/>
  <c r="O212" i="8"/>
  <c r="J212" i="8"/>
  <c r="C212" i="8"/>
  <c r="O211" i="8"/>
  <c r="J211" i="8"/>
  <c r="C211" i="8"/>
  <c r="O210" i="8"/>
  <c r="J210" i="8"/>
  <c r="C210" i="8"/>
  <c r="O209" i="8"/>
  <c r="J209" i="8"/>
  <c r="C209" i="8"/>
  <c r="O208" i="8"/>
  <c r="J208" i="8"/>
  <c r="C208" i="8"/>
  <c r="O207" i="8"/>
  <c r="J207" i="8"/>
  <c r="C207" i="8"/>
  <c r="O206" i="8"/>
  <c r="J206" i="8"/>
  <c r="C206" i="8"/>
  <c r="O205" i="8"/>
  <c r="J205" i="8"/>
  <c r="C205" i="8"/>
  <c r="O204" i="8"/>
  <c r="J204" i="8"/>
  <c r="C204" i="8"/>
  <c r="O203" i="8"/>
  <c r="J203" i="8"/>
  <c r="C203" i="8"/>
  <c r="O202" i="8"/>
  <c r="J202" i="8"/>
  <c r="C202" i="8"/>
  <c r="O201" i="8"/>
  <c r="J201" i="8"/>
  <c r="C201" i="8"/>
  <c r="O200" i="8"/>
  <c r="J200" i="8"/>
  <c r="C200" i="8"/>
  <c r="O199" i="8"/>
  <c r="J199" i="8"/>
  <c r="C199" i="8"/>
  <c r="O198" i="8"/>
  <c r="J198" i="8"/>
  <c r="C198" i="8"/>
  <c r="O197" i="8"/>
  <c r="J197" i="8"/>
  <c r="C197" i="8"/>
  <c r="O196" i="8"/>
  <c r="J196" i="8"/>
  <c r="C196" i="8"/>
  <c r="O195" i="8"/>
  <c r="J195" i="8"/>
  <c r="C195" i="8"/>
  <c r="O194" i="8"/>
  <c r="J194" i="8"/>
  <c r="C194" i="8"/>
  <c r="O193" i="8"/>
  <c r="J193" i="8"/>
  <c r="C193" i="8"/>
  <c r="O192" i="8"/>
  <c r="J192" i="8"/>
  <c r="C192" i="8"/>
  <c r="O191" i="8"/>
  <c r="J191" i="8"/>
  <c r="C191" i="8"/>
  <c r="O190" i="8"/>
  <c r="J190" i="8"/>
  <c r="C190" i="8"/>
  <c r="O189" i="8"/>
  <c r="J189" i="8"/>
  <c r="C189" i="8"/>
  <c r="O188" i="8"/>
  <c r="J188" i="8"/>
  <c r="C188" i="8"/>
  <c r="O187" i="8"/>
  <c r="J187" i="8"/>
  <c r="C187" i="8"/>
  <c r="O186" i="8"/>
  <c r="J186" i="8"/>
  <c r="C186" i="8"/>
  <c r="O185" i="8"/>
  <c r="J185" i="8"/>
  <c r="C185" i="8"/>
  <c r="O184" i="8"/>
  <c r="J184" i="8"/>
  <c r="C184" i="8"/>
  <c r="O183" i="8"/>
  <c r="J183" i="8"/>
  <c r="C183" i="8"/>
  <c r="O182" i="8"/>
  <c r="J182" i="8"/>
  <c r="C182" i="8"/>
  <c r="O181" i="8"/>
  <c r="J181" i="8"/>
  <c r="C181" i="8"/>
  <c r="O180" i="8"/>
  <c r="J180" i="8"/>
  <c r="C180" i="8"/>
  <c r="O179" i="8"/>
  <c r="J179" i="8"/>
  <c r="C179" i="8"/>
  <c r="O178" i="8"/>
  <c r="J178" i="8"/>
  <c r="C178" i="8"/>
  <c r="O177" i="8"/>
  <c r="J177" i="8"/>
  <c r="C177" i="8"/>
  <c r="O176" i="8"/>
  <c r="J176" i="8"/>
  <c r="C176" i="8"/>
  <c r="O175" i="8"/>
  <c r="J175" i="8"/>
  <c r="C175" i="8"/>
  <c r="O174" i="8"/>
  <c r="J174" i="8"/>
  <c r="C174" i="8"/>
  <c r="O173" i="8"/>
  <c r="J173" i="8"/>
  <c r="C173" i="8"/>
  <c r="O172" i="8"/>
  <c r="J172" i="8"/>
  <c r="C172" i="8"/>
  <c r="O171" i="8"/>
  <c r="J171" i="8"/>
  <c r="C171" i="8"/>
  <c r="O170" i="8"/>
  <c r="J170" i="8"/>
  <c r="C170" i="8"/>
  <c r="O169" i="8"/>
  <c r="J169" i="8"/>
  <c r="C169" i="8"/>
  <c r="O168" i="8"/>
  <c r="J168" i="8"/>
  <c r="C168" i="8"/>
  <c r="O167" i="8"/>
  <c r="J167" i="8"/>
  <c r="C167" i="8"/>
  <c r="O166" i="8"/>
  <c r="J166" i="8"/>
  <c r="C166" i="8"/>
  <c r="O165" i="8"/>
  <c r="J165" i="8"/>
  <c r="C165" i="8"/>
  <c r="O164" i="8"/>
  <c r="J164" i="8"/>
  <c r="C164" i="8"/>
  <c r="O163" i="8"/>
  <c r="J163" i="8"/>
  <c r="C163" i="8"/>
  <c r="O162" i="8"/>
  <c r="J162" i="8"/>
  <c r="C162" i="8"/>
  <c r="O161" i="8"/>
  <c r="J161" i="8"/>
  <c r="C161" i="8"/>
  <c r="O160" i="8"/>
  <c r="J160" i="8"/>
  <c r="C160" i="8"/>
  <c r="O159" i="8"/>
  <c r="J159" i="8"/>
  <c r="C159" i="8"/>
  <c r="O158" i="8"/>
  <c r="J158" i="8"/>
  <c r="C158" i="8"/>
  <c r="O157" i="8"/>
  <c r="J157" i="8"/>
  <c r="C157" i="8"/>
  <c r="O156" i="8"/>
  <c r="J156" i="8"/>
  <c r="C156" i="8"/>
  <c r="O155" i="8"/>
  <c r="J155" i="8"/>
  <c r="C155" i="8"/>
  <c r="O154" i="8"/>
  <c r="J154" i="8"/>
  <c r="C154" i="8"/>
  <c r="O153" i="8"/>
  <c r="J153" i="8"/>
  <c r="C153" i="8"/>
  <c r="O152" i="8"/>
  <c r="J152" i="8"/>
  <c r="C152" i="8"/>
  <c r="O151" i="8"/>
  <c r="J151" i="8"/>
  <c r="C151" i="8"/>
  <c r="O150" i="8"/>
  <c r="J150" i="8"/>
  <c r="C150" i="8"/>
  <c r="O149" i="8"/>
  <c r="J149" i="8"/>
  <c r="C149" i="8"/>
  <c r="O148" i="8"/>
  <c r="J148" i="8"/>
  <c r="C148" i="8"/>
  <c r="O147" i="8"/>
  <c r="J147" i="8"/>
  <c r="C147" i="8"/>
  <c r="O146" i="8"/>
  <c r="J146" i="8"/>
  <c r="C146" i="8"/>
  <c r="O145" i="8"/>
  <c r="J145" i="8"/>
  <c r="C145" i="8"/>
  <c r="O144" i="8"/>
  <c r="J144" i="8"/>
  <c r="C144" i="8"/>
  <c r="O143" i="8"/>
  <c r="J143" i="8"/>
  <c r="C143" i="8"/>
  <c r="O142" i="8"/>
  <c r="J142" i="8"/>
  <c r="C142" i="8"/>
  <c r="O141" i="8"/>
  <c r="J141" i="8"/>
  <c r="C141" i="8"/>
  <c r="O140" i="8"/>
  <c r="J140" i="8"/>
  <c r="C140" i="8"/>
  <c r="O139" i="8"/>
  <c r="J139" i="8"/>
  <c r="C139" i="8"/>
  <c r="O138" i="8"/>
  <c r="J138" i="8"/>
  <c r="C138" i="8"/>
  <c r="O137" i="8"/>
  <c r="J137" i="8"/>
  <c r="C137" i="8"/>
  <c r="O136" i="8"/>
  <c r="J136" i="8"/>
  <c r="C136" i="8"/>
  <c r="O135" i="8"/>
  <c r="J135" i="8"/>
  <c r="C135" i="8"/>
  <c r="O134" i="8"/>
  <c r="J134" i="8"/>
  <c r="C134" i="8"/>
  <c r="O133" i="8"/>
  <c r="J133" i="8"/>
  <c r="C133" i="8"/>
  <c r="O132" i="8"/>
  <c r="J132" i="8"/>
  <c r="C132" i="8"/>
  <c r="O131" i="8"/>
  <c r="J131" i="8"/>
  <c r="C131" i="8"/>
  <c r="O130" i="8"/>
  <c r="J130" i="8"/>
  <c r="C130" i="8"/>
  <c r="O129" i="8"/>
  <c r="J129" i="8"/>
  <c r="C129" i="8"/>
  <c r="O128" i="8"/>
  <c r="J128" i="8"/>
  <c r="C128" i="8"/>
  <c r="O127" i="8"/>
  <c r="J127" i="8"/>
  <c r="C127" i="8"/>
  <c r="O126" i="8"/>
  <c r="J126" i="8"/>
  <c r="C126" i="8"/>
  <c r="O125" i="8"/>
  <c r="J125" i="8"/>
  <c r="C125" i="8"/>
  <c r="O124" i="8"/>
  <c r="J124" i="8"/>
  <c r="C124" i="8"/>
  <c r="O123" i="8"/>
  <c r="J123" i="8"/>
  <c r="C123" i="8"/>
  <c r="O122" i="8"/>
  <c r="J122" i="8"/>
  <c r="C122" i="8"/>
  <c r="O121" i="8"/>
  <c r="J121" i="8"/>
  <c r="C121" i="8"/>
  <c r="O120" i="8"/>
  <c r="J120" i="8"/>
  <c r="C120" i="8"/>
  <c r="O119" i="8"/>
  <c r="J119" i="8"/>
  <c r="C119" i="8"/>
  <c r="O118" i="8"/>
  <c r="J118" i="8"/>
  <c r="C118" i="8"/>
  <c r="O117" i="8"/>
  <c r="J117" i="8"/>
  <c r="C117" i="8"/>
  <c r="O116" i="8"/>
  <c r="J116" i="8"/>
  <c r="C116" i="8"/>
  <c r="O115" i="8"/>
  <c r="J115" i="8"/>
  <c r="C115" i="8"/>
  <c r="O114" i="8"/>
  <c r="J114" i="8"/>
  <c r="C114" i="8"/>
  <c r="O113" i="8"/>
  <c r="J113" i="8"/>
  <c r="C113" i="8"/>
  <c r="O112" i="8"/>
  <c r="J112" i="8"/>
  <c r="C112" i="8"/>
  <c r="O111" i="8"/>
  <c r="J111" i="8"/>
  <c r="C111" i="8"/>
  <c r="O110" i="8"/>
  <c r="J110" i="8"/>
  <c r="C110" i="8"/>
  <c r="O109" i="8"/>
  <c r="J109" i="8"/>
  <c r="C109" i="8"/>
  <c r="O108" i="8"/>
  <c r="J108" i="8"/>
  <c r="C108" i="8"/>
  <c r="O107" i="8"/>
  <c r="J107" i="8"/>
  <c r="C107" i="8"/>
  <c r="O106" i="8"/>
  <c r="J106" i="8"/>
  <c r="C106" i="8"/>
  <c r="O105" i="8"/>
  <c r="J105" i="8"/>
  <c r="C105" i="8"/>
  <c r="O104" i="8"/>
  <c r="J104" i="8"/>
  <c r="C104" i="8"/>
  <c r="O103" i="8"/>
  <c r="J103" i="8"/>
  <c r="C103" i="8"/>
  <c r="O102" i="8"/>
  <c r="J102" i="8"/>
  <c r="C102" i="8"/>
  <c r="O101" i="8"/>
  <c r="J101" i="8"/>
  <c r="C101" i="8"/>
  <c r="O100" i="8"/>
  <c r="J100" i="8"/>
  <c r="C100" i="8"/>
  <c r="O99" i="8"/>
  <c r="J99" i="8"/>
  <c r="C99" i="8"/>
  <c r="O98" i="8"/>
  <c r="J98" i="8"/>
  <c r="C98" i="8"/>
  <c r="O97" i="8"/>
  <c r="J97" i="8"/>
  <c r="C97" i="8"/>
  <c r="O96" i="8"/>
  <c r="J96" i="8"/>
  <c r="C96" i="8"/>
  <c r="O95" i="8"/>
  <c r="J95" i="8"/>
  <c r="C95" i="8"/>
  <c r="O94" i="8"/>
  <c r="J94" i="8"/>
  <c r="C94" i="8"/>
  <c r="O93" i="8"/>
  <c r="J93" i="8"/>
  <c r="C93" i="8"/>
  <c r="O92" i="8"/>
  <c r="J92" i="8"/>
  <c r="C92" i="8"/>
  <c r="O91" i="8"/>
  <c r="J91" i="8"/>
  <c r="C91" i="8"/>
  <c r="O90" i="8"/>
  <c r="J90" i="8"/>
  <c r="C90" i="8"/>
  <c r="O89" i="8"/>
  <c r="J89" i="8"/>
  <c r="C89" i="8"/>
  <c r="O88" i="8"/>
  <c r="J88" i="8"/>
  <c r="C88" i="8"/>
  <c r="O87" i="8"/>
  <c r="J87" i="8"/>
  <c r="C87" i="8"/>
  <c r="O86" i="8"/>
  <c r="J86" i="8"/>
  <c r="C86" i="8"/>
  <c r="O85" i="8"/>
  <c r="J85" i="8"/>
  <c r="C85" i="8"/>
  <c r="O84" i="8"/>
  <c r="J84" i="8"/>
  <c r="C84" i="8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L308" i="6"/>
  <c r="K308" i="6"/>
  <c r="J308" i="6"/>
  <c r="I308" i="6"/>
  <c r="L307" i="6"/>
  <c r="K307" i="6"/>
  <c r="J307" i="6"/>
  <c r="I307" i="6"/>
  <c r="L306" i="6"/>
  <c r="K306" i="6"/>
  <c r="J306" i="6"/>
  <c r="I306" i="6"/>
  <c r="L305" i="6"/>
  <c r="K305" i="6"/>
  <c r="J305" i="6"/>
  <c r="I305" i="6"/>
  <c r="L304" i="6"/>
  <c r="K304" i="6"/>
  <c r="J304" i="6"/>
  <c r="I304" i="6"/>
  <c r="L303" i="6"/>
  <c r="K303" i="6"/>
  <c r="J303" i="6"/>
  <c r="I303" i="6"/>
  <c r="L302" i="6"/>
  <c r="K302" i="6"/>
  <c r="J302" i="6"/>
  <c r="I302" i="6"/>
  <c r="L301" i="6"/>
  <c r="K301" i="6"/>
  <c r="J301" i="6"/>
  <c r="I301" i="6"/>
  <c r="L300" i="6"/>
  <c r="K300" i="6"/>
  <c r="J300" i="6"/>
  <c r="I300" i="6"/>
  <c r="L299" i="6"/>
  <c r="K299" i="6"/>
  <c r="J299" i="6"/>
  <c r="I299" i="6"/>
  <c r="L298" i="6"/>
  <c r="K298" i="6"/>
  <c r="J298" i="6"/>
  <c r="I298" i="6"/>
  <c r="L297" i="6"/>
  <c r="K297" i="6"/>
  <c r="J297" i="6"/>
  <c r="I297" i="6"/>
  <c r="L296" i="6"/>
  <c r="K296" i="6"/>
  <c r="J296" i="6"/>
  <c r="I296" i="6"/>
  <c r="L295" i="6"/>
  <c r="K295" i="6"/>
  <c r="J295" i="6"/>
  <c r="I295" i="6"/>
  <c r="L294" i="6"/>
  <c r="K294" i="6"/>
  <c r="J294" i="6"/>
  <c r="I294" i="6"/>
  <c r="L293" i="6"/>
  <c r="K293" i="6"/>
  <c r="J293" i="6"/>
  <c r="I293" i="6"/>
  <c r="L292" i="6"/>
  <c r="K292" i="6"/>
  <c r="J292" i="6"/>
  <c r="I292" i="6"/>
  <c r="L291" i="6"/>
  <c r="K291" i="6"/>
  <c r="J291" i="6"/>
  <c r="I291" i="6"/>
  <c r="L290" i="6"/>
  <c r="K290" i="6"/>
  <c r="J290" i="6"/>
  <c r="I290" i="6"/>
  <c r="L289" i="6"/>
  <c r="K289" i="6"/>
  <c r="J289" i="6"/>
  <c r="I289" i="6"/>
  <c r="L288" i="6"/>
  <c r="K288" i="6"/>
  <c r="J288" i="6"/>
  <c r="I288" i="6"/>
  <c r="L287" i="6"/>
  <c r="K287" i="6"/>
  <c r="J287" i="6"/>
  <c r="I287" i="6"/>
  <c r="L286" i="6"/>
  <c r="K286" i="6"/>
  <c r="J286" i="6"/>
  <c r="I286" i="6"/>
  <c r="L285" i="6"/>
  <c r="K285" i="6"/>
  <c r="J285" i="6"/>
  <c r="I285" i="6"/>
  <c r="L284" i="6"/>
  <c r="K284" i="6"/>
  <c r="J284" i="6"/>
  <c r="I284" i="6"/>
  <c r="L283" i="6"/>
  <c r="K283" i="6"/>
  <c r="J283" i="6"/>
  <c r="I283" i="6"/>
  <c r="L282" i="6"/>
  <c r="K282" i="6"/>
  <c r="J282" i="6"/>
  <c r="I282" i="6"/>
  <c r="L281" i="6"/>
  <c r="K281" i="6"/>
  <c r="J281" i="6"/>
  <c r="I281" i="6"/>
  <c r="L280" i="6"/>
  <c r="K280" i="6"/>
  <c r="J280" i="6"/>
  <c r="I280" i="6"/>
  <c r="L279" i="6"/>
  <c r="K279" i="6"/>
  <c r="J279" i="6"/>
  <c r="I279" i="6"/>
  <c r="L278" i="6"/>
  <c r="K278" i="6"/>
  <c r="J278" i="6"/>
  <c r="I278" i="6"/>
  <c r="L277" i="6"/>
  <c r="K277" i="6"/>
  <c r="J277" i="6"/>
  <c r="I277" i="6"/>
  <c r="L276" i="6"/>
  <c r="K276" i="6"/>
  <c r="J276" i="6"/>
  <c r="I276" i="6"/>
  <c r="L275" i="6"/>
  <c r="K275" i="6"/>
  <c r="J275" i="6"/>
  <c r="I275" i="6"/>
  <c r="L274" i="6"/>
  <c r="K274" i="6"/>
  <c r="J274" i="6"/>
  <c r="I274" i="6"/>
  <c r="L273" i="6"/>
  <c r="K273" i="6"/>
  <c r="J273" i="6"/>
  <c r="I273" i="6"/>
  <c r="L272" i="6"/>
  <c r="K272" i="6"/>
  <c r="J272" i="6"/>
  <c r="I272" i="6"/>
  <c r="L271" i="6"/>
  <c r="K271" i="6"/>
  <c r="J271" i="6"/>
  <c r="I271" i="6"/>
  <c r="L270" i="6"/>
  <c r="K270" i="6"/>
  <c r="J270" i="6"/>
  <c r="I270" i="6"/>
  <c r="L269" i="6"/>
  <c r="K269" i="6"/>
  <c r="J269" i="6"/>
  <c r="I269" i="6"/>
  <c r="L268" i="6"/>
  <c r="K268" i="6"/>
  <c r="J268" i="6"/>
  <c r="I268" i="6"/>
  <c r="L267" i="6"/>
  <c r="K267" i="6"/>
  <c r="J267" i="6"/>
  <c r="I267" i="6"/>
  <c r="L266" i="6"/>
  <c r="K266" i="6"/>
  <c r="J266" i="6"/>
  <c r="I266" i="6"/>
  <c r="L265" i="6"/>
  <c r="K265" i="6"/>
  <c r="J265" i="6"/>
  <c r="I265" i="6"/>
  <c r="L264" i="6"/>
  <c r="K264" i="6"/>
  <c r="J264" i="6"/>
  <c r="I264" i="6"/>
  <c r="L263" i="6"/>
  <c r="K263" i="6"/>
  <c r="J263" i="6"/>
  <c r="I263" i="6"/>
  <c r="L262" i="6"/>
  <c r="K262" i="6"/>
  <c r="J262" i="6"/>
  <c r="I262" i="6"/>
  <c r="L261" i="6"/>
  <c r="K261" i="6"/>
  <c r="J261" i="6"/>
  <c r="I261" i="6"/>
  <c r="L260" i="6"/>
  <c r="K260" i="6"/>
  <c r="J260" i="6"/>
  <c r="I260" i="6"/>
  <c r="L259" i="6"/>
  <c r="K259" i="6"/>
  <c r="J259" i="6"/>
  <c r="I259" i="6"/>
  <c r="L258" i="6"/>
  <c r="K258" i="6"/>
  <c r="J258" i="6"/>
  <c r="I258" i="6"/>
  <c r="L257" i="6"/>
  <c r="K257" i="6"/>
  <c r="J257" i="6"/>
  <c r="I257" i="6"/>
  <c r="L256" i="6"/>
  <c r="K256" i="6"/>
  <c r="J256" i="6"/>
  <c r="I256" i="6"/>
  <c r="L255" i="6"/>
  <c r="K255" i="6"/>
  <c r="J255" i="6"/>
  <c r="I255" i="6"/>
  <c r="L254" i="6"/>
  <c r="K254" i="6"/>
  <c r="J254" i="6"/>
  <c r="I254" i="6"/>
  <c r="L253" i="6"/>
  <c r="K253" i="6"/>
  <c r="J253" i="6"/>
  <c r="I253" i="6"/>
  <c r="L252" i="6"/>
  <c r="K252" i="6"/>
  <c r="J252" i="6"/>
  <c r="I252" i="6"/>
  <c r="L251" i="6"/>
  <c r="K251" i="6"/>
  <c r="J251" i="6"/>
  <c r="I251" i="6"/>
  <c r="L250" i="6"/>
  <c r="K250" i="6"/>
  <c r="J250" i="6"/>
  <c r="I250" i="6"/>
  <c r="L249" i="6"/>
  <c r="K249" i="6"/>
  <c r="J249" i="6"/>
  <c r="I249" i="6"/>
  <c r="L248" i="6"/>
  <c r="K248" i="6"/>
  <c r="J248" i="6"/>
  <c r="I248" i="6"/>
  <c r="L247" i="6"/>
  <c r="K247" i="6"/>
  <c r="J247" i="6"/>
  <c r="I247" i="6"/>
  <c r="L246" i="6"/>
  <c r="K246" i="6"/>
  <c r="J246" i="6"/>
  <c r="I246" i="6"/>
  <c r="L245" i="6"/>
  <c r="K245" i="6"/>
  <c r="J245" i="6"/>
  <c r="I245" i="6"/>
  <c r="L244" i="6"/>
  <c r="K244" i="6"/>
  <c r="J244" i="6"/>
  <c r="I244" i="6"/>
  <c r="L243" i="6"/>
  <c r="K243" i="6"/>
  <c r="J243" i="6"/>
  <c r="I243" i="6"/>
  <c r="L242" i="6"/>
  <c r="K242" i="6"/>
  <c r="J242" i="6"/>
  <c r="I242" i="6"/>
  <c r="L241" i="6"/>
  <c r="K241" i="6"/>
  <c r="J241" i="6"/>
  <c r="I241" i="6"/>
  <c r="L240" i="6"/>
  <c r="K240" i="6"/>
  <c r="J240" i="6"/>
  <c r="I240" i="6"/>
  <c r="L239" i="6"/>
  <c r="K239" i="6"/>
  <c r="J239" i="6"/>
  <c r="I239" i="6"/>
  <c r="L238" i="6"/>
  <c r="K238" i="6"/>
  <c r="J238" i="6"/>
  <c r="I238" i="6"/>
  <c r="L237" i="6"/>
  <c r="K237" i="6"/>
  <c r="J237" i="6"/>
  <c r="I237" i="6"/>
  <c r="L236" i="6"/>
  <c r="K236" i="6"/>
  <c r="J236" i="6"/>
  <c r="I236" i="6"/>
  <c r="L235" i="6"/>
  <c r="K235" i="6"/>
  <c r="J235" i="6"/>
  <c r="I235" i="6"/>
  <c r="L234" i="6"/>
  <c r="K234" i="6"/>
  <c r="J234" i="6"/>
  <c r="I234" i="6"/>
  <c r="L233" i="6"/>
  <c r="K233" i="6"/>
  <c r="J233" i="6"/>
  <c r="I233" i="6"/>
  <c r="L232" i="6"/>
  <c r="K232" i="6"/>
  <c r="J232" i="6"/>
  <c r="I232" i="6"/>
  <c r="L231" i="6"/>
  <c r="K231" i="6"/>
  <c r="J231" i="6"/>
  <c r="I231" i="6"/>
  <c r="L230" i="6"/>
  <c r="K230" i="6"/>
  <c r="J230" i="6"/>
  <c r="I230" i="6"/>
  <c r="L229" i="6"/>
  <c r="K229" i="6"/>
  <c r="J229" i="6"/>
  <c r="I229" i="6"/>
  <c r="L228" i="6"/>
  <c r="K228" i="6"/>
  <c r="J228" i="6"/>
  <c r="I228" i="6"/>
  <c r="L227" i="6"/>
  <c r="K227" i="6"/>
  <c r="J227" i="6"/>
  <c r="I227" i="6"/>
  <c r="L226" i="6"/>
  <c r="K226" i="6"/>
  <c r="J226" i="6"/>
  <c r="I226" i="6"/>
  <c r="L225" i="6"/>
  <c r="K225" i="6"/>
  <c r="J225" i="6"/>
  <c r="I225" i="6"/>
  <c r="L224" i="6"/>
  <c r="K224" i="6"/>
  <c r="J224" i="6"/>
  <c r="I224" i="6"/>
  <c r="L223" i="6"/>
  <c r="K223" i="6"/>
  <c r="J223" i="6"/>
  <c r="I223" i="6"/>
  <c r="L222" i="6"/>
  <c r="K222" i="6"/>
  <c r="J222" i="6"/>
  <c r="I222" i="6"/>
  <c r="L221" i="6"/>
  <c r="K221" i="6"/>
  <c r="J221" i="6"/>
  <c r="I221" i="6"/>
  <c r="L220" i="6"/>
  <c r="K220" i="6"/>
  <c r="J220" i="6"/>
  <c r="I220" i="6"/>
  <c r="L219" i="6"/>
  <c r="K219" i="6"/>
  <c r="J219" i="6"/>
  <c r="I219" i="6"/>
  <c r="L218" i="6"/>
  <c r="K218" i="6"/>
  <c r="J218" i="6"/>
  <c r="I218" i="6"/>
  <c r="L217" i="6"/>
  <c r="K217" i="6"/>
  <c r="J217" i="6"/>
  <c r="I217" i="6"/>
  <c r="L216" i="6"/>
  <c r="K216" i="6"/>
  <c r="J216" i="6"/>
  <c r="I216" i="6"/>
  <c r="L215" i="6"/>
  <c r="K215" i="6"/>
  <c r="J215" i="6"/>
  <c r="I215" i="6"/>
  <c r="L214" i="6"/>
  <c r="K214" i="6"/>
  <c r="J214" i="6"/>
  <c r="I214" i="6"/>
  <c r="L213" i="6"/>
  <c r="K213" i="6"/>
  <c r="J213" i="6"/>
  <c r="I213" i="6"/>
  <c r="L212" i="6"/>
  <c r="K212" i="6"/>
  <c r="J212" i="6"/>
  <c r="I212" i="6"/>
  <c r="L211" i="6"/>
  <c r="K211" i="6"/>
  <c r="J211" i="6"/>
  <c r="I211" i="6"/>
  <c r="L210" i="6"/>
  <c r="K210" i="6"/>
  <c r="J210" i="6"/>
  <c r="I210" i="6"/>
  <c r="L209" i="6"/>
  <c r="K209" i="6"/>
  <c r="J209" i="6"/>
  <c r="I209" i="6"/>
  <c r="L208" i="6"/>
  <c r="K208" i="6"/>
  <c r="J208" i="6"/>
  <c r="I208" i="6"/>
  <c r="L207" i="6"/>
  <c r="K207" i="6"/>
  <c r="J207" i="6"/>
  <c r="I207" i="6"/>
  <c r="L206" i="6"/>
  <c r="K206" i="6"/>
  <c r="J206" i="6"/>
  <c r="I206" i="6"/>
  <c r="L205" i="6"/>
  <c r="K205" i="6"/>
  <c r="J205" i="6"/>
  <c r="I205" i="6"/>
  <c r="L204" i="6"/>
  <c r="K204" i="6"/>
  <c r="J204" i="6"/>
  <c r="I204" i="6"/>
  <c r="L203" i="6"/>
  <c r="K203" i="6"/>
  <c r="J203" i="6"/>
  <c r="I203" i="6"/>
  <c r="L202" i="6"/>
  <c r="K202" i="6"/>
  <c r="J202" i="6"/>
  <c r="I202" i="6"/>
  <c r="L201" i="6"/>
  <c r="K201" i="6"/>
  <c r="J201" i="6"/>
  <c r="I201" i="6"/>
  <c r="L200" i="6"/>
  <c r="K200" i="6"/>
  <c r="J200" i="6"/>
  <c r="I200" i="6"/>
  <c r="L199" i="6"/>
  <c r="K199" i="6"/>
  <c r="J199" i="6"/>
  <c r="I199" i="6"/>
  <c r="L198" i="6"/>
  <c r="K198" i="6"/>
  <c r="J198" i="6"/>
  <c r="I198" i="6"/>
  <c r="L197" i="6"/>
  <c r="K197" i="6"/>
  <c r="J197" i="6"/>
  <c r="I197" i="6"/>
  <c r="L196" i="6"/>
  <c r="K196" i="6"/>
  <c r="J196" i="6"/>
  <c r="I196" i="6"/>
  <c r="L195" i="6"/>
  <c r="K195" i="6"/>
  <c r="J195" i="6"/>
  <c r="I195" i="6"/>
  <c r="L194" i="6"/>
  <c r="K194" i="6"/>
  <c r="J194" i="6"/>
  <c r="I194" i="6"/>
  <c r="L193" i="6"/>
  <c r="K193" i="6"/>
  <c r="J193" i="6"/>
  <c r="I193" i="6"/>
  <c r="L192" i="6"/>
  <c r="K192" i="6"/>
  <c r="J192" i="6"/>
  <c r="I192" i="6"/>
  <c r="L191" i="6"/>
  <c r="K191" i="6"/>
  <c r="J191" i="6"/>
  <c r="I191" i="6"/>
  <c r="L190" i="6"/>
  <c r="K190" i="6"/>
  <c r="J190" i="6"/>
  <c r="I190" i="6"/>
  <c r="L189" i="6"/>
  <c r="K189" i="6"/>
  <c r="J189" i="6"/>
  <c r="I189" i="6"/>
  <c r="L188" i="6"/>
  <c r="K188" i="6"/>
  <c r="J188" i="6"/>
  <c r="I188" i="6"/>
  <c r="L187" i="6"/>
  <c r="K187" i="6"/>
  <c r="J187" i="6"/>
  <c r="I187" i="6"/>
  <c r="L186" i="6"/>
  <c r="K186" i="6"/>
  <c r="J186" i="6"/>
  <c r="I186" i="6"/>
  <c r="L185" i="6"/>
  <c r="K185" i="6"/>
  <c r="J185" i="6"/>
  <c r="I185" i="6"/>
  <c r="L184" i="6"/>
  <c r="K184" i="6"/>
  <c r="J184" i="6"/>
  <c r="I184" i="6"/>
  <c r="L183" i="6"/>
  <c r="K183" i="6"/>
  <c r="J183" i="6"/>
  <c r="I183" i="6"/>
  <c r="L182" i="6"/>
  <c r="K182" i="6"/>
  <c r="J182" i="6"/>
  <c r="I182" i="6"/>
  <c r="L181" i="6"/>
  <c r="K181" i="6"/>
  <c r="J181" i="6"/>
  <c r="I181" i="6"/>
  <c r="L180" i="6"/>
  <c r="K180" i="6"/>
  <c r="J180" i="6"/>
  <c r="I180" i="6"/>
  <c r="L179" i="6"/>
  <c r="K179" i="6"/>
  <c r="J179" i="6"/>
  <c r="I179" i="6"/>
  <c r="L178" i="6"/>
  <c r="K178" i="6"/>
  <c r="J178" i="6"/>
  <c r="I178" i="6"/>
  <c r="L177" i="6"/>
  <c r="K177" i="6"/>
  <c r="J177" i="6"/>
  <c r="I177" i="6"/>
  <c r="L176" i="6"/>
  <c r="K176" i="6"/>
  <c r="J176" i="6"/>
  <c r="I176" i="6"/>
  <c r="L175" i="6"/>
  <c r="K175" i="6"/>
  <c r="J175" i="6"/>
  <c r="I175" i="6"/>
  <c r="L174" i="6"/>
  <c r="K174" i="6"/>
  <c r="J174" i="6"/>
  <c r="I174" i="6"/>
  <c r="L173" i="6"/>
  <c r="K173" i="6"/>
  <c r="J173" i="6"/>
  <c r="I173" i="6"/>
  <c r="L172" i="6"/>
  <c r="K172" i="6"/>
  <c r="J172" i="6"/>
  <c r="I172" i="6"/>
  <c r="L171" i="6"/>
  <c r="K171" i="6"/>
  <c r="J171" i="6"/>
  <c r="I171" i="6"/>
  <c r="L170" i="6"/>
  <c r="K170" i="6"/>
  <c r="J170" i="6"/>
  <c r="I170" i="6"/>
  <c r="L169" i="6"/>
  <c r="K169" i="6"/>
  <c r="J169" i="6"/>
  <c r="I169" i="6"/>
  <c r="L168" i="6"/>
  <c r="K168" i="6"/>
  <c r="J168" i="6"/>
  <c r="I168" i="6"/>
  <c r="L167" i="6"/>
  <c r="K167" i="6"/>
  <c r="J167" i="6"/>
  <c r="I167" i="6"/>
  <c r="L166" i="6"/>
  <c r="K166" i="6"/>
  <c r="J166" i="6"/>
  <c r="I166" i="6"/>
  <c r="L165" i="6"/>
  <c r="K165" i="6"/>
  <c r="J165" i="6"/>
  <c r="I165" i="6"/>
  <c r="L164" i="6"/>
  <c r="K164" i="6"/>
  <c r="J164" i="6"/>
  <c r="I164" i="6"/>
  <c r="L163" i="6"/>
  <c r="K163" i="6"/>
  <c r="J163" i="6"/>
  <c r="I163" i="6"/>
  <c r="L162" i="6"/>
  <c r="K162" i="6"/>
  <c r="J162" i="6"/>
  <c r="I162" i="6"/>
  <c r="L161" i="6"/>
  <c r="K161" i="6"/>
  <c r="J161" i="6"/>
  <c r="I161" i="6"/>
  <c r="L160" i="6"/>
  <c r="K160" i="6"/>
  <c r="J160" i="6"/>
  <c r="I160" i="6"/>
  <c r="L159" i="6"/>
  <c r="K159" i="6"/>
  <c r="J159" i="6"/>
  <c r="I159" i="6"/>
  <c r="L158" i="6"/>
  <c r="K158" i="6"/>
  <c r="J158" i="6"/>
  <c r="I158" i="6"/>
  <c r="L157" i="6"/>
  <c r="K157" i="6"/>
  <c r="J157" i="6"/>
  <c r="I157" i="6"/>
  <c r="L156" i="6"/>
  <c r="K156" i="6"/>
  <c r="J156" i="6"/>
  <c r="I156" i="6"/>
  <c r="L155" i="6"/>
  <c r="K155" i="6"/>
  <c r="J155" i="6"/>
  <c r="I155" i="6"/>
  <c r="L154" i="6"/>
  <c r="K154" i="6"/>
  <c r="J154" i="6"/>
  <c r="I154" i="6"/>
  <c r="L153" i="6"/>
  <c r="K153" i="6"/>
  <c r="J153" i="6"/>
  <c r="I153" i="6"/>
  <c r="L152" i="6"/>
  <c r="K152" i="6"/>
  <c r="J152" i="6"/>
  <c r="I152" i="6"/>
  <c r="L151" i="6"/>
  <c r="K151" i="6"/>
  <c r="J151" i="6"/>
  <c r="I151" i="6"/>
  <c r="L150" i="6"/>
  <c r="K150" i="6"/>
  <c r="J150" i="6"/>
  <c r="I150" i="6"/>
  <c r="L149" i="6"/>
  <c r="K149" i="6"/>
  <c r="J149" i="6"/>
  <c r="I149" i="6"/>
  <c r="L148" i="6"/>
  <c r="K148" i="6"/>
  <c r="J148" i="6"/>
  <c r="I148" i="6"/>
  <c r="L147" i="6"/>
  <c r="K147" i="6"/>
  <c r="J147" i="6"/>
  <c r="I147" i="6"/>
  <c r="L146" i="6"/>
  <c r="K146" i="6"/>
  <c r="J146" i="6"/>
  <c r="I146" i="6"/>
  <c r="L145" i="6"/>
  <c r="K145" i="6"/>
  <c r="J145" i="6"/>
  <c r="I145" i="6"/>
  <c r="L144" i="6"/>
  <c r="K144" i="6"/>
  <c r="J144" i="6"/>
  <c r="I144" i="6"/>
  <c r="L143" i="6"/>
  <c r="K143" i="6"/>
  <c r="J143" i="6"/>
  <c r="I143" i="6"/>
  <c r="L142" i="6"/>
  <c r="K142" i="6"/>
  <c r="J142" i="6"/>
  <c r="I142" i="6"/>
  <c r="L141" i="6"/>
  <c r="K141" i="6"/>
  <c r="J141" i="6"/>
  <c r="I141" i="6"/>
  <c r="L140" i="6"/>
  <c r="K140" i="6"/>
  <c r="J140" i="6"/>
  <c r="I140" i="6"/>
  <c r="L139" i="6"/>
  <c r="K139" i="6"/>
  <c r="J139" i="6"/>
  <c r="I139" i="6"/>
  <c r="L138" i="6"/>
  <c r="K138" i="6"/>
  <c r="J138" i="6"/>
  <c r="I138" i="6"/>
  <c r="L137" i="6"/>
  <c r="K137" i="6"/>
  <c r="J137" i="6"/>
  <c r="I137" i="6"/>
  <c r="L136" i="6"/>
  <c r="K136" i="6"/>
  <c r="J136" i="6"/>
  <c r="I136" i="6"/>
  <c r="L135" i="6"/>
  <c r="K135" i="6"/>
  <c r="J135" i="6"/>
  <c r="I135" i="6"/>
  <c r="L134" i="6"/>
  <c r="K134" i="6"/>
  <c r="J134" i="6"/>
  <c r="I134" i="6"/>
  <c r="L133" i="6"/>
  <c r="K133" i="6"/>
  <c r="J133" i="6"/>
  <c r="I133" i="6"/>
  <c r="L132" i="6"/>
  <c r="K132" i="6"/>
  <c r="J132" i="6"/>
  <c r="I132" i="6"/>
  <c r="L131" i="6"/>
  <c r="K131" i="6"/>
  <c r="J131" i="6"/>
  <c r="I131" i="6"/>
  <c r="L130" i="6"/>
  <c r="K130" i="6"/>
  <c r="J130" i="6"/>
  <c r="I130" i="6"/>
  <c r="L129" i="6"/>
  <c r="K129" i="6"/>
  <c r="J129" i="6"/>
  <c r="I129" i="6"/>
  <c r="L128" i="6"/>
  <c r="K128" i="6"/>
  <c r="J128" i="6"/>
  <c r="I128" i="6"/>
  <c r="L127" i="6"/>
  <c r="K127" i="6"/>
  <c r="J127" i="6"/>
  <c r="I127" i="6"/>
  <c r="L126" i="6"/>
  <c r="K126" i="6"/>
  <c r="J126" i="6"/>
  <c r="I126" i="6"/>
  <c r="L125" i="6"/>
  <c r="K125" i="6"/>
  <c r="J125" i="6"/>
  <c r="I125" i="6"/>
  <c r="L124" i="6"/>
  <c r="K124" i="6"/>
  <c r="J124" i="6"/>
  <c r="I124" i="6"/>
  <c r="L123" i="6"/>
  <c r="K123" i="6"/>
  <c r="J123" i="6"/>
  <c r="I123" i="6"/>
  <c r="L122" i="6"/>
  <c r="K122" i="6"/>
  <c r="J122" i="6"/>
  <c r="I122" i="6"/>
  <c r="L121" i="6"/>
  <c r="K121" i="6"/>
  <c r="J121" i="6"/>
  <c r="I121" i="6"/>
  <c r="L120" i="6"/>
  <c r="K120" i="6"/>
  <c r="J120" i="6"/>
  <c r="I120" i="6"/>
  <c r="L119" i="6"/>
  <c r="K119" i="6"/>
  <c r="J119" i="6"/>
  <c r="I119" i="6"/>
  <c r="L118" i="6"/>
  <c r="K118" i="6"/>
  <c r="J118" i="6"/>
  <c r="I118" i="6"/>
  <c r="L117" i="6"/>
  <c r="K117" i="6"/>
  <c r="J117" i="6"/>
  <c r="I117" i="6"/>
  <c r="L116" i="6"/>
  <c r="K116" i="6"/>
  <c r="J116" i="6"/>
  <c r="I116" i="6"/>
  <c r="L115" i="6"/>
  <c r="K115" i="6"/>
  <c r="J115" i="6"/>
  <c r="I115" i="6"/>
  <c r="L114" i="6"/>
  <c r="K114" i="6"/>
  <c r="J114" i="6"/>
  <c r="I114" i="6"/>
  <c r="L113" i="6"/>
  <c r="K113" i="6"/>
  <c r="J113" i="6"/>
  <c r="I113" i="6"/>
  <c r="L112" i="6"/>
  <c r="K112" i="6"/>
  <c r="J112" i="6"/>
  <c r="I112" i="6"/>
  <c r="L111" i="6"/>
  <c r="K111" i="6"/>
  <c r="J111" i="6"/>
  <c r="I111" i="6"/>
  <c r="L110" i="6"/>
  <c r="K110" i="6"/>
  <c r="J110" i="6"/>
  <c r="I110" i="6"/>
  <c r="L109" i="6"/>
  <c r="K109" i="6"/>
  <c r="J109" i="6"/>
  <c r="I109" i="6"/>
  <c r="L108" i="6"/>
  <c r="K108" i="6"/>
  <c r="J108" i="6"/>
  <c r="I108" i="6"/>
  <c r="L107" i="6"/>
  <c r="K107" i="6"/>
  <c r="J107" i="6"/>
  <c r="I107" i="6"/>
  <c r="L106" i="6"/>
  <c r="K106" i="6"/>
  <c r="J106" i="6"/>
  <c r="I106" i="6"/>
  <c r="L105" i="6"/>
  <c r="K105" i="6"/>
  <c r="J105" i="6"/>
  <c r="I105" i="6"/>
  <c r="L104" i="6"/>
  <c r="K104" i="6"/>
  <c r="J104" i="6"/>
  <c r="I104" i="6"/>
  <c r="L103" i="6"/>
  <c r="K103" i="6"/>
  <c r="J103" i="6"/>
  <c r="I103" i="6"/>
  <c r="L102" i="6"/>
  <c r="K102" i="6"/>
  <c r="J102" i="6"/>
  <c r="I102" i="6"/>
  <c r="L101" i="6"/>
  <c r="K101" i="6"/>
  <c r="J101" i="6"/>
  <c r="I101" i="6"/>
  <c r="L100" i="6"/>
  <c r="K100" i="6"/>
  <c r="J100" i="6"/>
  <c r="I100" i="6"/>
  <c r="L99" i="6"/>
  <c r="K99" i="6"/>
  <c r="J99" i="6"/>
  <c r="I99" i="6"/>
  <c r="L98" i="6"/>
  <c r="K98" i="6"/>
  <c r="J98" i="6"/>
  <c r="I98" i="6"/>
  <c r="L97" i="6"/>
  <c r="K97" i="6"/>
  <c r="J97" i="6"/>
  <c r="I97" i="6"/>
  <c r="L96" i="6"/>
  <c r="K96" i="6"/>
  <c r="J96" i="6"/>
  <c r="I96" i="6"/>
  <c r="L95" i="6"/>
  <c r="K95" i="6"/>
  <c r="J95" i="6"/>
  <c r="I95" i="6"/>
  <c r="L94" i="6"/>
  <c r="K94" i="6"/>
  <c r="J94" i="6"/>
  <c r="I94" i="6"/>
  <c r="L93" i="6"/>
  <c r="K93" i="6"/>
  <c r="J93" i="6"/>
  <c r="I93" i="6"/>
  <c r="L92" i="6"/>
  <c r="K92" i="6"/>
  <c r="J92" i="6"/>
  <c r="I92" i="6"/>
  <c r="L91" i="6"/>
  <c r="K91" i="6"/>
  <c r="J91" i="6"/>
  <c r="I91" i="6"/>
  <c r="L90" i="6"/>
  <c r="K90" i="6"/>
  <c r="J90" i="6"/>
  <c r="I90" i="6"/>
  <c r="L89" i="6"/>
  <c r="K89" i="6"/>
  <c r="J89" i="6"/>
  <c r="I89" i="6"/>
  <c r="L88" i="6"/>
  <c r="K88" i="6"/>
  <c r="J88" i="6"/>
  <c r="I88" i="6"/>
  <c r="L87" i="6"/>
  <c r="K87" i="6"/>
  <c r="J87" i="6"/>
  <c r="I87" i="6"/>
  <c r="L86" i="6"/>
  <c r="K86" i="6"/>
  <c r="J86" i="6"/>
  <c r="I86" i="6"/>
  <c r="L85" i="6"/>
  <c r="K85" i="6"/>
  <c r="J85" i="6"/>
  <c r="I85" i="6"/>
  <c r="L84" i="6"/>
  <c r="K84" i="6"/>
  <c r="J84" i="6"/>
  <c r="I84" i="6"/>
  <c r="L83" i="6"/>
  <c r="K83" i="6"/>
  <c r="J83" i="6"/>
  <c r="I83" i="6"/>
  <c r="L82" i="6"/>
  <c r="K82" i="6"/>
  <c r="J82" i="6"/>
  <c r="I82" i="6"/>
  <c r="L81" i="6"/>
  <c r="K81" i="6"/>
  <c r="J81" i="6"/>
  <c r="I81" i="6"/>
  <c r="L80" i="6"/>
  <c r="K80" i="6"/>
  <c r="J80" i="6"/>
  <c r="I80" i="6"/>
  <c r="L79" i="6"/>
  <c r="K79" i="6"/>
  <c r="J79" i="6"/>
  <c r="I79" i="6"/>
  <c r="L78" i="6"/>
  <c r="K78" i="6"/>
  <c r="J78" i="6"/>
  <c r="I78" i="6"/>
  <c r="L77" i="6"/>
  <c r="K77" i="6"/>
  <c r="J77" i="6"/>
  <c r="I77" i="6"/>
  <c r="L76" i="6"/>
  <c r="K76" i="6"/>
  <c r="J76" i="6"/>
  <c r="I76" i="6"/>
  <c r="L75" i="6"/>
  <c r="K75" i="6"/>
  <c r="J75" i="6"/>
  <c r="I75" i="6"/>
  <c r="L74" i="6"/>
  <c r="K74" i="6"/>
  <c r="J74" i="6"/>
  <c r="I74" i="6"/>
  <c r="L73" i="6"/>
  <c r="K73" i="6"/>
  <c r="J73" i="6"/>
  <c r="I73" i="6"/>
  <c r="L72" i="6"/>
  <c r="K72" i="6"/>
  <c r="J72" i="6"/>
  <c r="I72" i="6"/>
  <c r="L71" i="6"/>
  <c r="K71" i="6"/>
  <c r="J71" i="6"/>
  <c r="I71" i="6"/>
  <c r="L70" i="6"/>
  <c r="K70" i="6"/>
  <c r="J70" i="6"/>
  <c r="I70" i="6"/>
  <c r="L69" i="6"/>
  <c r="K69" i="6"/>
  <c r="J69" i="6"/>
  <c r="I69" i="6"/>
  <c r="L68" i="6"/>
  <c r="K68" i="6"/>
  <c r="J68" i="6"/>
  <c r="I68" i="6"/>
  <c r="L67" i="6"/>
  <c r="K67" i="6"/>
  <c r="J67" i="6"/>
  <c r="I67" i="6"/>
  <c r="L66" i="6"/>
  <c r="K66" i="6"/>
  <c r="J66" i="6"/>
  <c r="I66" i="6"/>
  <c r="L65" i="6"/>
  <c r="K65" i="6"/>
  <c r="J65" i="6"/>
  <c r="I65" i="6"/>
  <c r="L64" i="6"/>
  <c r="K64" i="6"/>
  <c r="J64" i="6"/>
  <c r="I64" i="6"/>
  <c r="L63" i="6"/>
  <c r="K63" i="6"/>
  <c r="J63" i="6"/>
  <c r="I63" i="6"/>
  <c r="L62" i="6"/>
  <c r="K62" i="6"/>
  <c r="J62" i="6"/>
  <c r="I62" i="6"/>
  <c r="L61" i="6"/>
  <c r="K61" i="6"/>
  <c r="J61" i="6"/>
  <c r="I61" i="6"/>
  <c r="L60" i="6"/>
  <c r="K60" i="6"/>
  <c r="J60" i="6"/>
  <c r="I60" i="6"/>
  <c r="L59" i="6"/>
  <c r="K59" i="6"/>
  <c r="J59" i="6"/>
  <c r="I59" i="6"/>
  <c r="L58" i="6"/>
  <c r="K58" i="6"/>
  <c r="J58" i="6"/>
  <c r="I58" i="6"/>
  <c r="L57" i="6"/>
  <c r="K57" i="6"/>
  <c r="J57" i="6"/>
  <c r="I57" i="6"/>
  <c r="L56" i="6"/>
  <c r="K56" i="6"/>
  <c r="J56" i="6"/>
  <c r="I56" i="6"/>
  <c r="L55" i="6"/>
  <c r="K55" i="6"/>
  <c r="J55" i="6"/>
  <c r="I55" i="6"/>
  <c r="L54" i="6"/>
  <c r="K54" i="6"/>
  <c r="J54" i="6"/>
  <c r="I54" i="6"/>
  <c r="L53" i="6"/>
  <c r="K53" i="6"/>
  <c r="J53" i="6"/>
  <c r="I53" i="6"/>
  <c r="L52" i="6"/>
  <c r="K52" i="6"/>
  <c r="J52" i="6"/>
  <c r="I52" i="6"/>
  <c r="L51" i="6"/>
  <c r="K51" i="6"/>
  <c r="J51" i="6"/>
  <c r="I51" i="6"/>
  <c r="L50" i="6"/>
  <c r="K50" i="6"/>
  <c r="J50" i="6"/>
  <c r="I50" i="6"/>
  <c r="L49" i="6"/>
  <c r="K49" i="6"/>
  <c r="J49" i="6"/>
  <c r="I49" i="6"/>
  <c r="L48" i="6"/>
  <c r="K48" i="6"/>
  <c r="J48" i="6"/>
  <c r="I48" i="6"/>
  <c r="L47" i="6"/>
  <c r="K47" i="6"/>
  <c r="J47" i="6"/>
  <c r="I47" i="6"/>
  <c r="L46" i="6"/>
  <c r="K46" i="6"/>
  <c r="J46" i="6"/>
  <c r="I46" i="6"/>
  <c r="L45" i="6"/>
  <c r="K45" i="6"/>
  <c r="J45" i="6"/>
  <c r="I45" i="6"/>
  <c r="L44" i="6"/>
  <c r="K44" i="6"/>
  <c r="J44" i="6"/>
  <c r="I44" i="6"/>
  <c r="L43" i="6"/>
  <c r="K43" i="6"/>
  <c r="J43" i="6"/>
  <c r="I43" i="6"/>
  <c r="L42" i="6"/>
  <c r="K42" i="6"/>
  <c r="J42" i="6"/>
  <c r="I42" i="6"/>
  <c r="L41" i="6"/>
  <c r="K41" i="6"/>
  <c r="J41" i="6"/>
  <c r="I41" i="6"/>
  <c r="L40" i="6"/>
  <c r="K40" i="6"/>
  <c r="J40" i="6"/>
  <c r="I40" i="6"/>
  <c r="L39" i="6"/>
  <c r="K39" i="6"/>
  <c r="J39" i="6"/>
  <c r="I39" i="6"/>
  <c r="L38" i="6"/>
  <c r="K38" i="6"/>
  <c r="J38" i="6"/>
  <c r="I38" i="6"/>
  <c r="L37" i="6"/>
  <c r="K37" i="6"/>
  <c r="J37" i="6"/>
  <c r="I37" i="6"/>
  <c r="L36" i="6"/>
  <c r="K36" i="6"/>
  <c r="J36" i="6"/>
  <c r="I36" i="6"/>
  <c r="L35" i="6"/>
  <c r="K35" i="6"/>
  <c r="J35" i="6"/>
  <c r="I35" i="6"/>
  <c r="L34" i="6"/>
  <c r="K34" i="6"/>
  <c r="J34" i="6"/>
  <c r="I34" i="6"/>
  <c r="L33" i="6"/>
  <c r="K33" i="6"/>
  <c r="J33" i="6"/>
  <c r="I33" i="6"/>
  <c r="L32" i="6"/>
  <c r="K32" i="6"/>
  <c r="J32" i="6"/>
  <c r="I32" i="6"/>
  <c r="L31" i="6"/>
  <c r="K31" i="6"/>
  <c r="J31" i="6"/>
  <c r="I31" i="6"/>
  <c r="L30" i="6"/>
  <c r="K30" i="6"/>
  <c r="J30" i="6"/>
  <c r="I30" i="6"/>
  <c r="L29" i="6"/>
  <c r="K29" i="6"/>
  <c r="J29" i="6"/>
  <c r="I29" i="6"/>
  <c r="L28" i="6"/>
  <c r="K28" i="6"/>
  <c r="J28" i="6"/>
  <c r="I28" i="6"/>
  <c r="L27" i="6"/>
  <c r="K27" i="6"/>
  <c r="J27" i="6"/>
  <c r="I27" i="6"/>
  <c r="L26" i="6"/>
  <c r="K26" i="6"/>
  <c r="J26" i="6"/>
  <c r="I26" i="6"/>
  <c r="L25" i="6"/>
  <c r="K25" i="6"/>
  <c r="J25" i="6"/>
  <c r="I25" i="6"/>
  <c r="L24" i="6"/>
  <c r="K24" i="6"/>
  <c r="J24" i="6"/>
  <c r="I24" i="6"/>
  <c r="L23" i="6"/>
  <c r="K23" i="6"/>
  <c r="J23" i="6"/>
  <c r="I23" i="6"/>
  <c r="L22" i="6"/>
  <c r="K22" i="6"/>
  <c r="J22" i="6"/>
  <c r="I22" i="6"/>
  <c r="L21" i="6"/>
  <c r="K21" i="6"/>
  <c r="J21" i="6"/>
  <c r="I21" i="6"/>
  <c r="L20" i="6"/>
  <c r="K20" i="6"/>
  <c r="J20" i="6"/>
  <c r="I20" i="6"/>
  <c r="L19" i="6"/>
  <c r="K19" i="6"/>
  <c r="J19" i="6"/>
  <c r="I19" i="6"/>
  <c r="L18" i="6"/>
  <c r="K18" i="6"/>
  <c r="J18" i="6"/>
  <c r="I18" i="6"/>
  <c r="L17" i="6"/>
  <c r="K17" i="6"/>
  <c r="J17" i="6"/>
  <c r="I17" i="6"/>
  <c r="L16" i="6"/>
  <c r="K16" i="6"/>
  <c r="J16" i="6"/>
  <c r="I16" i="6"/>
  <c r="L15" i="6"/>
  <c r="K15" i="6"/>
  <c r="J15" i="6"/>
  <c r="I15" i="6"/>
  <c r="L14" i="6"/>
  <c r="K14" i="6"/>
  <c r="J14" i="6"/>
  <c r="I14" i="6"/>
  <c r="L13" i="6"/>
  <c r="K13" i="6"/>
  <c r="J13" i="6"/>
  <c r="I13" i="6"/>
  <c r="L12" i="6"/>
  <c r="K12" i="6"/>
  <c r="J12" i="6"/>
  <c r="I12" i="6"/>
  <c r="L11" i="6"/>
  <c r="K11" i="6"/>
  <c r="J11" i="6"/>
  <c r="L10" i="6"/>
  <c r="K10" i="6"/>
  <c r="J10" i="6"/>
  <c r="L9" i="6"/>
  <c r="K9" i="6"/>
  <c r="J9" i="6"/>
  <c r="G608" i="4"/>
  <c r="I608" i="4" s="1"/>
  <c r="J608" i="4" s="1"/>
  <c r="F608" i="4"/>
  <c r="G607" i="4"/>
  <c r="I607" i="4" s="1"/>
  <c r="J607" i="4" s="1"/>
  <c r="F607" i="4"/>
  <c r="G606" i="4"/>
  <c r="I606" i="4" s="1"/>
  <c r="J606" i="4" s="1"/>
  <c r="F606" i="4"/>
  <c r="G605" i="4"/>
  <c r="I605" i="4" s="1"/>
  <c r="J605" i="4" s="1"/>
  <c r="F605" i="4"/>
  <c r="G604" i="4"/>
  <c r="I604" i="4" s="1"/>
  <c r="J604" i="4" s="1"/>
  <c r="F604" i="4"/>
  <c r="G603" i="4"/>
  <c r="I603" i="4" s="1"/>
  <c r="J603" i="4" s="1"/>
  <c r="F603" i="4"/>
  <c r="G602" i="4"/>
  <c r="I602" i="4" s="1"/>
  <c r="J602" i="4" s="1"/>
  <c r="F602" i="4"/>
  <c r="G601" i="4"/>
  <c r="I601" i="4" s="1"/>
  <c r="J601" i="4" s="1"/>
  <c r="F601" i="4"/>
  <c r="G600" i="4"/>
  <c r="I600" i="4" s="1"/>
  <c r="J600" i="4" s="1"/>
  <c r="F600" i="4"/>
  <c r="G599" i="4"/>
  <c r="I599" i="4" s="1"/>
  <c r="J599" i="4" s="1"/>
  <c r="F599" i="4"/>
  <c r="G598" i="4"/>
  <c r="I598" i="4" s="1"/>
  <c r="J598" i="4" s="1"/>
  <c r="F598" i="4"/>
  <c r="G597" i="4"/>
  <c r="I597" i="4" s="1"/>
  <c r="J597" i="4" s="1"/>
  <c r="F597" i="4"/>
  <c r="G596" i="4"/>
  <c r="I596" i="4" s="1"/>
  <c r="J596" i="4" s="1"/>
  <c r="F596" i="4"/>
  <c r="G595" i="4"/>
  <c r="I595" i="4" s="1"/>
  <c r="J595" i="4" s="1"/>
  <c r="F595" i="4"/>
  <c r="G594" i="4"/>
  <c r="I594" i="4" s="1"/>
  <c r="J594" i="4" s="1"/>
  <c r="F594" i="4"/>
  <c r="G593" i="4"/>
  <c r="I593" i="4" s="1"/>
  <c r="J593" i="4" s="1"/>
  <c r="F593" i="4"/>
  <c r="G592" i="4"/>
  <c r="I592" i="4" s="1"/>
  <c r="J592" i="4" s="1"/>
  <c r="F592" i="4"/>
  <c r="G591" i="4"/>
  <c r="I591" i="4" s="1"/>
  <c r="J591" i="4" s="1"/>
  <c r="F591" i="4"/>
  <c r="G590" i="4"/>
  <c r="I590" i="4" s="1"/>
  <c r="J590" i="4" s="1"/>
  <c r="F590" i="4"/>
  <c r="G589" i="4"/>
  <c r="I589" i="4" s="1"/>
  <c r="J589" i="4" s="1"/>
  <c r="F589" i="4"/>
  <c r="G588" i="4"/>
  <c r="I588" i="4" s="1"/>
  <c r="J588" i="4" s="1"/>
  <c r="F588" i="4"/>
  <c r="G587" i="4"/>
  <c r="I587" i="4" s="1"/>
  <c r="J587" i="4" s="1"/>
  <c r="F587" i="4"/>
  <c r="G586" i="4"/>
  <c r="I586" i="4" s="1"/>
  <c r="J586" i="4" s="1"/>
  <c r="F586" i="4"/>
  <c r="G585" i="4"/>
  <c r="I585" i="4" s="1"/>
  <c r="J585" i="4" s="1"/>
  <c r="F585" i="4"/>
  <c r="G584" i="4"/>
  <c r="I584" i="4" s="1"/>
  <c r="J584" i="4" s="1"/>
  <c r="F584" i="4"/>
  <c r="G583" i="4"/>
  <c r="I583" i="4" s="1"/>
  <c r="J583" i="4" s="1"/>
  <c r="F583" i="4"/>
  <c r="G582" i="4"/>
  <c r="I582" i="4" s="1"/>
  <c r="J582" i="4" s="1"/>
  <c r="F582" i="4"/>
  <c r="G581" i="4"/>
  <c r="I581" i="4" s="1"/>
  <c r="J581" i="4" s="1"/>
  <c r="F581" i="4"/>
  <c r="G580" i="4"/>
  <c r="I580" i="4" s="1"/>
  <c r="J580" i="4" s="1"/>
  <c r="F580" i="4"/>
  <c r="G579" i="4"/>
  <c r="I579" i="4" s="1"/>
  <c r="J579" i="4" s="1"/>
  <c r="F579" i="4"/>
  <c r="G578" i="4"/>
  <c r="I578" i="4" s="1"/>
  <c r="J578" i="4" s="1"/>
  <c r="F578" i="4"/>
  <c r="G577" i="4"/>
  <c r="I577" i="4" s="1"/>
  <c r="J577" i="4" s="1"/>
  <c r="F577" i="4"/>
  <c r="G576" i="4"/>
  <c r="I576" i="4" s="1"/>
  <c r="J576" i="4" s="1"/>
  <c r="F576" i="4"/>
  <c r="G575" i="4"/>
  <c r="I575" i="4" s="1"/>
  <c r="J575" i="4" s="1"/>
  <c r="F575" i="4"/>
  <c r="G574" i="4"/>
  <c r="I574" i="4" s="1"/>
  <c r="J574" i="4" s="1"/>
  <c r="F574" i="4"/>
  <c r="G573" i="4"/>
  <c r="I573" i="4" s="1"/>
  <c r="J573" i="4" s="1"/>
  <c r="F573" i="4"/>
  <c r="G572" i="4"/>
  <c r="I572" i="4" s="1"/>
  <c r="J572" i="4" s="1"/>
  <c r="F572" i="4"/>
  <c r="G571" i="4"/>
  <c r="I571" i="4" s="1"/>
  <c r="J571" i="4" s="1"/>
  <c r="F571" i="4"/>
  <c r="G570" i="4"/>
  <c r="I570" i="4" s="1"/>
  <c r="J570" i="4" s="1"/>
  <c r="F570" i="4"/>
  <c r="G569" i="4"/>
  <c r="I569" i="4" s="1"/>
  <c r="J569" i="4" s="1"/>
  <c r="F569" i="4"/>
  <c r="G568" i="4"/>
  <c r="I568" i="4" s="1"/>
  <c r="J568" i="4" s="1"/>
  <c r="F568" i="4"/>
  <c r="G567" i="4"/>
  <c r="I567" i="4" s="1"/>
  <c r="J567" i="4" s="1"/>
  <c r="F567" i="4"/>
  <c r="G566" i="4"/>
  <c r="I566" i="4" s="1"/>
  <c r="J566" i="4" s="1"/>
  <c r="F566" i="4"/>
  <c r="G565" i="4"/>
  <c r="I565" i="4" s="1"/>
  <c r="J565" i="4" s="1"/>
  <c r="F565" i="4"/>
  <c r="G564" i="4"/>
  <c r="I564" i="4" s="1"/>
  <c r="J564" i="4" s="1"/>
  <c r="F564" i="4"/>
  <c r="G563" i="4"/>
  <c r="I563" i="4" s="1"/>
  <c r="J563" i="4" s="1"/>
  <c r="F563" i="4"/>
  <c r="G562" i="4"/>
  <c r="I562" i="4" s="1"/>
  <c r="J562" i="4" s="1"/>
  <c r="F562" i="4"/>
  <c r="G561" i="4"/>
  <c r="I561" i="4" s="1"/>
  <c r="J561" i="4" s="1"/>
  <c r="F561" i="4"/>
  <c r="G560" i="4"/>
  <c r="I560" i="4" s="1"/>
  <c r="J560" i="4" s="1"/>
  <c r="F560" i="4"/>
  <c r="G559" i="4"/>
  <c r="I559" i="4" s="1"/>
  <c r="J559" i="4" s="1"/>
  <c r="F559" i="4"/>
  <c r="G558" i="4"/>
  <c r="I558" i="4" s="1"/>
  <c r="J558" i="4" s="1"/>
  <c r="F558" i="4"/>
  <c r="G557" i="4"/>
  <c r="I557" i="4" s="1"/>
  <c r="J557" i="4" s="1"/>
  <c r="F557" i="4"/>
  <c r="G556" i="4"/>
  <c r="I556" i="4" s="1"/>
  <c r="J556" i="4" s="1"/>
  <c r="F556" i="4"/>
  <c r="G555" i="4"/>
  <c r="I555" i="4" s="1"/>
  <c r="J555" i="4" s="1"/>
  <c r="F555" i="4"/>
  <c r="G554" i="4"/>
  <c r="I554" i="4" s="1"/>
  <c r="J554" i="4" s="1"/>
  <c r="F554" i="4"/>
  <c r="G553" i="4"/>
  <c r="I553" i="4" s="1"/>
  <c r="J553" i="4" s="1"/>
  <c r="F553" i="4"/>
  <c r="G552" i="4"/>
  <c r="I552" i="4" s="1"/>
  <c r="J552" i="4" s="1"/>
  <c r="F552" i="4"/>
  <c r="G551" i="4"/>
  <c r="I551" i="4" s="1"/>
  <c r="J551" i="4" s="1"/>
  <c r="F551" i="4"/>
  <c r="G550" i="4"/>
  <c r="I550" i="4" s="1"/>
  <c r="J550" i="4" s="1"/>
  <c r="F550" i="4"/>
  <c r="G549" i="4"/>
  <c r="I549" i="4" s="1"/>
  <c r="J549" i="4" s="1"/>
  <c r="F549" i="4"/>
  <c r="G548" i="4"/>
  <c r="I548" i="4" s="1"/>
  <c r="J548" i="4" s="1"/>
  <c r="F548" i="4"/>
  <c r="G547" i="4"/>
  <c r="I547" i="4" s="1"/>
  <c r="J547" i="4" s="1"/>
  <c r="F547" i="4"/>
  <c r="G546" i="4"/>
  <c r="I546" i="4" s="1"/>
  <c r="J546" i="4" s="1"/>
  <c r="F546" i="4"/>
  <c r="G545" i="4"/>
  <c r="I545" i="4" s="1"/>
  <c r="J545" i="4" s="1"/>
  <c r="F545" i="4"/>
  <c r="G544" i="4"/>
  <c r="I544" i="4" s="1"/>
  <c r="J544" i="4" s="1"/>
  <c r="F544" i="4"/>
  <c r="G543" i="4"/>
  <c r="I543" i="4" s="1"/>
  <c r="J543" i="4" s="1"/>
  <c r="F543" i="4"/>
  <c r="G542" i="4"/>
  <c r="I542" i="4" s="1"/>
  <c r="J542" i="4" s="1"/>
  <c r="F542" i="4"/>
  <c r="G541" i="4"/>
  <c r="I541" i="4" s="1"/>
  <c r="J541" i="4" s="1"/>
  <c r="F541" i="4"/>
  <c r="G540" i="4"/>
  <c r="I540" i="4" s="1"/>
  <c r="J540" i="4" s="1"/>
  <c r="F540" i="4"/>
  <c r="G539" i="4"/>
  <c r="I539" i="4" s="1"/>
  <c r="J539" i="4" s="1"/>
  <c r="F539" i="4"/>
  <c r="G538" i="4"/>
  <c r="I538" i="4" s="1"/>
  <c r="J538" i="4" s="1"/>
  <c r="F538" i="4"/>
  <c r="G537" i="4"/>
  <c r="I537" i="4" s="1"/>
  <c r="J537" i="4" s="1"/>
  <c r="F537" i="4"/>
  <c r="G536" i="4"/>
  <c r="I536" i="4" s="1"/>
  <c r="J536" i="4" s="1"/>
  <c r="F536" i="4"/>
  <c r="G535" i="4"/>
  <c r="I535" i="4" s="1"/>
  <c r="J535" i="4" s="1"/>
  <c r="F535" i="4"/>
  <c r="G534" i="4"/>
  <c r="I534" i="4" s="1"/>
  <c r="J534" i="4" s="1"/>
  <c r="F534" i="4"/>
  <c r="G533" i="4"/>
  <c r="I533" i="4" s="1"/>
  <c r="J533" i="4" s="1"/>
  <c r="F533" i="4"/>
  <c r="G532" i="4"/>
  <c r="I532" i="4" s="1"/>
  <c r="J532" i="4" s="1"/>
  <c r="F532" i="4"/>
  <c r="G531" i="4"/>
  <c r="I531" i="4" s="1"/>
  <c r="J531" i="4" s="1"/>
  <c r="F531" i="4"/>
  <c r="G530" i="4"/>
  <c r="I530" i="4" s="1"/>
  <c r="J530" i="4" s="1"/>
  <c r="F530" i="4"/>
  <c r="G529" i="4"/>
  <c r="I529" i="4" s="1"/>
  <c r="J529" i="4" s="1"/>
  <c r="F529" i="4"/>
  <c r="G528" i="4"/>
  <c r="I528" i="4" s="1"/>
  <c r="J528" i="4" s="1"/>
  <c r="F528" i="4"/>
  <c r="G527" i="4"/>
  <c r="I527" i="4" s="1"/>
  <c r="J527" i="4" s="1"/>
  <c r="F527" i="4"/>
  <c r="G526" i="4"/>
  <c r="I526" i="4" s="1"/>
  <c r="J526" i="4" s="1"/>
  <c r="F526" i="4"/>
  <c r="G525" i="4"/>
  <c r="I525" i="4" s="1"/>
  <c r="J525" i="4" s="1"/>
  <c r="F525" i="4"/>
  <c r="G524" i="4"/>
  <c r="I524" i="4" s="1"/>
  <c r="J524" i="4" s="1"/>
  <c r="F524" i="4"/>
  <c r="G523" i="4"/>
  <c r="I523" i="4" s="1"/>
  <c r="J523" i="4" s="1"/>
  <c r="F523" i="4"/>
  <c r="G522" i="4"/>
  <c r="I522" i="4" s="1"/>
  <c r="J522" i="4" s="1"/>
  <c r="F522" i="4"/>
  <c r="G521" i="4"/>
  <c r="I521" i="4" s="1"/>
  <c r="J521" i="4" s="1"/>
  <c r="F521" i="4"/>
  <c r="I520" i="4"/>
  <c r="J520" i="4" s="1"/>
  <c r="G520" i="4"/>
  <c r="F520" i="4"/>
  <c r="G519" i="4"/>
  <c r="I519" i="4" s="1"/>
  <c r="J519" i="4" s="1"/>
  <c r="F519" i="4"/>
  <c r="G518" i="4"/>
  <c r="I518" i="4" s="1"/>
  <c r="J518" i="4" s="1"/>
  <c r="F518" i="4"/>
  <c r="G517" i="4"/>
  <c r="I517" i="4" s="1"/>
  <c r="J517" i="4" s="1"/>
  <c r="F517" i="4"/>
  <c r="G516" i="4"/>
  <c r="I516" i="4" s="1"/>
  <c r="J516" i="4" s="1"/>
  <c r="F516" i="4"/>
  <c r="G515" i="4"/>
  <c r="I515" i="4" s="1"/>
  <c r="J515" i="4" s="1"/>
  <c r="F515" i="4"/>
  <c r="G514" i="4"/>
  <c r="I514" i="4" s="1"/>
  <c r="J514" i="4" s="1"/>
  <c r="F514" i="4"/>
  <c r="G513" i="4"/>
  <c r="I513" i="4" s="1"/>
  <c r="J513" i="4" s="1"/>
  <c r="F513" i="4"/>
  <c r="G512" i="4"/>
  <c r="I512" i="4" s="1"/>
  <c r="J512" i="4" s="1"/>
  <c r="F512" i="4"/>
  <c r="G511" i="4"/>
  <c r="I511" i="4" s="1"/>
  <c r="J511" i="4" s="1"/>
  <c r="F511" i="4"/>
  <c r="G510" i="4"/>
  <c r="I510" i="4" s="1"/>
  <c r="J510" i="4" s="1"/>
  <c r="F510" i="4"/>
  <c r="G509" i="4"/>
  <c r="I509" i="4" s="1"/>
  <c r="J509" i="4" s="1"/>
  <c r="F509" i="4"/>
  <c r="G508" i="4"/>
  <c r="I508" i="4" s="1"/>
  <c r="J508" i="4" s="1"/>
  <c r="F508" i="4"/>
  <c r="G507" i="4"/>
  <c r="I507" i="4" s="1"/>
  <c r="J507" i="4" s="1"/>
  <c r="F507" i="4"/>
  <c r="G506" i="4"/>
  <c r="I506" i="4" s="1"/>
  <c r="J506" i="4" s="1"/>
  <c r="F506" i="4"/>
  <c r="G505" i="4"/>
  <c r="I505" i="4" s="1"/>
  <c r="J505" i="4" s="1"/>
  <c r="F505" i="4"/>
  <c r="G504" i="4"/>
  <c r="I504" i="4" s="1"/>
  <c r="J504" i="4" s="1"/>
  <c r="F504" i="4"/>
  <c r="G503" i="4"/>
  <c r="I503" i="4" s="1"/>
  <c r="J503" i="4" s="1"/>
  <c r="F503" i="4"/>
  <c r="G502" i="4"/>
  <c r="I502" i="4" s="1"/>
  <c r="J502" i="4" s="1"/>
  <c r="F502" i="4"/>
  <c r="G501" i="4"/>
  <c r="I501" i="4" s="1"/>
  <c r="J501" i="4" s="1"/>
  <c r="F501" i="4"/>
  <c r="G500" i="4"/>
  <c r="I500" i="4" s="1"/>
  <c r="J500" i="4" s="1"/>
  <c r="F500" i="4"/>
  <c r="G499" i="4"/>
  <c r="I499" i="4" s="1"/>
  <c r="J499" i="4" s="1"/>
  <c r="F499" i="4"/>
  <c r="G498" i="4"/>
  <c r="I498" i="4" s="1"/>
  <c r="J498" i="4" s="1"/>
  <c r="F498" i="4"/>
  <c r="G497" i="4"/>
  <c r="I497" i="4" s="1"/>
  <c r="J497" i="4" s="1"/>
  <c r="F497" i="4"/>
  <c r="G496" i="4"/>
  <c r="I496" i="4" s="1"/>
  <c r="J496" i="4" s="1"/>
  <c r="F496" i="4"/>
  <c r="G495" i="4"/>
  <c r="I495" i="4" s="1"/>
  <c r="J495" i="4" s="1"/>
  <c r="F495" i="4"/>
  <c r="G494" i="4"/>
  <c r="I494" i="4" s="1"/>
  <c r="J494" i="4" s="1"/>
  <c r="F494" i="4"/>
  <c r="G493" i="4"/>
  <c r="I493" i="4" s="1"/>
  <c r="J493" i="4" s="1"/>
  <c r="F493" i="4"/>
  <c r="G492" i="4"/>
  <c r="I492" i="4" s="1"/>
  <c r="J492" i="4" s="1"/>
  <c r="F492" i="4"/>
  <c r="G491" i="4"/>
  <c r="I491" i="4" s="1"/>
  <c r="J491" i="4" s="1"/>
  <c r="F491" i="4"/>
  <c r="G490" i="4"/>
  <c r="I490" i="4" s="1"/>
  <c r="J490" i="4" s="1"/>
  <c r="F490" i="4"/>
  <c r="G489" i="4"/>
  <c r="I489" i="4" s="1"/>
  <c r="J489" i="4" s="1"/>
  <c r="F489" i="4"/>
  <c r="G488" i="4"/>
  <c r="I488" i="4" s="1"/>
  <c r="J488" i="4" s="1"/>
  <c r="F488" i="4"/>
  <c r="G487" i="4"/>
  <c r="I487" i="4" s="1"/>
  <c r="J487" i="4" s="1"/>
  <c r="F487" i="4"/>
  <c r="G486" i="4"/>
  <c r="I486" i="4" s="1"/>
  <c r="J486" i="4" s="1"/>
  <c r="F486" i="4"/>
  <c r="G485" i="4"/>
  <c r="I485" i="4" s="1"/>
  <c r="J485" i="4" s="1"/>
  <c r="F485" i="4"/>
  <c r="G484" i="4"/>
  <c r="I484" i="4" s="1"/>
  <c r="J484" i="4" s="1"/>
  <c r="F484" i="4"/>
  <c r="G483" i="4"/>
  <c r="I483" i="4" s="1"/>
  <c r="J483" i="4" s="1"/>
  <c r="F483" i="4"/>
  <c r="G482" i="4"/>
  <c r="I482" i="4" s="1"/>
  <c r="J482" i="4" s="1"/>
  <c r="F482" i="4"/>
  <c r="G481" i="4"/>
  <c r="I481" i="4" s="1"/>
  <c r="J481" i="4" s="1"/>
  <c r="F481" i="4"/>
  <c r="G480" i="4"/>
  <c r="I480" i="4" s="1"/>
  <c r="J480" i="4" s="1"/>
  <c r="F480" i="4"/>
  <c r="G479" i="4"/>
  <c r="I479" i="4" s="1"/>
  <c r="J479" i="4" s="1"/>
  <c r="F479" i="4"/>
  <c r="G478" i="4"/>
  <c r="I478" i="4" s="1"/>
  <c r="J478" i="4" s="1"/>
  <c r="F478" i="4"/>
  <c r="G477" i="4"/>
  <c r="I477" i="4" s="1"/>
  <c r="J477" i="4" s="1"/>
  <c r="F477" i="4"/>
  <c r="G476" i="4"/>
  <c r="I476" i="4" s="1"/>
  <c r="J476" i="4" s="1"/>
  <c r="F476" i="4"/>
  <c r="G475" i="4"/>
  <c r="I475" i="4" s="1"/>
  <c r="J475" i="4" s="1"/>
  <c r="F475" i="4"/>
  <c r="G474" i="4"/>
  <c r="I474" i="4" s="1"/>
  <c r="J474" i="4" s="1"/>
  <c r="F474" i="4"/>
  <c r="G473" i="4"/>
  <c r="I473" i="4" s="1"/>
  <c r="J473" i="4" s="1"/>
  <c r="F473" i="4"/>
  <c r="G472" i="4"/>
  <c r="I472" i="4" s="1"/>
  <c r="J472" i="4" s="1"/>
  <c r="F472" i="4"/>
  <c r="G471" i="4"/>
  <c r="I471" i="4" s="1"/>
  <c r="J471" i="4" s="1"/>
  <c r="F471" i="4"/>
  <c r="G470" i="4"/>
  <c r="I470" i="4" s="1"/>
  <c r="J470" i="4" s="1"/>
  <c r="F470" i="4"/>
  <c r="G469" i="4"/>
  <c r="I469" i="4" s="1"/>
  <c r="J469" i="4" s="1"/>
  <c r="F469" i="4"/>
  <c r="G468" i="4"/>
  <c r="I468" i="4" s="1"/>
  <c r="J468" i="4" s="1"/>
  <c r="F468" i="4"/>
  <c r="G467" i="4"/>
  <c r="I467" i="4" s="1"/>
  <c r="J467" i="4" s="1"/>
  <c r="F467" i="4"/>
  <c r="G466" i="4"/>
  <c r="I466" i="4" s="1"/>
  <c r="J466" i="4" s="1"/>
  <c r="F466" i="4"/>
  <c r="G465" i="4"/>
  <c r="I465" i="4" s="1"/>
  <c r="J465" i="4" s="1"/>
  <c r="F465" i="4"/>
  <c r="G464" i="4"/>
  <c r="I464" i="4" s="1"/>
  <c r="J464" i="4" s="1"/>
  <c r="F464" i="4"/>
  <c r="G463" i="4"/>
  <c r="I463" i="4" s="1"/>
  <c r="J463" i="4" s="1"/>
  <c r="F463" i="4"/>
  <c r="G462" i="4"/>
  <c r="I462" i="4" s="1"/>
  <c r="J462" i="4" s="1"/>
  <c r="F462" i="4"/>
  <c r="G461" i="4"/>
  <c r="I461" i="4" s="1"/>
  <c r="J461" i="4" s="1"/>
  <c r="F461" i="4"/>
  <c r="G460" i="4"/>
  <c r="I460" i="4" s="1"/>
  <c r="J460" i="4" s="1"/>
  <c r="F460" i="4"/>
  <c r="G459" i="4"/>
  <c r="I459" i="4" s="1"/>
  <c r="J459" i="4" s="1"/>
  <c r="F459" i="4"/>
  <c r="G458" i="4"/>
  <c r="I458" i="4" s="1"/>
  <c r="J458" i="4" s="1"/>
  <c r="F458" i="4"/>
  <c r="G457" i="4"/>
  <c r="I457" i="4" s="1"/>
  <c r="J457" i="4" s="1"/>
  <c r="F457" i="4"/>
  <c r="G456" i="4"/>
  <c r="I456" i="4" s="1"/>
  <c r="J456" i="4" s="1"/>
  <c r="F456" i="4"/>
  <c r="G455" i="4"/>
  <c r="I455" i="4" s="1"/>
  <c r="J455" i="4" s="1"/>
  <c r="F455" i="4"/>
  <c r="G454" i="4"/>
  <c r="I454" i="4" s="1"/>
  <c r="J454" i="4" s="1"/>
  <c r="F454" i="4"/>
  <c r="G453" i="4"/>
  <c r="I453" i="4" s="1"/>
  <c r="J453" i="4" s="1"/>
  <c r="F453" i="4"/>
  <c r="G452" i="4"/>
  <c r="I452" i="4" s="1"/>
  <c r="J452" i="4" s="1"/>
  <c r="F452" i="4"/>
  <c r="G451" i="4"/>
  <c r="I451" i="4" s="1"/>
  <c r="J451" i="4" s="1"/>
  <c r="F451" i="4"/>
  <c r="G450" i="4"/>
  <c r="I450" i="4" s="1"/>
  <c r="J450" i="4" s="1"/>
  <c r="F450" i="4"/>
  <c r="G449" i="4"/>
  <c r="I449" i="4" s="1"/>
  <c r="J449" i="4" s="1"/>
  <c r="F449" i="4"/>
  <c r="G448" i="4"/>
  <c r="I448" i="4" s="1"/>
  <c r="J448" i="4" s="1"/>
  <c r="F448" i="4"/>
  <c r="G447" i="4"/>
  <c r="I447" i="4" s="1"/>
  <c r="J447" i="4" s="1"/>
  <c r="F447" i="4"/>
  <c r="G446" i="4"/>
  <c r="I446" i="4" s="1"/>
  <c r="J446" i="4" s="1"/>
  <c r="F446" i="4"/>
  <c r="G445" i="4"/>
  <c r="I445" i="4" s="1"/>
  <c r="J445" i="4" s="1"/>
  <c r="F445" i="4"/>
  <c r="G444" i="4"/>
  <c r="I444" i="4" s="1"/>
  <c r="J444" i="4" s="1"/>
  <c r="F444" i="4"/>
  <c r="G443" i="4"/>
  <c r="I443" i="4" s="1"/>
  <c r="J443" i="4" s="1"/>
  <c r="F443" i="4"/>
  <c r="G442" i="4"/>
  <c r="I442" i="4" s="1"/>
  <c r="J442" i="4" s="1"/>
  <c r="F442" i="4"/>
  <c r="G441" i="4"/>
  <c r="I441" i="4" s="1"/>
  <c r="J441" i="4" s="1"/>
  <c r="F441" i="4"/>
  <c r="G440" i="4"/>
  <c r="I440" i="4" s="1"/>
  <c r="J440" i="4" s="1"/>
  <c r="F440" i="4"/>
  <c r="G439" i="4"/>
  <c r="I439" i="4" s="1"/>
  <c r="J439" i="4" s="1"/>
  <c r="F439" i="4"/>
  <c r="G438" i="4"/>
  <c r="I438" i="4" s="1"/>
  <c r="J438" i="4" s="1"/>
  <c r="F438" i="4"/>
  <c r="G437" i="4"/>
  <c r="I437" i="4" s="1"/>
  <c r="J437" i="4" s="1"/>
  <c r="F437" i="4"/>
  <c r="G436" i="4"/>
  <c r="I436" i="4" s="1"/>
  <c r="J436" i="4" s="1"/>
  <c r="F436" i="4"/>
  <c r="G435" i="4"/>
  <c r="I435" i="4" s="1"/>
  <c r="J435" i="4" s="1"/>
  <c r="F435" i="4"/>
  <c r="G434" i="4"/>
  <c r="I434" i="4" s="1"/>
  <c r="J434" i="4" s="1"/>
  <c r="F434" i="4"/>
  <c r="G433" i="4"/>
  <c r="I433" i="4" s="1"/>
  <c r="J433" i="4" s="1"/>
  <c r="F433" i="4"/>
  <c r="G432" i="4"/>
  <c r="I432" i="4" s="1"/>
  <c r="J432" i="4" s="1"/>
  <c r="F432" i="4"/>
  <c r="G431" i="4"/>
  <c r="I431" i="4" s="1"/>
  <c r="J431" i="4" s="1"/>
  <c r="F431" i="4"/>
  <c r="G430" i="4"/>
  <c r="I430" i="4" s="1"/>
  <c r="J430" i="4" s="1"/>
  <c r="F430" i="4"/>
  <c r="G429" i="4"/>
  <c r="I429" i="4" s="1"/>
  <c r="J429" i="4" s="1"/>
  <c r="F429" i="4"/>
  <c r="G428" i="4"/>
  <c r="I428" i="4" s="1"/>
  <c r="J428" i="4" s="1"/>
  <c r="F428" i="4"/>
  <c r="G427" i="4"/>
  <c r="I427" i="4" s="1"/>
  <c r="J427" i="4" s="1"/>
  <c r="F427" i="4"/>
  <c r="G426" i="4"/>
  <c r="I426" i="4" s="1"/>
  <c r="J426" i="4" s="1"/>
  <c r="F426" i="4"/>
  <c r="G425" i="4"/>
  <c r="I425" i="4" s="1"/>
  <c r="J425" i="4" s="1"/>
  <c r="F425" i="4"/>
  <c r="G424" i="4"/>
  <c r="I424" i="4" s="1"/>
  <c r="J424" i="4" s="1"/>
  <c r="F424" i="4"/>
  <c r="G423" i="4"/>
  <c r="I423" i="4" s="1"/>
  <c r="J423" i="4" s="1"/>
  <c r="F423" i="4"/>
  <c r="G422" i="4"/>
  <c r="I422" i="4" s="1"/>
  <c r="J422" i="4" s="1"/>
  <c r="F422" i="4"/>
  <c r="G421" i="4"/>
  <c r="I421" i="4" s="1"/>
  <c r="J421" i="4" s="1"/>
  <c r="F421" i="4"/>
  <c r="G420" i="4"/>
  <c r="I420" i="4" s="1"/>
  <c r="J420" i="4" s="1"/>
  <c r="F420" i="4"/>
  <c r="G419" i="4"/>
  <c r="I419" i="4" s="1"/>
  <c r="J419" i="4" s="1"/>
  <c r="F419" i="4"/>
  <c r="G418" i="4"/>
  <c r="I418" i="4" s="1"/>
  <c r="J418" i="4" s="1"/>
  <c r="F418" i="4"/>
  <c r="G417" i="4"/>
  <c r="I417" i="4" s="1"/>
  <c r="J417" i="4" s="1"/>
  <c r="F417" i="4"/>
  <c r="G416" i="4"/>
  <c r="I416" i="4" s="1"/>
  <c r="J416" i="4" s="1"/>
  <c r="F416" i="4"/>
  <c r="G415" i="4"/>
  <c r="I415" i="4" s="1"/>
  <c r="J415" i="4" s="1"/>
  <c r="F415" i="4"/>
  <c r="G414" i="4"/>
  <c r="I414" i="4" s="1"/>
  <c r="J414" i="4" s="1"/>
  <c r="F414" i="4"/>
  <c r="G413" i="4"/>
  <c r="I413" i="4" s="1"/>
  <c r="J413" i="4" s="1"/>
  <c r="F413" i="4"/>
  <c r="G412" i="4"/>
  <c r="I412" i="4" s="1"/>
  <c r="J412" i="4" s="1"/>
  <c r="F412" i="4"/>
  <c r="G411" i="4"/>
  <c r="I411" i="4" s="1"/>
  <c r="J411" i="4" s="1"/>
  <c r="F411" i="4"/>
  <c r="G410" i="4"/>
  <c r="I410" i="4" s="1"/>
  <c r="J410" i="4" s="1"/>
  <c r="F410" i="4"/>
  <c r="G409" i="4"/>
  <c r="I409" i="4" s="1"/>
  <c r="J409" i="4" s="1"/>
  <c r="F409" i="4"/>
  <c r="G408" i="4"/>
  <c r="I408" i="4" s="1"/>
  <c r="J408" i="4" s="1"/>
  <c r="F408" i="4"/>
  <c r="G407" i="4"/>
  <c r="I407" i="4" s="1"/>
  <c r="J407" i="4" s="1"/>
  <c r="F407" i="4"/>
  <c r="G406" i="4"/>
  <c r="I406" i="4" s="1"/>
  <c r="J406" i="4" s="1"/>
  <c r="F406" i="4"/>
  <c r="G405" i="4"/>
  <c r="I405" i="4" s="1"/>
  <c r="J405" i="4" s="1"/>
  <c r="F405" i="4"/>
  <c r="G404" i="4"/>
  <c r="I404" i="4" s="1"/>
  <c r="J404" i="4" s="1"/>
  <c r="F404" i="4"/>
  <c r="G403" i="4"/>
  <c r="I403" i="4" s="1"/>
  <c r="J403" i="4" s="1"/>
  <c r="F403" i="4"/>
  <c r="G402" i="4"/>
  <c r="I402" i="4" s="1"/>
  <c r="J402" i="4" s="1"/>
  <c r="F402" i="4"/>
  <c r="G401" i="4"/>
  <c r="I401" i="4" s="1"/>
  <c r="J401" i="4" s="1"/>
  <c r="F401" i="4"/>
  <c r="G400" i="4"/>
  <c r="I400" i="4" s="1"/>
  <c r="J400" i="4" s="1"/>
  <c r="F400" i="4"/>
  <c r="G399" i="4"/>
  <c r="I399" i="4" s="1"/>
  <c r="J399" i="4" s="1"/>
  <c r="F399" i="4"/>
  <c r="G398" i="4"/>
  <c r="I398" i="4" s="1"/>
  <c r="J398" i="4" s="1"/>
  <c r="F398" i="4"/>
  <c r="G397" i="4"/>
  <c r="I397" i="4" s="1"/>
  <c r="J397" i="4" s="1"/>
  <c r="F397" i="4"/>
  <c r="G396" i="4"/>
  <c r="I396" i="4" s="1"/>
  <c r="J396" i="4" s="1"/>
  <c r="F396" i="4"/>
  <c r="G395" i="4"/>
  <c r="I395" i="4" s="1"/>
  <c r="J395" i="4" s="1"/>
  <c r="F395" i="4"/>
  <c r="G394" i="4"/>
  <c r="I394" i="4" s="1"/>
  <c r="J394" i="4" s="1"/>
  <c r="F394" i="4"/>
  <c r="G393" i="4"/>
  <c r="I393" i="4" s="1"/>
  <c r="J393" i="4" s="1"/>
  <c r="F393" i="4"/>
  <c r="G392" i="4"/>
  <c r="I392" i="4" s="1"/>
  <c r="J392" i="4" s="1"/>
  <c r="F392" i="4"/>
  <c r="G391" i="4"/>
  <c r="I391" i="4" s="1"/>
  <c r="J391" i="4" s="1"/>
  <c r="F391" i="4"/>
  <c r="G390" i="4"/>
  <c r="I390" i="4" s="1"/>
  <c r="J390" i="4" s="1"/>
  <c r="F390" i="4"/>
  <c r="G389" i="4"/>
  <c r="I389" i="4" s="1"/>
  <c r="J389" i="4" s="1"/>
  <c r="F389" i="4"/>
  <c r="G388" i="4"/>
  <c r="I388" i="4" s="1"/>
  <c r="J388" i="4" s="1"/>
  <c r="F388" i="4"/>
  <c r="G387" i="4"/>
  <c r="I387" i="4" s="1"/>
  <c r="J387" i="4" s="1"/>
  <c r="F387" i="4"/>
  <c r="G386" i="4"/>
  <c r="I386" i="4" s="1"/>
  <c r="J386" i="4" s="1"/>
  <c r="F386" i="4"/>
  <c r="G385" i="4"/>
  <c r="I385" i="4" s="1"/>
  <c r="J385" i="4" s="1"/>
  <c r="F385" i="4"/>
  <c r="G384" i="4"/>
  <c r="I384" i="4" s="1"/>
  <c r="J384" i="4" s="1"/>
  <c r="F384" i="4"/>
  <c r="G383" i="4"/>
  <c r="I383" i="4" s="1"/>
  <c r="J383" i="4" s="1"/>
  <c r="F383" i="4"/>
  <c r="G382" i="4"/>
  <c r="I382" i="4" s="1"/>
  <c r="J382" i="4" s="1"/>
  <c r="F382" i="4"/>
  <c r="G381" i="4"/>
  <c r="I381" i="4" s="1"/>
  <c r="J381" i="4" s="1"/>
  <c r="F381" i="4"/>
  <c r="G380" i="4"/>
  <c r="I380" i="4" s="1"/>
  <c r="J380" i="4" s="1"/>
  <c r="F380" i="4"/>
  <c r="G379" i="4"/>
  <c r="I379" i="4" s="1"/>
  <c r="J379" i="4" s="1"/>
  <c r="F379" i="4"/>
  <c r="G378" i="4"/>
  <c r="I378" i="4" s="1"/>
  <c r="J378" i="4" s="1"/>
  <c r="F378" i="4"/>
  <c r="G377" i="4"/>
  <c r="I377" i="4" s="1"/>
  <c r="J377" i="4" s="1"/>
  <c r="F377" i="4"/>
  <c r="G376" i="4"/>
  <c r="I376" i="4" s="1"/>
  <c r="J376" i="4" s="1"/>
  <c r="F376" i="4"/>
  <c r="G375" i="4"/>
  <c r="I375" i="4" s="1"/>
  <c r="J375" i="4" s="1"/>
  <c r="F375" i="4"/>
  <c r="G374" i="4"/>
  <c r="I374" i="4" s="1"/>
  <c r="J374" i="4" s="1"/>
  <c r="F374" i="4"/>
  <c r="G373" i="4"/>
  <c r="I373" i="4" s="1"/>
  <c r="J373" i="4" s="1"/>
  <c r="F373" i="4"/>
  <c r="G372" i="4"/>
  <c r="I372" i="4" s="1"/>
  <c r="J372" i="4" s="1"/>
  <c r="F372" i="4"/>
  <c r="G371" i="4"/>
  <c r="I371" i="4" s="1"/>
  <c r="J371" i="4" s="1"/>
  <c r="F371" i="4"/>
  <c r="G370" i="4"/>
  <c r="I370" i="4" s="1"/>
  <c r="J370" i="4" s="1"/>
  <c r="F370" i="4"/>
  <c r="G369" i="4"/>
  <c r="I369" i="4" s="1"/>
  <c r="J369" i="4" s="1"/>
  <c r="F369" i="4"/>
  <c r="G368" i="4"/>
  <c r="I368" i="4" s="1"/>
  <c r="J368" i="4" s="1"/>
  <c r="F368" i="4"/>
  <c r="G367" i="4"/>
  <c r="I367" i="4" s="1"/>
  <c r="J367" i="4" s="1"/>
  <c r="F367" i="4"/>
  <c r="G366" i="4"/>
  <c r="I366" i="4" s="1"/>
  <c r="J366" i="4" s="1"/>
  <c r="F366" i="4"/>
  <c r="G365" i="4"/>
  <c r="I365" i="4" s="1"/>
  <c r="J365" i="4" s="1"/>
  <c r="F365" i="4"/>
  <c r="G364" i="4"/>
  <c r="I364" i="4" s="1"/>
  <c r="J364" i="4" s="1"/>
  <c r="F364" i="4"/>
  <c r="G363" i="4"/>
  <c r="I363" i="4" s="1"/>
  <c r="J363" i="4" s="1"/>
  <c r="F363" i="4"/>
  <c r="G362" i="4"/>
  <c r="I362" i="4" s="1"/>
  <c r="J362" i="4" s="1"/>
  <c r="F362" i="4"/>
  <c r="G361" i="4"/>
  <c r="I361" i="4" s="1"/>
  <c r="J361" i="4" s="1"/>
  <c r="F361" i="4"/>
  <c r="G360" i="4"/>
  <c r="I360" i="4" s="1"/>
  <c r="J360" i="4" s="1"/>
  <c r="F360" i="4"/>
  <c r="G359" i="4"/>
  <c r="I359" i="4" s="1"/>
  <c r="J359" i="4" s="1"/>
  <c r="F359" i="4"/>
  <c r="G358" i="4"/>
  <c r="I358" i="4" s="1"/>
  <c r="J358" i="4" s="1"/>
  <c r="F358" i="4"/>
  <c r="G357" i="4"/>
  <c r="I357" i="4" s="1"/>
  <c r="J357" i="4" s="1"/>
  <c r="F357" i="4"/>
  <c r="G356" i="4"/>
  <c r="I356" i="4" s="1"/>
  <c r="J356" i="4" s="1"/>
  <c r="F356" i="4"/>
  <c r="G355" i="4"/>
  <c r="I355" i="4" s="1"/>
  <c r="J355" i="4" s="1"/>
  <c r="F355" i="4"/>
  <c r="G354" i="4"/>
  <c r="I354" i="4" s="1"/>
  <c r="J354" i="4" s="1"/>
  <c r="F354" i="4"/>
  <c r="G353" i="4"/>
  <c r="I353" i="4" s="1"/>
  <c r="J353" i="4" s="1"/>
  <c r="F353" i="4"/>
  <c r="G352" i="4"/>
  <c r="I352" i="4" s="1"/>
  <c r="J352" i="4" s="1"/>
  <c r="F352" i="4"/>
  <c r="G351" i="4"/>
  <c r="I351" i="4" s="1"/>
  <c r="J351" i="4" s="1"/>
  <c r="F351" i="4"/>
  <c r="G350" i="4"/>
  <c r="I350" i="4" s="1"/>
  <c r="J350" i="4" s="1"/>
  <c r="F350" i="4"/>
  <c r="G349" i="4"/>
  <c r="I349" i="4" s="1"/>
  <c r="J349" i="4" s="1"/>
  <c r="F349" i="4"/>
  <c r="G348" i="4"/>
  <c r="I348" i="4" s="1"/>
  <c r="J348" i="4" s="1"/>
  <c r="F348" i="4"/>
  <c r="G347" i="4"/>
  <c r="I347" i="4" s="1"/>
  <c r="J347" i="4" s="1"/>
  <c r="F347" i="4"/>
  <c r="G346" i="4"/>
  <c r="I346" i="4" s="1"/>
  <c r="J346" i="4" s="1"/>
  <c r="F346" i="4"/>
  <c r="G345" i="4"/>
  <c r="I345" i="4" s="1"/>
  <c r="J345" i="4" s="1"/>
  <c r="F345" i="4"/>
  <c r="G344" i="4"/>
  <c r="I344" i="4" s="1"/>
  <c r="J344" i="4" s="1"/>
  <c r="F344" i="4"/>
  <c r="G343" i="4"/>
  <c r="I343" i="4" s="1"/>
  <c r="J343" i="4" s="1"/>
  <c r="F343" i="4"/>
  <c r="G342" i="4"/>
  <c r="I342" i="4" s="1"/>
  <c r="J342" i="4" s="1"/>
  <c r="F342" i="4"/>
  <c r="G341" i="4"/>
  <c r="I341" i="4" s="1"/>
  <c r="J341" i="4" s="1"/>
  <c r="F341" i="4"/>
  <c r="G340" i="4"/>
  <c r="I340" i="4" s="1"/>
  <c r="J340" i="4" s="1"/>
  <c r="F340" i="4"/>
  <c r="G339" i="4"/>
  <c r="I339" i="4" s="1"/>
  <c r="J339" i="4" s="1"/>
  <c r="F339" i="4"/>
  <c r="G338" i="4"/>
  <c r="I338" i="4" s="1"/>
  <c r="J338" i="4" s="1"/>
  <c r="F338" i="4"/>
  <c r="G337" i="4"/>
  <c r="I337" i="4" s="1"/>
  <c r="J337" i="4" s="1"/>
  <c r="F337" i="4"/>
  <c r="G336" i="4"/>
  <c r="I336" i="4" s="1"/>
  <c r="J336" i="4" s="1"/>
  <c r="F336" i="4"/>
  <c r="G335" i="4"/>
  <c r="I335" i="4" s="1"/>
  <c r="J335" i="4" s="1"/>
  <c r="F335" i="4"/>
  <c r="G334" i="4"/>
  <c r="I334" i="4" s="1"/>
  <c r="J334" i="4" s="1"/>
  <c r="F334" i="4"/>
  <c r="G333" i="4"/>
  <c r="I333" i="4" s="1"/>
  <c r="J333" i="4" s="1"/>
  <c r="F333" i="4"/>
  <c r="G332" i="4"/>
  <c r="I332" i="4" s="1"/>
  <c r="J332" i="4" s="1"/>
  <c r="F332" i="4"/>
  <c r="G331" i="4"/>
  <c r="I331" i="4" s="1"/>
  <c r="J331" i="4" s="1"/>
  <c r="F331" i="4"/>
  <c r="G330" i="4"/>
  <c r="I330" i="4" s="1"/>
  <c r="J330" i="4" s="1"/>
  <c r="F330" i="4"/>
  <c r="G329" i="4"/>
  <c r="I329" i="4" s="1"/>
  <c r="J329" i="4" s="1"/>
  <c r="F329" i="4"/>
  <c r="G328" i="4"/>
  <c r="I328" i="4" s="1"/>
  <c r="J328" i="4" s="1"/>
  <c r="F328" i="4"/>
  <c r="I327" i="4"/>
  <c r="J327" i="4" s="1"/>
  <c r="G327" i="4"/>
  <c r="F327" i="4"/>
  <c r="G326" i="4"/>
  <c r="I326" i="4" s="1"/>
  <c r="J326" i="4" s="1"/>
  <c r="F326" i="4"/>
  <c r="G325" i="4"/>
  <c r="I325" i="4" s="1"/>
  <c r="J325" i="4" s="1"/>
  <c r="F325" i="4"/>
  <c r="G324" i="4"/>
  <c r="I324" i="4" s="1"/>
  <c r="J324" i="4" s="1"/>
  <c r="F324" i="4"/>
  <c r="G323" i="4"/>
  <c r="I323" i="4" s="1"/>
  <c r="J323" i="4" s="1"/>
  <c r="F323" i="4"/>
  <c r="G322" i="4"/>
  <c r="I322" i="4" s="1"/>
  <c r="J322" i="4" s="1"/>
  <c r="F322" i="4"/>
  <c r="G321" i="4"/>
  <c r="I321" i="4" s="1"/>
  <c r="J321" i="4" s="1"/>
  <c r="F321" i="4"/>
  <c r="G320" i="4"/>
  <c r="I320" i="4" s="1"/>
  <c r="J320" i="4" s="1"/>
  <c r="F320" i="4"/>
  <c r="G319" i="4"/>
  <c r="I319" i="4" s="1"/>
  <c r="J319" i="4" s="1"/>
  <c r="F319" i="4"/>
  <c r="G318" i="4"/>
  <c r="I318" i="4" s="1"/>
  <c r="J318" i="4" s="1"/>
  <c r="F318" i="4"/>
  <c r="G317" i="4"/>
  <c r="I317" i="4" s="1"/>
  <c r="J317" i="4" s="1"/>
  <c r="F317" i="4"/>
  <c r="G316" i="4"/>
  <c r="I316" i="4" s="1"/>
  <c r="J316" i="4" s="1"/>
  <c r="F316" i="4"/>
  <c r="G315" i="4"/>
  <c r="I315" i="4" s="1"/>
  <c r="J315" i="4" s="1"/>
  <c r="F315" i="4"/>
  <c r="G314" i="4"/>
  <c r="I314" i="4" s="1"/>
  <c r="J314" i="4" s="1"/>
  <c r="F314" i="4"/>
  <c r="G313" i="4"/>
  <c r="I313" i="4" s="1"/>
  <c r="J313" i="4" s="1"/>
  <c r="F313" i="4"/>
  <c r="G312" i="4"/>
  <c r="I312" i="4" s="1"/>
  <c r="J312" i="4" s="1"/>
  <c r="F312" i="4"/>
  <c r="G311" i="4"/>
  <c r="I311" i="4" s="1"/>
  <c r="J311" i="4" s="1"/>
  <c r="F311" i="4"/>
  <c r="G310" i="4"/>
  <c r="I310" i="4" s="1"/>
  <c r="J310" i="4" s="1"/>
  <c r="F310" i="4"/>
  <c r="G309" i="4"/>
  <c r="I309" i="4" s="1"/>
  <c r="J309" i="4" s="1"/>
  <c r="F309" i="4"/>
  <c r="G308" i="4"/>
  <c r="I308" i="4" s="1"/>
  <c r="J308" i="4" s="1"/>
  <c r="F308" i="4"/>
  <c r="G307" i="4"/>
  <c r="I307" i="4" s="1"/>
  <c r="J307" i="4" s="1"/>
  <c r="F307" i="4"/>
  <c r="G306" i="4"/>
  <c r="I306" i="4" s="1"/>
  <c r="J306" i="4" s="1"/>
  <c r="F306" i="4"/>
  <c r="G305" i="4"/>
  <c r="I305" i="4" s="1"/>
  <c r="J305" i="4" s="1"/>
  <c r="F305" i="4"/>
  <c r="G304" i="4"/>
  <c r="I304" i="4" s="1"/>
  <c r="J304" i="4" s="1"/>
  <c r="F304" i="4"/>
  <c r="G303" i="4"/>
  <c r="I303" i="4" s="1"/>
  <c r="J303" i="4" s="1"/>
  <c r="F303" i="4"/>
  <c r="G302" i="4"/>
  <c r="I302" i="4" s="1"/>
  <c r="J302" i="4" s="1"/>
  <c r="F302" i="4"/>
  <c r="G301" i="4"/>
  <c r="I301" i="4" s="1"/>
  <c r="J301" i="4" s="1"/>
  <c r="F301" i="4"/>
  <c r="G300" i="4"/>
  <c r="I300" i="4" s="1"/>
  <c r="J300" i="4" s="1"/>
  <c r="F300" i="4"/>
  <c r="G299" i="4"/>
  <c r="I299" i="4" s="1"/>
  <c r="J299" i="4" s="1"/>
  <c r="F299" i="4"/>
  <c r="G298" i="4"/>
  <c r="I298" i="4" s="1"/>
  <c r="J298" i="4" s="1"/>
  <c r="F298" i="4"/>
  <c r="G297" i="4"/>
  <c r="I297" i="4" s="1"/>
  <c r="J297" i="4" s="1"/>
  <c r="F297" i="4"/>
  <c r="G296" i="4"/>
  <c r="I296" i="4" s="1"/>
  <c r="J296" i="4" s="1"/>
  <c r="F296" i="4"/>
  <c r="G295" i="4"/>
  <c r="I295" i="4" s="1"/>
  <c r="J295" i="4" s="1"/>
  <c r="F295" i="4"/>
  <c r="G294" i="4"/>
  <c r="I294" i="4" s="1"/>
  <c r="J294" i="4" s="1"/>
  <c r="F294" i="4"/>
  <c r="G293" i="4"/>
  <c r="I293" i="4" s="1"/>
  <c r="J293" i="4" s="1"/>
  <c r="F293" i="4"/>
  <c r="G292" i="4"/>
  <c r="I292" i="4" s="1"/>
  <c r="J292" i="4" s="1"/>
  <c r="F292" i="4"/>
  <c r="G291" i="4"/>
  <c r="I291" i="4" s="1"/>
  <c r="J291" i="4" s="1"/>
  <c r="F291" i="4"/>
  <c r="G290" i="4"/>
  <c r="I290" i="4" s="1"/>
  <c r="J290" i="4" s="1"/>
  <c r="F290" i="4"/>
  <c r="G289" i="4"/>
  <c r="I289" i="4" s="1"/>
  <c r="J289" i="4" s="1"/>
  <c r="F289" i="4"/>
  <c r="G288" i="4"/>
  <c r="I288" i="4" s="1"/>
  <c r="J288" i="4" s="1"/>
  <c r="F288" i="4"/>
  <c r="G287" i="4"/>
  <c r="I287" i="4" s="1"/>
  <c r="J287" i="4" s="1"/>
  <c r="F287" i="4"/>
  <c r="G286" i="4"/>
  <c r="I286" i="4" s="1"/>
  <c r="J286" i="4" s="1"/>
  <c r="F286" i="4"/>
  <c r="G285" i="4"/>
  <c r="I285" i="4" s="1"/>
  <c r="J285" i="4" s="1"/>
  <c r="F285" i="4"/>
  <c r="G284" i="4"/>
  <c r="I284" i="4" s="1"/>
  <c r="J284" i="4" s="1"/>
  <c r="F284" i="4"/>
  <c r="G283" i="4"/>
  <c r="I283" i="4" s="1"/>
  <c r="J283" i="4" s="1"/>
  <c r="F283" i="4"/>
  <c r="G282" i="4"/>
  <c r="I282" i="4" s="1"/>
  <c r="J282" i="4" s="1"/>
  <c r="F282" i="4"/>
  <c r="G281" i="4"/>
  <c r="I281" i="4" s="1"/>
  <c r="J281" i="4" s="1"/>
  <c r="F281" i="4"/>
  <c r="G280" i="4"/>
  <c r="I280" i="4" s="1"/>
  <c r="J280" i="4" s="1"/>
  <c r="F280" i="4"/>
  <c r="G279" i="4"/>
  <c r="I279" i="4" s="1"/>
  <c r="J279" i="4" s="1"/>
  <c r="F279" i="4"/>
  <c r="G278" i="4"/>
  <c r="I278" i="4" s="1"/>
  <c r="J278" i="4" s="1"/>
  <c r="F278" i="4"/>
  <c r="G277" i="4"/>
  <c r="I277" i="4" s="1"/>
  <c r="J277" i="4" s="1"/>
  <c r="F277" i="4"/>
  <c r="G276" i="4"/>
  <c r="I276" i="4" s="1"/>
  <c r="J276" i="4" s="1"/>
  <c r="F276" i="4"/>
  <c r="G275" i="4"/>
  <c r="I275" i="4" s="1"/>
  <c r="J275" i="4" s="1"/>
  <c r="F275" i="4"/>
  <c r="G274" i="4"/>
  <c r="I274" i="4" s="1"/>
  <c r="J274" i="4" s="1"/>
  <c r="F274" i="4"/>
  <c r="G273" i="4"/>
  <c r="I273" i="4" s="1"/>
  <c r="J273" i="4" s="1"/>
  <c r="F273" i="4"/>
  <c r="G272" i="4"/>
  <c r="I272" i="4" s="1"/>
  <c r="J272" i="4" s="1"/>
  <c r="F272" i="4"/>
  <c r="G271" i="4"/>
  <c r="I271" i="4" s="1"/>
  <c r="J271" i="4" s="1"/>
  <c r="F271" i="4"/>
  <c r="G270" i="4"/>
  <c r="I270" i="4" s="1"/>
  <c r="J270" i="4" s="1"/>
  <c r="F270" i="4"/>
  <c r="G269" i="4"/>
  <c r="I269" i="4" s="1"/>
  <c r="J269" i="4" s="1"/>
  <c r="F269" i="4"/>
  <c r="G268" i="4"/>
  <c r="I268" i="4" s="1"/>
  <c r="J268" i="4" s="1"/>
  <c r="F268" i="4"/>
  <c r="G267" i="4"/>
  <c r="I267" i="4" s="1"/>
  <c r="J267" i="4" s="1"/>
  <c r="F267" i="4"/>
  <c r="G266" i="4"/>
  <c r="I266" i="4" s="1"/>
  <c r="J266" i="4" s="1"/>
  <c r="F266" i="4"/>
  <c r="G265" i="4"/>
  <c r="I265" i="4" s="1"/>
  <c r="J265" i="4" s="1"/>
  <c r="F265" i="4"/>
  <c r="G264" i="4"/>
  <c r="I264" i="4" s="1"/>
  <c r="J264" i="4" s="1"/>
  <c r="F264" i="4"/>
  <c r="G263" i="4"/>
  <c r="I263" i="4" s="1"/>
  <c r="J263" i="4" s="1"/>
  <c r="F263" i="4"/>
  <c r="G262" i="4"/>
  <c r="I262" i="4" s="1"/>
  <c r="J262" i="4" s="1"/>
  <c r="F262" i="4"/>
  <c r="G261" i="4"/>
  <c r="I261" i="4" s="1"/>
  <c r="J261" i="4" s="1"/>
  <c r="F261" i="4"/>
  <c r="G260" i="4"/>
  <c r="I260" i="4" s="1"/>
  <c r="J260" i="4" s="1"/>
  <c r="F260" i="4"/>
  <c r="G259" i="4"/>
  <c r="I259" i="4" s="1"/>
  <c r="J259" i="4" s="1"/>
  <c r="F259" i="4"/>
  <c r="G258" i="4"/>
  <c r="I258" i="4" s="1"/>
  <c r="J258" i="4" s="1"/>
  <c r="F258" i="4"/>
  <c r="G257" i="4"/>
  <c r="I257" i="4" s="1"/>
  <c r="J257" i="4" s="1"/>
  <c r="F257" i="4"/>
  <c r="G256" i="4"/>
  <c r="I256" i="4" s="1"/>
  <c r="J256" i="4" s="1"/>
  <c r="F256" i="4"/>
  <c r="G255" i="4"/>
  <c r="I255" i="4" s="1"/>
  <c r="J255" i="4" s="1"/>
  <c r="F255" i="4"/>
  <c r="G254" i="4"/>
  <c r="I254" i="4" s="1"/>
  <c r="J254" i="4" s="1"/>
  <c r="F254" i="4"/>
  <c r="G253" i="4"/>
  <c r="I253" i="4" s="1"/>
  <c r="J253" i="4" s="1"/>
  <c r="F253" i="4"/>
  <c r="G252" i="4"/>
  <c r="I252" i="4" s="1"/>
  <c r="J252" i="4" s="1"/>
  <c r="F252" i="4"/>
  <c r="G251" i="4"/>
  <c r="I251" i="4" s="1"/>
  <c r="J251" i="4" s="1"/>
  <c r="F251" i="4"/>
  <c r="G250" i="4"/>
  <c r="I250" i="4" s="1"/>
  <c r="J250" i="4" s="1"/>
  <c r="F250" i="4"/>
  <c r="G249" i="4"/>
  <c r="I249" i="4" s="1"/>
  <c r="J249" i="4" s="1"/>
  <c r="F249" i="4"/>
  <c r="G248" i="4"/>
  <c r="I248" i="4" s="1"/>
  <c r="J248" i="4" s="1"/>
  <c r="F248" i="4"/>
  <c r="G247" i="4"/>
  <c r="I247" i="4" s="1"/>
  <c r="J247" i="4" s="1"/>
  <c r="F247" i="4"/>
  <c r="G246" i="4"/>
  <c r="I246" i="4" s="1"/>
  <c r="J246" i="4" s="1"/>
  <c r="F246" i="4"/>
  <c r="G245" i="4"/>
  <c r="I245" i="4" s="1"/>
  <c r="J245" i="4" s="1"/>
  <c r="F245" i="4"/>
  <c r="G244" i="4"/>
  <c r="I244" i="4" s="1"/>
  <c r="J244" i="4" s="1"/>
  <c r="F244" i="4"/>
  <c r="G243" i="4"/>
  <c r="I243" i="4" s="1"/>
  <c r="J243" i="4" s="1"/>
  <c r="F243" i="4"/>
  <c r="G242" i="4"/>
  <c r="I242" i="4" s="1"/>
  <c r="J242" i="4" s="1"/>
  <c r="F242" i="4"/>
  <c r="G241" i="4"/>
  <c r="I241" i="4" s="1"/>
  <c r="J241" i="4" s="1"/>
  <c r="F241" i="4"/>
  <c r="G240" i="4"/>
  <c r="I240" i="4" s="1"/>
  <c r="J240" i="4" s="1"/>
  <c r="F240" i="4"/>
  <c r="G239" i="4"/>
  <c r="I239" i="4" s="1"/>
  <c r="J239" i="4" s="1"/>
  <c r="F239" i="4"/>
  <c r="G238" i="4"/>
  <c r="I238" i="4" s="1"/>
  <c r="J238" i="4" s="1"/>
  <c r="F238" i="4"/>
  <c r="G237" i="4"/>
  <c r="I237" i="4" s="1"/>
  <c r="J237" i="4" s="1"/>
  <c r="F237" i="4"/>
  <c r="G236" i="4"/>
  <c r="I236" i="4" s="1"/>
  <c r="J236" i="4" s="1"/>
  <c r="F236" i="4"/>
  <c r="G235" i="4"/>
  <c r="I235" i="4" s="1"/>
  <c r="J235" i="4" s="1"/>
  <c r="F235" i="4"/>
  <c r="G234" i="4"/>
  <c r="I234" i="4" s="1"/>
  <c r="J234" i="4" s="1"/>
  <c r="F234" i="4"/>
  <c r="G233" i="4"/>
  <c r="I233" i="4" s="1"/>
  <c r="J233" i="4" s="1"/>
  <c r="F233" i="4"/>
  <c r="G232" i="4"/>
  <c r="I232" i="4" s="1"/>
  <c r="J232" i="4" s="1"/>
  <c r="F232" i="4"/>
  <c r="G231" i="4"/>
  <c r="I231" i="4" s="1"/>
  <c r="J231" i="4" s="1"/>
  <c r="F231" i="4"/>
  <c r="G230" i="4"/>
  <c r="I230" i="4" s="1"/>
  <c r="J230" i="4" s="1"/>
  <c r="F230" i="4"/>
  <c r="G229" i="4"/>
  <c r="I229" i="4" s="1"/>
  <c r="J229" i="4" s="1"/>
  <c r="F229" i="4"/>
  <c r="G228" i="4"/>
  <c r="I228" i="4" s="1"/>
  <c r="J228" i="4" s="1"/>
  <c r="F228" i="4"/>
  <c r="G227" i="4"/>
  <c r="I227" i="4" s="1"/>
  <c r="J227" i="4" s="1"/>
  <c r="F227" i="4"/>
  <c r="G226" i="4"/>
  <c r="I226" i="4" s="1"/>
  <c r="J226" i="4" s="1"/>
  <c r="F226" i="4"/>
  <c r="G225" i="4"/>
  <c r="I225" i="4" s="1"/>
  <c r="J225" i="4" s="1"/>
  <c r="F225" i="4"/>
  <c r="G224" i="4"/>
  <c r="I224" i="4" s="1"/>
  <c r="J224" i="4" s="1"/>
  <c r="F224" i="4"/>
  <c r="G223" i="4"/>
  <c r="I223" i="4" s="1"/>
  <c r="J223" i="4" s="1"/>
  <c r="F223" i="4"/>
  <c r="G222" i="4"/>
  <c r="I222" i="4" s="1"/>
  <c r="J222" i="4" s="1"/>
  <c r="F222" i="4"/>
  <c r="G221" i="4"/>
  <c r="I221" i="4" s="1"/>
  <c r="J221" i="4" s="1"/>
  <c r="F221" i="4"/>
  <c r="G220" i="4"/>
  <c r="I220" i="4" s="1"/>
  <c r="J220" i="4" s="1"/>
  <c r="F220" i="4"/>
  <c r="G219" i="4"/>
  <c r="I219" i="4" s="1"/>
  <c r="J219" i="4" s="1"/>
  <c r="F219" i="4"/>
  <c r="G218" i="4"/>
  <c r="I218" i="4" s="1"/>
  <c r="J218" i="4" s="1"/>
  <c r="F218" i="4"/>
  <c r="G217" i="4"/>
  <c r="I217" i="4" s="1"/>
  <c r="J217" i="4" s="1"/>
  <c r="F217" i="4"/>
  <c r="G216" i="4"/>
  <c r="I216" i="4" s="1"/>
  <c r="J216" i="4" s="1"/>
  <c r="F216" i="4"/>
  <c r="G215" i="4"/>
  <c r="I215" i="4" s="1"/>
  <c r="J215" i="4" s="1"/>
  <c r="F215" i="4"/>
  <c r="G214" i="4"/>
  <c r="I214" i="4" s="1"/>
  <c r="J214" i="4" s="1"/>
  <c r="F214" i="4"/>
  <c r="G213" i="4"/>
  <c r="I213" i="4" s="1"/>
  <c r="J213" i="4" s="1"/>
  <c r="F213" i="4"/>
  <c r="G212" i="4"/>
  <c r="I212" i="4" s="1"/>
  <c r="J212" i="4" s="1"/>
  <c r="F212" i="4"/>
  <c r="G211" i="4"/>
  <c r="I211" i="4" s="1"/>
  <c r="J211" i="4" s="1"/>
  <c r="F211" i="4"/>
  <c r="G210" i="4"/>
  <c r="I210" i="4" s="1"/>
  <c r="J210" i="4" s="1"/>
  <c r="F210" i="4"/>
  <c r="G209" i="4"/>
  <c r="I209" i="4" s="1"/>
  <c r="J209" i="4" s="1"/>
  <c r="F209" i="4"/>
  <c r="G208" i="4"/>
  <c r="I208" i="4" s="1"/>
  <c r="J208" i="4" s="1"/>
  <c r="F208" i="4"/>
  <c r="G207" i="4"/>
  <c r="I207" i="4" s="1"/>
  <c r="J207" i="4" s="1"/>
  <c r="F207" i="4"/>
  <c r="G206" i="4"/>
  <c r="I206" i="4" s="1"/>
  <c r="J206" i="4" s="1"/>
  <c r="F206" i="4"/>
  <c r="G205" i="4"/>
  <c r="I205" i="4" s="1"/>
  <c r="J205" i="4" s="1"/>
  <c r="F205" i="4"/>
  <c r="G204" i="4"/>
  <c r="I204" i="4" s="1"/>
  <c r="J204" i="4" s="1"/>
  <c r="F204" i="4"/>
  <c r="G203" i="4"/>
  <c r="I203" i="4" s="1"/>
  <c r="J203" i="4" s="1"/>
  <c r="F203" i="4"/>
  <c r="G202" i="4"/>
  <c r="I202" i="4" s="1"/>
  <c r="J202" i="4" s="1"/>
  <c r="F202" i="4"/>
  <c r="G201" i="4"/>
  <c r="I201" i="4" s="1"/>
  <c r="J201" i="4" s="1"/>
  <c r="F201" i="4"/>
  <c r="G200" i="4"/>
  <c r="I200" i="4" s="1"/>
  <c r="J200" i="4" s="1"/>
  <c r="F200" i="4"/>
  <c r="G199" i="4"/>
  <c r="I199" i="4" s="1"/>
  <c r="J199" i="4" s="1"/>
  <c r="F199" i="4"/>
  <c r="G198" i="4"/>
  <c r="I198" i="4" s="1"/>
  <c r="J198" i="4" s="1"/>
  <c r="F198" i="4"/>
  <c r="G197" i="4"/>
  <c r="I197" i="4" s="1"/>
  <c r="J197" i="4" s="1"/>
  <c r="F197" i="4"/>
  <c r="G196" i="4"/>
  <c r="I196" i="4" s="1"/>
  <c r="J196" i="4" s="1"/>
  <c r="F196" i="4"/>
  <c r="G195" i="4"/>
  <c r="I195" i="4" s="1"/>
  <c r="J195" i="4" s="1"/>
  <c r="F195" i="4"/>
  <c r="G194" i="4"/>
  <c r="I194" i="4" s="1"/>
  <c r="J194" i="4" s="1"/>
  <c r="F194" i="4"/>
  <c r="G193" i="4"/>
  <c r="I193" i="4" s="1"/>
  <c r="J193" i="4" s="1"/>
  <c r="F193" i="4"/>
  <c r="G192" i="4"/>
  <c r="I192" i="4" s="1"/>
  <c r="J192" i="4" s="1"/>
  <c r="F192" i="4"/>
  <c r="G191" i="4"/>
  <c r="I191" i="4" s="1"/>
  <c r="J191" i="4" s="1"/>
  <c r="F191" i="4"/>
  <c r="G190" i="4"/>
  <c r="I190" i="4" s="1"/>
  <c r="J190" i="4" s="1"/>
  <c r="F190" i="4"/>
  <c r="G189" i="4"/>
  <c r="I189" i="4" s="1"/>
  <c r="J189" i="4" s="1"/>
  <c r="F189" i="4"/>
  <c r="G188" i="4"/>
  <c r="I188" i="4" s="1"/>
  <c r="J188" i="4" s="1"/>
  <c r="F188" i="4"/>
  <c r="G187" i="4"/>
  <c r="I187" i="4" s="1"/>
  <c r="J187" i="4" s="1"/>
  <c r="F187" i="4"/>
  <c r="G186" i="4"/>
  <c r="I186" i="4" s="1"/>
  <c r="J186" i="4" s="1"/>
  <c r="F186" i="4"/>
  <c r="G185" i="4"/>
  <c r="I185" i="4" s="1"/>
  <c r="J185" i="4" s="1"/>
  <c r="F185" i="4"/>
  <c r="G184" i="4"/>
  <c r="I184" i="4" s="1"/>
  <c r="J184" i="4" s="1"/>
  <c r="F184" i="4"/>
  <c r="G183" i="4"/>
  <c r="I183" i="4" s="1"/>
  <c r="J183" i="4" s="1"/>
  <c r="F183" i="4"/>
  <c r="G182" i="4"/>
  <c r="I182" i="4" s="1"/>
  <c r="J182" i="4" s="1"/>
  <c r="F182" i="4"/>
  <c r="G181" i="4"/>
  <c r="I181" i="4" s="1"/>
  <c r="J181" i="4" s="1"/>
  <c r="F181" i="4"/>
  <c r="G180" i="4"/>
  <c r="I180" i="4" s="1"/>
  <c r="J180" i="4" s="1"/>
  <c r="F180" i="4"/>
  <c r="G179" i="4"/>
  <c r="I179" i="4" s="1"/>
  <c r="J179" i="4" s="1"/>
  <c r="F179" i="4"/>
  <c r="G178" i="4"/>
  <c r="I178" i="4" s="1"/>
  <c r="J178" i="4" s="1"/>
  <c r="F178" i="4"/>
  <c r="G177" i="4"/>
  <c r="I177" i="4" s="1"/>
  <c r="J177" i="4" s="1"/>
  <c r="F177" i="4"/>
  <c r="G176" i="4"/>
  <c r="I176" i="4" s="1"/>
  <c r="J176" i="4" s="1"/>
  <c r="F176" i="4"/>
  <c r="G175" i="4"/>
  <c r="I175" i="4" s="1"/>
  <c r="J175" i="4" s="1"/>
  <c r="F175" i="4"/>
  <c r="G174" i="4"/>
  <c r="I174" i="4" s="1"/>
  <c r="J174" i="4" s="1"/>
  <c r="F174" i="4"/>
  <c r="G173" i="4"/>
  <c r="I173" i="4" s="1"/>
  <c r="J173" i="4" s="1"/>
  <c r="F173" i="4"/>
  <c r="G172" i="4"/>
  <c r="I172" i="4" s="1"/>
  <c r="J172" i="4" s="1"/>
  <c r="F172" i="4"/>
  <c r="G171" i="4"/>
  <c r="I171" i="4" s="1"/>
  <c r="J171" i="4" s="1"/>
  <c r="F171" i="4"/>
  <c r="G170" i="4"/>
  <c r="I170" i="4" s="1"/>
  <c r="J170" i="4" s="1"/>
  <c r="F170" i="4"/>
  <c r="G169" i="4"/>
  <c r="I169" i="4" s="1"/>
  <c r="J169" i="4" s="1"/>
  <c r="F169" i="4"/>
  <c r="G168" i="4"/>
  <c r="I168" i="4" s="1"/>
  <c r="J168" i="4" s="1"/>
  <c r="F168" i="4"/>
  <c r="G167" i="4"/>
  <c r="I167" i="4" s="1"/>
  <c r="J167" i="4" s="1"/>
  <c r="F167" i="4"/>
  <c r="G166" i="4"/>
  <c r="I166" i="4" s="1"/>
  <c r="J166" i="4" s="1"/>
  <c r="F166" i="4"/>
  <c r="G165" i="4"/>
  <c r="I165" i="4" s="1"/>
  <c r="J165" i="4" s="1"/>
  <c r="F165" i="4"/>
  <c r="G164" i="4"/>
  <c r="I164" i="4" s="1"/>
  <c r="J164" i="4" s="1"/>
  <c r="F164" i="4"/>
  <c r="G163" i="4"/>
  <c r="I163" i="4" s="1"/>
  <c r="J163" i="4" s="1"/>
  <c r="F163" i="4"/>
  <c r="G162" i="4"/>
  <c r="I162" i="4" s="1"/>
  <c r="J162" i="4" s="1"/>
  <c r="F162" i="4"/>
  <c r="G161" i="4"/>
  <c r="I161" i="4" s="1"/>
  <c r="J161" i="4" s="1"/>
  <c r="F161" i="4"/>
  <c r="G160" i="4"/>
  <c r="I160" i="4" s="1"/>
  <c r="J160" i="4" s="1"/>
  <c r="F160" i="4"/>
  <c r="G159" i="4"/>
  <c r="I159" i="4" s="1"/>
  <c r="J159" i="4" s="1"/>
  <c r="F159" i="4"/>
  <c r="G158" i="4"/>
  <c r="I158" i="4" s="1"/>
  <c r="J158" i="4" s="1"/>
  <c r="F158" i="4"/>
  <c r="G157" i="4"/>
  <c r="I157" i="4" s="1"/>
  <c r="J157" i="4" s="1"/>
  <c r="F157" i="4"/>
  <c r="G156" i="4"/>
  <c r="I156" i="4" s="1"/>
  <c r="J156" i="4" s="1"/>
  <c r="F156" i="4"/>
  <c r="G155" i="4"/>
  <c r="I155" i="4" s="1"/>
  <c r="J155" i="4" s="1"/>
  <c r="F155" i="4"/>
  <c r="G154" i="4"/>
  <c r="I154" i="4" s="1"/>
  <c r="J154" i="4" s="1"/>
  <c r="F154" i="4"/>
  <c r="G153" i="4"/>
  <c r="I153" i="4" s="1"/>
  <c r="J153" i="4" s="1"/>
  <c r="F153" i="4"/>
  <c r="G152" i="4"/>
  <c r="I152" i="4" s="1"/>
  <c r="J152" i="4" s="1"/>
  <c r="F152" i="4"/>
  <c r="G151" i="4"/>
  <c r="I151" i="4" s="1"/>
  <c r="J151" i="4" s="1"/>
  <c r="F151" i="4"/>
  <c r="G150" i="4"/>
  <c r="I150" i="4" s="1"/>
  <c r="J150" i="4" s="1"/>
  <c r="F150" i="4"/>
  <c r="G149" i="4"/>
  <c r="I149" i="4" s="1"/>
  <c r="J149" i="4" s="1"/>
  <c r="F149" i="4"/>
  <c r="G148" i="4"/>
  <c r="I148" i="4" s="1"/>
  <c r="J148" i="4" s="1"/>
  <c r="F148" i="4"/>
  <c r="G147" i="4"/>
  <c r="I147" i="4" s="1"/>
  <c r="J147" i="4" s="1"/>
  <c r="F147" i="4"/>
  <c r="G146" i="4"/>
  <c r="I146" i="4" s="1"/>
  <c r="J146" i="4" s="1"/>
  <c r="F146" i="4"/>
  <c r="G145" i="4"/>
  <c r="I145" i="4" s="1"/>
  <c r="J145" i="4" s="1"/>
  <c r="F145" i="4"/>
  <c r="G144" i="4"/>
  <c r="I144" i="4" s="1"/>
  <c r="J144" i="4" s="1"/>
  <c r="F144" i="4"/>
  <c r="G143" i="4"/>
  <c r="I143" i="4" s="1"/>
  <c r="J143" i="4" s="1"/>
  <c r="F143" i="4"/>
  <c r="G142" i="4"/>
  <c r="I142" i="4" s="1"/>
  <c r="J142" i="4" s="1"/>
  <c r="F142" i="4"/>
  <c r="G141" i="4"/>
  <c r="I141" i="4" s="1"/>
  <c r="J141" i="4" s="1"/>
  <c r="F141" i="4"/>
  <c r="G140" i="4"/>
  <c r="I140" i="4" s="1"/>
  <c r="J140" i="4" s="1"/>
  <c r="F140" i="4"/>
  <c r="G139" i="4"/>
  <c r="I139" i="4" s="1"/>
  <c r="J139" i="4" s="1"/>
  <c r="F139" i="4"/>
  <c r="G138" i="4"/>
  <c r="I138" i="4" s="1"/>
  <c r="J138" i="4" s="1"/>
  <c r="F138" i="4"/>
  <c r="G137" i="4"/>
  <c r="I137" i="4" s="1"/>
  <c r="J137" i="4" s="1"/>
  <c r="F137" i="4"/>
  <c r="G136" i="4"/>
  <c r="I136" i="4" s="1"/>
  <c r="J136" i="4" s="1"/>
  <c r="F136" i="4"/>
  <c r="G135" i="4"/>
  <c r="I135" i="4" s="1"/>
  <c r="J135" i="4" s="1"/>
  <c r="F135" i="4"/>
  <c r="G134" i="4"/>
  <c r="I134" i="4" s="1"/>
  <c r="J134" i="4" s="1"/>
  <c r="F134" i="4"/>
  <c r="G133" i="4"/>
  <c r="I133" i="4" s="1"/>
  <c r="J133" i="4" s="1"/>
  <c r="F133" i="4"/>
  <c r="G132" i="4"/>
  <c r="I132" i="4" s="1"/>
  <c r="J132" i="4" s="1"/>
  <c r="F132" i="4"/>
  <c r="G131" i="4"/>
  <c r="I131" i="4" s="1"/>
  <c r="J131" i="4" s="1"/>
  <c r="F131" i="4"/>
  <c r="G130" i="4"/>
  <c r="I130" i="4" s="1"/>
  <c r="J130" i="4" s="1"/>
  <c r="F130" i="4"/>
  <c r="G129" i="4"/>
  <c r="I129" i="4" s="1"/>
  <c r="J129" i="4" s="1"/>
  <c r="F129" i="4"/>
  <c r="G128" i="4"/>
  <c r="I128" i="4" s="1"/>
  <c r="J128" i="4" s="1"/>
  <c r="F128" i="4"/>
  <c r="G127" i="4"/>
  <c r="I127" i="4" s="1"/>
  <c r="J127" i="4" s="1"/>
  <c r="F127" i="4"/>
  <c r="G126" i="4"/>
  <c r="I126" i="4" s="1"/>
  <c r="J126" i="4" s="1"/>
  <c r="F126" i="4"/>
  <c r="G125" i="4"/>
  <c r="I125" i="4" s="1"/>
  <c r="J125" i="4" s="1"/>
  <c r="F125" i="4"/>
  <c r="G124" i="4"/>
  <c r="I124" i="4" s="1"/>
  <c r="J124" i="4" s="1"/>
  <c r="F124" i="4"/>
  <c r="G123" i="4"/>
  <c r="I123" i="4" s="1"/>
  <c r="J123" i="4" s="1"/>
  <c r="F123" i="4"/>
  <c r="G122" i="4"/>
  <c r="I122" i="4" s="1"/>
  <c r="J122" i="4" s="1"/>
  <c r="F122" i="4"/>
  <c r="G121" i="4"/>
  <c r="I121" i="4" s="1"/>
  <c r="J121" i="4" s="1"/>
  <c r="F121" i="4"/>
  <c r="G120" i="4"/>
  <c r="I120" i="4" s="1"/>
  <c r="J120" i="4" s="1"/>
  <c r="F120" i="4"/>
  <c r="G119" i="4"/>
  <c r="I119" i="4" s="1"/>
  <c r="J119" i="4" s="1"/>
  <c r="F119" i="4"/>
  <c r="G118" i="4"/>
  <c r="I118" i="4" s="1"/>
  <c r="J118" i="4" s="1"/>
  <c r="F118" i="4"/>
  <c r="G117" i="4"/>
  <c r="I117" i="4" s="1"/>
  <c r="J117" i="4" s="1"/>
  <c r="F117" i="4"/>
  <c r="G116" i="4"/>
  <c r="I116" i="4" s="1"/>
  <c r="J116" i="4" s="1"/>
  <c r="F116" i="4"/>
  <c r="G115" i="4"/>
  <c r="I115" i="4" s="1"/>
  <c r="J115" i="4" s="1"/>
  <c r="F115" i="4"/>
  <c r="G114" i="4"/>
  <c r="I114" i="4" s="1"/>
  <c r="J114" i="4" s="1"/>
  <c r="F114" i="4"/>
  <c r="G113" i="4"/>
  <c r="I113" i="4" s="1"/>
  <c r="J113" i="4" s="1"/>
  <c r="F113" i="4"/>
  <c r="G112" i="4"/>
  <c r="I112" i="4" s="1"/>
  <c r="J112" i="4" s="1"/>
  <c r="F112" i="4"/>
  <c r="G111" i="4"/>
  <c r="I111" i="4" s="1"/>
  <c r="J111" i="4" s="1"/>
  <c r="F111" i="4"/>
  <c r="G110" i="4"/>
  <c r="I110" i="4" s="1"/>
  <c r="J110" i="4" s="1"/>
  <c r="F110" i="4"/>
  <c r="G109" i="4"/>
  <c r="I109" i="4" s="1"/>
  <c r="J109" i="4" s="1"/>
  <c r="F109" i="4"/>
  <c r="G108" i="4"/>
  <c r="I108" i="4" s="1"/>
  <c r="J108" i="4" s="1"/>
  <c r="F108" i="4"/>
  <c r="G107" i="4"/>
  <c r="I107" i="4" s="1"/>
  <c r="J107" i="4" s="1"/>
  <c r="F107" i="4"/>
  <c r="G106" i="4"/>
  <c r="I106" i="4" s="1"/>
  <c r="J106" i="4" s="1"/>
  <c r="F106" i="4"/>
  <c r="G105" i="4"/>
  <c r="I105" i="4" s="1"/>
  <c r="J105" i="4" s="1"/>
  <c r="F105" i="4"/>
  <c r="G104" i="4"/>
  <c r="I104" i="4" s="1"/>
  <c r="J104" i="4" s="1"/>
  <c r="F104" i="4"/>
  <c r="G103" i="4"/>
  <c r="I103" i="4" s="1"/>
  <c r="J103" i="4" s="1"/>
  <c r="F103" i="4"/>
  <c r="G102" i="4"/>
  <c r="I102" i="4" s="1"/>
  <c r="J102" i="4" s="1"/>
  <c r="F102" i="4"/>
  <c r="G101" i="4"/>
  <c r="I101" i="4" s="1"/>
  <c r="J101" i="4" s="1"/>
  <c r="F101" i="4"/>
  <c r="G100" i="4"/>
  <c r="I100" i="4" s="1"/>
  <c r="J100" i="4" s="1"/>
  <c r="F100" i="4"/>
  <c r="G99" i="4"/>
  <c r="I99" i="4" s="1"/>
  <c r="J99" i="4" s="1"/>
  <c r="F99" i="4"/>
  <c r="G98" i="4"/>
  <c r="I98" i="4" s="1"/>
  <c r="J98" i="4" s="1"/>
  <c r="F98" i="4"/>
  <c r="G97" i="4"/>
  <c r="I97" i="4" s="1"/>
  <c r="J97" i="4" s="1"/>
  <c r="F97" i="4"/>
  <c r="G96" i="4"/>
  <c r="I96" i="4" s="1"/>
  <c r="J96" i="4" s="1"/>
  <c r="F96" i="4"/>
  <c r="G95" i="4"/>
  <c r="I95" i="4" s="1"/>
  <c r="J95" i="4" s="1"/>
  <c r="F95" i="4"/>
  <c r="G94" i="4"/>
  <c r="I94" i="4" s="1"/>
  <c r="J94" i="4" s="1"/>
  <c r="F94" i="4"/>
  <c r="G93" i="4"/>
  <c r="I93" i="4" s="1"/>
  <c r="J93" i="4" s="1"/>
  <c r="F93" i="4"/>
  <c r="G92" i="4"/>
  <c r="I92" i="4" s="1"/>
  <c r="J92" i="4" s="1"/>
  <c r="F92" i="4"/>
  <c r="G91" i="4"/>
  <c r="I91" i="4" s="1"/>
  <c r="J91" i="4" s="1"/>
  <c r="F91" i="4"/>
  <c r="G90" i="4"/>
  <c r="I90" i="4" s="1"/>
  <c r="J90" i="4" s="1"/>
  <c r="F90" i="4"/>
  <c r="G89" i="4"/>
  <c r="I89" i="4" s="1"/>
  <c r="J89" i="4" s="1"/>
  <c r="F89" i="4"/>
  <c r="G88" i="4"/>
  <c r="I88" i="4" s="1"/>
  <c r="J88" i="4" s="1"/>
  <c r="F88" i="4"/>
  <c r="G87" i="4"/>
  <c r="I87" i="4" s="1"/>
  <c r="J87" i="4" s="1"/>
  <c r="F87" i="4"/>
  <c r="G86" i="4"/>
  <c r="I86" i="4" s="1"/>
  <c r="J86" i="4" s="1"/>
  <c r="F86" i="4"/>
  <c r="G85" i="4"/>
  <c r="I85" i="4" s="1"/>
  <c r="J85" i="4" s="1"/>
  <c r="F85" i="4"/>
  <c r="G84" i="4"/>
  <c r="I84" i="4" s="1"/>
  <c r="J84" i="4" s="1"/>
  <c r="F84" i="4"/>
  <c r="G83" i="4"/>
  <c r="I83" i="4" s="1"/>
  <c r="J83" i="4" s="1"/>
  <c r="F83" i="4"/>
  <c r="G82" i="4"/>
  <c r="I82" i="4" s="1"/>
  <c r="J82" i="4" s="1"/>
  <c r="F82" i="4"/>
  <c r="G81" i="4"/>
  <c r="I81" i="4" s="1"/>
  <c r="J81" i="4" s="1"/>
  <c r="F81" i="4"/>
  <c r="G80" i="4"/>
  <c r="I80" i="4" s="1"/>
  <c r="J80" i="4" s="1"/>
  <c r="F80" i="4"/>
  <c r="G79" i="4"/>
  <c r="I79" i="4" s="1"/>
  <c r="J79" i="4" s="1"/>
  <c r="F79" i="4"/>
  <c r="G78" i="4"/>
  <c r="I78" i="4" s="1"/>
  <c r="J78" i="4" s="1"/>
  <c r="F78" i="4"/>
  <c r="G77" i="4"/>
  <c r="I77" i="4" s="1"/>
  <c r="J77" i="4" s="1"/>
  <c r="F77" i="4"/>
  <c r="G76" i="4"/>
  <c r="I76" i="4" s="1"/>
  <c r="J76" i="4" s="1"/>
  <c r="F76" i="4"/>
  <c r="G75" i="4"/>
  <c r="I75" i="4" s="1"/>
  <c r="J75" i="4" s="1"/>
  <c r="F75" i="4"/>
  <c r="G74" i="4"/>
  <c r="I74" i="4" s="1"/>
  <c r="J74" i="4" s="1"/>
  <c r="F74" i="4"/>
  <c r="G73" i="4"/>
  <c r="I73" i="4" s="1"/>
  <c r="J73" i="4" s="1"/>
  <c r="F73" i="4"/>
  <c r="G72" i="4"/>
  <c r="I72" i="4" s="1"/>
  <c r="J72" i="4" s="1"/>
  <c r="F72" i="4"/>
  <c r="G71" i="4"/>
  <c r="I71" i="4" s="1"/>
  <c r="J71" i="4" s="1"/>
  <c r="F71" i="4"/>
  <c r="G70" i="4"/>
  <c r="I70" i="4" s="1"/>
  <c r="J70" i="4" s="1"/>
  <c r="F70" i="4"/>
  <c r="G69" i="4"/>
  <c r="I69" i="4" s="1"/>
  <c r="J69" i="4" s="1"/>
  <c r="F69" i="4"/>
  <c r="G68" i="4"/>
  <c r="I68" i="4" s="1"/>
  <c r="J68" i="4" s="1"/>
  <c r="F68" i="4"/>
  <c r="G67" i="4"/>
  <c r="I67" i="4" s="1"/>
  <c r="J67" i="4" s="1"/>
  <c r="F67" i="4"/>
  <c r="G66" i="4"/>
  <c r="I66" i="4" s="1"/>
  <c r="J66" i="4" s="1"/>
  <c r="F66" i="4"/>
  <c r="G65" i="4"/>
  <c r="I65" i="4" s="1"/>
  <c r="J65" i="4" s="1"/>
  <c r="F65" i="4"/>
  <c r="G64" i="4"/>
  <c r="I64" i="4" s="1"/>
  <c r="J64" i="4" s="1"/>
  <c r="F64" i="4"/>
  <c r="G63" i="4"/>
  <c r="I63" i="4" s="1"/>
  <c r="J63" i="4" s="1"/>
  <c r="F63" i="4"/>
  <c r="G62" i="4"/>
  <c r="I62" i="4" s="1"/>
  <c r="J62" i="4" s="1"/>
  <c r="F62" i="4"/>
  <c r="G61" i="4"/>
  <c r="I61" i="4" s="1"/>
  <c r="J61" i="4" s="1"/>
  <c r="F61" i="4"/>
  <c r="G60" i="4"/>
  <c r="I60" i="4" s="1"/>
  <c r="J60" i="4" s="1"/>
  <c r="F60" i="4"/>
  <c r="G59" i="4"/>
  <c r="I59" i="4" s="1"/>
  <c r="J59" i="4" s="1"/>
  <c r="F59" i="4"/>
  <c r="G58" i="4"/>
  <c r="I58" i="4" s="1"/>
  <c r="J58" i="4" s="1"/>
  <c r="F58" i="4"/>
  <c r="G57" i="4"/>
  <c r="I57" i="4" s="1"/>
  <c r="J57" i="4" s="1"/>
  <c r="F57" i="4"/>
  <c r="G56" i="4"/>
  <c r="I56" i="4" s="1"/>
  <c r="J56" i="4" s="1"/>
  <c r="F56" i="4"/>
  <c r="G55" i="4"/>
  <c r="I55" i="4" s="1"/>
  <c r="J55" i="4" s="1"/>
  <c r="F55" i="4"/>
  <c r="G54" i="4"/>
  <c r="I54" i="4" s="1"/>
  <c r="J54" i="4" s="1"/>
  <c r="F54" i="4"/>
  <c r="G53" i="4"/>
  <c r="I53" i="4" s="1"/>
  <c r="J53" i="4" s="1"/>
  <c r="F53" i="4"/>
  <c r="G52" i="4"/>
  <c r="I52" i="4" s="1"/>
  <c r="J52" i="4" s="1"/>
  <c r="F52" i="4"/>
  <c r="G51" i="4"/>
  <c r="I51" i="4" s="1"/>
  <c r="J51" i="4" s="1"/>
  <c r="F51" i="4"/>
  <c r="G50" i="4"/>
  <c r="I50" i="4" s="1"/>
  <c r="J50" i="4" s="1"/>
  <c r="F50" i="4"/>
  <c r="G49" i="4"/>
  <c r="I49" i="4" s="1"/>
  <c r="J49" i="4" s="1"/>
  <c r="F49" i="4"/>
  <c r="G48" i="4"/>
  <c r="I48" i="4" s="1"/>
  <c r="J48" i="4" s="1"/>
  <c r="F48" i="4"/>
  <c r="G47" i="4"/>
  <c r="I47" i="4" s="1"/>
  <c r="J47" i="4" s="1"/>
  <c r="F47" i="4"/>
  <c r="G46" i="4"/>
  <c r="I46" i="4" s="1"/>
  <c r="J46" i="4" s="1"/>
  <c r="F46" i="4"/>
  <c r="G45" i="4"/>
  <c r="I45" i="4" s="1"/>
  <c r="J45" i="4" s="1"/>
  <c r="F45" i="4"/>
  <c r="G44" i="4"/>
  <c r="I44" i="4" s="1"/>
  <c r="J44" i="4" s="1"/>
  <c r="F44" i="4"/>
  <c r="G43" i="4"/>
  <c r="I43" i="4" s="1"/>
  <c r="J43" i="4" s="1"/>
  <c r="F43" i="4"/>
  <c r="G42" i="4"/>
  <c r="I42" i="4" s="1"/>
  <c r="J42" i="4" s="1"/>
  <c r="F42" i="4"/>
  <c r="G41" i="4"/>
  <c r="I41" i="4" s="1"/>
  <c r="J41" i="4" s="1"/>
  <c r="F41" i="4"/>
  <c r="G40" i="4"/>
  <c r="I40" i="4" s="1"/>
  <c r="J40" i="4" s="1"/>
  <c r="F40" i="4"/>
  <c r="G39" i="4"/>
  <c r="I39" i="4" s="1"/>
  <c r="J39" i="4" s="1"/>
  <c r="F39" i="4"/>
  <c r="G38" i="4"/>
  <c r="I38" i="4" s="1"/>
  <c r="J38" i="4" s="1"/>
  <c r="F38" i="4"/>
  <c r="G37" i="4"/>
  <c r="I37" i="4" s="1"/>
  <c r="J37" i="4" s="1"/>
  <c r="F37" i="4"/>
  <c r="G36" i="4"/>
  <c r="I36" i="4" s="1"/>
  <c r="J36" i="4" s="1"/>
  <c r="F36" i="4"/>
  <c r="G35" i="4"/>
  <c r="I35" i="4" s="1"/>
  <c r="J35" i="4" s="1"/>
  <c r="F35" i="4"/>
  <c r="G34" i="4"/>
  <c r="I34" i="4" s="1"/>
  <c r="J34" i="4" s="1"/>
  <c r="F34" i="4"/>
  <c r="G33" i="4"/>
  <c r="I33" i="4" s="1"/>
  <c r="J33" i="4" s="1"/>
  <c r="F33" i="4"/>
  <c r="G32" i="4"/>
  <c r="I32" i="4" s="1"/>
  <c r="J32" i="4" s="1"/>
  <c r="F32" i="4"/>
  <c r="G31" i="4"/>
  <c r="I31" i="4" s="1"/>
  <c r="J31" i="4" s="1"/>
  <c r="F31" i="4"/>
  <c r="G30" i="4"/>
  <c r="I30" i="4" s="1"/>
  <c r="J30" i="4" s="1"/>
  <c r="F30" i="4"/>
  <c r="G29" i="4"/>
  <c r="I29" i="4" s="1"/>
  <c r="J29" i="4" s="1"/>
  <c r="F29" i="4"/>
  <c r="G28" i="4"/>
  <c r="I28" i="4" s="1"/>
  <c r="J28" i="4" s="1"/>
  <c r="F28" i="4"/>
  <c r="G27" i="4"/>
  <c r="I27" i="4" s="1"/>
  <c r="J27" i="4" s="1"/>
  <c r="F27" i="4"/>
  <c r="G26" i="4"/>
  <c r="I26" i="4" s="1"/>
  <c r="J26" i="4" s="1"/>
  <c r="F26" i="4"/>
  <c r="G25" i="4"/>
  <c r="I25" i="4" s="1"/>
  <c r="J25" i="4" s="1"/>
  <c r="F25" i="4"/>
  <c r="G24" i="4"/>
  <c r="I24" i="4" s="1"/>
  <c r="J24" i="4" s="1"/>
  <c r="F24" i="4"/>
  <c r="G23" i="4"/>
  <c r="I23" i="4" s="1"/>
  <c r="J23" i="4" s="1"/>
  <c r="F23" i="4"/>
  <c r="G22" i="4"/>
  <c r="I22" i="4" s="1"/>
  <c r="J22" i="4" s="1"/>
  <c r="F22" i="4"/>
  <c r="G21" i="4"/>
  <c r="I21" i="4" s="1"/>
  <c r="J21" i="4" s="1"/>
  <c r="F21" i="4"/>
  <c r="G20" i="4"/>
  <c r="I20" i="4" s="1"/>
  <c r="J20" i="4" s="1"/>
  <c r="F20" i="4"/>
  <c r="G19" i="4"/>
  <c r="I19" i="4" s="1"/>
  <c r="J19" i="4" s="1"/>
  <c r="F19" i="4"/>
  <c r="G18" i="4"/>
  <c r="I18" i="4" s="1"/>
  <c r="J18" i="4" s="1"/>
  <c r="F18" i="4"/>
  <c r="G17" i="4"/>
  <c r="I17" i="4" s="1"/>
  <c r="J17" i="4" s="1"/>
  <c r="F17" i="4"/>
  <c r="G16" i="4"/>
  <c r="I16" i="4" s="1"/>
  <c r="J16" i="4" s="1"/>
  <c r="F16" i="4"/>
  <c r="G15" i="4"/>
  <c r="I15" i="4" s="1"/>
  <c r="J15" i="4" s="1"/>
  <c r="F15" i="4"/>
  <c r="G14" i="4"/>
  <c r="I14" i="4" s="1"/>
  <c r="J14" i="4" s="1"/>
  <c r="F14" i="4"/>
  <c r="G13" i="4"/>
  <c r="I13" i="4" s="1"/>
  <c r="J13" i="4" s="1"/>
  <c r="F13" i="4"/>
  <c r="G12" i="4"/>
  <c r="I12" i="4" s="1"/>
  <c r="J12" i="4" s="1"/>
  <c r="F12" i="4"/>
  <c r="G11" i="4"/>
  <c r="I11" i="4" s="1"/>
  <c r="J11" i="4" s="1"/>
  <c r="F11" i="4"/>
  <c r="G10" i="4"/>
  <c r="I10" i="4" s="1"/>
  <c r="J10" i="4" s="1"/>
  <c r="F10" i="4"/>
  <c r="G9" i="4"/>
  <c r="I9" i="4" s="1"/>
  <c r="J9" i="4" s="1"/>
  <c r="F9" i="4"/>
  <c r="O48" i="2"/>
  <c r="N48" i="2"/>
  <c r="M48" i="2"/>
  <c r="J48" i="2"/>
  <c r="O47" i="2"/>
  <c r="N47" i="2"/>
  <c r="M47" i="2"/>
  <c r="J47" i="2"/>
  <c r="O46" i="2"/>
  <c r="N46" i="2"/>
  <c r="M46" i="2"/>
  <c r="J46" i="2"/>
  <c r="O45" i="2"/>
  <c r="N45" i="2"/>
  <c r="M45" i="2"/>
  <c r="J45" i="2"/>
  <c r="O44" i="2"/>
  <c r="N44" i="2"/>
  <c r="M44" i="2"/>
  <c r="J44" i="2"/>
  <c r="O43" i="2"/>
  <c r="N43" i="2"/>
  <c r="M43" i="2"/>
  <c r="J43" i="2"/>
  <c r="O42" i="2"/>
  <c r="N42" i="2"/>
  <c r="M42" i="2"/>
  <c r="J42" i="2"/>
  <c r="O41" i="2"/>
  <c r="N41" i="2"/>
  <c r="M41" i="2"/>
  <c r="J41" i="2"/>
  <c r="O40" i="2"/>
  <c r="N40" i="2"/>
  <c r="M40" i="2"/>
  <c r="J40" i="2"/>
  <c r="O39" i="2"/>
  <c r="N39" i="2"/>
  <c r="M39" i="2"/>
  <c r="J39" i="2"/>
  <c r="O38" i="2"/>
  <c r="N38" i="2"/>
  <c r="M38" i="2"/>
  <c r="J38" i="2"/>
  <c r="O37" i="2"/>
  <c r="N37" i="2"/>
  <c r="M37" i="2"/>
  <c r="J37" i="2"/>
  <c r="O36" i="2"/>
  <c r="N36" i="2"/>
  <c r="M36" i="2"/>
  <c r="J36" i="2"/>
  <c r="O35" i="2"/>
  <c r="N35" i="2"/>
  <c r="M35" i="2"/>
  <c r="J35" i="2"/>
  <c r="O34" i="2"/>
  <c r="N34" i="2"/>
  <c r="M34" i="2"/>
  <c r="J34" i="2"/>
  <c r="O33" i="2"/>
  <c r="N33" i="2"/>
  <c r="M33" i="2"/>
  <c r="J33" i="2"/>
  <c r="O32" i="2"/>
  <c r="N32" i="2"/>
  <c r="M32" i="2"/>
  <c r="J32" i="2"/>
  <c r="O31" i="2"/>
  <c r="N31" i="2"/>
  <c r="M31" i="2"/>
  <c r="J31" i="2"/>
  <c r="O30" i="2"/>
  <c r="N30" i="2"/>
  <c r="M30" i="2"/>
  <c r="J30" i="2"/>
  <c r="O29" i="2"/>
  <c r="N29" i="2"/>
  <c r="M29" i="2"/>
  <c r="J29" i="2"/>
  <c r="O28" i="2"/>
  <c r="N28" i="2"/>
  <c r="M28" i="2"/>
  <c r="J28" i="2"/>
  <c r="O27" i="2"/>
  <c r="N27" i="2"/>
  <c r="M27" i="2"/>
  <c r="J27" i="2"/>
  <c r="O26" i="2"/>
  <c r="N26" i="2"/>
  <c r="M26" i="2"/>
  <c r="J26" i="2"/>
  <c r="O25" i="2"/>
  <c r="N25" i="2"/>
  <c r="M25" i="2"/>
  <c r="J25" i="2"/>
  <c r="O24" i="2"/>
  <c r="N24" i="2"/>
  <c r="M24" i="2"/>
  <c r="J24" i="2"/>
  <c r="O23" i="2"/>
  <c r="N23" i="2"/>
  <c r="M23" i="2"/>
  <c r="J23" i="2"/>
  <c r="O22" i="2"/>
  <c r="N22" i="2"/>
  <c r="M22" i="2"/>
  <c r="J22" i="2"/>
  <c r="O21" i="2"/>
  <c r="N21" i="2"/>
  <c r="M21" i="2"/>
  <c r="J21" i="2"/>
  <c r="O20" i="2"/>
  <c r="N20" i="2"/>
  <c r="M20" i="2"/>
  <c r="J20" i="2"/>
  <c r="O19" i="2"/>
  <c r="N19" i="2"/>
  <c r="M19" i="2"/>
  <c r="J19" i="2"/>
  <c r="O18" i="2"/>
  <c r="N18" i="2"/>
  <c r="M18" i="2"/>
  <c r="J18" i="2"/>
  <c r="O17" i="2"/>
  <c r="N17" i="2"/>
  <c r="M17" i="2"/>
  <c r="J17" i="2"/>
  <c r="O16" i="2"/>
  <c r="N16" i="2"/>
  <c r="M16" i="2"/>
  <c r="J16" i="2"/>
  <c r="O15" i="2"/>
  <c r="N15" i="2"/>
  <c r="M15" i="2"/>
  <c r="J15" i="2"/>
  <c r="N14" i="2"/>
  <c r="O14" i="2" s="1"/>
  <c r="M14" i="2"/>
  <c r="J14" i="2"/>
  <c r="N13" i="2"/>
  <c r="O13" i="2" s="1"/>
  <c r="M13" i="2"/>
  <c r="J13" i="2"/>
  <c r="N12" i="2"/>
  <c r="O12" i="2" s="1"/>
  <c r="M12" i="2"/>
  <c r="J12" i="2"/>
  <c r="N11" i="2"/>
  <c r="O11" i="2" s="1"/>
  <c r="M11" i="2"/>
  <c r="J11" i="2"/>
  <c r="N10" i="2"/>
  <c r="O10" i="2" s="1"/>
  <c r="M10" i="2"/>
  <c r="J10" i="2"/>
  <c r="N9" i="2"/>
  <c r="O9" i="2" s="1"/>
  <c r="M9" i="2"/>
  <c r="J9" i="2"/>
  <c r="M46" i="1"/>
  <c r="L46" i="1"/>
  <c r="M45" i="1"/>
  <c r="L45" i="1"/>
  <c r="M44" i="1"/>
  <c r="L44" i="1"/>
  <c r="M43" i="1"/>
  <c r="L43" i="1"/>
  <c r="M42" i="1"/>
  <c r="L42" i="1"/>
  <c r="M41" i="1"/>
  <c r="L41" i="1"/>
  <c r="C41" i="1"/>
  <c r="M40" i="1"/>
  <c r="L40" i="1"/>
  <c r="C40" i="1"/>
  <c r="M39" i="1"/>
  <c r="L39" i="1"/>
  <c r="C39" i="1"/>
  <c r="M38" i="1"/>
  <c r="L38" i="1"/>
  <c r="C38" i="1"/>
  <c r="M37" i="1"/>
  <c r="L37" i="1"/>
  <c r="C37" i="1"/>
  <c r="M36" i="1"/>
  <c r="L36" i="1"/>
  <c r="C36" i="1"/>
  <c r="M35" i="1"/>
  <c r="L35" i="1"/>
  <c r="C35" i="1"/>
  <c r="M34" i="1"/>
  <c r="L34" i="1"/>
  <c r="C34" i="1"/>
  <c r="M33" i="1"/>
  <c r="L33" i="1"/>
  <c r="C33" i="1"/>
  <c r="M32" i="1"/>
  <c r="L32" i="1"/>
  <c r="C32" i="1"/>
  <c r="M31" i="1"/>
  <c r="L31" i="1"/>
  <c r="C31" i="1"/>
  <c r="M30" i="1"/>
  <c r="L30" i="1"/>
  <c r="C30" i="1"/>
  <c r="M29" i="1"/>
  <c r="L29" i="1"/>
  <c r="C29" i="1"/>
  <c r="M28" i="1"/>
  <c r="L28" i="1"/>
  <c r="C28" i="1"/>
  <c r="M27" i="1"/>
  <c r="L27" i="1"/>
  <c r="C27" i="1"/>
  <c r="C26" i="1"/>
  <c r="L48" i="2" l="1"/>
  <c r="K48" i="2"/>
  <c r="L47" i="2"/>
  <c r="K47" i="2"/>
  <c r="L46" i="2"/>
  <c r="K46" i="2"/>
  <c r="L45" i="2"/>
  <c r="K45" i="2"/>
  <c r="L44" i="2"/>
  <c r="K44" i="2"/>
  <c r="K43" i="2"/>
  <c r="L43" i="2"/>
  <c r="K42" i="2"/>
  <c r="L42" i="2"/>
  <c r="K41" i="2"/>
  <c r="L41" i="2"/>
  <c r="L40" i="2"/>
  <c r="K40" i="2"/>
  <c r="K39" i="2"/>
  <c r="L39" i="2"/>
  <c r="K38" i="2"/>
  <c r="L38" i="2"/>
  <c r="K37" i="2"/>
  <c r="L37" i="2"/>
  <c r="K36" i="2"/>
  <c r="L36" i="2"/>
  <c r="L35" i="2"/>
  <c r="K35" i="2"/>
  <c r="L34" i="2"/>
  <c r="K34" i="2"/>
  <c r="L33" i="2"/>
  <c r="K33" i="2"/>
  <c r="L32" i="2"/>
  <c r="K32" i="2"/>
  <c r="L31" i="2"/>
  <c r="K31" i="2"/>
  <c r="L30" i="2"/>
  <c r="K30" i="2"/>
  <c r="L29" i="2"/>
  <c r="K29" i="2"/>
  <c r="L28" i="2"/>
  <c r="K28" i="2"/>
  <c r="L27" i="2"/>
  <c r="K27" i="2"/>
  <c r="L26" i="2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/>
  <c r="K18" i="2"/>
  <c r="L17" i="2"/>
  <c r="K17" i="2"/>
  <c r="L16" i="2"/>
  <c r="K16" i="2"/>
  <c r="L15" i="2"/>
  <c r="K15" i="2"/>
  <c r="K14" i="2"/>
  <c r="L14" i="2"/>
  <c r="K13" i="2"/>
  <c r="L13" i="2"/>
  <c r="K12" i="2"/>
  <c r="L12" i="2"/>
  <c r="L11" i="2"/>
  <c r="K11" i="2"/>
  <c r="K10" i="2"/>
  <c r="L10" i="2"/>
  <c r="K9" i="2"/>
  <c r="L9" i="2"/>
</calcChain>
</file>

<file path=xl/sharedStrings.xml><?xml version="1.0" encoding="utf-8"?>
<sst xmlns="http://schemas.openxmlformats.org/spreadsheetml/2006/main" count="8400" uniqueCount="1220">
  <si>
    <t xml:space="preserve">  CONFIGURATION</t>
  </si>
  <si>
    <t xml:space="preserve">  Le point de depart : renseignez le dossier libs, puis lancez INIT.</t>
  </si>
  <si>
    <t>Affaire</t>
  </si>
  <si>
    <t>2024_06_264</t>
  </si>
  <si>
    <t>Client</t>
  </si>
  <si>
    <t>ALI</t>
  </si>
  <si>
    <t>Indice</t>
  </si>
  <si>
    <t>A</t>
  </si>
  <si>
    <t>Le</t>
  </si>
  <si>
    <t>18/09/2026</t>
  </si>
  <si>
    <t>Dossier libs</t>
  </si>
  <si>
    <t>LE SEUL CHAMP INDISPENSABLE. La macro INIT lit ce dossier, ouvre chaque .ddt et .dfb, et remplit l'onglet Catalogue. Tout le reste en decoule.</t>
  </si>
  <si>
    <t>Automate</t>
  </si>
  <si>
    <t>BMX P34 2020</t>
  </si>
  <si>
    <t>la reference CPU, reprise sur l'onglet Cartes API</t>
  </si>
  <si>
    <t>Tache</t>
  </si>
  <si>
    <t>MAST</t>
  </si>
  <si>
    <t>la tache des sections generees</t>
  </si>
  <si>
    <t>Periode (ms)</t>
  </si>
  <si>
    <t>sa periode : les blocs en tirent leurs temporisations</t>
  </si>
  <si>
    <t>Zone MW debut</t>
  </si>
  <si>
    <t>premiere adresse mot utilisable pour les reports</t>
  </si>
  <si>
    <t>Zone MW fin</t>
  </si>
  <si>
    <t>derniere</t>
  </si>
  <si>
    <t>Zone MX debut</t>
  </si>
  <si>
    <t>premiere adresse bit</t>
  </si>
  <si>
    <t>Zone MX fin</t>
  </si>
  <si>
    <t>MARCHE A SUIVRE</t>
  </si>
  <si>
    <t>1.  INIT</t>
  </si>
  <si>
    <t>lit le dossier libs, remplit le Catalogue</t>
  </si>
  <si>
    <t>2.  Cartes API</t>
  </si>
  <si>
    <t>declarez vos cartes, les voies se creent</t>
  </si>
  <si>
    <t>3.  E/S</t>
  </si>
  <si>
    <t>double-clic sur une voie pour la regler</t>
  </si>
  <si>
    <t>4.  Ajouter equipement</t>
  </si>
  <si>
    <t>famille, voies, adresses de report</t>
  </si>
  <si>
    <t>5.  Tout recalculer</t>
  </si>
  <si>
    <t>reports, cartographie, ST</t>
  </si>
  <si>
    <t>Rien n'est obligatoire dans l'ordre : on peut declarer des voies sans equipement, un equipement sans report, un report sans voie. Les liens se font quand ils ont un sens.</t>
  </si>
  <si>
    <t>TABLEAU DE BORD</t>
  </si>
  <si>
    <t>Les chiffres sont des formules : ils ne peuvent pas etre perimes.</t>
  </si>
  <si>
    <t>Cartes declarees</t>
  </si>
  <si>
    <t>Tranche</t>
  </si>
  <si>
    <t>Occupes</t>
  </si>
  <si>
    <t>Voies declarees</t>
  </si>
  <si>
    <t xml:space="preserve">  dont entrees TOR</t>
  </si>
  <si>
    <t xml:space="preserve">  dont sorties TOR</t>
  </si>
  <si>
    <t xml:space="preserve">  dont entrees ANA</t>
  </si>
  <si>
    <t xml:space="preserve">  dont sorties ANA</t>
  </si>
  <si>
    <t>Voies cablees</t>
  </si>
  <si>
    <t>Voies libres</t>
  </si>
  <si>
    <t>Equipements</t>
  </si>
  <si>
    <t>Reports</t>
  </si>
  <si>
    <t xml:space="preserve">  informations (TM)</t>
  </si>
  <si>
    <t xml:space="preserve">  alarmes (TA)</t>
  </si>
  <si>
    <t xml:space="preserve">  commandes (TC)</t>
  </si>
  <si>
    <t>Mots %MW occupes</t>
  </si>
  <si>
    <t>Bits %MX occupes</t>
  </si>
  <si>
    <t>Conflits d'adresse</t>
  </si>
  <si>
    <t xml:space="preserve">  CARTES DE L'AUTOMATE</t>
  </si>
  <si>
    <t xml:space="preserve">  Declarez une carte, ses voies se creent dans l'onglet E/S. La vue du rack est en dessous du tableau.</t>
  </si>
  <si>
    <t>Carte</t>
  </si>
  <si>
    <t>Programme</t>
  </si>
  <si>
    <t>Calcule</t>
  </si>
  <si>
    <t>Documentation</t>
  </si>
  <si>
    <t>Nom</t>
  </si>
  <si>
    <t>Rack</t>
  </si>
  <si>
    <t>Module</t>
  </si>
  <si>
    <t>Famille</t>
  </si>
  <si>
    <t>Reference</t>
  </si>
  <si>
    <t>Voies</t>
  </si>
  <si>
    <t>Active</t>
  </si>
  <si>
    <t>Tableau</t>
  </si>
  <si>
    <t>Instance</t>
  </si>
  <si>
    <t>Prefixe</t>
  </si>
  <si>
    <t>Premiere</t>
  </si>
  <si>
    <t>Derniere</t>
  </si>
  <si>
    <t>Bloc</t>
  </si>
  <si>
    <t>Declarees</t>
  </si>
  <si>
    <t>Etat</t>
  </si>
  <si>
    <t>Commentaire</t>
  </si>
  <si>
    <t>libre</t>
  </si>
  <si>
    <t>0..7 ▾</t>
  </si>
  <si>
    <t>0..15</t>
  </si>
  <si>
    <t>▾ liste</t>
  </si>
  <si>
    <t>DDI 1602</t>
  </si>
  <si>
    <t>1..64</t>
  </si>
  <si>
    <t>O/N ▾</t>
  </si>
  <si>
    <t>nom ST</t>
  </si>
  <si>
    <t>du DFB</t>
  </si>
  <si>
    <t>taille</t>
  </si>
  <si>
    <t>voies creees</t>
  </si>
  <si>
    <t>DI_R0S4</t>
  </si>
  <si>
    <t>DI</t>
  </si>
  <si>
    <t>BMX DDI 1602</t>
  </si>
  <si>
    <t>O</t>
  </si>
  <si>
    <t>CarteDI_R0S4</t>
  </si>
  <si>
    <t>IO_DI_R0S4</t>
  </si>
  <si>
    <t>DO_R0S5</t>
  </si>
  <si>
    <t>DO</t>
  </si>
  <si>
    <t>BMX DRA 1605</t>
  </si>
  <si>
    <t>CarteDO_R0S5</t>
  </si>
  <si>
    <t>IO_DO_R0S5</t>
  </si>
  <si>
    <t>DI_R0S7</t>
  </si>
  <si>
    <t>CarteDI_R0S7</t>
  </si>
  <si>
    <t>IO_DI_R0S7</t>
  </si>
  <si>
    <t>DO_R0S8</t>
  </si>
  <si>
    <t>CarteDO_R0S8</t>
  </si>
  <si>
    <t>IO_DO_R0S8</t>
  </si>
  <si>
    <t>AI_R0S10</t>
  </si>
  <si>
    <t>AI</t>
  </si>
  <si>
    <t>BMX AMI 0810</t>
  </si>
  <si>
    <t>CarteAI_R0S10</t>
  </si>
  <si>
    <t>IO_AI_R0S10</t>
  </si>
  <si>
    <t>AI_R0S11</t>
  </si>
  <si>
    <t>CarteAI_R0S11</t>
  </si>
  <si>
    <t>IO_AI_R0S11</t>
  </si>
  <si>
    <t>Le bouton Creer les voies ajoute dans l'onglet E/S ce qui manque pour chaque carte active. Il n'efface jamais : une voie deja reglee reste telle quelle.</t>
  </si>
  <si>
    <t>La colonne Etat compare les voies declarees ici et celles qui existent vraiment. "TROP" veut dire qu'il reste des voies d'une carte reduite.</t>
  </si>
  <si>
    <t xml:space="preserve">  VUE DES RACKS</t>
  </si>
  <si>
    <t xml:space="preserve">  Une case par emplacement. Le bouton Rafraichir la vue la remplit depuis l'onglet Cartes API.</t>
  </si>
  <si>
    <t>Rack 0</t>
  </si>
  <si>
    <t>nom</t>
  </si>
  <si>
    <t>famille</t>
  </si>
  <si>
    <t>reference</t>
  </si>
  <si>
    <t>voies</t>
  </si>
  <si>
    <t>etat</t>
  </si>
  <si>
    <t>Rack 1</t>
  </si>
  <si>
    <t>Rack 2</t>
  </si>
  <si>
    <t>Rack 3</t>
  </si>
  <si>
    <t>Rack 4</t>
  </si>
  <si>
    <t>Rack 5</t>
  </si>
  <si>
    <t>Rack 6</t>
  </si>
  <si>
    <t>Rack 7</t>
  </si>
  <si>
    <t>Legende</t>
  </si>
  <si>
    <t>Entrees TOR</t>
  </si>
  <si>
    <t>Sorties TOR</t>
  </si>
  <si>
    <t>Entrees ANA</t>
  </si>
  <si>
    <t>AO</t>
  </si>
  <si>
    <t>Sorties ANA</t>
  </si>
  <si>
    <t>Un emplacement vide entre deux cartes se voit ici en une seconde. Dans une liste triee par nom, pas du tout.</t>
  </si>
  <si>
    <t xml:space="preserve">  ENTREES / SORTIES</t>
  </si>
  <si>
    <t xml:space="preserve">  Les quatre familles ensemble. Filtrez sur Famille pour n'en voir qu'une ; double-cliquez une ligne pour la regler.</t>
  </si>
  <si>
    <t>Voie</t>
  </si>
  <si>
    <t>Reglages TOR</t>
  </si>
  <si>
    <t>Echelle ANA</t>
  </si>
  <si>
    <t>Seuil 0</t>
  </si>
  <si>
    <t>Seuil 1</t>
  </si>
  <si>
    <t>Seuil 2</t>
  </si>
  <si>
    <t>Seuil 3</t>
  </si>
  <si>
    <t>Designation</t>
  </si>
  <si>
    <t>Repere</t>
  </si>
  <si>
    <t>Adresse</t>
  </si>
  <si>
    <t>Index</t>
  </si>
  <si>
    <t>Acces ST</t>
  </si>
  <si>
    <t>Equipement</t>
  </si>
  <si>
    <t>Inv</t>
  </si>
  <si>
    <t>DebounceMs</t>
  </si>
  <si>
    <t>AlarmEn</t>
  </si>
  <si>
    <t>AlarmState</t>
  </si>
  <si>
    <t>AlarmDelayMs</t>
  </si>
  <si>
    <t>Sev</t>
  </si>
  <si>
    <t>Unite</t>
  </si>
  <si>
    <t>RawMin</t>
  </si>
  <si>
    <t>RawMax</t>
  </si>
  <si>
    <t>EngMin</t>
  </si>
  <si>
    <t>EngMax</t>
  </si>
  <si>
    <t>Clamp</t>
  </si>
  <si>
    <t>DeadBand</t>
  </si>
  <si>
    <t>FiltN</t>
  </si>
  <si>
    <t>RateMax</t>
  </si>
  <si>
    <t>S0_En</t>
  </si>
  <si>
    <t>S0_Dir</t>
  </si>
  <si>
    <t>S0_Val</t>
  </si>
  <si>
    <t>S0_Hyst</t>
  </si>
  <si>
    <t>S0_DelayMs</t>
  </si>
  <si>
    <t>S0_Sev</t>
  </si>
  <si>
    <t>S1_En</t>
  </si>
  <si>
    <t>S1_Dir</t>
  </si>
  <si>
    <t>S1_Val</t>
  </si>
  <si>
    <t>S1_Hyst</t>
  </si>
  <si>
    <t>S1_DelayMs</t>
  </si>
  <si>
    <t>S1_Sev</t>
  </si>
  <si>
    <t>S2_En</t>
  </si>
  <si>
    <t>S2_Dir</t>
  </si>
  <si>
    <t>S2_Val</t>
  </si>
  <si>
    <t>S2_Hyst</t>
  </si>
  <si>
    <t>S2_DelayMs</t>
  </si>
  <si>
    <t>S2_Sev</t>
  </si>
  <si>
    <t>S3_En</t>
  </si>
  <si>
    <t>S3_Dir</t>
  </si>
  <si>
    <t>S3_Val</t>
  </si>
  <si>
    <t>S3_Hyst</t>
  </si>
  <si>
    <t>S3_DelayMs</t>
  </si>
  <si>
    <t>S3_Sev</t>
  </si>
  <si>
    <t>DI/DO/AI/AO ▾</t>
  </si>
  <si>
    <t>0..63</t>
  </si>
  <si>
    <t>ce que c'est</t>
  </si>
  <si>
    <t>schema</t>
  </si>
  <si>
    <t>dans le tableau</t>
  </si>
  <si>
    <t>lien</t>
  </si>
  <si>
    <t>O/N</t>
  </si>
  <si>
    <t>ms</t>
  </si>
  <si>
    <t>0/1</t>
  </si>
  <si>
    <t>1..4</t>
  </si>
  <si>
    <t>pts</t>
  </si>
  <si>
    <t>0..8</t>
  </si>
  <si>
    <t>u/s</t>
  </si>
  <si>
    <t>H/B</t>
  </si>
  <si>
    <t>Une couleur par famille dans la colonne A : les quatre parties se voient sans avoir a filtrer, et le filtre les separe quand on veut travailler sur une seule.</t>
  </si>
  <si>
    <t>Les blocs Reglages TOR, Echelle ANA et Seuils sont replies : ouvrez avec le + en haut celui dont vous avez besoin. Une voie TOR laisse les colonnes ANA vides, et reciproquement.</t>
  </si>
  <si>
    <t>La colonne Equipement se remplit toute seule quand une voie est cablee depuis l'assistant d'equipement. Elle reste vide si la voie ne sert a rien d'autre qu'a etre lue - ce qui est parfaitement admis.</t>
  </si>
  <si>
    <t xml:space="preserve">  CATALOGUE DES DDT ET DFB</t>
  </si>
  <si>
    <t xml:space="preserve">  Ecrit par INIT depuis le dossier libs. Seules les trois colonnes vertes sont a vous - et INIT ne les ecrase jamais.</t>
  </si>
  <si>
    <t>Origine</t>
  </si>
  <si>
    <t>Parametre</t>
  </si>
  <si>
    <t>Choix</t>
  </si>
  <si>
    <t>Genre</t>
  </si>
  <si>
    <t>Fichier</t>
  </si>
  <si>
    <t>Type</t>
  </si>
  <si>
    <t>Portee</t>
  </si>
  <si>
    <t>Defaut</t>
  </si>
  <si>
    <t>Reportable</t>
  </si>
  <si>
    <t>Type report</t>
  </si>
  <si>
    <t>Cablage E/S</t>
  </si>
  <si>
    <t>DDT ou DFB</t>
  </si>
  <si>
    <t>ddt/dfb</t>
  </si>
  <si>
    <t>dans libs</t>
  </si>
  <si>
    <t>TM/TA/TC ▾</t>
  </si>
  <si>
    <t>Reportable dit si ce parametre merite de remonter a l'IHM. Type report dit comment : TM information, TA alarme, TC commande.</t>
  </si>
  <si>
    <t>Cablage E/S dit si ce parametre se branche sur une voie physique, et dans quel sens. Vide veut dire qu'il n'en vient pas : un defaut calcule par le bloc, une consigne qui vient de l'IHM.</t>
  </si>
  <si>
    <t xml:space="preserve">  EQUIPEMENTS</t>
  </si>
  <si>
    <t xml:space="preserve">  Double-cliquez une ligne pour rouvrir l'assistant et changer ses voies ou ses adresses.</t>
  </si>
  <si>
    <t>Identification</t>
  </si>
  <si>
    <t>Bilan</t>
  </si>
  <si>
    <t>Actif</t>
  </si>
  <si>
    <t>Forme</t>
  </si>
  <si>
    <t>Variable</t>
  </si>
  <si>
    <t>Conflit</t>
  </si>
  <si>
    <t>P1</t>
  </si>
  <si>
    <t>si tableau</t>
  </si>
  <si>
    <t>cablees</t>
  </si>
  <si>
    <t>index pris</t>
  </si>
  <si>
    <t>Les deux colonnes de bilan comptent ce qui est reellement cable et reporte. Un equipement a zero des deux n'est pas une erreur : c'est un equipement declare dont on n'a pas encore decide.</t>
  </si>
  <si>
    <t xml:space="preserve">  CABLAGE DES ENTREES / SORTIES</t>
  </si>
  <si>
    <t xml:space="preserve">  Ce que chaque voie alimente. Ecrit par l'assistant ; une ligne se retire avec le bouton Enlever le lien.</t>
  </si>
  <si>
    <t>Cible</t>
  </si>
  <si>
    <t>Sens</t>
  </si>
  <si>
    <t>Ligne ES</t>
  </si>
  <si>
    <t>Acces voie</t>
  </si>
  <si>
    <t>Attribut</t>
  </si>
  <si>
    <t>Source</t>
  </si>
  <si>
    <t>DI/DO/AI/AO</t>
  </si>
  <si>
    <t>Le cablage n'est PAS un report : une voie peut alimenter un equipement sans jamais remonter a l'IHM, et un report peut porter sur une valeur calculee qui ne vient d'aucune voie.</t>
  </si>
  <si>
    <t xml:space="preserve">  REPORTS VERS L'IHM</t>
  </si>
  <si>
    <t xml:space="preserve">  Une ligne par report. Les trois onglets de reports en sont derives : une adresse s'ecrit ici et nulle part ailleurs.</t>
  </si>
  <si>
    <t>Report</t>
  </si>
  <si>
    <t>Echelle</t>
  </si>
  <si>
    <t>Controle</t>
  </si>
  <si>
    <t>Chemin</t>
  </si>
  <si>
    <t>Zone</t>
  </si>
  <si>
    <t>Numero</t>
  </si>
  <si>
    <t>Bit</t>
  </si>
  <si>
    <t>Adr API</t>
  </si>
  <si>
    <t>Mini</t>
  </si>
  <si>
    <t>Maxi</t>
  </si>
  <si>
    <t>Resolution</t>
  </si>
  <si>
    <t>Occupation</t>
  </si>
  <si>
    <t>ce que l'operateur lit</t>
  </si>
  <si>
    <t>R/W ▾</t>
  </si>
  <si>
    <t>MW/MX ▾</t>
  </si>
  <si>
    <t>Le tri entre les trois onglets de reports se fait tout seul : %MX en tout-ou-rien, %MW avec un bit en bits de mots, %MW seul en analogique.</t>
  </si>
  <si>
    <t xml:space="preserve">  INDICES ET JOURNAL</t>
  </si>
  <si>
    <t xml:space="preserve">  Le haut se remplit a la main. Le bas s'ecrit tout seul.</t>
  </si>
  <si>
    <t>Date</t>
  </si>
  <si>
    <t>Par</t>
  </si>
  <si>
    <t>Objet de la modification</t>
  </si>
  <si>
    <t>A, B, C...</t>
  </si>
  <si>
    <t>creation du classeur</t>
  </si>
  <si>
    <t>Le journal est ecrit par les macros : ajout et suppression d'equipement, attribution d'adresses, recalcul. Il ne se saisit pas.</t>
  </si>
  <si>
    <t>JOURNAL DES OPERATIONS</t>
  </si>
  <si>
    <t>Quand</t>
  </si>
  <si>
    <t>Quoi</t>
  </si>
  <si>
    <t>Detail</t>
  </si>
  <si>
    <t xml:space="preserve">  REPORTS - TOUT OU RIEN (%MX)</t>
  </si>
  <si>
    <t xml:space="preserve">  Onglet DERIVE de la feuille Liens : ne rien saisir ici.</t>
  </si>
  <si>
    <t>Conformite API</t>
  </si>
  <si>
    <t>Conformite IHM</t>
  </si>
  <si>
    <t>Mode</t>
  </si>
  <si>
    <t>Reset</t>
  </si>
  <si>
    <t>TM</t>
  </si>
  <si>
    <t>TA</t>
  </si>
  <si>
    <t>TC</t>
  </si>
  <si>
    <t>Animation</t>
  </si>
  <si>
    <t>Adressage</t>
  </si>
  <si>
    <t>Alarme</t>
  </si>
  <si>
    <t>IHM</t>
  </si>
  <si>
    <t>Le bouton Tout recalculer le remplit depuis la feuille Liens.</t>
  </si>
  <si>
    <t xml:space="preserve">  REPORTS - BITS DE MOTS (%MW)</t>
  </si>
  <si>
    <t>MW</t>
  </si>
  <si>
    <t>MX</t>
  </si>
  <si>
    <t>RTN</t>
  </si>
  <si>
    <t>bit</t>
  </si>
  <si>
    <t xml:space="preserve">  REPORTS - ANALOGIQUE (%MW)</t>
  </si>
  <si>
    <t>mini</t>
  </si>
  <si>
    <t>maxi</t>
  </si>
  <si>
    <t>resolution</t>
  </si>
  <si>
    <t xml:space="preserve">  CARTOGRAPHIE MEMOIRE %MW</t>
  </si>
  <si>
    <t xml:space="preserve">  Une case par adresse, a partir de la plage declaree dans Config. Bleu : mot entier. Vert : des bits. Rouge : conflit.</t>
  </si>
  <si>
    <t>Un chevauchement ne se voit pas en lisant une liste d'adresses. Ici, si.</t>
  </si>
  <si>
    <t xml:space="preserve">  CARTOGRAPHIE MEMOIRE %MX</t>
  </si>
  <si>
    <t>(* Ecrit par le bouton Generer le ST. *)</t>
  </si>
  <si>
    <t>VERSION</t>
  </si>
  <si>
    <t>CAT_DATE</t>
  </si>
  <si>
    <t>VOIES_DATE</t>
  </si>
  <si>
    <t>REPORTS_DATE</t>
  </si>
  <si>
    <t>MEM_DATE</t>
  </si>
  <si>
    <t>CONFLITS</t>
  </si>
  <si>
    <t>ONGLETS VISIBLES</t>
  </si>
  <si>
    <t>Config et ES restent toujours la.</t>
  </si>
  <si>
    <t>C:\Program Files (x86)\XpgAnalyzer\libs</t>
  </si>
  <si>
    <t>AlmDecode</t>
  </si>
  <si>
    <t>dfb</t>
  </si>
  <si>
    <t>Alarms\AlmDecode.dfb</t>
  </si>
  <si>
    <t>Uuid</t>
  </si>
  <si>
    <t>UDINT</t>
  </si>
  <si>
    <t>Input</t>
  </si>
  <si>
    <t>l'identifiant a relire</t>
  </si>
  <si>
    <t>INT</t>
  </si>
  <si>
    <t>Output</t>
  </si>
  <si>
    <t>Sous</t>
  </si>
  <si>
    <t>Code</t>
  </si>
  <si>
    <t>u</t>
  </si>
  <si>
    <t>Local</t>
  </si>
  <si>
    <t>N</t>
  </si>
  <si>
    <t>AlmUuid</t>
  </si>
  <si>
    <t>Alarms\AlmUuid.dfb</t>
  </si>
  <si>
    <t>1 TOR, 2 seuil analogique, 3 etape GRAFCET, 4 applicatif</t>
  </si>
  <si>
    <t>0..15, le numero du seuil</t>
  </si>
  <si>
    <t>0..255, libre</t>
  </si>
  <si>
    <t>l'identifiant compose</t>
  </si>
  <si>
    <t>g</t>
  </si>
  <si>
    <t>r</t>
  </si>
  <si>
    <t>m</t>
  </si>
  <si>
    <t>v</t>
  </si>
  <si>
    <t>s</t>
  </si>
  <si>
    <t>c</t>
  </si>
  <si>
    <t>DFB_ALM_MANAGER</t>
  </si>
  <si>
    <t>Alarms\DFB_ALM_MANAGER.dfb</t>
  </si>
  <si>
    <t>Count</t>
  </si>
  <si>
    <t>combien d'emplacements du registre sont balayes</t>
  </si>
  <si>
    <t>CycleMs</t>
  </si>
  <si>
    <t>DINT</t>
  </si>
  <si>
    <t>la periode de la tache en ms. Un DDT ne peut pas contenir de temporisateur</t>
  </si>
  <si>
    <t>Cmd</t>
  </si>
  <si>
    <t>ST_ALM_Cmd</t>
  </si>
  <si>
    <t>InOut</t>
  </si>
  <si>
    <t>les commandes</t>
  </si>
  <si>
    <t>State</t>
  </si>
  <si>
    <t>ARRAY[0..63] OF BOOL</t>
  </si>
  <si>
    <t>l'etat brut de chaque alarme, ecrit par l'appelant</t>
  </si>
  <si>
    <t>Defs</t>
  </si>
  <si>
    <t>ARRAY[0..63] OF ST_ALM_Def</t>
  </si>
  <si>
    <t>le registre</t>
  </si>
  <si>
    <t>History</t>
  </si>
  <si>
    <t>ARRAY[0..255] OF ST_ALM_Event</t>
  </si>
  <si>
    <t>l'historique, en anneau</t>
  </si>
  <si>
    <t>Stat</t>
  </si>
  <si>
    <t>ST_ALM_Stat</t>
  </si>
  <si>
    <t>ce que le gestionnaire rapporte</t>
  </si>
  <si>
    <t>i</t>
  </si>
  <si>
    <t>n</t>
  </si>
  <si>
    <t>LAST</t>
  </si>
  <si>
    <t>dernier indice du registre</t>
  </si>
  <si>
    <t>HISTLAST</t>
  </si>
  <si>
    <t>dernier indice de l'anneau</t>
  </si>
  <si>
    <t>head</t>
  </si>
  <si>
    <t>slot</t>
  </si>
  <si>
    <t>found</t>
  </si>
  <si>
    <t>hit</t>
  </si>
  <si>
    <t>BOOL</t>
  </si>
  <si>
    <t>now</t>
  </si>
  <si>
    <t>NowMs</t>
  </si>
  <si>
    <t>temps depuis le demarrage, en ms</t>
  </si>
  <si>
    <t>PrevAck</t>
  </si>
  <si>
    <t>PrevAckAll</t>
  </si>
  <si>
    <t>PrevReset</t>
  </si>
  <si>
    <t>PrevRegister</t>
  </si>
  <si>
    <t>ddt</t>
  </si>
  <si>
    <t>Alarms\ST_ALM_Cmd.ddt</t>
  </si>
  <si>
    <t>Ack</t>
  </si>
  <si>
    <t>Member</t>
  </si>
  <si>
    <t>acquitter AckUuid. Front montant</t>
  </si>
  <si>
    <t>AckUuid</t>
  </si>
  <si>
    <t>laquelle</t>
  </si>
  <si>
    <t>AckAll</t>
  </si>
  <si>
    <t>acquitter tout ce qui est present. Front montant</t>
  </si>
  <si>
    <t>vider l'historique et les compteurs. Front montant</t>
  </si>
  <si>
    <t>Register</t>
  </si>
  <si>
    <t>enregistrer RegUuid avec son libelle. Front montant</t>
  </si>
  <si>
    <t>RegUuid</t>
  </si>
  <si>
    <t>RegLabel</t>
  </si>
  <si>
    <t>STRING[32]</t>
  </si>
  <si>
    <t>RegLink</t>
  </si>
  <si>
    <t>RegSev</t>
  </si>
  <si>
    <t>ST_ALM_Def</t>
  </si>
  <si>
    <t>Alarms\ST_ALM_Def.ddt</t>
  </si>
  <si>
    <t>identifiant compose: voir AlmUuid. 0 = emplacement libre</t>
  </si>
  <si>
    <t>Label</t>
  </si>
  <si>
    <t>Link</t>
  </si>
  <si>
    <t>renvoi vers le plan, la page IHM, le folio</t>
  </si>
  <si>
    <t>1 information, 2 avertissement, 3 defaut, 4 arret machine</t>
  </si>
  <si>
    <t>Used</t>
  </si>
  <si>
    <t>cet emplacement du registre est occupe</t>
  </si>
  <si>
    <t>Raised</t>
  </si>
  <si>
    <t>l'alarme est presente maintenant</t>
  </si>
  <si>
    <t>Acked</t>
  </si>
  <si>
    <t>elle a ete acquittee</t>
  </si>
  <si>
    <t>SinceMs</t>
  </si>
  <si>
    <t>depuis combien de temps elle est presente, en ms</t>
  </si>
  <si>
    <t>combien de fois elle est apparue depuis le dernier Reset</t>
  </si>
  <si>
    <t>ST_ALM_Event</t>
  </si>
  <si>
    <t>Alarms\ST_ALM_Event.ddt</t>
  </si>
  <si>
    <t>Seq</t>
  </si>
  <si>
    <t>numero d'ordre. Il ne recule jamais: c'est ce qui distingue un historique reboucle d'un historique a trous</t>
  </si>
  <si>
    <t>quelle alarme</t>
  </si>
  <si>
    <t>sa gravite au moment de l'evenement</t>
  </si>
  <si>
    <t>Kind</t>
  </si>
  <si>
    <t>0 apparition, 1 disparition, 2 acquittement</t>
  </si>
  <si>
    <t>StampMs</t>
  </si>
  <si>
    <t>quand, en ms depuis le demarrage du gestionnaire</t>
  </si>
  <si>
    <t>Alarms\ST_ALM_Stat.ddt</t>
  </si>
  <si>
    <t>combien sont presentes</t>
  </si>
  <si>
    <t>Unacked</t>
  </si>
  <si>
    <t>combien sont presentes et non acquittees</t>
  </si>
  <si>
    <t>WorstSev</t>
  </si>
  <si>
    <t>la pire gravite presente, 0 quand il n'y a rien</t>
  </si>
  <si>
    <t>Registered</t>
  </si>
  <si>
    <t>combien d'emplacements du registre sont occupes</t>
  </si>
  <si>
    <t>HistCount</t>
  </si>
  <si>
    <t>combien d'evenements sont lisibles</t>
  </si>
  <si>
    <t>HistHead</t>
  </si>
  <si>
    <t>ou la prochaine ecriture ira</t>
  </si>
  <si>
    <t>Wrapped</t>
  </si>
  <si>
    <t>l'historique a reboucle: les plus vieux sont perdus</t>
  </si>
  <si>
    <t>NextSeq</t>
  </si>
  <si>
    <t>le prochain numero d'ordre</t>
  </si>
  <si>
    <t>Full</t>
  </si>
  <si>
    <t>le registre est plein: un Register de plus est refuse</t>
  </si>
  <si>
    <t>LastError</t>
  </si>
  <si>
    <t>pourquoi la derniere commande a ete refusee</t>
  </si>
  <si>
    <t>DFB_ITL_MATRIX</t>
  </si>
  <si>
    <t>Control\DFB_ITL_MATRIX.dfb</t>
  </si>
  <si>
    <t>combien de vannes sont traitees</t>
  </si>
  <si>
    <t>Open</t>
  </si>
  <si>
    <t>ARRAY[0..15] OF BOOL</t>
  </si>
  <si>
    <t>l'etat reel de chaque vanne. A cabler sur sa position</t>
  </si>
  <si>
    <t>Forbid</t>
  </si>
  <si>
    <t>ARRAY[0..255] OF BOOL</t>
  </si>
  <si>
    <t>Forbid[i*16+j]: i interdite pendant que j est ouverte</t>
  </si>
  <si>
    <t>Require</t>
  </si>
  <si>
    <t>Require[i*16+j]: i ne peut s'ouvrir que si j est ouverte</t>
  </si>
  <si>
    <t>Allowed</t>
  </si>
  <si>
    <t>SORTIE: i a le droit d'etre ouverte</t>
  </si>
  <si>
    <t>BlockedBy</t>
  </si>
  <si>
    <t>ARRAY[0..15] OF INT</t>
  </si>
  <si>
    <t>SORTIE: qui l'en empeche, -1 si personne</t>
  </si>
  <si>
    <t>Reason</t>
  </si>
  <si>
    <t>SORTIE: 0 rien, 1 conflit, 2 prerequis absent</t>
  </si>
  <si>
    <t>Violation</t>
  </si>
  <si>
    <t>SORTIE: elle est ouverte alors qu'elle ne devrait pas l'etre</t>
  </si>
  <si>
    <t>Blocked</t>
  </si>
  <si>
    <t>combien sont bloquees</t>
  </si>
  <si>
    <t>AnyViolation</t>
  </si>
  <si>
    <t>au moins une situation interdite EXISTE deja</t>
  </si>
  <si>
    <t>j</t>
  </si>
  <si>
    <t>k</t>
  </si>
  <si>
    <t>SIZE</t>
  </si>
  <si>
    <t>le pas de la matrice a plat</t>
  </si>
  <si>
    <t>DFB_MODE_MANAGER</t>
  </si>
  <si>
    <t>Control\DFB_MODE_MANAGER.dfb</t>
  </si>
  <si>
    <t>combien de modes sont declares</t>
  </si>
  <si>
    <t>la periode de la tache</t>
  </si>
  <si>
    <t>FallbackMode</t>
  </si>
  <si>
    <t>le mode choisi quand personne ne demande rien. -1: aucun</t>
  </si>
  <si>
    <t>ForcePriority</t>
  </si>
  <si>
    <t>a partir de cette priorite, un mode passe malgre le temps minimum</t>
  </si>
  <si>
    <t>Def</t>
  </si>
  <si>
    <t>ARRAY[0..15] OF ST_MODE_Def</t>
  </si>
  <si>
    <t>les modes</t>
  </si>
  <si>
    <t>Current</t>
  </si>
  <si>
    <t>le mode courant. -1 tant qu'aucun n'a ete choisi</t>
  </si>
  <si>
    <t>PrevMode</t>
  </si>
  <si>
    <t>celui d'avant</t>
  </si>
  <si>
    <t>CurrentMs</t>
  </si>
  <si>
    <t>depuis combien de temps on y est</t>
  </si>
  <si>
    <t>Changed</t>
  </si>
  <si>
    <t>on vient de changer de mode, ce cycle-ci</t>
  </si>
  <si>
    <t>Held</t>
  </si>
  <si>
    <t>un changement est demande mais retenu par le temps minimum</t>
  </si>
  <si>
    <t>Transitions</t>
  </si>
  <si>
    <t>combien de changements depuis le demarrage</t>
  </si>
  <si>
    <t>best</t>
  </si>
  <si>
    <t>bestPrio</t>
  </si>
  <si>
    <t>holding</t>
  </si>
  <si>
    <t>DFB_SEQ_ROTATE</t>
  </si>
  <si>
    <t>Control\DFB_SEQ_ROTATE.dfb</t>
  </si>
  <si>
    <t>combien d'equipements sont dans la rotation</t>
  </si>
  <si>
    <t>Demand</t>
  </si>
  <si>
    <t>combien doivent tourner en meme temps</t>
  </si>
  <si>
    <t>0 ordre fixe, 1 carrousel, 2 la moins usee d'abord</t>
  </si>
  <si>
    <t>RotateMs</t>
  </si>
  <si>
    <t>periode de bascule du carrousel, en ms. 0: pas de rotation automatique</t>
  </si>
  <si>
    <t>la periode de la tache. Un DDT ne peut pas contenir de temporisateur</t>
  </si>
  <si>
    <t>Mem</t>
  </si>
  <si>
    <t>ARRAY[0..15] OF ST_SEQ_Member</t>
  </si>
  <si>
    <t>les equipements</t>
  </si>
  <si>
    <t>combien tournent effectivement</t>
  </si>
  <si>
    <t>Available</t>
  </si>
  <si>
    <t>combien sont utilisables</t>
  </si>
  <si>
    <t>Short</t>
  </si>
  <si>
    <t>on n'a pas pu en demarrer autant que demande</t>
  </si>
  <si>
    <t>NextRotateMs</t>
  </si>
  <si>
    <t>dans combien de temps la prochaine bascule</t>
  </si>
  <si>
    <t>Rotations</t>
  </si>
  <si>
    <t>combien de bascules depuis le demarrage</t>
  </si>
  <si>
    <t>pass</t>
  </si>
  <si>
    <t>start</t>
  </si>
  <si>
    <t>bestMs</t>
  </si>
  <si>
    <t>want</t>
  </si>
  <si>
    <t>started</t>
  </si>
  <si>
    <t>available</t>
  </si>
  <si>
    <t>Offset</t>
  </si>
  <si>
    <t>le decalage du carrousel</t>
  </si>
  <si>
    <t>SinceRotateMs</t>
  </si>
  <si>
    <t>ST_MODE_Def</t>
  </si>
  <si>
    <t>Control\ST_MODE_Def.ddt</t>
  </si>
  <si>
    <t>Name</t>
  </si>
  <si>
    <t>STRING[16]</t>
  </si>
  <si>
    <t>le nom du mode</t>
  </si>
  <si>
    <t>Enabled</t>
  </si>
  <si>
    <t>FALSE: ce mode ne peut pas etre choisi</t>
  </si>
  <si>
    <t>Req</t>
  </si>
  <si>
    <t>ENTREE: l'equation de transition, calculee par votre programme</t>
  </si>
  <si>
    <t>Priority</t>
  </si>
  <si>
    <t>le plus grand gagne. C'est la priorite qui tranche, pas l'ordre</t>
  </si>
  <si>
    <t>MinMs</t>
  </si>
  <si>
    <t>temps minimum dans ce mode avant d'en sortir. 0: aucun</t>
  </si>
  <si>
    <t>SORTIE: c'est le mode courant</t>
  </si>
  <si>
    <t>TotalMs</t>
  </si>
  <si>
    <t>temps cumule passe dans ce mode</t>
  </si>
  <si>
    <t>Entries</t>
  </si>
  <si>
    <t>combien de fois on y est entre</t>
  </si>
  <si>
    <t>ST_SEQ_Member</t>
  </si>
  <si>
    <t>Control\ST_SEQ_Member.ddt</t>
  </si>
  <si>
    <t>utilisable: sans defaut, non consignee. A cabler sur Ready</t>
  </si>
  <si>
    <t>Locked</t>
  </si>
  <si>
    <t>exclue de la rotation sans etre en defaut (essai, maintenance)</t>
  </si>
  <si>
    <t>RunReq</t>
  </si>
  <si>
    <t>SORTIE: cet equipement doit tourner</t>
  </si>
  <si>
    <t>RunMs</t>
  </si>
  <si>
    <t>heures de fonctionnement, en ms. A cabler sur celui de l'equipement</t>
  </si>
  <si>
    <t>SelectedMs</t>
  </si>
  <si>
    <t>depuis combien de temps il est selectionne</t>
  </si>
  <si>
    <t>Rank</t>
  </si>
  <si>
    <t>son rang, pour un ordre fixe</t>
  </si>
  <si>
    <t>DFB_EQ_CONVEYOR</t>
  </si>
  <si>
    <t>Equipment\DFB_EQ_CONVEYOR.dfb</t>
  </si>
  <si>
    <t>combien d'equipements sont traites</t>
  </si>
  <si>
    <t>Eq</t>
  </si>
  <si>
    <t>ARRAY[0..15] OF ST_EQ_Conveyor</t>
  </si>
  <si>
    <t>FaultCount</t>
  </si>
  <si>
    <t>combien sont en defaut</t>
  </si>
  <si>
    <t>ReadyCount</t>
  </si>
  <si>
    <t>dernier indice</t>
  </si>
  <si>
    <t>req</t>
  </si>
  <si>
    <t>allowed</t>
  </si>
  <si>
    <t>DFB_EQ_CYLINDER</t>
  </si>
  <si>
    <t>Equipment\DFB_EQ_CYLINDER.dfb</t>
  </si>
  <si>
    <t>ARRAY[0..15] OF ST_EQ_Cylinder</t>
  </si>
  <si>
    <t>ext</t>
  </si>
  <si>
    <t>ret</t>
  </si>
  <si>
    <t>DFB_EQ_DRIVE</t>
  </si>
  <si>
    <t>Equipment\DFB_EQ_DRIVE.dfb</t>
  </si>
  <si>
    <t>ARRAY[0..15] OF ST_EQ_Drive</t>
  </si>
  <si>
    <t>target</t>
  </si>
  <si>
    <t>REAL</t>
  </si>
  <si>
    <t>step</t>
  </si>
  <si>
    <t>span</t>
  </si>
  <si>
    <t>DFB_EQ_LED</t>
  </si>
  <si>
    <t>Equipment\DFB_EQ_LED.dfb</t>
  </si>
  <si>
    <t>ARRAY[0..15] OF ST_EQ_Led</t>
  </si>
  <si>
    <t>mode</t>
  </si>
  <si>
    <t>half</t>
  </si>
  <si>
    <t>DFB_EQ_MOTOR</t>
  </si>
  <si>
    <t>Equipment\DFB_EQ_MOTOR.dfb</t>
  </si>
  <si>
    <t>ARRAY[0..15] OF ST_EQ_Motor</t>
  </si>
  <si>
    <t>DFB_EQ_PUMP</t>
  </si>
  <si>
    <t>Equipment\DFB_EQ_PUMP.dfb</t>
  </si>
  <si>
    <t>ARRAY[0..15] OF ST_EQ_Pump</t>
  </si>
  <si>
    <t>DFB_EQ_TANK</t>
  </si>
  <si>
    <t>Equipment\DFB_EQ_TANK.dfb</t>
  </si>
  <si>
    <t>ARRAY[0..15] OF ST_EQ_Tank</t>
  </si>
  <si>
    <t>DFB_EQ_VALVE2</t>
  </si>
  <si>
    <t>Equipment\DFB_EQ_VALVE2.dfb</t>
  </si>
  <si>
    <t>ARRAY[0..15] OF ST_EQ_Valve2</t>
  </si>
  <si>
    <t>pos</t>
  </si>
  <si>
    <t>count</t>
  </si>
  <si>
    <t>DFB_EQ_VALVE3</t>
  </si>
  <si>
    <t>Equipment\DFB_EQ_VALVE3.dfb</t>
  </si>
  <si>
    <t>ARRAY[0..15] OF ST_EQ_Valve3</t>
  </si>
  <si>
    <t>DFB_EQ_VALVE4</t>
  </si>
  <si>
    <t>Equipment\DFB_EQ_VALVE4.dfb</t>
  </si>
  <si>
    <t>ARRAY[0..15] OF ST_EQ_Valve4</t>
  </si>
  <si>
    <t>ST_EQ_Conveyor</t>
  </si>
  <si>
    <t>Equipment\ST_EQ_Conveyor.ddt</t>
  </si>
  <si>
    <t>Enable</t>
  </si>
  <si>
    <t>FALSE fige l'equipement: aucune sortie, aucun defaut</t>
  </si>
  <si>
    <t>ManMode</t>
  </si>
  <si>
    <t>TRUE: les commandes manuelles priment sur l'automatisme</t>
  </si>
  <si>
    <t>AckFault</t>
  </si>
  <si>
    <t>front montant: acquitte le defaut s'il a disparu</t>
  </si>
  <si>
    <t>runtime, ne pas ecrire</t>
  </si>
  <si>
    <t>demande de marche</t>
  </si>
  <si>
    <t>ManRunReq</t>
  </si>
  <si>
    <t>demande manuelle</t>
  </si>
  <si>
    <t>Reverse</t>
  </si>
  <si>
    <t>sens arriere</t>
  </si>
  <si>
    <t>Run</t>
  </si>
  <si>
    <t>sortie marche avant</t>
  </si>
  <si>
    <t>RunRev</t>
  </si>
  <si>
    <t>sortie marche arriere</t>
  </si>
  <si>
    <t>Running</t>
  </si>
  <si>
    <t>Thermal</t>
  </si>
  <si>
    <t>relais thermique sain (contact NF)</t>
  </si>
  <si>
    <t>Pulse</t>
  </si>
  <si>
    <t>impulsion du capteur de rotation</t>
  </si>
  <si>
    <t>PrevPulse</t>
  </si>
  <si>
    <t>runtime</t>
  </si>
  <si>
    <t>PulseCount</t>
  </si>
  <si>
    <t>impulsions depuis le dernier Reset</t>
  </si>
  <si>
    <t>JamMs</t>
  </si>
  <si>
    <t>sans impulsion pendant ce temps en marche: bourrage</t>
  </si>
  <si>
    <t>JamElapsed</t>
  </si>
  <si>
    <t>HasPulse</t>
  </si>
  <si>
    <t>FALSE: pas de capteur, pas de detection de bourrage</t>
  </si>
  <si>
    <t>EmergStop</t>
  </si>
  <si>
    <t>chaine d'arret d'urgence saine (contact NF)</t>
  </si>
  <si>
    <t>PrevRunning</t>
  </si>
  <si>
    <t>Fault</t>
  </si>
  <si>
    <t>un defaut est present</t>
  </si>
  <si>
    <t>FaultCode</t>
  </si>
  <si>
    <t>0 aucun. Voir la table de la famille</t>
  </si>
  <si>
    <t>FaultLatch</t>
  </si>
  <si>
    <t>le defaut reste jusqu'a AckFault, meme s'il disparait</t>
  </si>
  <si>
    <t>Ready</t>
  </si>
  <si>
    <t>utilisable: active, sans defaut</t>
  </si>
  <si>
    <t>temps de fonctionnement cumule, en ms</t>
  </si>
  <si>
    <t>Starts</t>
  </si>
  <si>
    <t>nombre de demarrages depuis le dernier Reset</t>
  </si>
  <si>
    <t>StateMs</t>
  </si>
  <si>
    <t>temps dans l'etat courant, en ms</t>
  </si>
  <si>
    <t>ST_EQ_Cylinder</t>
  </si>
  <si>
    <t>Equipment\ST_EQ_Cylinder.ddt</t>
  </si>
  <si>
    <t>ExtendReq</t>
  </si>
  <si>
    <t>demande de sortie</t>
  </si>
  <si>
    <t>RetractReq</t>
  </si>
  <si>
    <t>demande de rentree</t>
  </si>
  <si>
    <t>ManExtendReq</t>
  </si>
  <si>
    <t>ManRetractReq</t>
  </si>
  <si>
    <t>FdcExtended</t>
  </si>
  <si>
    <t>capteur sorti</t>
  </si>
  <si>
    <t>FdcRetracted</t>
  </si>
  <si>
    <t>capteur rentre</t>
  </si>
  <si>
    <t>CmdExtend</t>
  </si>
  <si>
    <t>sortie</t>
  </si>
  <si>
    <t>CmdRetract</t>
  </si>
  <si>
    <t>Extended</t>
  </si>
  <si>
    <t>Retracted</t>
  </si>
  <si>
    <t>Moving</t>
  </si>
  <si>
    <t>TravelMs</t>
  </si>
  <si>
    <t>temps de course tolere</t>
  </si>
  <si>
    <t>TravelElapsed</t>
  </si>
  <si>
    <t>Monostable</t>
  </si>
  <si>
    <t>TRUE: un seul pilote, le repos est la rentree</t>
  </si>
  <si>
    <t>PrevExtended</t>
  </si>
  <si>
    <t>ST_EQ_Drive</t>
  </si>
  <si>
    <t>Equipment\ST_EQ_Drive.ddt</t>
  </si>
  <si>
    <t>SpeedReq</t>
  </si>
  <si>
    <t>consigne, en unites physiques</t>
  </si>
  <si>
    <t>ManSpeedReq</t>
  </si>
  <si>
    <t>consigne manuelle</t>
  </si>
  <si>
    <t>SpeedMin</t>
  </si>
  <si>
    <t>plage physique</t>
  </si>
  <si>
    <t>SpeedMax</t>
  </si>
  <si>
    <t>RampMs</t>
  </si>
  <si>
    <t>duree pour parcourir toute la plage. 0: pas de rampe ici</t>
  </si>
  <si>
    <t>Speed</t>
  </si>
  <si>
    <t>consigne apres rampe et bornage: ce qu'on envoie</t>
  </si>
  <si>
    <t>SpeedFbk</t>
  </si>
  <si>
    <t>vitesse mesuree, remontee par le variateur</t>
  </si>
  <si>
    <t>Deviation</t>
  </si>
  <si>
    <t>ecart consigne / mesure</t>
  </si>
  <si>
    <t>MaxDeviation</t>
  </si>
  <si>
    <t>au-dela et au bout de DevDelayMs, defaut. 0 desactive</t>
  </si>
  <si>
    <t>DevDelayMs</t>
  </si>
  <si>
    <t>DevElapsed</t>
  </si>
  <si>
    <t>sortie marche</t>
  </si>
  <si>
    <t>le variateur confirme</t>
  </si>
  <si>
    <t>DriveReady</t>
  </si>
  <si>
    <t>mot d'etat: pret</t>
  </si>
  <si>
    <t>DriveFault</t>
  </si>
  <si>
    <t>mot d'etat: defaut</t>
  </si>
  <si>
    <t>RawOut</t>
  </si>
  <si>
    <t>consigne en points, prete pour %QW</t>
  </si>
  <si>
    <t>plage de la sortie analogique</t>
  </si>
  <si>
    <t>ST_EQ_Led</t>
  </si>
  <si>
    <t>Equipment\ST_EQ_Led.ddt</t>
  </si>
  <si>
    <t>0 eteint, 1 fixe, 2 clignotant lent, 3 rapide, 4 impulsion, 5 pilote par Severity</t>
  </si>
  <si>
    <t>Severity</t>
  </si>
  <si>
    <t>0 rien, 1 info, 2 avertissement, 3 defaut, 4 arret</t>
  </si>
  <si>
    <t>SlowMs</t>
  </si>
  <si>
    <t>demi-periode du clignotement lent</t>
  </si>
  <si>
    <t>FastMs</t>
  </si>
  <si>
    <t>demi-periode du rapide</t>
  </si>
  <si>
    <t>PulseMs</t>
  </si>
  <si>
    <t>duree de l'impulsion</t>
  </si>
  <si>
    <t>Trigger</t>
  </si>
  <si>
    <t>declenche l'impulsion, sur front montant</t>
  </si>
  <si>
    <t>PrevTrigger</t>
  </si>
  <si>
    <t>Out</t>
  </si>
  <si>
    <t>la sortie</t>
  </si>
  <si>
    <t>BlinkMs</t>
  </si>
  <si>
    <t>PulseLeft</t>
  </si>
  <si>
    <t>ST_EQ_Motor</t>
  </si>
  <si>
    <t>Equipment\ST_EQ_Motor.ddt</t>
  </si>
  <si>
    <t>demande de marche en automatique</t>
  </si>
  <si>
    <t>demande de marche en manuel</t>
  </si>
  <si>
    <t>Fbk</t>
  </si>
  <si>
    <t>retour de marche (contacteur, KM)</t>
  </si>
  <si>
    <t>TRUE quand le relais thermique est SAIN (contact NF)</t>
  </si>
  <si>
    <t>la sortie de commande</t>
  </si>
  <si>
    <t>commande ET retour</t>
  </si>
  <si>
    <t>FbkMs</t>
  </si>
  <si>
    <t>delai tolere entre la commande et le retour</t>
  </si>
  <si>
    <t>FbkElapsed</t>
  </si>
  <si>
    <t>MinOffMs</t>
  </si>
  <si>
    <t>duree minimale a l'arret avant un redemarrage. 0 desactive</t>
  </si>
  <si>
    <t>OffElapsed</t>
  </si>
  <si>
    <t>HasFbk</t>
  </si>
  <si>
    <t>FALSE: pas de retour, Running suit la commande</t>
  </si>
  <si>
    <t>ST_EQ_Pump</t>
  </si>
  <si>
    <t>Equipment\ST_EQ_Pump.ddt</t>
  </si>
  <si>
    <t>Flow</t>
  </si>
  <si>
    <t>debit mesure, en unites physiques</t>
  </si>
  <si>
    <t>MinFlow</t>
  </si>
  <si>
    <t>debit minimal attendu en marche. 0 desactive le controle</t>
  </si>
  <si>
    <t>FlowDelayMs</t>
  </si>
  <si>
    <t>temps laisse a la pompe pour s'amorcer</t>
  </si>
  <si>
    <t>FlowElapsed</t>
  </si>
  <si>
    <t>SuctionOk</t>
  </si>
  <si>
    <t>niveau aspiration suffisant (protection marche a sec)</t>
  </si>
  <si>
    <t>Pressure</t>
  </si>
  <si>
    <t>pression refoulement</t>
  </si>
  <si>
    <t>MaxPressure</t>
  </si>
  <si>
    <t>au-dela, defaut. 0 desactive</t>
  </si>
  <si>
    <t>ST_EQ_Tank</t>
  </si>
  <si>
    <t>Equipment\ST_EQ_Tank.ddt</t>
  </si>
  <si>
    <t>Level</t>
  </si>
  <si>
    <t>niveau mesure, en unites physiques</t>
  </si>
  <si>
    <t>LevelMin</t>
  </si>
  <si>
    <t>niveau correspondant a une cuve vide</t>
  </si>
  <si>
    <t>LevelMax</t>
  </si>
  <si>
    <t>et a une cuve pleine</t>
  </si>
  <si>
    <t>Capacity</t>
  </si>
  <si>
    <t>volume total, pour calculer Volume. 0: pas de calcul</t>
  </si>
  <si>
    <t>Volume</t>
  </si>
  <si>
    <t>volume courant</t>
  </si>
  <si>
    <t>Percent</t>
  </si>
  <si>
    <t>remplissage en pourcent</t>
  </si>
  <si>
    <t>VeryLow</t>
  </si>
  <si>
    <t>seuils, en unites physiques</t>
  </si>
  <si>
    <t>Low</t>
  </si>
  <si>
    <t>High</t>
  </si>
  <si>
    <t>VeryHigh</t>
  </si>
  <si>
    <t>Hyst</t>
  </si>
  <si>
    <t>bande de retombee, appliquee a la sortie seulement</t>
  </si>
  <si>
    <t>IsVeryLow</t>
  </si>
  <si>
    <t>IsLow</t>
  </si>
  <si>
    <t>IsHigh</t>
  </si>
  <si>
    <t>IsVeryHigh</t>
  </si>
  <si>
    <t>DryRun</t>
  </si>
  <si>
    <t>sous VeryLow: interdire les pompes en aspiration</t>
  </si>
  <si>
    <t>Overflow</t>
  </si>
  <si>
    <t>au-dessus de VeryHigh: interdire le remplissage</t>
  </si>
  <si>
    <t>Rate</t>
  </si>
  <si>
    <t>variation par seconde, signee</t>
  </si>
  <si>
    <t>PrevLevel</t>
  </si>
  <si>
    <t>HasPrev</t>
  </si>
  <si>
    <t>runtime: faux tant qu'aucun cycle n'a eu lieu</t>
  </si>
  <si>
    <t>ST_EQ_Valve2</t>
  </si>
  <si>
    <t>Equipment\ST_EQ_Valve2.ddt</t>
  </si>
  <si>
    <t>Ways</t>
  </si>
  <si>
    <t>nombre de voies, fixe pour ce type</t>
  </si>
  <si>
    <t>PosReq</t>
  </si>
  <si>
    <t>position demandee en automatique, 0..1</t>
  </si>
  <si>
    <t>ManPosReq</t>
  </si>
  <si>
    <t>position demandee en manuel</t>
  </si>
  <si>
    <t>Pos</t>
  </si>
  <si>
    <t>position atteinte, -1 tant qu'aucun retour n'est franc</t>
  </si>
  <si>
    <t>PrevPos</t>
  </si>
  <si>
    <t>en mouvement: une position demandee, aucune atteinte</t>
  </si>
  <si>
    <t>temps de manoeuvre tolere avant defaut</t>
  </si>
  <si>
    <t>HasFdc</t>
  </si>
  <si>
    <t>FALSE: pas de retour, la position est supposee atteinte au bout de TravelMs</t>
  </si>
  <si>
    <t>ARRAY[0..1] OF BOOL</t>
  </si>
  <si>
    <t>les sorties de commande, une par position</t>
  </si>
  <si>
    <t>Fdc</t>
  </si>
  <si>
    <t>les retours de position, un par position</t>
  </si>
  <si>
    <t>ST_EQ_Valve3</t>
  </si>
  <si>
    <t>Equipment\ST_EQ_Valve3.ddt</t>
  </si>
  <si>
    <t>position demandee en automatique, 0..2</t>
  </si>
  <si>
    <t>ARRAY[0..2] OF BOOL</t>
  </si>
  <si>
    <t>ST_EQ_Valve4</t>
  </si>
  <si>
    <t>Equipment\ST_EQ_Valve4.ddt</t>
  </si>
  <si>
    <t>position demandee en automatique, 0..3</t>
  </si>
  <si>
    <t>ARRAY[0..3] OF BOOL</t>
  </si>
  <si>
    <t>DFB_IO_ANA04</t>
  </si>
  <si>
    <t>IO\DFB_IO_ANA04.dfb</t>
  </si>
  <si>
    <t>how many channels of this card are in use</t>
  </si>
  <si>
    <t>the scan time in ms. A DDT cannot hold a timer, so time is accumulated</t>
  </si>
  <si>
    <t>clears the counters and the min/max holds, not the values</t>
  </si>
  <si>
    <t>Chan</t>
  </si>
  <si>
    <t>ARRAY[0..3] OF ST_IO_Ana</t>
  </si>
  <si>
    <t>the card's channels</t>
  </si>
  <si>
    <t>AlarmCount</t>
  </si>
  <si>
    <t>how many channels are in alarm</t>
  </si>
  <si>
    <t>AlarmSevMax</t>
  </si>
  <si>
    <t>the worst severity on this card, 0 when there is none</t>
  </si>
  <si>
    <t>channel index</t>
  </si>
  <si>
    <t>Count, held inside the array</t>
  </si>
  <si>
    <t>the last index this size of block has</t>
  </si>
  <si>
    <t>threshold index</t>
  </si>
  <si>
    <t>THRLAST</t>
  </si>
  <si>
    <t>the last threshold index</t>
  </si>
  <si>
    <t>RawMax - RawMin</t>
  </si>
  <si>
    <t>engSpan</t>
  </si>
  <si>
    <t>EngMax - EngMin, for an output</t>
  </si>
  <si>
    <t>the raw value actually used</t>
  </si>
  <si>
    <t>e</t>
  </si>
  <si>
    <t>the engineering value actually used</t>
  </si>
  <si>
    <t>moved</t>
  </si>
  <si>
    <t>the value moved further than the deadband</t>
  </si>
  <si>
    <t>over</t>
  </si>
  <si>
    <t>the threshold condition holds this scan</t>
  </si>
  <si>
    <t>raised</t>
  </si>
  <si>
    <t>the condition has held long enough</t>
  </si>
  <si>
    <t>the largest change the rate limit allows this scan</t>
  </si>
  <si>
    <t>prevVal</t>
  </si>
  <si>
    <t>ARRAY[0..3] OF REAL</t>
  </si>
  <si>
    <t>last scan's Val, for the rate of change</t>
  </si>
  <si>
    <t>DFB_IO_ANA08</t>
  </si>
  <si>
    <t>IO\DFB_IO_ANA08.dfb</t>
  </si>
  <si>
    <t>ARRAY[0..7] OF ST_IO_Ana</t>
  </si>
  <si>
    <t>ARRAY[0..7] OF REAL</t>
  </si>
  <si>
    <t>DFB_IO_ANA16</t>
  </si>
  <si>
    <t>IO\DFB_IO_ANA16.dfb</t>
  </si>
  <si>
    <t>ARRAY[0..15] OF ST_IO_Ana</t>
  </si>
  <si>
    <t>ARRAY[0..15] OF REAL</t>
  </si>
  <si>
    <t>DFB_IO_ANA32</t>
  </si>
  <si>
    <t>IO\DFB_IO_ANA32.dfb</t>
  </si>
  <si>
    <t>ARRAY[0..31] OF ST_IO_Ana</t>
  </si>
  <si>
    <t>ARRAY[0..31] OF REAL</t>
  </si>
  <si>
    <t>DFB_IO_ANA64</t>
  </si>
  <si>
    <t>IO\DFB_IO_ANA64.dfb</t>
  </si>
  <si>
    <t>ARRAY[0..63] OF ST_IO_Ana</t>
  </si>
  <si>
    <t>ARRAY[0..63] OF REAL</t>
  </si>
  <si>
    <t>DFB_IO_DIG04</t>
  </si>
  <si>
    <t>IO\DFB_IO_DIG04.dfb</t>
  </si>
  <si>
    <t>ARRAY[0..3] OF ST_IO_Dig</t>
  </si>
  <si>
    <t>AnyRise</t>
  </si>
  <si>
    <t>at least one channel had a rising edge this scan</t>
  </si>
  <si>
    <t>AnyFall</t>
  </si>
  <si>
    <t>at least one channel had a falling edge this scan</t>
  </si>
  <si>
    <t>the value before debounce</t>
  </si>
  <si>
    <t>held</t>
  </si>
  <si>
    <t>time in the alarm state</t>
  </si>
  <si>
    <t>DFB_IO_DIG08</t>
  </si>
  <si>
    <t>IO\DFB_IO_DIG08.dfb</t>
  </si>
  <si>
    <t>ARRAY[0..7] OF ST_IO_Dig</t>
  </si>
  <si>
    <t>DFB_IO_DIG16</t>
  </si>
  <si>
    <t>IO\DFB_IO_DIG16.dfb</t>
  </si>
  <si>
    <t>ARRAY[0..15] OF ST_IO_Dig</t>
  </si>
  <si>
    <t>DFB_IO_DIG32</t>
  </si>
  <si>
    <t>IO\DFB_IO_DIG32.dfb</t>
  </si>
  <si>
    <t>ARRAY[0..31] OF ST_IO_Dig</t>
  </si>
  <si>
    <t>DFB_IO_DIG64</t>
  </si>
  <si>
    <t>IO\DFB_IO_DIG64.dfb</t>
  </si>
  <si>
    <t>ARRAY[0..63] OF ST_IO_Dig</t>
  </si>
  <si>
    <t>ST_IO_Ana</t>
  </si>
  <si>
    <t>IO\ST_IO_Ana.ddt</t>
  </si>
  <si>
    <t>Raw</t>
  </si>
  <si>
    <t>straight from the card. An output's Raw is written BY the block</t>
  </si>
  <si>
    <t>Eng</t>
  </si>
  <si>
    <t>after scaling, before deadband and filter</t>
  </si>
  <si>
    <t>Val</t>
  </si>
  <si>
    <t>the FINAL value. For an output this is what YOU write</t>
  </si>
  <si>
    <t>IsOut</t>
  </si>
  <si>
    <t>TRUE reverses the scaling: Val in engineering units, Raw out</t>
  </si>
  <si>
    <t>the card's range, e.g. 0 and 10000</t>
  </si>
  <si>
    <t>what that range means, e.g. 0 and 16 bar</t>
  </si>
  <si>
    <t>hold Val inside EngMin..EngMax rather than extrapolating</t>
  </si>
  <si>
    <t>ignore changes smaller than this, in engineering units</t>
  </si>
  <si>
    <t>first-order filter length in scans. 1 disables it</t>
  </si>
  <si>
    <t>largest change allowed per second. 0.0 disables it</t>
  </si>
  <si>
    <t>SimEn</t>
  </si>
  <si>
    <t>use SimVal instead of the card</t>
  </si>
  <si>
    <t>SimVal</t>
  </si>
  <si>
    <t>ForceEn</t>
  </si>
  <si>
    <t>use ForceVal instead of anything else - wins over SimEn</t>
  </si>
  <si>
    <t>ForceVal</t>
  </si>
  <si>
    <t>OverRange</t>
  </si>
  <si>
    <t>Raw was above RawMax</t>
  </si>
  <si>
    <t>UnderRange</t>
  </si>
  <si>
    <t>Raw was below RawMin</t>
  </si>
  <si>
    <t>the scaling is unusable: RawMax equals RawMin</t>
  </si>
  <si>
    <t>MinHold</t>
  </si>
  <si>
    <t>lowest Val since the last Reset</t>
  </si>
  <si>
    <t>MaxHold</t>
  </si>
  <si>
    <t>highest Val since the last Reset</t>
  </si>
  <si>
    <t>change per second, from the last scan</t>
  </si>
  <si>
    <t>HoldValid</t>
  </si>
  <si>
    <t>FALSE until the first scan has filled MinHold and MaxHold</t>
  </si>
  <si>
    <t>AlarmAny</t>
  </si>
  <si>
    <t>at least one threshold is raised</t>
  </si>
  <si>
    <t>AlarmSev</t>
  </si>
  <si>
    <t>the worst severity currently raised, 0 when none is</t>
  </si>
  <si>
    <t>Thr</t>
  </si>
  <si>
    <t>ARRAY[0..3] OF ST_IO_Thr</t>
  </si>
  <si>
    <t>the thresholds, in no particular order</t>
  </si>
  <si>
    <t>ST_IO_Dig</t>
  </si>
  <si>
    <t>IO\ST_IO_Dig.ddt</t>
  </si>
  <si>
    <t>straight from the card, before anything</t>
  </si>
  <si>
    <t>the FINAL value: inverted and debounced</t>
  </si>
  <si>
    <t>TRUE for an output: Val is written by you, Raw by the block</t>
  </si>
  <si>
    <t>TRUE for a normally-closed contact</t>
  </si>
  <si>
    <t>how long a change must hold before it is believed</t>
  </si>
  <si>
    <t>Prev</t>
  </si>
  <si>
    <t>last scan's Val - runtime, do not write</t>
  </si>
  <si>
    <t>Rise</t>
  </si>
  <si>
    <t>one scan on a 0 to 1 edge</t>
  </si>
  <si>
    <t>Fall</t>
  </si>
  <si>
    <t>one scan on a 1 to 0 edge</t>
  </si>
  <si>
    <t>RiseCnt</t>
  </si>
  <si>
    <t>rising edges since the last Reset</t>
  </si>
  <si>
    <t>FallCnt</t>
  </si>
  <si>
    <t>falling edges since the last Reset</t>
  </si>
  <si>
    <t>OnMs</t>
  </si>
  <si>
    <t>time in the current state when it is 1, in ms</t>
  </si>
  <si>
    <t>OffMs</t>
  </si>
  <si>
    <t>time in the current state when it is 0, in ms</t>
  </si>
  <si>
    <t>SettleMs</t>
  </si>
  <si>
    <t>debounce accumulator - runtime, do not write</t>
  </si>
  <si>
    <t>raise an alarm when it sits in AlarmState too long</t>
  </si>
  <si>
    <t>the state that is wrong: TRUE or FALSE</t>
  </si>
  <si>
    <t>how long that state is tolerated</t>
  </si>
  <si>
    <t>1 = information, 4 = the machine must stop</t>
  </si>
  <si>
    <t>Alarm</t>
  </si>
  <si>
    <t>the alarm is out</t>
  </si>
  <si>
    <t>the block could not make sense of the configuration</t>
  </si>
  <si>
    <t>ST_IO_Thr</t>
  </si>
  <si>
    <t>IO\ST_IO_Thr.ddt</t>
  </si>
  <si>
    <t>En</t>
  </si>
  <si>
    <t>TRUE to evaluate this threshold at all</t>
  </si>
  <si>
    <t>Dir</t>
  </si>
  <si>
    <t>0 = raises when the value goes ABOVE Val, 1 = below</t>
  </si>
  <si>
    <t>the threshold, in engineering units</t>
  </si>
  <si>
    <t>release band: applied on the way OUT, never on the way in</t>
  </si>
  <si>
    <t>DelayMs</t>
  </si>
  <si>
    <t>how long the condition must hold before it is an alarm</t>
  </si>
  <si>
    <t>ElapsedMs</t>
  </si>
  <si>
    <t>how long it has held so far - runtime, do not write</t>
  </si>
  <si>
    <t>one scan, the scan it was raised</t>
  </si>
  <si>
    <t>one scan, the scan it cleared</t>
  </si>
  <si>
    <t>Construit le 18/09/2026 08:53 depuis C:\Program Files (x86)\XpgAnalyzer\libs : 45 fichier(s), 745 parametre(s).</t>
  </si>
  <si>
    <t>16 voies</t>
  </si>
  <si>
    <t>complete</t>
  </si>
  <si>
    <t>8 voies</t>
  </si>
  <si>
    <t>18/09/2026 08:54</t>
  </si>
  <si>
    <t>Voies creees</t>
  </si>
  <si>
    <t>80 voie(s) pour 6 carte(s)</t>
  </si>
  <si>
    <t>Quentin</t>
  </si>
  <si>
    <t>Nouvel equipement</t>
  </si>
  <si>
    <t>MODE</t>
  </si>
  <si>
    <t>EQ</t>
  </si>
  <si>
    <t>LIGNE</t>
  </si>
  <si>
    <t>changez la famille : la liste se refait</t>
  </si>
  <si>
    <t>Variable seule : pas d'index, l'acces est le nom tout court</t>
  </si>
  <si>
    <t>l'index est verifie : deux equipements ne peuvent pas occuper le meme</t>
  </si>
  <si>
    <t>(sans designation)   [CarteDI_R0S4[0]  %I0.4.0]</t>
  </si>
  <si>
    <t>(sans designation)   [CarteDI_R0S4[1]  %I0.4.1]</t>
  </si>
  <si>
    <t>(sans designation)   [CarteDI_R0S4[2]  %I0.4.2]</t>
  </si>
  <si>
    <t>(sans designation)   [CarteDI_R0S4[3]  %I0.4.3]</t>
  </si>
  <si>
    <t>(sans designation)   [CarteDI_R0S4[4]  %I0.4.4]</t>
  </si>
  <si>
    <t>(sans designation)   [CarteDI_R0S4[5]  %I0.4.5]</t>
  </si>
  <si>
    <t>(sans designation)   [CarteDI_R0S4[6]  %I0.4.6]</t>
  </si>
  <si>
    <t>(sans designation)   [CarteDI_R0S4[7]  %I0.4.7]</t>
  </si>
  <si>
    <t>(sans designation)   [CarteDI_R0S4[8]  %I0.4.8]</t>
  </si>
  <si>
    <t>(sans designation)   [CarteDI_R0S4[9]  %I0.4.9]</t>
  </si>
  <si>
    <t>(sans designation)   [CarteDI_R0S4[10]  %I0.4.10]</t>
  </si>
  <si>
    <t>(sans designation)   [CarteDI_R0S4[11]  %I0.4.11]</t>
  </si>
  <si>
    <t>(sans designation)   [CarteDI_R0S4[12]  %I0.4.12]</t>
  </si>
  <si>
    <t>(sans designation)   [CarteDI_R0S4[13]  %I0.4.13]</t>
  </si>
  <si>
    <t>(sans designation)   [CarteDI_R0S4[14]  %I0.4.14]</t>
  </si>
  <si>
    <t>(sans designation)   [CarteDI_R0S4[15]  %I0.4.15]</t>
  </si>
  <si>
    <t>(sans designation)   [CarteDO_R0S5[0]  %Q0.5.0]</t>
  </si>
  <si>
    <t>(sans designation)   [CarteDO_R0S5[1]  %Q0.5.1]</t>
  </si>
  <si>
    <t>(sans designation)   [CarteDO_R0S5[2]  %Q0.5.2]</t>
  </si>
  <si>
    <t>(sans designation)   [CarteDO_R0S5[3]  %Q0.5.3]</t>
  </si>
  <si>
    <t>(sans designation)   [CarteDO_R0S5[4]  %Q0.5.4]</t>
  </si>
  <si>
    <t>(sans designation)   [CarteDO_R0S5[5]  %Q0.5.5]</t>
  </si>
  <si>
    <t>(sans designation)   [CarteDO_R0S5[6]  %Q0.5.6]</t>
  </si>
  <si>
    <t>(sans designation)   [CarteDO_R0S5[7]  %Q0.5.7]</t>
  </si>
  <si>
    <t>(sans designation)   [CarteDO_R0S5[8]  %Q0.5.8]</t>
  </si>
  <si>
    <t>(sans designation)   [CarteDO_R0S5[9]  %Q0.5.9]</t>
  </si>
  <si>
    <t>(sans designation)   [CarteDO_R0S5[10]  %Q0.5.10]</t>
  </si>
  <si>
    <t>(sans designation)   [CarteDO_R0S5[11]  %Q0.5.11]</t>
  </si>
  <si>
    <t>(sans designation)   [CarteDO_R0S5[12]  %Q0.5.12]</t>
  </si>
  <si>
    <t>(sans designation)   [CarteDO_R0S5[13]  %Q0.5.13]</t>
  </si>
  <si>
    <t>(sans designation)   [CarteDO_R0S5[14]  %Q0.5.14]</t>
  </si>
  <si>
    <t>(sans designation)   [CarteDO_R0S5[15]  %Q0.5.15]</t>
  </si>
  <si>
    <t>(sans designation)   [CarteDI_R0S7[0]  %I0.7.0]</t>
  </si>
  <si>
    <t>(sans designation)   [CarteDI_R0S7[1]  %I0.7.1]</t>
  </si>
  <si>
    <t>(sans designation)   [CarteDI_R0S7[2]  %I0.7.2]</t>
  </si>
  <si>
    <t>(sans designation)   [CarteDI_R0S7[3]  %I0.7.3]</t>
  </si>
  <si>
    <t>(sans designation)   [CarteDI_R0S7[4]  %I0.7.4]</t>
  </si>
  <si>
    <t>(sans designation)   [CarteDI_R0S7[5]  %I0.7.5]</t>
  </si>
  <si>
    <t>(sans designation)   [CarteDI_R0S7[6]  %I0.7.6]</t>
  </si>
  <si>
    <t>(sans designation)   [CarteDI_R0S7[7]  %I0.7.7]</t>
  </si>
  <si>
    <t>(sans designation)   [CarteDI_R0S7[8]  %I0.7.8]</t>
  </si>
  <si>
    <t>(sans designation)   [CarteDI_R0S7[9]  %I0.7.9]</t>
  </si>
  <si>
    <t>(sans designation)   [CarteDI_R0S7[10]  %I0.7.10]</t>
  </si>
  <si>
    <t>(sans designation)   [CarteDI_R0S7[11]  %I0.7.11]</t>
  </si>
  <si>
    <t>(sans designation)   [CarteDI_R0S7[12]  %I0.7.12]</t>
  </si>
  <si>
    <t>(sans designation)   [CarteDI_R0S7[13]  %I0.7.13]</t>
  </si>
  <si>
    <t>(sans designation)   [CarteDI_R0S7[14]  %I0.7.14]</t>
  </si>
  <si>
    <t>(sans designation)   [CarteDI_R0S7[15]  %I0.7.15]</t>
  </si>
  <si>
    <t>(sans designation)   [CarteDO_R0S8[0]  %Q0.8.0]</t>
  </si>
  <si>
    <t>(sans designation)   [CarteDO_R0S8[1]  %Q0.8.1]</t>
  </si>
  <si>
    <t>(sans designation)   [CarteDO_R0S8[2]  %Q0.8.2]</t>
  </si>
  <si>
    <t>(sans designation)   [CarteDO_R0S8[3]  %Q0.8.3]</t>
  </si>
  <si>
    <t>(sans designation)   [CarteDO_R0S8[4]  %Q0.8.4]</t>
  </si>
  <si>
    <t>(sans designation)   [CarteDO_R0S8[5]  %Q0.8.5]</t>
  </si>
  <si>
    <t>(sans designation)   [CarteDO_R0S8[6]  %Q0.8.6]</t>
  </si>
  <si>
    <t>(sans designation)   [CarteDO_R0S8[7]  %Q0.8.7]</t>
  </si>
  <si>
    <t>(sans designation)   [CarteDO_R0S8[8]  %Q0.8.8]</t>
  </si>
  <si>
    <t>(sans designation)   [CarteDO_R0S8[9]  %Q0.8.9]</t>
  </si>
  <si>
    <t>(sans designation)   [CarteDO_R0S8[10]  %Q0.8.10]</t>
  </si>
  <si>
    <t>(sans designation)   [CarteDO_R0S8[11]  %Q0.8.11]</t>
  </si>
  <si>
    <t>(sans designation)   [CarteDO_R0S8[12]  %Q0.8.12]</t>
  </si>
  <si>
    <t>(sans designation)   [CarteDO_R0S8[13]  %Q0.8.13]</t>
  </si>
  <si>
    <t>(sans designation)   [CarteDO_R0S8[14]  %Q0.8.14]</t>
  </si>
  <si>
    <t>(sans designation)   [CarteDO_R0S8[15]  %Q0.8.15]</t>
  </si>
  <si>
    <t>(sans designation)   [CarteAI_R0S10[0]  %IW0.10.0]</t>
  </si>
  <si>
    <t>(sans designation)   [CarteAI_R0S10[1]  %IW0.10.1]</t>
  </si>
  <si>
    <t>(sans designation)   [CarteAI_R0S10[2]  %IW0.10.2]</t>
  </si>
  <si>
    <t>(sans designation)   [CarteAI_R0S10[3]  %IW0.10.3]</t>
  </si>
  <si>
    <t>(sans designation)   [CarteAI_R0S10[4]  %IW0.10.4]</t>
  </si>
  <si>
    <t>(sans designation)   [CarteAI_R0S10[5]  %IW0.10.5]</t>
  </si>
  <si>
    <t>(sans designation)   [CarteAI_R0S10[6]  %IW0.10.6]</t>
  </si>
  <si>
    <t>(sans designation)   [CarteAI_R0S10[7]  %IW0.10.7]</t>
  </si>
  <si>
    <t>(sans designation)   [CarteAI_R0S11[0]  %IW0.11.0]</t>
  </si>
  <si>
    <t>(sans designation)   [CarteAI_R0S11[1]  %IW0.11.1]</t>
  </si>
  <si>
    <t>(sans designation)   [CarteAI_R0S11[2]  %IW0.11.2]</t>
  </si>
  <si>
    <t>(sans designation)   [CarteAI_R0S11[3]  %IW0.11.3]</t>
  </si>
  <si>
    <t>(sans designation)   [CarteAI_R0S11[4]  %IW0.11.4]</t>
  </si>
  <si>
    <t>(sans designation)   [CarteAI_R0S11[5]  %IW0.11.5]</t>
  </si>
  <si>
    <t>(sans designation)   [CarteAI_R0S11[6]  %IW0.11.6]</t>
  </si>
  <si>
    <t>(sans designation)   [CarteAI_R0S11[7]  %IW0.11.7]</t>
  </si>
  <si>
    <t>Cablage</t>
  </si>
  <si>
    <t>Voie E/S</t>
  </si>
  <si>
    <t>Ce que fait l'attribut</t>
  </si>
  <si>
    <t>Designation IHM</t>
  </si>
  <si>
    <t>Etat de l'adresse</t>
  </si>
  <si>
    <t>DDT</t>
  </si>
  <si>
    <t>18/09/2026 08:56</t>
  </si>
  <si>
    <t>Adresses attribuees</t>
  </si>
  <si>
    <t>PT1_A : 0 adresse(s) a partir de %MW1000</t>
  </si>
  <si>
    <t>P0</t>
  </si>
  <si>
    <t>25 parametre(s) pour ST_EQ_Pump - RIEN N'EST OBLIGATOIRE : laissez vide ce qui ne se cable pas et ce qui ne remonte pas.</t>
  </si>
  <si>
    <t>Pompes</t>
  </si>
  <si>
    <t>18/09/2026 08:58</t>
  </si>
  <si>
    <t>P0 : 25 adresse(s) a partir de %MW1000</t>
  </si>
  <si>
    <t>P0 - Enable</t>
  </si>
  <si>
    <t>W</t>
  </si>
  <si>
    <t>P0 - ManMode</t>
  </si>
  <si>
    <t>P0 - AckFault</t>
  </si>
  <si>
    <t>P0 - RunReq</t>
  </si>
  <si>
    <t>P0 - ManRunReq</t>
  </si>
  <si>
    <t>CarteDI_R0S4[3]</t>
  </si>
  <si>
    <t>%I0.4.3</t>
  </si>
  <si>
    <t>P0 - Fbk</t>
  </si>
  <si>
    <t>R</t>
  </si>
  <si>
    <t>P0 - Thermal</t>
  </si>
  <si>
    <t>P0 - Run</t>
  </si>
  <si>
    <t>P0 - Running</t>
  </si>
  <si>
    <t>P0 - FbkMs</t>
  </si>
  <si>
    <t>P0 - MinOffMs</t>
  </si>
  <si>
    <t>P0 - HasFbk</t>
  </si>
  <si>
    <t>P0 - Flow</t>
  </si>
  <si>
    <t>P0 - MinFlow</t>
  </si>
  <si>
    <t>P0 - FlowDelayMs</t>
  </si>
  <si>
    <t>P0 - SuctionOk</t>
  </si>
  <si>
    <t>P0 - Pressure</t>
  </si>
  <si>
    <t>P0 - MaxPressure</t>
  </si>
  <si>
    <t>P0 - Fault</t>
  </si>
  <si>
    <t>P0 - FaultCode</t>
  </si>
  <si>
    <t>P0 - FaultLatch</t>
  </si>
  <si>
    <t>P0 - Ready</t>
  </si>
  <si>
    <t>P0 - RunMs</t>
  </si>
  <si>
    <t>P0 - Starts</t>
  </si>
  <si>
    <t>P0 - StateMs</t>
  </si>
  <si>
    <t>%MW1000</t>
  </si>
  <si>
    <t>X</t>
  </si>
  <si>
    <t>%MW1001</t>
  </si>
  <si>
    <t>%MW1002</t>
  </si>
  <si>
    <t>%MW1003</t>
  </si>
  <si>
    <t>%MW1004</t>
  </si>
  <si>
    <t>%MW1005</t>
  </si>
  <si>
    <t>%MW1006</t>
  </si>
  <si>
    <t>%MW1007</t>
  </si>
  <si>
    <t>%MW1008</t>
  </si>
  <si>
    <t>%MW1009</t>
  </si>
  <si>
    <t>%MW1010</t>
  </si>
  <si>
    <t>%MW1011</t>
  </si>
  <si>
    <t>18/09/2026 09:00</t>
  </si>
  <si>
    <t>Equipement ajoute</t>
  </si>
  <si>
    <t>P0 (ST_EQ_Pump) : 1 voie(s), 25 report(s)</t>
  </si>
  <si>
    <t>18/09/2026 09:09</t>
  </si>
  <si>
    <t>P1 : 25 adresse(s) a partir de %MW1012</t>
  </si>
  <si>
    <t>P1 - Enable</t>
  </si>
  <si>
    <t>P1 - ManMode</t>
  </si>
  <si>
    <t>P1 - AckFault</t>
  </si>
  <si>
    <t>P1 - RunReq</t>
  </si>
  <si>
    <t>P1 - ManRunReq</t>
  </si>
  <si>
    <t>P1 - Fbk</t>
  </si>
  <si>
    <t>P1 - Thermal</t>
  </si>
  <si>
    <t>P1 - Run</t>
  </si>
  <si>
    <t>P1 - Running</t>
  </si>
  <si>
    <t>P1 - FbkMs</t>
  </si>
  <si>
    <t>P1 - MinOffMs</t>
  </si>
  <si>
    <t>P1 - HasFbk</t>
  </si>
  <si>
    <t>P1 - Flow</t>
  </si>
  <si>
    <t>P1 - MinFlow</t>
  </si>
  <si>
    <t>P1 - FlowDelayMs</t>
  </si>
  <si>
    <t>P1 - SuctionOk</t>
  </si>
  <si>
    <t>P1 - Pressure</t>
  </si>
  <si>
    <t>P1 - MaxPressure</t>
  </si>
  <si>
    <t>P1 - Fault</t>
  </si>
  <si>
    <t>P1 - FaultCode</t>
  </si>
  <si>
    <t>P1 - FaultLatch</t>
  </si>
  <si>
    <t>P1 - Ready</t>
  </si>
  <si>
    <t>P1 - RunMs</t>
  </si>
  <si>
    <t>P1 - Starts</t>
  </si>
  <si>
    <t>P1 - StateMs</t>
  </si>
  <si>
    <t>%MW1012</t>
  </si>
  <si>
    <t>%MW1013</t>
  </si>
  <si>
    <t>%MW1014</t>
  </si>
  <si>
    <t>%MW1015</t>
  </si>
  <si>
    <t>%MW1016</t>
  </si>
  <si>
    <t>%MW1017</t>
  </si>
  <si>
    <t>%MW1018</t>
  </si>
  <si>
    <t>%MW1019</t>
  </si>
  <si>
    <t>%MW1020</t>
  </si>
  <si>
    <t>%MW1021</t>
  </si>
  <si>
    <t>%MW1022</t>
  </si>
  <si>
    <t>%MW1023</t>
  </si>
  <si>
    <t>18/09/2026 09:10</t>
  </si>
  <si>
    <t>P1 (ST_EQ_Pump) : 0 voie(s), 25 report(s)</t>
  </si>
  <si>
    <t>P2</t>
  </si>
  <si>
    <t>18/09/2026 09:11</t>
  </si>
  <si>
    <t>P2 : 25 adresse(s) a partir de %MW1024</t>
  </si>
  <si>
    <t>P2 - Enable</t>
  </si>
  <si>
    <t>P2 - ManMode</t>
  </si>
  <si>
    <t>P2 - AckFault</t>
  </si>
  <si>
    <t>P2 - RunReq</t>
  </si>
  <si>
    <t>P2 - ManRunReq</t>
  </si>
  <si>
    <t>P2 - Fbk</t>
  </si>
  <si>
    <t>P2 - Thermal</t>
  </si>
  <si>
    <t>P2 - Run</t>
  </si>
  <si>
    <t>P2 - Running</t>
  </si>
  <si>
    <t>P2 - FbkMs</t>
  </si>
  <si>
    <t>P2 - MinOffMs</t>
  </si>
  <si>
    <t>P2 - HasFbk</t>
  </si>
  <si>
    <t>P2 - Flow</t>
  </si>
  <si>
    <t>P2 - MinFlow</t>
  </si>
  <si>
    <t>P2 - FlowDelayMs</t>
  </si>
  <si>
    <t>P2 - SuctionOk</t>
  </si>
  <si>
    <t>P2 - Pressure</t>
  </si>
  <si>
    <t>P2 - MaxPressure</t>
  </si>
  <si>
    <t>P2 - Fault</t>
  </si>
  <si>
    <t>P2 - FaultCode</t>
  </si>
  <si>
    <t>P2 - FaultLatch</t>
  </si>
  <si>
    <t>P2 - Ready</t>
  </si>
  <si>
    <t>P2 - RunMs</t>
  </si>
  <si>
    <t>P2 - Starts</t>
  </si>
  <si>
    <t>P2 - StateMs</t>
  </si>
  <si>
    <t>%MW1024</t>
  </si>
  <si>
    <t>%MW1025</t>
  </si>
  <si>
    <t>%MW1026</t>
  </si>
  <si>
    <t>%MW1027</t>
  </si>
  <si>
    <t>%MW1028</t>
  </si>
  <si>
    <t>%MW1029</t>
  </si>
  <si>
    <t>%MW1030</t>
  </si>
  <si>
    <t>%MW1031</t>
  </si>
  <si>
    <t>%MW1032</t>
  </si>
  <si>
    <t>%MW1033</t>
  </si>
  <si>
    <t>%MW1034</t>
  </si>
  <si>
    <t>%MW1035</t>
  </si>
  <si>
    <t>P2 (ST_EQ_Pump) : 0 voie(s), 25 report(s)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</si>
</sst>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1"/>
    </font>
    <font>
      <b/>
      <sz val="15"/>
      <color rgb="FFFFFFFF"/>
      <name val="Calibri"/>
      <charset val="1"/>
    </font>
    <font>
      <sz val="9"/>
      <color rgb="FFD6DCE4"/>
      <name val="Calibri"/>
      <charset val="1"/>
    </font>
    <font>
      <b/>
      <sz val="9"/>
      <name val="Calibri"/>
      <charset val="1"/>
    </font>
    <font>
      <sz val="9"/>
      <name val="Calibri"/>
      <charset val="1"/>
    </font>
    <font>
      <i/>
      <sz val="8"/>
      <color rgb="FF808080"/>
      <name val="Calibri"/>
      <charset val="1"/>
    </font>
    <font>
      <b/>
      <sz val="11"/>
      <color rgb="FF1F4E79"/>
      <name val="Calibri"/>
      <charset val="1"/>
    </font>
    <font>
      <sz val="9"/>
      <color rgb="FF404040"/>
      <name val="Calibri"/>
      <charset val="1"/>
    </font>
    <font>
      <b/>
      <sz val="9"/>
      <color rgb="FFC00000"/>
      <name val="Calibri"/>
      <charset val="1"/>
    </font>
    <font>
      <b/>
      <sz val="8"/>
      <color rgb="FFFFFFFF"/>
      <name val="Calibri"/>
      <charset val="1"/>
    </font>
    <font>
      <b/>
      <sz val="9"/>
      <color rgb="FFFFFFFF"/>
      <name val="Calibri"/>
      <charset val="1"/>
    </font>
    <font>
      <sz val="7"/>
      <color rgb="FFD6DCE4"/>
      <name val="Calibri"/>
      <charset val="1"/>
    </font>
    <font>
      <b/>
      <sz val="10"/>
      <color rgb="FFFFFFFF"/>
      <name val="Calibri"/>
      <charset val="1"/>
    </font>
    <font>
      <i/>
      <sz val="7"/>
      <color rgb="FF808080"/>
      <name val="Calibri"/>
      <charset val="1"/>
    </font>
    <font>
      <sz val="8"/>
      <name val="Calibri"/>
      <charset val="1"/>
    </font>
    <font>
      <sz val="7"/>
      <name val="Calibri"/>
      <charset val="1"/>
    </font>
    <font>
      <b/>
      <sz val="11"/>
      <color theme="1"/>
      <name val="Calibri"/>
      <family val="2"/>
    </font>
    <font>
      <i/>
      <sz val="8"/>
      <color theme="1"/>
      <name val="Calibri"/>
      <family val="2"/>
    </font>
    <font>
      <sz val="8"/>
      <name val="Segoe UI"/>
      <family val="2"/>
    </font>
    <font>
      <sz val="9"/>
      <name val="Calibri"/>
      <family val="2"/>
    </font>
    <font>
      <b/>
      <sz val="9"/>
      <color rgb="FFFFFFFF"/>
      <name val="Calibri"/>
      <family val="2"/>
    </font>
    <font>
      <b/>
      <sz val="8"/>
      <name val="Calibri"/>
      <family val="2"/>
    </font>
    <font>
      <sz val="8"/>
      <color rgb="FF008000"/>
      <name val="Calibri"/>
      <family val="2"/>
    </font>
    <font>
      <sz val="8"/>
      <color theme="1"/>
      <name val="Calibri"/>
      <family val="2"/>
      <charset val="1"/>
    </font>
    <font>
      <b/>
      <sz val="15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rgb="FF595959"/>
      <name val="Calibri"/>
      <family val="2"/>
    </font>
    <font>
      <b/>
      <sz val="11"/>
      <color rgb="FF0070C0"/>
      <name val="Calibri"/>
      <family val="2"/>
    </font>
    <font>
      <b/>
      <sz val="11"/>
      <color rgb="FFC00000"/>
      <name val="Calibri"/>
      <family val="2"/>
    </font>
    <font>
      <i/>
      <sz val="9"/>
      <color rgb="FF595959"/>
      <name val="Calibri"/>
      <family val="2"/>
    </font>
    <font>
      <b/>
      <sz val="11"/>
      <color rgb="FF2E75B6"/>
      <name val="Calibri"/>
      <family val="2"/>
    </font>
    <font>
      <i/>
      <sz val="8"/>
      <color rgb="FF595959"/>
      <name val="Calibri"/>
      <family val="2"/>
    </font>
    <font>
      <sz val="8"/>
      <color rgb="FF008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1F4E79"/>
        <bgColor rgb="FF44546A"/>
      </patternFill>
    </fill>
    <fill>
      <patternFill patternType="solid">
        <fgColor rgb="FFFFFDE7"/>
        <bgColor rgb="FFFFFFFF"/>
      </patternFill>
    </fill>
    <fill>
      <patternFill patternType="solid">
        <fgColor rgb="FFF4F4F4"/>
        <bgColor rgb="FFEAF4EA"/>
      </patternFill>
    </fill>
    <fill>
      <patternFill patternType="solid">
        <fgColor rgb="FF2E75B6"/>
        <bgColor rgb="FF4F81BD"/>
      </patternFill>
    </fill>
    <fill>
      <patternFill patternType="solid">
        <fgColor rgb="FF548235"/>
        <bgColor rgb="FF339966"/>
      </patternFill>
    </fill>
    <fill>
      <patternFill patternType="solid">
        <fgColor rgb="FFBF8F00"/>
        <bgColor rgb="FFC55A11"/>
      </patternFill>
    </fill>
    <fill>
      <patternFill patternType="solid">
        <fgColor rgb="FF7030A0"/>
        <bgColor rgb="FF993366"/>
      </patternFill>
    </fill>
    <fill>
      <patternFill patternType="solid">
        <fgColor rgb="FF44546A"/>
        <bgColor rgb="FF404040"/>
      </patternFill>
    </fill>
    <fill>
      <patternFill patternType="solid">
        <fgColor rgb="FFEAF4EA"/>
        <bgColor rgb="FFF4F4F4"/>
      </patternFill>
    </fill>
    <fill>
      <patternFill patternType="solid">
        <fgColor rgb="FFC55A11"/>
        <bgColor rgb="FF993300"/>
      </patternFill>
    </fill>
    <fill>
      <patternFill patternType="solid">
        <fgColor rgb="FF2E75B6"/>
        <bgColor rgb="FFF4F4F4"/>
      </patternFill>
    </fill>
    <fill>
      <patternFill patternType="solid">
        <fgColor rgb="FF548235"/>
        <bgColor rgb="FFF4F4F4"/>
      </patternFill>
    </fill>
    <fill>
      <patternFill patternType="solid">
        <fgColor rgb="FFBF8F00"/>
        <bgColor rgb="FFF4F4F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EAF4EA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BDD7EE"/>
        <bgColor indexed="64"/>
      </patternFill>
    </fill>
  </fills>
  <borders count="3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5" fillId="0" borderId="0" xfId="0" applyFont="1" applyAlignment="1">
      <alignment vertical="center" wrapText="1"/>
    </xf>
    <xf numFmtId="0" fontId="9" fillId="8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0" borderId="0" xfId="0" applyFont="1"/>
    <xf numFmtId="0" fontId="4" fillId="3" borderId="1" xfId="0" applyFont="1" applyFill="1" applyBorder="1"/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vertical="top"/>
    </xf>
    <xf numFmtId="0" fontId="7" fillId="4" borderId="1" xfId="0" applyFont="1" applyFill="1" applyBorder="1" applyAlignment="1">
      <alignment horizontal="center"/>
    </xf>
    <xf numFmtId="0" fontId="4" fillId="0" borderId="0" xfId="0" applyFont="1"/>
    <xf numFmtId="0" fontId="8" fillId="4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/>
    </xf>
    <xf numFmtId="0" fontId="4" fillId="10" borderId="1" xfId="0" applyFont="1" applyFill="1" applyBorder="1"/>
    <xf numFmtId="0" fontId="7" fillId="4" borderId="1" xfId="0" applyFont="1" applyFill="1" applyBorder="1"/>
    <xf numFmtId="0" fontId="12" fillId="9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11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9" fillId="3" borderId="1" xfId="0" applyFont="1" applyFill="1" applyBorder="1" applyAlignment="1">
      <alignment vertical="center"/>
    </xf>
    <xf numFmtId="22" fontId="0" fillId="0" borderId="0" xfId="0" applyNumberFormat="1"/>
    <xf numFmtId="0" fontId="20" fillId="12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/>
    </xf>
    <xf numFmtId="0" fontId="20" fillId="14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 vertical="center"/>
    </xf>
    <xf numFmtId="0" fontId="21" fillId="17" borderId="1" xfId="0" applyFont="1" applyFill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0" fillId="18" borderId="2" xfId="0" applyFill="1" applyBorder="1"/>
    <xf numFmtId="0" fontId="25" fillId="1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/>
    <xf numFmtId="0" fontId="30" fillId="0" borderId="0" xfId="0" applyFont="1" applyAlignment="1">
      <alignment horizontal="center"/>
    </xf>
    <xf numFmtId="0" fontId="0" fillId="20" borderId="2" xfId="0" applyFill="1" applyBorder="1"/>
    <xf numFmtId="0" fontId="31" fillId="0" borderId="0" xfId="0" applyFont="1"/>
    <xf numFmtId="0" fontId="0" fillId="16" borderId="2" xfId="0" applyFill="1" applyBorder="1"/>
    <xf numFmtId="0" fontId="32" fillId="0" borderId="0" xfId="0" applyFont="1"/>
    <xf numFmtId="0" fontId="15" fillId="0" borderId="1" xfId="0" applyFont="1" applyFill="1" applyBorder="1" applyAlignment="1">
      <alignment horizontal="center" vertical="center"/>
    </xf>
    <xf numFmtId="0" fontId="0" fillId="0" borderId="0" xfId="0" applyFill="1"/>
    <xf numFmtId="0" fontId="15" fillId="21" borderId="1" xfId="0" applyFont="1" applyFill="1" applyBorder="1" applyAlignment="1">
      <alignment horizontal="center" vertical="center"/>
    </xf>
    <xf numFmtId="0" fontId="15" fillId="2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D9D9D9"/>
      <rgbColor rgb="FF808080"/>
      <rgbColor rgb="FF9999FF"/>
      <rgbColor rgb="FF7030A0"/>
      <rgbColor rgb="FFFFFDE7"/>
      <rgbColor rgb="FFEAF4EA"/>
      <rgbColor rgb="FF660066"/>
      <rgbColor rgb="FFFF8080"/>
      <rgbColor rgb="FF0066CC"/>
      <rgbColor rgb="FFD0D0D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4F4F4"/>
      <rgbColor rgb="FFD6DCE4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BF8F00"/>
      <rgbColor rgb="FFC55A11"/>
      <rgbColor rgb="FF4F81BD"/>
      <rgbColor rgb="FF878787"/>
      <rgbColor rgb="FF003366"/>
      <rgbColor rgb="FF339966"/>
      <rgbColor rgb="FF003300"/>
      <rgbColor rgb="FF44546A"/>
      <rgbColor rgb="FF993300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Occupation %MW par tranche de 100, depuis le debut de la plage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Config!$M$26</c:f>
              <c:strCache>
                <c:ptCount val="1"/>
                <c:pt idx="0">
                  <c:v>Occupes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Config!$L$27:$L$46</c:f>
              <c:strCache>
                <c:ptCount val="10"/>
                <c:pt idx="0">
                  <c:v>1000-1099</c:v>
                </c:pt>
                <c:pt idx="1">
                  <c:v>1100-1199</c:v>
                </c:pt>
                <c:pt idx="2">
                  <c:v>1200-1299</c:v>
                </c:pt>
                <c:pt idx="3">
                  <c:v>1300-1399</c:v>
                </c:pt>
                <c:pt idx="4">
                  <c:v>1400-1499</c:v>
                </c:pt>
                <c:pt idx="5">
                  <c:v>1500-1599</c:v>
                </c:pt>
                <c:pt idx="6">
                  <c:v>1600-1699</c:v>
                </c:pt>
                <c:pt idx="7">
                  <c:v>1700-1799</c:v>
                </c:pt>
                <c:pt idx="8">
                  <c:v>1800-1899</c:v>
                </c:pt>
                <c:pt idx="9">
                  <c:v>1900-1999</c:v>
                </c:pt>
              </c:strCache>
            </c:strRef>
          </c:cat>
          <c:val>
            <c:numRef>
              <c:f>Config!$M$27:$M$46</c:f>
              <c:numCache>
                <c:formatCode>General</c:formatCode>
                <c:ptCount val="20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5-424A-8145-DC2D4D410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57394"/>
        <c:axId val="94635329"/>
      </c:barChart>
      <c:catAx>
        <c:axId val="4345739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4635329"/>
        <c:crosses val="autoZero"/>
        <c:auto val="1"/>
        <c:lblAlgn val="ctr"/>
        <c:lblOffset val="100"/>
        <c:noMultiLvlLbl val="0"/>
      </c:catAx>
      <c:valAx>
        <c:axId val="9463532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mots occupes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4345739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25</xdr:row>
      <xdr:rowOff>0</xdr:rowOff>
    </xdr:from>
    <xdr:to>
      <xdr:col>8</xdr:col>
      <xdr:colOff>103320</xdr:colOff>
      <xdr:row>39</xdr:row>
      <xdr:rowOff>32760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1E37BE7-EC2E-A93A-2F30-CFB28F233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INIT : lire le dossier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104775</xdr:rowOff>
        </xdr:from>
        <xdr:to>
          <xdr:col>8</xdr:col>
          <xdr:colOff>219075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BD6606B-2F79-4E46-AEED-A2581BC21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Creer les voies des cartes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209550</xdr:rowOff>
        </xdr:from>
        <xdr:to>
          <xdr:col>8</xdr:col>
          <xdr:colOff>219075</xdr:colOff>
          <xdr:row>8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AD51DFC-FB7E-A2BC-411E-D2194F117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Rafraichir la vue du rack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38100</xdr:rowOff>
        </xdr:from>
        <xdr:to>
          <xdr:col>8</xdr:col>
          <xdr:colOff>219075</xdr:colOff>
          <xdr:row>10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6B8C959-39F1-728E-D5F2-AED145FD3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4. Ajouter un equipement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142875</xdr:rowOff>
        </xdr:from>
        <xdr:to>
          <xdr:col>8</xdr:col>
          <xdr:colOff>219075</xdr:colOff>
          <xdr:row>11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AD6D7B6-2A3E-F1DE-A618-A82D27D79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5. Supprimer un equipement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247650</xdr:rowOff>
        </xdr:from>
        <xdr:to>
          <xdr:col>8</xdr:col>
          <xdr:colOff>219075</xdr:colOff>
          <xdr:row>13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73BD697A-B2D3-535E-4403-49CA2B82E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6. Tout recalculer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76200</xdr:rowOff>
        </xdr:from>
        <xdr:to>
          <xdr:col>8</xdr:col>
          <xdr:colOff>219075</xdr:colOff>
          <xdr:row>15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8182154-C31A-A3AE-4D27-D49875F1D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7. Generer le 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390525</xdr:colOff>
          <xdr:row>7</xdr:row>
          <xdr:rowOff>228600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AE4AEC6-2262-00D4-284A-215FF4B51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Cartes API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247650</xdr:rowOff>
        </xdr:from>
        <xdr:to>
          <xdr:col>12</xdr:col>
          <xdr:colOff>390525</xdr:colOff>
          <xdr:row>8</xdr:row>
          <xdr:rowOff>200025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625B7A0B-8CA6-114C-CCAC-D44750496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Vue Rack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228600</xdr:rowOff>
        </xdr:from>
        <xdr:to>
          <xdr:col>12</xdr:col>
          <xdr:colOff>390525</xdr:colOff>
          <xdr:row>9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3310D5C-1ED2-949B-C7BA-EA2B17F37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Catalogue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209550</xdr:rowOff>
        </xdr:from>
        <xdr:to>
          <xdr:col>12</xdr:col>
          <xdr:colOff>390525</xdr:colOff>
          <xdr:row>10</xdr:row>
          <xdr:rowOff>161925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3300FB8-6B66-EE47-8A49-21632CA0B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Equipements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180975</xdr:rowOff>
        </xdr:from>
        <xdr:to>
          <xdr:col>12</xdr:col>
          <xdr:colOff>390525</xdr:colOff>
          <xdr:row>11</xdr:row>
          <xdr:rowOff>133350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891C425-6567-C81D-C015-04AD649E4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Cablage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161925</xdr:rowOff>
        </xdr:from>
        <xdr:to>
          <xdr:col>12</xdr:col>
          <xdr:colOff>390525</xdr:colOff>
          <xdr:row>12</xdr:row>
          <xdr:rowOff>114300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62AC3D1-3F58-8302-54C8-E2AA4A4A3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Liens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142875</xdr:rowOff>
        </xdr:from>
        <xdr:to>
          <xdr:col>12</xdr:col>
          <xdr:colOff>390525</xdr:colOff>
          <xdr:row>13</xdr:row>
          <xdr:rowOff>95250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5B3FA3D-56AF-AF4A-B7CE-591608F8D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Reports 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114300</xdr:rowOff>
        </xdr:from>
        <xdr:to>
          <xdr:col>12</xdr:col>
          <xdr:colOff>390525</xdr:colOff>
          <xdr:row>14</xdr:row>
          <xdr:rowOff>152400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9793A19B-066B-E031-A36A-A09C5AD6D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Reports bits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180975</xdr:rowOff>
        </xdr:from>
        <xdr:to>
          <xdr:col>12</xdr:col>
          <xdr:colOff>390525</xdr:colOff>
          <xdr:row>16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C1F174A6-E071-4B7F-D1D9-0FF6C35DC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Reports 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57150</xdr:rowOff>
        </xdr:from>
        <xdr:to>
          <xdr:col>12</xdr:col>
          <xdr:colOff>390525</xdr:colOff>
          <xdr:row>17</xdr:row>
          <xdr:rowOff>57150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9AD85A8A-EB46-CD45-D896-A7C0C8D3B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Memoire MW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76200</xdr:rowOff>
        </xdr:from>
        <xdr:to>
          <xdr:col>12</xdr:col>
          <xdr:colOff>390525</xdr:colOff>
          <xdr:row>18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F7A0218-CF64-29A3-DB70-7934DA38B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Memoire MX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</xdr:row>
          <xdr:rowOff>0</xdr:rowOff>
        </xdr:from>
        <xdr:to>
          <xdr:col>50</xdr:col>
          <xdr:colOff>533400</xdr:colOff>
          <xdr:row>3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2F4135C-70EC-BEAA-5E52-E3CF24ED2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Regler la voie selectionnee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15</xdr:col>
          <xdr:colOff>209550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CF2E534-ADDE-AD55-77F8-BB2253598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Enlever le lien selectionne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43</xdr:row>
          <xdr:rowOff>0</xdr:rowOff>
        </xdr:from>
        <xdr:to>
          <xdr:col>1</xdr:col>
          <xdr:colOff>1390650</xdr:colOff>
          <xdr:row>44</xdr:row>
          <xdr:rowOff>133350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C8A64917-554F-5456-9CF9-D5B6714ED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561975</xdr:colOff>
          <xdr:row>44</xdr:row>
          <xdr:rowOff>133350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FD11E4E-F6E5-7453-B189-4A8C4F36B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Annuler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</xdr:row>
          <xdr:rowOff>0</xdr:rowOff>
        </xdr:from>
        <xdr:to>
          <xdr:col>6</xdr:col>
          <xdr:colOff>219075</xdr:colOff>
          <xdr:row>44</xdr:row>
          <xdr:rowOff>133350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FD0A33E2-CE61-66A6-5B11-66DBB9D86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Attribuer les adresses libres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46"/>
  <sheetViews>
    <sheetView tabSelected="1" zoomScaleNormal="100" workbookViewId="0">
      <selection activeCell="O14" sqref="O14"/>
    </sheetView>
  </sheetViews>
  <sheetFormatPr baseColWidth="10" defaultColWidth="8.7109375" defaultRowHeight="15" x14ac:dyDescent="0.25"/>
  <cols>
    <col min="1" max="1" width="3" customWidth="1"/>
    <col min="2" max="2" width="20" customWidth="1"/>
    <col min="3" max="3" width="40" customWidth="1"/>
    <col min="4" max="4" width="2" customWidth="1"/>
    <col min="5" max="5" width="62" customWidth="1"/>
    <col min="6" max="6" width="2" customWidth="1"/>
    <col min="7" max="7" width="28" customWidth="1"/>
    <col min="12" max="13" width="9" customWidth="1"/>
  </cols>
  <sheetData>
    <row r="1" spans="1:10" ht="25.5" customHeigh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</row>
    <row r="2" spans="1:10" ht="15.75" customHeight="1" x14ac:dyDescent="0.25">
      <c r="A2" s="8" t="s">
        <v>1</v>
      </c>
      <c r="B2" s="8"/>
      <c r="C2" s="8"/>
      <c r="D2" s="8"/>
      <c r="E2" s="8"/>
      <c r="F2" s="8"/>
      <c r="G2" s="8"/>
      <c r="H2" s="8"/>
      <c r="I2" s="8"/>
    </row>
    <row r="3" spans="1:10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0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0" ht="21.75" customHeight="1" x14ac:dyDescent="0.25">
      <c r="B6" s="12" t="s">
        <v>10</v>
      </c>
      <c r="C6" s="39" t="s">
        <v>320</v>
      </c>
      <c r="E6" s="14" t="s">
        <v>11</v>
      </c>
      <c r="J6" s="37" t="s">
        <v>318</v>
      </c>
    </row>
    <row r="7" spans="1:10" ht="21.75" customHeight="1" x14ac:dyDescent="0.25">
      <c r="B7" s="12" t="s">
        <v>12</v>
      </c>
      <c r="C7" s="13" t="s">
        <v>13</v>
      </c>
      <c r="E7" s="14" t="s">
        <v>14</v>
      </c>
      <c r="J7" s="38" t="s">
        <v>319</v>
      </c>
    </row>
    <row r="8" spans="1:10" ht="21.75" customHeight="1" x14ac:dyDescent="0.25">
      <c r="B8" s="12" t="s">
        <v>15</v>
      </c>
      <c r="C8" s="13" t="s">
        <v>16</v>
      </c>
      <c r="E8" s="14" t="s">
        <v>17</v>
      </c>
    </row>
    <row r="9" spans="1:10" ht="21.75" customHeight="1" x14ac:dyDescent="0.25">
      <c r="B9" s="12" t="s">
        <v>18</v>
      </c>
      <c r="C9" s="13">
        <v>20</v>
      </c>
      <c r="E9" s="14" t="s">
        <v>19</v>
      </c>
    </row>
    <row r="10" spans="1:10" ht="21.75" customHeight="1" x14ac:dyDescent="0.25">
      <c r="B10" s="12" t="s">
        <v>20</v>
      </c>
      <c r="C10" s="13">
        <v>1000</v>
      </c>
      <c r="E10" s="14" t="s">
        <v>21</v>
      </c>
    </row>
    <row r="11" spans="1:10" ht="21.75" customHeight="1" x14ac:dyDescent="0.25">
      <c r="B11" s="12" t="s">
        <v>22</v>
      </c>
      <c r="C11" s="13">
        <v>1999</v>
      </c>
      <c r="E11" s="14" t="s">
        <v>23</v>
      </c>
    </row>
    <row r="12" spans="1:10" ht="21.75" customHeight="1" x14ac:dyDescent="0.25">
      <c r="B12" s="12" t="s">
        <v>24</v>
      </c>
      <c r="C12" s="13">
        <v>0</v>
      </c>
      <c r="E12" s="14" t="s">
        <v>25</v>
      </c>
    </row>
    <row r="13" spans="1:10" ht="21.75" customHeight="1" x14ac:dyDescent="0.25">
      <c r="B13" s="12" t="s">
        <v>26</v>
      </c>
      <c r="C13" s="13">
        <v>511</v>
      </c>
      <c r="E13" s="14" t="s">
        <v>23</v>
      </c>
    </row>
    <row r="16" spans="1:10" x14ac:dyDescent="0.25">
      <c r="B16" s="15" t="s">
        <v>27</v>
      </c>
    </row>
    <row r="17" spans="2:13" ht="18" customHeight="1" x14ac:dyDescent="0.25">
      <c r="B17" s="10" t="s">
        <v>28</v>
      </c>
      <c r="C17" s="7" t="s">
        <v>29</v>
      </c>
      <c r="D17" s="7"/>
      <c r="E17" s="7"/>
    </row>
    <row r="18" spans="2:13" ht="18" customHeight="1" x14ac:dyDescent="0.25">
      <c r="B18" s="10" t="s">
        <v>30</v>
      </c>
      <c r="C18" s="7" t="s">
        <v>31</v>
      </c>
      <c r="D18" s="7"/>
      <c r="E18" s="7"/>
    </row>
    <row r="19" spans="2:13" ht="18" customHeight="1" x14ac:dyDescent="0.25">
      <c r="B19" s="10" t="s">
        <v>32</v>
      </c>
      <c r="C19" s="7" t="s">
        <v>33</v>
      </c>
      <c r="D19" s="7"/>
      <c r="E19" s="7"/>
    </row>
    <row r="20" spans="2:13" ht="18" customHeight="1" x14ac:dyDescent="0.25">
      <c r="B20" s="10" t="s">
        <v>34</v>
      </c>
      <c r="C20" s="7" t="s">
        <v>35</v>
      </c>
      <c r="D20" s="7"/>
      <c r="E20" s="7"/>
    </row>
    <row r="21" spans="2:13" ht="18" customHeight="1" x14ac:dyDescent="0.25">
      <c r="B21" s="10" t="s">
        <v>36</v>
      </c>
      <c r="C21" s="7" t="s">
        <v>37</v>
      </c>
      <c r="D21" s="7"/>
      <c r="E21" s="7"/>
    </row>
    <row r="23" spans="2:13" ht="15" customHeight="1" x14ac:dyDescent="0.25">
      <c r="B23" s="6" t="s">
        <v>38</v>
      </c>
      <c r="C23" s="6"/>
      <c r="D23" s="6"/>
      <c r="E23" s="6"/>
    </row>
    <row r="24" spans="2:13" x14ac:dyDescent="0.25">
      <c r="B24" s="6"/>
      <c r="C24" s="6"/>
      <c r="D24" s="6"/>
      <c r="E24" s="6"/>
    </row>
    <row r="25" spans="2:13" x14ac:dyDescent="0.25">
      <c r="B25" s="15" t="s">
        <v>39</v>
      </c>
      <c r="L25" s="17" t="s">
        <v>40</v>
      </c>
    </row>
    <row r="26" spans="2:13" ht="15" customHeight="1" x14ac:dyDescent="0.25">
      <c r="B26" s="10" t="s">
        <v>41</v>
      </c>
      <c r="C26" s="18">
        <f>COUNTIF('Cartes API'!$A$9:$A$48,"?*")</f>
        <v>6</v>
      </c>
      <c r="L26" s="10" t="s">
        <v>42</v>
      </c>
      <c r="M26" s="10" t="s">
        <v>43</v>
      </c>
    </row>
    <row r="27" spans="2:13" ht="15" customHeight="1" x14ac:dyDescent="0.25">
      <c r="B27" s="10" t="s">
        <v>44</v>
      </c>
      <c r="C27" s="18">
        <f>COUNTIF(ES!$B$9:$B$608,"?*")</f>
        <v>80</v>
      </c>
      <c r="L27" t="str">
        <f>IF(MW_Debut+0&gt;MW_Fin,"",(MW_Debut+0)&amp;"-"&amp;MIN(MW_Debut+99,MW_Fin))</f>
        <v>1000-1099</v>
      </c>
      <c r="M27">
        <f>IF(MW_Debut+0&gt;MW_Fin,"",SUMPRODUCT((Liens!$G$9:$G$808="MW")*(Liens!$H$9:$H$808&gt;=MW_Debut+0)*(Liens!$H$9:$H$808&lt;=MIN(MW_Debut+99,MW_Fin))))</f>
        <v>75</v>
      </c>
    </row>
    <row r="28" spans="2:13" ht="15" customHeight="1" x14ac:dyDescent="0.25">
      <c r="B28" s="19" t="s">
        <v>45</v>
      </c>
      <c r="C28" s="18">
        <f>COUNTIF(ES!$A$9:$A$608,"DI")</f>
        <v>32</v>
      </c>
      <c r="L28" t="str">
        <f>IF(MW_Debut+100&gt;MW_Fin,"",(MW_Debut+100)&amp;"-"&amp;MIN(MW_Debut+199,MW_Fin))</f>
        <v>1100-1199</v>
      </c>
      <c r="M28">
        <f>IF(MW_Debut+100&gt;MW_Fin,"",SUMPRODUCT((Liens!$G$9:$G$808="MW")*(Liens!$H$9:$H$808&gt;=MW_Debut+100)*(Liens!$H$9:$H$808&lt;=MIN(MW_Debut+199,MW_Fin))))</f>
        <v>0</v>
      </c>
    </row>
    <row r="29" spans="2:13" ht="15" customHeight="1" x14ac:dyDescent="0.25">
      <c r="B29" s="19" t="s">
        <v>46</v>
      </c>
      <c r="C29" s="18">
        <f>COUNTIF(ES!$A$9:$A$608,"DO")</f>
        <v>32</v>
      </c>
      <c r="L29" t="str">
        <f>IF(MW_Debut+200&gt;MW_Fin,"",(MW_Debut+200)&amp;"-"&amp;MIN(MW_Debut+299,MW_Fin))</f>
        <v>1200-1299</v>
      </c>
      <c r="M29">
        <f>IF(MW_Debut+200&gt;MW_Fin,"",SUMPRODUCT((Liens!$G$9:$G$808="MW")*(Liens!$H$9:$H$808&gt;=MW_Debut+200)*(Liens!$H$9:$H$808&lt;=MIN(MW_Debut+299,MW_Fin))))</f>
        <v>0</v>
      </c>
    </row>
    <row r="30" spans="2:13" ht="15" customHeight="1" x14ac:dyDescent="0.25">
      <c r="B30" s="19" t="s">
        <v>47</v>
      </c>
      <c r="C30" s="18">
        <f>COUNTIF(ES!$A$9:$A$608,"AI")</f>
        <v>16</v>
      </c>
      <c r="L30" t="str">
        <f>IF(MW_Debut+300&gt;MW_Fin,"",(MW_Debut+300)&amp;"-"&amp;MIN(MW_Debut+399,MW_Fin))</f>
        <v>1300-1399</v>
      </c>
      <c r="M30">
        <f>IF(MW_Debut+300&gt;MW_Fin,"",SUMPRODUCT((Liens!$G$9:$G$808="MW")*(Liens!$H$9:$H$808&gt;=MW_Debut+300)*(Liens!$H$9:$H$808&lt;=MIN(MW_Debut+399,MW_Fin))))</f>
        <v>0</v>
      </c>
    </row>
    <row r="31" spans="2:13" ht="15" customHeight="1" x14ac:dyDescent="0.25">
      <c r="B31" s="19" t="s">
        <v>48</v>
      </c>
      <c r="C31" s="18">
        <f>COUNTIF(ES!$A$9:$A$608,"AO")</f>
        <v>0</v>
      </c>
      <c r="L31" t="str">
        <f>IF(MW_Debut+400&gt;MW_Fin,"",(MW_Debut+400)&amp;"-"&amp;MIN(MW_Debut+499,MW_Fin))</f>
        <v>1400-1499</v>
      </c>
      <c r="M31">
        <f>IF(MW_Debut+400&gt;MW_Fin,"",SUMPRODUCT((Liens!$G$9:$G$808="MW")*(Liens!$H$9:$H$808&gt;=MW_Debut+400)*(Liens!$H$9:$H$808&lt;=MIN(MW_Debut+499,MW_Fin))))</f>
        <v>0</v>
      </c>
    </row>
    <row r="32" spans="2:13" ht="15" customHeight="1" x14ac:dyDescent="0.25">
      <c r="B32" s="10" t="s">
        <v>49</v>
      </c>
      <c r="C32" s="18">
        <f>COUNTIF(Cablage!$A$9:$A$608,"?*")</f>
        <v>1</v>
      </c>
      <c r="L32" t="str">
        <f>IF(MW_Debut+500&gt;MW_Fin,"",(MW_Debut+500)&amp;"-"&amp;MIN(MW_Debut+599,MW_Fin))</f>
        <v>1500-1599</v>
      </c>
      <c r="M32">
        <f>IF(MW_Debut+500&gt;MW_Fin,"",SUMPRODUCT((Liens!$G$9:$G$808="MW")*(Liens!$H$9:$H$808&gt;=MW_Debut+500)*(Liens!$H$9:$H$808&lt;=MIN(MW_Debut+599,MW_Fin))))</f>
        <v>0</v>
      </c>
    </row>
    <row r="33" spans="2:13" ht="15" customHeight="1" x14ac:dyDescent="0.25">
      <c r="B33" s="10" t="s">
        <v>50</v>
      </c>
      <c r="C33" s="18">
        <f>COUNTIF(ES!$B$9:$B$608,"?*")-COUNTIF(Cablage!$A$9:$A$608,"?*")</f>
        <v>79</v>
      </c>
      <c r="L33" t="str">
        <f>IF(MW_Debut+600&gt;MW_Fin,"",(MW_Debut+600)&amp;"-"&amp;MIN(MW_Debut+699,MW_Fin))</f>
        <v>1600-1699</v>
      </c>
      <c r="M33">
        <f>IF(MW_Debut+600&gt;MW_Fin,"",SUMPRODUCT((Liens!$G$9:$G$808="MW")*(Liens!$H$9:$H$808&gt;=MW_Debut+600)*(Liens!$H$9:$H$808&lt;=MIN(MW_Debut+699,MW_Fin))))</f>
        <v>0</v>
      </c>
    </row>
    <row r="34" spans="2:13" ht="15" customHeight="1" x14ac:dyDescent="0.25">
      <c r="B34" s="10" t="s">
        <v>51</v>
      </c>
      <c r="C34" s="18">
        <f>COUNTIF(Equipements!$A$9:$A$308,"?*")</f>
        <v>3</v>
      </c>
      <c r="L34" t="str">
        <f>IF(MW_Debut+700&gt;MW_Fin,"",(MW_Debut+700)&amp;"-"&amp;MIN(MW_Debut+799,MW_Fin))</f>
        <v>1700-1799</v>
      </c>
      <c r="M34">
        <f>IF(MW_Debut+700&gt;MW_Fin,"",SUMPRODUCT((Liens!$G$9:$G$808="MW")*(Liens!$H$9:$H$808&gt;=MW_Debut+700)*(Liens!$H$9:$H$808&lt;=MIN(MW_Debut+799,MW_Fin))))</f>
        <v>0</v>
      </c>
    </row>
    <row r="35" spans="2:13" ht="15" customHeight="1" x14ac:dyDescent="0.25">
      <c r="B35" s="10" t="s">
        <v>52</v>
      </c>
      <c r="C35" s="18">
        <f>COUNTIF(Liens!$D$9:$D$808,"?*")</f>
        <v>75</v>
      </c>
      <c r="L35" t="str">
        <f>IF(MW_Debut+800&gt;MW_Fin,"",(MW_Debut+800)&amp;"-"&amp;MIN(MW_Debut+899,MW_Fin))</f>
        <v>1800-1899</v>
      </c>
      <c r="M35">
        <f>IF(MW_Debut+800&gt;MW_Fin,"",SUMPRODUCT((Liens!$G$9:$G$808="MW")*(Liens!$H$9:$H$808&gt;=MW_Debut+800)*(Liens!$H$9:$H$808&lt;=MIN(MW_Debut+899,MW_Fin))))</f>
        <v>0</v>
      </c>
    </row>
    <row r="36" spans="2:13" ht="15" customHeight="1" x14ac:dyDescent="0.25">
      <c r="B36" s="19" t="s">
        <v>53</v>
      </c>
      <c r="C36" s="18">
        <f>COUNTIF(Liens!$F$9:$F$808,"TM")</f>
        <v>33</v>
      </c>
      <c r="L36" t="str">
        <f>IF(MW_Debut+900&gt;MW_Fin,"",(MW_Debut+900)&amp;"-"&amp;MIN(MW_Debut+999,MW_Fin))</f>
        <v>1900-1999</v>
      </c>
      <c r="M36">
        <f>IF(MW_Debut+900&gt;MW_Fin,"",SUMPRODUCT((Liens!$G$9:$G$808="MW")*(Liens!$H$9:$H$808&gt;=MW_Debut+900)*(Liens!$H$9:$H$808&lt;=MIN(MW_Debut+999,MW_Fin))))</f>
        <v>0</v>
      </c>
    </row>
    <row r="37" spans="2:13" ht="15" customHeight="1" x14ac:dyDescent="0.25">
      <c r="B37" s="19" t="s">
        <v>54</v>
      </c>
      <c r="C37" s="18">
        <f>COUNTIF(Liens!$F$9:$F$808,"TA")</f>
        <v>9</v>
      </c>
      <c r="L37" t="str">
        <f>IF(MW_Debut+1000&gt;MW_Fin,"",(MW_Debut+1000)&amp;"-"&amp;MIN(MW_Debut+1099,MW_Fin))</f>
        <v/>
      </c>
      <c r="M37" t="str">
        <f>IF(MW_Debut+1000&gt;MW_Fin,"",SUMPRODUCT((Liens!$G$9:$G$808="MW")*(Liens!$H$9:$H$808&gt;=MW_Debut+1000)*(Liens!$H$9:$H$808&lt;=MIN(MW_Debut+1099,MW_Fin))))</f>
        <v/>
      </c>
    </row>
    <row r="38" spans="2:13" ht="15" customHeight="1" x14ac:dyDescent="0.25">
      <c r="B38" s="19" t="s">
        <v>55</v>
      </c>
      <c r="C38" s="18">
        <f>COUNTIF(Liens!$F$9:$F$808,"TC")</f>
        <v>33</v>
      </c>
      <c r="L38" t="str">
        <f>IF(MW_Debut+1100&gt;MW_Fin,"",(MW_Debut+1100)&amp;"-"&amp;MIN(MW_Debut+1199,MW_Fin))</f>
        <v/>
      </c>
      <c r="M38" t="str">
        <f>IF(MW_Debut+1100&gt;MW_Fin,"",SUMPRODUCT((Liens!$G$9:$G$808="MW")*(Liens!$H$9:$H$808&gt;=MW_Debut+1100)*(Liens!$H$9:$H$808&lt;=MIN(MW_Debut+1199,MW_Fin))))</f>
        <v/>
      </c>
    </row>
    <row r="39" spans="2:13" ht="15" customHeight="1" x14ac:dyDescent="0.25">
      <c r="B39" s="10" t="s">
        <v>56</v>
      </c>
      <c r="C39" s="18">
        <f>SUMPRODUCT((Liens!$G$9:$G$808="MW")*(Liens!$H$9:$H$808&lt;&gt;""))</f>
        <v>75</v>
      </c>
      <c r="L39" t="str">
        <f>IF(MW_Debut+1200&gt;MW_Fin,"",(MW_Debut+1200)&amp;"-"&amp;MIN(MW_Debut+1299,MW_Fin))</f>
        <v/>
      </c>
      <c r="M39" t="str">
        <f>IF(MW_Debut+1200&gt;MW_Fin,"",SUMPRODUCT((Liens!$G$9:$G$808="MW")*(Liens!$H$9:$H$808&gt;=MW_Debut+1200)*(Liens!$H$9:$H$808&lt;=MIN(MW_Debut+1299,MW_Fin))))</f>
        <v/>
      </c>
    </row>
    <row r="40" spans="2:13" ht="15" customHeight="1" x14ac:dyDescent="0.25">
      <c r="B40" s="10" t="s">
        <v>57</v>
      </c>
      <c r="C40" s="18">
        <f>SUMPRODUCT((Liens!$G$9:$G$808="MX")*(Liens!$H$9:$H$808&lt;&gt;""))</f>
        <v>0</v>
      </c>
      <c r="L40" t="str">
        <f>IF(MW_Debut+1300&gt;MW_Fin,"",(MW_Debut+1300)&amp;"-"&amp;MIN(MW_Debut+1399,MW_Fin))</f>
        <v/>
      </c>
      <c r="M40" t="str">
        <f>IF(MW_Debut+1300&gt;MW_Fin,"",SUMPRODUCT((Liens!$G$9:$G$808="MW")*(Liens!$H$9:$H$808&gt;=MW_Debut+1300)*(Liens!$H$9:$H$808&lt;=MIN(MW_Debut+1399,MW_Fin))))</f>
        <v/>
      </c>
    </row>
    <row r="41" spans="2:13" ht="15" customHeight="1" x14ac:dyDescent="0.25">
      <c r="B41" s="10" t="s">
        <v>58</v>
      </c>
      <c r="C41" s="20">
        <f>_ETAT!$B$6</f>
        <v>0</v>
      </c>
      <c r="L41" t="str">
        <f>IF(MW_Debut+1400&gt;MW_Fin,"",(MW_Debut+1400)&amp;"-"&amp;MIN(MW_Debut+1499,MW_Fin))</f>
        <v/>
      </c>
      <c r="M41" t="str">
        <f>IF(MW_Debut+1400&gt;MW_Fin,"",SUMPRODUCT((Liens!$G$9:$G$808="MW")*(Liens!$H$9:$H$808&gt;=MW_Debut+1400)*(Liens!$H$9:$H$808&lt;=MIN(MW_Debut+1499,MW_Fin))))</f>
        <v/>
      </c>
    </row>
    <row r="42" spans="2:13" x14ac:dyDescent="0.25">
      <c r="L42" t="str">
        <f>IF(MW_Debut+1500&gt;MW_Fin,"",(MW_Debut+1500)&amp;"-"&amp;MIN(MW_Debut+1599,MW_Fin))</f>
        <v/>
      </c>
      <c r="M42" t="str">
        <f>IF(MW_Debut+1500&gt;MW_Fin,"",SUMPRODUCT((Liens!$G$9:$G$808="MW")*(Liens!$H$9:$H$808&gt;=MW_Debut+1500)*(Liens!$H$9:$H$808&lt;=MIN(MW_Debut+1599,MW_Fin))))</f>
        <v/>
      </c>
    </row>
    <row r="43" spans="2:13" x14ac:dyDescent="0.25">
      <c r="L43" t="str">
        <f>IF(MW_Debut+1600&gt;MW_Fin,"",(MW_Debut+1600)&amp;"-"&amp;MIN(MW_Debut+1699,MW_Fin))</f>
        <v/>
      </c>
      <c r="M43" t="str">
        <f>IF(MW_Debut+1600&gt;MW_Fin,"",SUMPRODUCT((Liens!$G$9:$G$808="MW")*(Liens!$H$9:$H$808&gt;=MW_Debut+1600)*(Liens!$H$9:$H$808&lt;=MIN(MW_Debut+1699,MW_Fin))))</f>
        <v/>
      </c>
    </row>
    <row r="44" spans="2:13" x14ac:dyDescent="0.25">
      <c r="L44" t="str">
        <f>IF(MW_Debut+1700&gt;MW_Fin,"",(MW_Debut+1700)&amp;"-"&amp;MIN(MW_Debut+1799,MW_Fin))</f>
        <v/>
      </c>
      <c r="M44" t="str">
        <f>IF(MW_Debut+1700&gt;MW_Fin,"",SUMPRODUCT((Liens!$G$9:$G$808="MW")*(Liens!$H$9:$H$808&gt;=MW_Debut+1700)*(Liens!$H$9:$H$808&lt;=MIN(MW_Debut+1799,MW_Fin))))</f>
        <v/>
      </c>
    </row>
    <row r="45" spans="2:13" x14ac:dyDescent="0.25">
      <c r="L45" t="str">
        <f>IF(MW_Debut+1800&gt;MW_Fin,"",(MW_Debut+1800)&amp;"-"&amp;MIN(MW_Debut+1899,MW_Fin))</f>
        <v/>
      </c>
      <c r="M45" t="str">
        <f>IF(MW_Debut+1800&gt;MW_Fin,"",SUMPRODUCT((Liens!$G$9:$G$808="MW")*(Liens!$H$9:$H$808&gt;=MW_Debut+1800)*(Liens!$H$9:$H$808&lt;=MIN(MW_Debut+1899,MW_Fin))))</f>
        <v/>
      </c>
    </row>
    <row r="46" spans="2:13" x14ac:dyDescent="0.25">
      <c r="L46" t="str">
        <f>IF(MW_Debut+1900&gt;MW_Fin,"",(MW_Debut+1900)&amp;"-"&amp;MIN(MW_Debut+1999,MW_Fin))</f>
        <v/>
      </c>
      <c r="M46" t="str">
        <f>IF(MW_Debut+1900&gt;MW_Fin,"",SUMPRODUCT((Liens!$G$9:$G$808="MW")*(Liens!$H$9:$H$808&gt;=MW_Debut+1900)*(Liens!$H$9:$H$808&lt;=MIN(MW_Debut+1999,MW_Fin))))</f>
        <v/>
      </c>
    </row>
  </sheetData>
  <mergeCells count="8">
    <mergeCell ref="C20:E20"/>
    <mergeCell ref="C21:E21"/>
    <mergeCell ref="B23:E24"/>
    <mergeCell ref="A1:I1"/>
    <mergeCell ref="A2:I2"/>
    <mergeCell ref="C17:E17"/>
    <mergeCell ref="C18:E18"/>
    <mergeCell ref="C19:E19"/>
  </mergeCells>
  <printOptions horizontalCentered="1"/>
  <pageMargins left="0.35" right="0.35" top="0.45" bottom="0.5" header="0.511811023622047" footer="0.5"/>
  <pageSetup paperSize="9" fitToHeight="0" orientation="landscape" horizontalDpi="300" verticalDpi="300"/>
  <headerFooter>
    <oddFooter>&amp;L&amp;7 Affaire 2024_06_264 - Configuration&amp;C&amp;7 &amp;D&amp;R&amp;7 page &amp;P /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mation.INIT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utomation.CreerVoies">
                <anchor moveWithCells="1" sizeWithCells="1">
                  <from>
                    <xdr:col>6</xdr:col>
                    <xdr:colOff>0</xdr:colOff>
                    <xdr:row>6</xdr:row>
                    <xdr:rowOff>104775</xdr:rowOff>
                  </from>
                  <to>
                    <xdr:col>8</xdr:col>
                    <xdr:colOff>219075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mation.RafraichirVueRack">
                <anchor moveWithCells="1" sizeWithCells="1">
                  <from>
                    <xdr:col>6</xdr:col>
                    <xdr:colOff>0</xdr:colOff>
                    <xdr:row>7</xdr:row>
                    <xdr:rowOff>209550</xdr:rowOff>
                  </from>
                  <to>
                    <xdr:col>8</xdr:col>
                    <xdr:colOff>219075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utomation.AjouterEquipement">
                <anchor moveWithCells="1" sizeWithCells="1">
                  <from>
                    <xdr:col>6</xdr:col>
                    <xdr:colOff>0</xdr:colOff>
                    <xdr:row>9</xdr:row>
                    <xdr:rowOff>38100</xdr:rowOff>
                  </from>
                  <to>
                    <xdr:col>8</xdr:col>
                    <xdr:colOff>219075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utomation.SupprimerEquipement">
                <anchor moveWithCells="1" sizeWithCells="1">
                  <from>
                    <xdr:col>6</xdr:col>
                    <xdr:colOff>0</xdr:colOff>
                    <xdr:row>10</xdr:row>
                    <xdr:rowOff>142875</xdr:rowOff>
                  </from>
                  <to>
                    <xdr:col>8</xdr:col>
                    <xdr:colOff>219075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utomation.ToutRecalculer">
                <anchor moveWithCells="1" sizeWithCells="1">
                  <from>
                    <xdr:col>6</xdr:col>
                    <xdr:colOff>0</xdr:colOff>
                    <xdr:row>11</xdr:row>
                    <xdr:rowOff>247650</xdr:rowOff>
                  </from>
                  <to>
                    <xdr:col>8</xdr:col>
                    <xdr:colOff>219075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utomation.GenererST">
                <anchor moveWithCells="1" sizeWithCells="1">
                  <from>
                    <xdr:col>6</xdr:col>
                    <xdr:colOff>0</xdr:colOff>
                    <xdr:row>13</xdr:row>
                    <xdr:rowOff>76200</xdr:rowOff>
                  </from>
                  <to>
                    <xdr:col>8</xdr:col>
                    <xdr:colOff>219075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12</xdr:col>
                    <xdr:colOff>390525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7</xdr:row>
                    <xdr:rowOff>247650</xdr:rowOff>
                  </from>
                  <to>
                    <xdr:col>12</xdr:col>
                    <xdr:colOff>390525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8</xdr:row>
                    <xdr:rowOff>228600</xdr:rowOff>
                  </from>
                  <to>
                    <xdr:col>12</xdr:col>
                    <xdr:colOff>390525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9</xdr:row>
                    <xdr:rowOff>209550</xdr:rowOff>
                  </from>
                  <to>
                    <xdr:col>12</xdr:col>
                    <xdr:colOff>390525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10</xdr:row>
                    <xdr:rowOff>180975</xdr:rowOff>
                  </from>
                  <to>
                    <xdr:col>12</xdr:col>
                    <xdr:colOff>390525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11</xdr:row>
                    <xdr:rowOff>161925</xdr:rowOff>
                  </from>
                  <to>
                    <xdr:col>12</xdr:col>
                    <xdr:colOff>390525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12</xdr:row>
                    <xdr:rowOff>142875</xdr:rowOff>
                  </from>
                  <to>
                    <xdr:col>12</xdr:col>
                    <xdr:colOff>390525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13</xdr:row>
                    <xdr:rowOff>114300</xdr:rowOff>
                  </from>
                  <to>
                    <xdr:col>12</xdr:col>
                    <xdr:colOff>390525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14</xdr:row>
                    <xdr:rowOff>180975</xdr:rowOff>
                  </from>
                  <to>
                    <xdr:col>12</xdr:col>
                    <xdr:colOff>390525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16</xdr:row>
                    <xdr:rowOff>57150</xdr:rowOff>
                  </from>
                  <to>
                    <xdr:col>12</xdr:col>
                    <xdr:colOff>390525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 macro="[0]!Automation.AppliquerVisibilite">
                <anchor moveWithCells="1">
                  <from>
                    <xdr:col>9</xdr:col>
                    <xdr:colOff>0</xdr:colOff>
                    <xdr:row>17</xdr:row>
                    <xdr:rowOff>76200</xdr:rowOff>
                  </from>
                  <to>
                    <xdr:col>12</xdr:col>
                    <xdr:colOff>390525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R51"/>
  <sheetViews>
    <sheetView zoomScaleNormal="100" workbookViewId="0">
      <pane ySplit="8" topLeftCell="A9" activePane="bottomLeft" state="frozen"/>
      <selection pane="bottomLeft" sqref="A1:P1"/>
    </sheetView>
  </sheetViews>
  <sheetFormatPr baseColWidth="10" defaultColWidth="8.7109375" defaultRowHeight="15" x14ac:dyDescent="0.25"/>
  <cols>
    <col min="1" max="1" width="9.42578125" customWidth="1"/>
    <col min="2" max="2" width="6.42578125" customWidth="1"/>
    <col min="3" max="3" width="7.42578125" customWidth="1"/>
    <col min="4" max="4" width="6" customWidth="1"/>
    <col min="5" max="5" width="14.42578125" customWidth="1"/>
    <col min="6" max="6" width="7.42578125" customWidth="1"/>
    <col min="7" max="7" width="6" customWidth="1"/>
    <col min="8" max="8" width="14.42578125" customWidth="1"/>
    <col min="9" max="9" width="12.42578125" customWidth="1"/>
    <col min="10" max="10" width="6" customWidth="1"/>
    <col min="11" max="11" width="9.42578125" customWidth="1"/>
    <col min="12" max="12" width="10.42578125" customWidth="1"/>
    <col min="13" max="14" width="14.42578125" customWidth="1"/>
    <col min="15" max="15" width="10.42578125" customWidth="1"/>
    <col min="16" max="16" width="25.42578125" customWidth="1"/>
  </cols>
  <sheetData>
    <row r="1" spans="1:16" ht="25.5" customHeight="1" x14ac:dyDescent="0.25">
      <c r="A1" s="9" t="s">
        <v>59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.75" customHeight="1" x14ac:dyDescent="0.25">
      <c r="A2" s="8" t="s">
        <v>60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6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6" ht="15" customHeight="1" x14ac:dyDescent="0.25">
      <c r="A6" s="5" t="s">
        <v>61</v>
      </c>
      <c r="B6" s="5"/>
      <c r="C6" s="5"/>
      <c r="D6" s="5"/>
      <c r="E6" s="5"/>
      <c r="F6" s="5"/>
      <c r="G6" s="5"/>
      <c r="H6" s="4" t="s">
        <v>62</v>
      </c>
      <c r="I6" s="4"/>
      <c r="J6" s="3" t="s">
        <v>63</v>
      </c>
      <c r="K6" s="3"/>
      <c r="L6" s="3"/>
      <c r="M6" s="3"/>
      <c r="N6" s="3"/>
      <c r="O6" s="3"/>
      <c r="P6" s="22" t="s">
        <v>64</v>
      </c>
    </row>
    <row r="7" spans="1:16" ht="30" customHeight="1" x14ac:dyDescent="0.25">
      <c r="A7" s="23" t="s">
        <v>65</v>
      </c>
      <c r="B7" s="23" t="s">
        <v>66</v>
      </c>
      <c r="C7" s="23" t="s">
        <v>67</v>
      </c>
      <c r="D7" s="23" t="s">
        <v>68</v>
      </c>
      <c r="E7" s="23" t="s">
        <v>69</v>
      </c>
      <c r="F7" s="23" t="s">
        <v>70</v>
      </c>
      <c r="G7" s="23" t="s">
        <v>71</v>
      </c>
      <c r="H7" s="23" t="s">
        <v>72</v>
      </c>
      <c r="I7" s="23" t="s">
        <v>73</v>
      </c>
      <c r="J7" s="23" t="s">
        <v>74</v>
      </c>
      <c r="K7" s="23" t="s">
        <v>75</v>
      </c>
      <c r="L7" s="23" t="s">
        <v>76</v>
      </c>
      <c r="M7" s="23" t="s">
        <v>77</v>
      </c>
      <c r="N7" s="23" t="s">
        <v>78</v>
      </c>
      <c r="O7" s="23" t="s">
        <v>79</v>
      </c>
      <c r="P7" s="23" t="s">
        <v>80</v>
      </c>
    </row>
    <row r="8" spans="1:16" ht="12.75" customHeight="1" x14ac:dyDescent="0.25">
      <c r="A8" s="24" t="s">
        <v>81</v>
      </c>
      <c r="B8" s="24" t="s">
        <v>82</v>
      </c>
      <c r="C8" s="24" t="s">
        <v>83</v>
      </c>
      <c r="D8" s="24" t="s">
        <v>84</v>
      </c>
      <c r="E8" s="24" t="s">
        <v>85</v>
      </c>
      <c r="F8" s="24" t="s">
        <v>86</v>
      </c>
      <c r="G8" s="24" t="s">
        <v>87</v>
      </c>
      <c r="H8" s="24" t="s">
        <v>88</v>
      </c>
      <c r="I8" s="24" t="s">
        <v>89</v>
      </c>
      <c r="J8" s="24"/>
      <c r="K8" s="24"/>
      <c r="L8" s="24"/>
      <c r="M8" s="24" t="s">
        <v>90</v>
      </c>
      <c r="N8" s="24" t="s">
        <v>91</v>
      </c>
      <c r="O8" s="24"/>
      <c r="P8" s="24"/>
    </row>
    <row r="9" spans="1:16" ht="15" customHeight="1" x14ac:dyDescent="0.25">
      <c r="A9" s="11" t="s">
        <v>92</v>
      </c>
      <c r="B9" s="25">
        <v>0</v>
      </c>
      <c r="C9" s="11">
        <v>4</v>
      </c>
      <c r="D9" s="25" t="s">
        <v>93</v>
      </c>
      <c r="E9" s="11" t="s">
        <v>94</v>
      </c>
      <c r="F9" s="11">
        <v>16</v>
      </c>
      <c r="G9" s="25" t="s">
        <v>95</v>
      </c>
      <c r="H9" s="11" t="s">
        <v>96</v>
      </c>
      <c r="I9" s="11" t="s">
        <v>97</v>
      </c>
      <c r="J9" s="26" t="str">
        <f t="shared" ref="J9:J48" si="0">IF(D9="","",IF(D9="DI","%I",IF(D9="DO","%Q",IF(D9="AI","%IW","%QW"))))</f>
        <v>%I</v>
      </c>
      <c r="K9" s="26" t="str">
        <f t="shared" ref="K9:K48" si="1">IF(OR(J9="",B9="",C9=""),"",J9&amp;B9&amp;"."&amp;C9&amp;".0")</f>
        <v>%I0.4.0</v>
      </c>
      <c r="L9" s="26" t="str">
        <f t="shared" ref="L9:L48" si="2">IF(OR(J9="",F9=""),"",J9&amp;B9&amp;"."&amp;C9&amp;"."&amp;(F9-1))</f>
        <v>%I0.4.15</v>
      </c>
      <c r="M9" s="26" t="str">
        <f t="shared" ref="M9:M48" si="3">IF(F9="","",IF(OR(D9="DI",D9="DO"),"DFB_IO_DIG","DFB_IO_ANA")&amp;TEXT(IF(F9&lt;=4,4,IF(F9&lt;=8,8,IF(F9&lt;=16,16,IF(F9&lt;=32,32,IF(F9&lt;=64,64,"?"))))),"00"))</f>
        <v>DFB_IO_DIG16</v>
      </c>
      <c r="N9" s="26">
        <f>IF(A9="","",COUNTIF(ES!$B:$B,A9))</f>
        <v>16</v>
      </c>
      <c r="O9" s="26" t="str">
        <f t="shared" ref="O9:O48" si="4">IF(A9="","",IF(N9=0,"aucune voie",IF(N9&lt;F9,"il en manque "&amp;(F9-N9),IF(N9&gt;F9,"TROP : "&amp;(N9-F9),"complete"))))</f>
        <v>complete</v>
      </c>
      <c r="P9" s="11"/>
    </row>
    <row r="10" spans="1:16" ht="15" customHeight="1" x14ac:dyDescent="0.25">
      <c r="A10" s="11" t="s">
        <v>98</v>
      </c>
      <c r="B10" s="25">
        <v>0</v>
      </c>
      <c r="C10" s="11">
        <v>5</v>
      </c>
      <c r="D10" s="25" t="s">
        <v>99</v>
      </c>
      <c r="E10" s="11" t="s">
        <v>100</v>
      </c>
      <c r="F10" s="11">
        <v>16</v>
      </c>
      <c r="G10" s="25" t="s">
        <v>95</v>
      </c>
      <c r="H10" s="11" t="s">
        <v>101</v>
      </c>
      <c r="I10" s="11" t="s">
        <v>102</v>
      </c>
      <c r="J10" s="26" t="str">
        <f t="shared" si="0"/>
        <v>%Q</v>
      </c>
      <c r="K10" s="26" t="str">
        <f t="shared" si="1"/>
        <v>%Q0.5.0</v>
      </c>
      <c r="L10" s="26" t="str">
        <f t="shared" si="2"/>
        <v>%Q0.5.15</v>
      </c>
      <c r="M10" s="26" t="str">
        <f t="shared" si="3"/>
        <v>DFB_IO_DIG16</v>
      </c>
      <c r="N10" s="26">
        <f>IF(A10="","",COUNTIF(ES!$B:$B,A10))</f>
        <v>16</v>
      </c>
      <c r="O10" s="26" t="str">
        <f t="shared" si="4"/>
        <v>complete</v>
      </c>
      <c r="P10" s="11"/>
    </row>
    <row r="11" spans="1:16" ht="15" customHeight="1" x14ac:dyDescent="0.25">
      <c r="A11" s="11" t="s">
        <v>103</v>
      </c>
      <c r="B11" s="25">
        <v>0</v>
      </c>
      <c r="C11" s="11">
        <v>7</v>
      </c>
      <c r="D11" s="25" t="s">
        <v>93</v>
      </c>
      <c r="E11" s="11" t="s">
        <v>94</v>
      </c>
      <c r="F11" s="11">
        <v>16</v>
      </c>
      <c r="G11" s="25" t="s">
        <v>95</v>
      </c>
      <c r="H11" s="11" t="s">
        <v>104</v>
      </c>
      <c r="I11" s="11" t="s">
        <v>105</v>
      </c>
      <c r="J11" s="26" t="str">
        <f t="shared" si="0"/>
        <v>%I</v>
      </c>
      <c r="K11" s="26" t="str">
        <f t="shared" si="1"/>
        <v>%I0.7.0</v>
      </c>
      <c r="L11" s="26" t="str">
        <f t="shared" si="2"/>
        <v>%I0.7.15</v>
      </c>
      <c r="M11" s="26" t="str">
        <f t="shared" si="3"/>
        <v>DFB_IO_DIG16</v>
      </c>
      <c r="N11" s="26">
        <f>IF(A11="","",COUNTIF(ES!$B:$B,A11))</f>
        <v>16</v>
      </c>
      <c r="O11" s="26" t="str">
        <f t="shared" si="4"/>
        <v>complete</v>
      </c>
      <c r="P11" s="11"/>
    </row>
    <row r="12" spans="1:16" ht="15" customHeight="1" x14ac:dyDescent="0.25">
      <c r="A12" s="11" t="s">
        <v>106</v>
      </c>
      <c r="B12" s="25">
        <v>0</v>
      </c>
      <c r="C12" s="11">
        <v>8</v>
      </c>
      <c r="D12" s="25" t="s">
        <v>99</v>
      </c>
      <c r="E12" s="11" t="s">
        <v>100</v>
      </c>
      <c r="F12" s="11">
        <v>16</v>
      </c>
      <c r="G12" s="25" t="s">
        <v>95</v>
      </c>
      <c r="H12" s="11" t="s">
        <v>107</v>
      </c>
      <c r="I12" s="11" t="s">
        <v>108</v>
      </c>
      <c r="J12" s="26" t="str">
        <f t="shared" si="0"/>
        <v>%Q</v>
      </c>
      <c r="K12" s="26" t="str">
        <f t="shared" si="1"/>
        <v>%Q0.8.0</v>
      </c>
      <c r="L12" s="26" t="str">
        <f t="shared" si="2"/>
        <v>%Q0.8.15</v>
      </c>
      <c r="M12" s="26" t="str">
        <f t="shared" si="3"/>
        <v>DFB_IO_DIG16</v>
      </c>
      <c r="N12" s="26">
        <f>IF(A12="","",COUNTIF(ES!$B:$B,A12))</f>
        <v>16</v>
      </c>
      <c r="O12" s="26" t="str">
        <f t="shared" si="4"/>
        <v>complete</v>
      </c>
      <c r="P12" s="11"/>
    </row>
    <row r="13" spans="1:16" ht="15" customHeight="1" x14ac:dyDescent="0.25">
      <c r="A13" s="11" t="s">
        <v>109</v>
      </c>
      <c r="B13" s="25">
        <v>0</v>
      </c>
      <c r="C13" s="11">
        <v>10</v>
      </c>
      <c r="D13" s="25" t="s">
        <v>110</v>
      </c>
      <c r="E13" s="11" t="s">
        <v>111</v>
      </c>
      <c r="F13" s="11">
        <v>8</v>
      </c>
      <c r="G13" s="25" t="s">
        <v>95</v>
      </c>
      <c r="H13" s="11" t="s">
        <v>112</v>
      </c>
      <c r="I13" s="11" t="s">
        <v>113</v>
      </c>
      <c r="J13" s="26" t="str">
        <f t="shared" si="0"/>
        <v>%IW</v>
      </c>
      <c r="K13" s="26" t="str">
        <f t="shared" si="1"/>
        <v>%IW0.10.0</v>
      </c>
      <c r="L13" s="26" t="str">
        <f t="shared" si="2"/>
        <v>%IW0.10.7</v>
      </c>
      <c r="M13" s="26" t="str">
        <f t="shared" si="3"/>
        <v>DFB_IO_ANA08</v>
      </c>
      <c r="N13" s="26">
        <f>IF(A13="","",COUNTIF(ES!$B:$B,A13))</f>
        <v>8</v>
      </c>
      <c r="O13" s="26" t="str">
        <f t="shared" si="4"/>
        <v>complete</v>
      </c>
      <c r="P13" s="11"/>
    </row>
    <row r="14" spans="1:16" ht="15" customHeight="1" x14ac:dyDescent="0.25">
      <c r="A14" s="11" t="s">
        <v>114</v>
      </c>
      <c r="B14" s="25">
        <v>0</v>
      </c>
      <c r="C14" s="11">
        <v>11</v>
      </c>
      <c r="D14" s="25" t="s">
        <v>110</v>
      </c>
      <c r="E14" s="11" t="s">
        <v>111</v>
      </c>
      <c r="F14" s="11">
        <v>8</v>
      </c>
      <c r="G14" s="25" t="s">
        <v>95</v>
      </c>
      <c r="H14" s="11" t="s">
        <v>115</v>
      </c>
      <c r="I14" s="11" t="s">
        <v>116</v>
      </c>
      <c r="J14" s="26" t="str">
        <f t="shared" si="0"/>
        <v>%IW</v>
      </c>
      <c r="K14" s="26" t="str">
        <f t="shared" si="1"/>
        <v>%IW0.11.0</v>
      </c>
      <c r="L14" s="26" t="str">
        <f t="shared" si="2"/>
        <v>%IW0.11.7</v>
      </c>
      <c r="M14" s="26" t="str">
        <f t="shared" si="3"/>
        <v>DFB_IO_ANA08</v>
      </c>
      <c r="N14" s="26">
        <f>IF(A14="","",COUNTIF(ES!$B:$B,A14))</f>
        <v>8</v>
      </c>
      <c r="O14" s="26" t="str">
        <f t="shared" si="4"/>
        <v>complete</v>
      </c>
      <c r="P14" s="11"/>
    </row>
    <row r="15" spans="1:16" ht="15" customHeight="1" x14ac:dyDescent="0.25">
      <c r="A15" s="11"/>
      <c r="B15" s="25"/>
      <c r="C15" s="11"/>
      <c r="D15" s="25"/>
      <c r="E15" s="11"/>
      <c r="F15" s="11"/>
      <c r="G15" s="25"/>
      <c r="H15" s="11"/>
      <c r="I15" s="11"/>
      <c r="J15" s="26" t="str">
        <f t="shared" si="0"/>
        <v/>
      </c>
      <c r="K15" s="26" t="str">
        <f t="shared" si="1"/>
        <v/>
      </c>
      <c r="L15" s="26" t="str">
        <f t="shared" si="2"/>
        <v/>
      </c>
      <c r="M15" s="26" t="str">
        <f t="shared" si="3"/>
        <v/>
      </c>
      <c r="N15" s="26" t="str">
        <f>IF(A15="","",COUNTIF(ES!$B:$B,A15))</f>
        <v/>
      </c>
      <c r="O15" s="26" t="str">
        <f t="shared" si="4"/>
        <v/>
      </c>
      <c r="P15" s="11"/>
    </row>
    <row r="16" spans="1:16" ht="15" customHeight="1" x14ac:dyDescent="0.25">
      <c r="A16" s="11"/>
      <c r="B16" s="25"/>
      <c r="C16" s="11"/>
      <c r="D16" s="25"/>
      <c r="E16" s="11"/>
      <c r="F16" s="11"/>
      <c r="G16" s="25"/>
      <c r="H16" s="11"/>
      <c r="I16" s="11"/>
      <c r="J16" s="26" t="str">
        <f t="shared" si="0"/>
        <v/>
      </c>
      <c r="K16" s="26" t="str">
        <f t="shared" si="1"/>
        <v/>
      </c>
      <c r="L16" s="26" t="str">
        <f t="shared" si="2"/>
        <v/>
      </c>
      <c r="M16" s="26" t="str">
        <f t="shared" si="3"/>
        <v/>
      </c>
      <c r="N16" s="26" t="str">
        <f>IF(A16="","",COUNTIF(ES!$B:$B,A16))</f>
        <v/>
      </c>
      <c r="O16" s="26" t="str">
        <f t="shared" si="4"/>
        <v/>
      </c>
      <c r="P16" s="11"/>
    </row>
    <row r="17" spans="1:16" ht="15" customHeight="1" x14ac:dyDescent="0.25">
      <c r="A17" s="11"/>
      <c r="B17" s="25"/>
      <c r="C17" s="11"/>
      <c r="D17" s="25"/>
      <c r="E17" s="11"/>
      <c r="F17" s="11"/>
      <c r="G17" s="25"/>
      <c r="H17" s="11"/>
      <c r="I17" s="11"/>
      <c r="J17" s="26" t="str">
        <f t="shared" si="0"/>
        <v/>
      </c>
      <c r="K17" s="26" t="str">
        <f t="shared" si="1"/>
        <v/>
      </c>
      <c r="L17" s="26" t="str">
        <f t="shared" si="2"/>
        <v/>
      </c>
      <c r="M17" s="26" t="str">
        <f t="shared" si="3"/>
        <v/>
      </c>
      <c r="N17" s="26" t="str">
        <f>IF(A17="","",COUNTIF(ES!$B:$B,A17))</f>
        <v/>
      </c>
      <c r="O17" s="26" t="str">
        <f t="shared" si="4"/>
        <v/>
      </c>
      <c r="P17" s="11"/>
    </row>
    <row r="18" spans="1:16" ht="15" customHeight="1" x14ac:dyDescent="0.25">
      <c r="A18" s="11"/>
      <c r="B18" s="25"/>
      <c r="C18" s="11"/>
      <c r="D18" s="25"/>
      <c r="E18" s="11"/>
      <c r="F18" s="11"/>
      <c r="G18" s="25"/>
      <c r="H18" s="11"/>
      <c r="I18" s="11"/>
      <c r="J18" s="26" t="str">
        <f t="shared" si="0"/>
        <v/>
      </c>
      <c r="K18" s="26" t="str">
        <f t="shared" si="1"/>
        <v/>
      </c>
      <c r="L18" s="26" t="str">
        <f t="shared" si="2"/>
        <v/>
      </c>
      <c r="M18" s="26" t="str">
        <f t="shared" si="3"/>
        <v/>
      </c>
      <c r="N18" s="26" t="str">
        <f>IF(A18="","",COUNTIF(ES!$B:$B,A18))</f>
        <v/>
      </c>
      <c r="O18" s="26" t="str">
        <f t="shared" si="4"/>
        <v/>
      </c>
      <c r="P18" s="11"/>
    </row>
    <row r="19" spans="1:16" ht="15" customHeight="1" x14ac:dyDescent="0.25">
      <c r="A19" s="11"/>
      <c r="B19" s="25"/>
      <c r="C19" s="11"/>
      <c r="D19" s="25"/>
      <c r="E19" s="11"/>
      <c r="F19" s="11"/>
      <c r="G19" s="25"/>
      <c r="H19" s="11"/>
      <c r="I19" s="11"/>
      <c r="J19" s="26" t="str">
        <f t="shared" si="0"/>
        <v/>
      </c>
      <c r="K19" s="26" t="str">
        <f t="shared" si="1"/>
        <v/>
      </c>
      <c r="L19" s="26" t="str">
        <f t="shared" si="2"/>
        <v/>
      </c>
      <c r="M19" s="26" t="str">
        <f t="shared" si="3"/>
        <v/>
      </c>
      <c r="N19" s="26" t="str">
        <f>IF(A19="","",COUNTIF(ES!$B:$B,A19))</f>
        <v/>
      </c>
      <c r="O19" s="26" t="str">
        <f t="shared" si="4"/>
        <v/>
      </c>
      <c r="P19" s="11"/>
    </row>
    <row r="20" spans="1:16" ht="15" customHeight="1" x14ac:dyDescent="0.25">
      <c r="A20" s="11"/>
      <c r="B20" s="25"/>
      <c r="C20" s="11"/>
      <c r="D20" s="25"/>
      <c r="E20" s="11"/>
      <c r="F20" s="11"/>
      <c r="G20" s="25"/>
      <c r="H20" s="11"/>
      <c r="I20" s="11"/>
      <c r="J20" s="26" t="str">
        <f t="shared" si="0"/>
        <v/>
      </c>
      <c r="K20" s="26" t="str">
        <f t="shared" si="1"/>
        <v/>
      </c>
      <c r="L20" s="26" t="str">
        <f t="shared" si="2"/>
        <v/>
      </c>
      <c r="M20" s="26" t="str">
        <f t="shared" si="3"/>
        <v/>
      </c>
      <c r="N20" s="26" t="str">
        <f>IF(A20="","",COUNTIF(ES!$B:$B,A20))</f>
        <v/>
      </c>
      <c r="O20" s="26" t="str">
        <f t="shared" si="4"/>
        <v/>
      </c>
      <c r="P20" s="11"/>
    </row>
    <row r="21" spans="1:16" ht="15" customHeight="1" x14ac:dyDescent="0.25">
      <c r="A21" s="11"/>
      <c r="B21" s="25"/>
      <c r="C21" s="11"/>
      <c r="D21" s="25"/>
      <c r="E21" s="11"/>
      <c r="F21" s="11"/>
      <c r="G21" s="25"/>
      <c r="H21" s="11"/>
      <c r="I21" s="11"/>
      <c r="J21" s="26" t="str">
        <f t="shared" si="0"/>
        <v/>
      </c>
      <c r="K21" s="26" t="str">
        <f t="shared" si="1"/>
        <v/>
      </c>
      <c r="L21" s="26" t="str">
        <f t="shared" si="2"/>
        <v/>
      </c>
      <c r="M21" s="26" t="str">
        <f t="shared" si="3"/>
        <v/>
      </c>
      <c r="N21" s="26" t="str">
        <f>IF(A21="","",COUNTIF(ES!$B:$B,A21))</f>
        <v/>
      </c>
      <c r="O21" s="26" t="str">
        <f t="shared" si="4"/>
        <v/>
      </c>
      <c r="P21" s="11"/>
    </row>
    <row r="22" spans="1:16" ht="15" customHeight="1" x14ac:dyDescent="0.25">
      <c r="A22" s="11"/>
      <c r="B22" s="25"/>
      <c r="C22" s="11"/>
      <c r="D22" s="25"/>
      <c r="E22" s="11"/>
      <c r="F22" s="11"/>
      <c r="G22" s="25"/>
      <c r="H22" s="11"/>
      <c r="I22" s="11"/>
      <c r="J22" s="26" t="str">
        <f t="shared" si="0"/>
        <v/>
      </c>
      <c r="K22" s="26" t="str">
        <f t="shared" si="1"/>
        <v/>
      </c>
      <c r="L22" s="26" t="str">
        <f t="shared" si="2"/>
        <v/>
      </c>
      <c r="M22" s="26" t="str">
        <f t="shared" si="3"/>
        <v/>
      </c>
      <c r="N22" s="26" t="str">
        <f>IF(A22="","",COUNTIF(ES!$B:$B,A22))</f>
        <v/>
      </c>
      <c r="O22" s="26" t="str">
        <f t="shared" si="4"/>
        <v/>
      </c>
      <c r="P22" s="11"/>
    </row>
    <row r="23" spans="1:16" ht="15" customHeight="1" x14ac:dyDescent="0.25">
      <c r="A23" s="11"/>
      <c r="B23" s="25"/>
      <c r="C23" s="11"/>
      <c r="D23" s="25"/>
      <c r="E23" s="11"/>
      <c r="F23" s="11"/>
      <c r="G23" s="25"/>
      <c r="H23" s="11"/>
      <c r="I23" s="11"/>
      <c r="J23" s="26" t="str">
        <f t="shared" si="0"/>
        <v/>
      </c>
      <c r="K23" s="26" t="str">
        <f t="shared" si="1"/>
        <v/>
      </c>
      <c r="L23" s="26" t="str">
        <f t="shared" si="2"/>
        <v/>
      </c>
      <c r="M23" s="26" t="str">
        <f t="shared" si="3"/>
        <v/>
      </c>
      <c r="N23" s="26" t="str">
        <f>IF(A23="","",COUNTIF(ES!$B:$B,A23))</f>
        <v/>
      </c>
      <c r="O23" s="26" t="str">
        <f t="shared" si="4"/>
        <v/>
      </c>
      <c r="P23" s="11"/>
    </row>
    <row r="24" spans="1:16" ht="15" customHeight="1" x14ac:dyDescent="0.25">
      <c r="A24" s="11"/>
      <c r="B24" s="25"/>
      <c r="C24" s="11"/>
      <c r="D24" s="25"/>
      <c r="E24" s="11"/>
      <c r="F24" s="11"/>
      <c r="G24" s="25"/>
      <c r="H24" s="11"/>
      <c r="I24" s="11"/>
      <c r="J24" s="26" t="str">
        <f t="shared" si="0"/>
        <v/>
      </c>
      <c r="K24" s="26" t="str">
        <f t="shared" si="1"/>
        <v/>
      </c>
      <c r="L24" s="26" t="str">
        <f t="shared" si="2"/>
        <v/>
      </c>
      <c r="M24" s="26" t="str">
        <f t="shared" si="3"/>
        <v/>
      </c>
      <c r="N24" s="26" t="str">
        <f>IF(A24="","",COUNTIF(ES!$B:$B,A24))</f>
        <v/>
      </c>
      <c r="O24" s="26" t="str">
        <f t="shared" si="4"/>
        <v/>
      </c>
      <c r="P24" s="11"/>
    </row>
    <row r="25" spans="1:16" ht="15" customHeight="1" x14ac:dyDescent="0.25">
      <c r="A25" s="11"/>
      <c r="B25" s="25"/>
      <c r="C25" s="11"/>
      <c r="D25" s="25"/>
      <c r="E25" s="11"/>
      <c r="F25" s="11"/>
      <c r="G25" s="25"/>
      <c r="H25" s="11"/>
      <c r="I25" s="11"/>
      <c r="J25" s="26" t="str">
        <f t="shared" si="0"/>
        <v/>
      </c>
      <c r="K25" s="26" t="str">
        <f t="shared" si="1"/>
        <v/>
      </c>
      <c r="L25" s="26" t="str">
        <f t="shared" si="2"/>
        <v/>
      </c>
      <c r="M25" s="26" t="str">
        <f t="shared" si="3"/>
        <v/>
      </c>
      <c r="N25" s="26" t="str">
        <f>IF(A25="","",COUNTIF(ES!$B:$B,A25))</f>
        <v/>
      </c>
      <c r="O25" s="26" t="str">
        <f t="shared" si="4"/>
        <v/>
      </c>
      <c r="P25" s="11"/>
    </row>
    <row r="26" spans="1:16" ht="15" customHeight="1" x14ac:dyDescent="0.25">
      <c r="A26" s="11"/>
      <c r="B26" s="25"/>
      <c r="C26" s="11"/>
      <c r="D26" s="25"/>
      <c r="E26" s="11"/>
      <c r="F26" s="11"/>
      <c r="G26" s="25"/>
      <c r="H26" s="11"/>
      <c r="I26" s="11"/>
      <c r="J26" s="26" t="str">
        <f t="shared" si="0"/>
        <v/>
      </c>
      <c r="K26" s="26" t="str">
        <f t="shared" si="1"/>
        <v/>
      </c>
      <c r="L26" s="26" t="str">
        <f t="shared" si="2"/>
        <v/>
      </c>
      <c r="M26" s="26" t="str">
        <f t="shared" si="3"/>
        <v/>
      </c>
      <c r="N26" s="26" t="str">
        <f>IF(A26="","",COUNTIF(ES!$B:$B,A26))</f>
        <v/>
      </c>
      <c r="O26" s="26" t="str">
        <f t="shared" si="4"/>
        <v/>
      </c>
      <c r="P26" s="11"/>
    </row>
    <row r="27" spans="1:16" ht="15" customHeight="1" x14ac:dyDescent="0.25">
      <c r="A27" s="11"/>
      <c r="B27" s="25"/>
      <c r="C27" s="11"/>
      <c r="D27" s="25"/>
      <c r="E27" s="11"/>
      <c r="F27" s="11"/>
      <c r="G27" s="25"/>
      <c r="H27" s="11"/>
      <c r="I27" s="11"/>
      <c r="J27" s="26" t="str">
        <f t="shared" si="0"/>
        <v/>
      </c>
      <c r="K27" s="26" t="str">
        <f t="shared" si="1"/>
        <v/>
      </c>
      <c r="L27" s="26" t="str">
        <f t="shared" si="2"/>
        <v/>
      </c>
      <c r="M27" s="26" t="str">
        <f t="shared" si="3"/>
        <v/>
      </c>
      <c r="N27" s="26" t="str">
        <f>IF(A27="","",COUNTIF(ES!$B:$B,A27))</f>
        <v/>
      </c>
      <c r="O27" s="26" t="str">
        <f t="shared" si="4"/>
        <v/>
      </c>
      <c r="P27" s="11"/>
    </row>
    <row r="28" spans="1:16" ht="15" customHeight="1" x14ac:dyDescent="0.25">
      <c r="A28" s="11"/>
      <c r="B28" s="25"/>
      <c r="C28" s="11"/>
      <c r="D28" s="25"/>
      <c r="E28" s="11"/>
      <c r="F28" s="11"/>
      <c r="G28" s="25"/>
      <c r="H28" s="11"/>
      <c r="I28" s="11"/>
      <c r="J28" s="26" t="str">
        <f t="shared" si="0"/>
        <v/>
      </c>
      <c r="K28" s="26" t="str">
        <f t="shared" si="1"/>
        <v/>
      </c>
      <c r="L28" s="26" t="str">
        <f t="shared" si="2"/>
        <v/>
      </c>
      <c r="M28" s="26" t="str">
        <f t="shared" si="3"/>
        <v/>
      </c>
      <c r="N28" s="26" t="str">
        <f>IF(A28="","",COUNTIF(ES!$B:$B,A28))</f>
        <v/>
      </c>
      <c r="O28" s="26" t="str">
        <f t="shared" si="4"/>
        <v/>
      </c>
      <c r="P28" s="11"/>
    </row>
    <row r="29" spans="1:16" ht="15" customHeight="1" x14ac:dyDescent="0.25">
      <c r="A29" s="11"/>
      <c r="B29" s="25"/>
      <c r="C29" s="11"/>
      <c r="D29" s="25"/>
      <c r="E29" s="11"/>
      <c r="F29" s="11"/>
      <c r="G29" s="25"/>
      <c r="H29" s="11"/>
      <c r="I29" s="11"/>
      <c r="J29" s="26" t="str">
        <f t="shared" si="0"/>
        <v/>
      </c>
      <c r="K29" s="26" t="str">
        <f t="shared" si="1"/>
        <v/>
      </c>
      <c r="L29" s="26" t="str">
        <f t="shared" si="2"/>
        <v/>
      </c>
      <c r="M29" s="26" t="str">
        <f t="shared" si="3"/>
        <v/>
      </c>
      <c r="N29" s="26" t="str">
        <f>IF(A29="","",COUNTIF(ES!$B:$B,A29))</f>
        <v/>
      </c>
      <c r="O29" s="26" t="str">
        <f t="shared" si="4"/>
        <v/>
      </c>
      <c r="P29" s="11"/>
    </row>
    <row r="30" spans="1:16" ht="15" customHeight="1" x14ac:dyDescent="0.25">
      <c r="A30" s="11"/>
      <c r="B30" s="25"/>
      <c r="C30" s="11"/>
      <c r="D30" s="25"/>
      <c r="E30" s="11"/>
      <c r="F30" s="11"/>
      <c r="G30" s="25"/>
      <c r="H30" s="11"/>
      <c r="I30" s="11"/>
      <c r="J30" s="26" t="str">
        <f t="shared" si="0"/>
        <v/>
      </c>
      <c r="K30" s="26" t="str">
        <f t="shared" si="1"/>
        <v/>
      </c>
      <c r="L30" s="26" t="str">
        <f t="shared" si="2"/>
        <v/>
      </c>
      <c r="M30" s="26" t="str">
        <f t="shared" si="3"/>
        <v/>
      </c>
      <c r="N30" s="26" t="str">
        <f>IF(A30="","",COUNTIF(ES!$B:$B,A30))</f>
        <v/>
      </c>
      <c r="O30" s="26" t="str">
        <f t="shared" si="4"/>
        <v/>
      </c>
      <c r="P30" s="11"/>
    </row>
    <row r="31" spans="1:16" ht="15" customHeight="1" x14ac:dyDescent="0.25">
      <c r="A31" s="11"/>
      <c r="B31" s="25"/>
      <c r="C31" s="11"/>
      <c r="D31" s="25"/>
      <c r="E31" s="11"/>
      <c r="F31" s="11"/>
      <c r="G31" s="25"/>
      <c r="H31" s="11"/>
      <c r="I31" s="11"/>
      <c r="J31" s="26" t="str">
        <f t="shared" si="0"/>
        <v/>
      </c>
      <c r="K31" s="26" t="str">
        <f t="shared" si="1"/>
        <v/>
      </c>
      <c r="L31" s="26" t="str">
        <f t="shared" si="2"/>
        <v/>
      </c>
      <c r="M31" s="26" t="str">
        <f t="shared" si="3"/>
        <v/>
      </c>
      <c r="N31" s="26" t="str">
        <f>IF(A31="","",COUNTIF(ES!$B:$B,A31))</f>
        <v/>
      </c>
      <c r="O31" s="26" t="str">
        <f t="shared" si="4"/>
        <v/>
      </c>
      <c r="P31" s="11"/>
    </row>
    <row r="32" spans="1:16" ht="15" customHeight="1" x14ac:dyDescent="0.25">
      <c r="A32" s="11"/>
      <c r="B32" s="25"/>
      <c r="C32" s="11"/>
      <c r="D32" s="25"/>
      <c r="E32" s="11"/>
      <c r="F32" s="11"/>
      <c r="G32" s="25"/>
      <c r="H32" s="11"/>
      <c r="I32" s="11"/>
      <c r="J32" s="26" t="str">
        <f t="shared" si="0"/>
        <v/>
      </c>
      <c r="K32" s="26" t="str">
        <f t="shared" si="1"/>
        <v/>
      </c>
      <c r="L32" s="26" t="str">
        <f t="shared" si="2"/>
        <v/>
      </c>
      <c r="M32" s="26" t="str">
        <f t="shared" si="3"/>
        <v/>
      </c>
      <c r="N32" s="26" t="str">
        <f>IF(A32="","",COUNTIF(ES!$B:$B,A32))</f>
        <v/>
      </c>
      <c r="O32" s="26" t="str">
        <f t="shared" si="4"/>
        <v/>
      </c>
      <c r="P32" s="11"/>
    </row>
    <row r="33" spans="1:16" ht="15" customHeight="1" x14ac:dyDescent="0.25">
      <c r="A33" s="11"/>
      <c r="B33" s="25"/>
      <c r="C33" s="11"/>
      <c r="D33" s="25"/>
      <c r="E33" s="11"/>
      <c r="F33" s="11"/>
      <c r="G33" s="25"/>
      <c r="H33" s="11"/>
      <c r="I33" s="11"/>
      <c r="J33" s="26" t="str">
        <f t="shared" si="0"/>
        <v/>
      </c>
      <c r="K33" s="26" t="str">
        <f t="shared" si="1"/>
        <v/>
      </c>
      <c r="L33" s="26" t="str">
        <f t="shared" si="2"/>
        <v/>
      </c>
      <c r="M33" s="26" t="str">
        <f t="shared" si="3"/>
        <v/>
      </c>
      <c r="N33" s="26" t="str">
        <f>IF(A33="","",COUNTIF(ES!$B:$B,A33))</f>
        <v/>
      </c>
      <c r="O33" s="26" t="str">
        <f t="shared" si="4"/>
        <v/>
      </c>
      <c r="P33" s="11"/>
    </row>
    <row r="34" spans="1:16" ht="15" customHeight="1" x14ac:dyDescent="0.25">
      <c r="A34" s="11"/>
      <c r="B34" s="25"/>
      <c r="C34" s="11"/>
      <c r="D34" s="25"/>
      <c r="E34" s="11"/>
      <c r="F34" s="11"/>
      <c r="G34" s="25"/>
      <c r="H34" s="11"/>
      <c r="I34" s="11"/>
      <c r="J34" s="26" t="str">
        <f t="shared" si="0"/>
        <v/>
      </c>
      <c r="K34" s="26" t="str">
        <f t="shared" si="1"/>
        <v/>
      </c>
      <c r="L34" s="26" t="str">
        <f t="shared" si="2"/>
        <v/>
      </c>
      <c r="M34" s="26" t="str">
        <f t="shared" si="3"/>
        <v/>
      </c>
      <c r="N34" s="26" t="str">
        <f>IF(A34="","",COUNTIF(ES!$B:$B,A34))</f>
        <v/>
      </c>
      <c r="O34" s="26" t="str">
        <f t="shared" si="4"/>
        <v/>
      </c>
      <c r="P34" s="11"/>
    </row>
    <row r="35" spans="1:16" ht="15" customHeight="1" x14ac:dyDescent="0.25">
      <c r="A35" s="11"/>
      <c r="B35" s="25"/>
      <c r="C35" s="11"/>
      <c r="D35" s="25"/>
      <c r="E35" s="11"/>
      <c r="F35" s="11"/>
      <c r="G35" s="25"/>
      <c r="H35" s="11"/>
      <c r="I35" s="11"/>
      <c r="J35" s="26" t="str">
        <f t="shared" si="0"/>
        <v/>
      </c>
      <c r="K35" s="26" t="str">
        <f t="shared" si="1"/>
        <v/>
      </c>
      <c r="L35" s="26" t="str">
        <f t="shared" si="2"/>
        <v/>
      </c>
      <c r="M35" s="26" t="str">
        <f t="shared" si="3"/>
        <v/>
      </c>
      <c r="N35" s="26" t="str">
        <f>IF(A35="","",COUNTIF(ES!$B:$B,A35))</f>
        <v/>
      </c>
      <c r="O35" s="26" t="str">
        <f t="shared" si="4"/>
        <v/>
      </c>
      <c r="P35" s="11"/>
    </row>
    <row r="36" spans="1:16" ht="15" customHeight="1" x14ac:dyDescent="0.25">
      <c r="A36" s="11"/>
      <c r="B36" s="25"/>
      <c r="C36" s="11"/>
      <c r="D36" s="25"/>
      <c r="E36" s="11"/>
      <c r="F36" s="11"/>
      <c r="G36" s="25"/>
      <c r="H36" s="11"/>
      <c r="I36" s="11"/>
      <c r="J36" s="26" t="str">
        <f t="shared" si="0"/>
        <v/>
      </c>
      <c r="K36" s="26" t="str">
        <f t="shared" si="1"/>
        <v/>
      </c>
      <c r="L36" s="26" t="str">
        <f t="shared" si="2"/>
        <v/>
      </c>
      <c r="M36" s="26" t="str">
        <f t="shared" si="3"/>
        <v/>
      </c>
      <c r="N36" s="26" t="str">
        <f>IF(A36="","",COUNTIF(ES!$B:$B,A36))</f>
        <v/>
      </c>
      <c r="O36" s="26" t="str">
        <f t="shared" si="4"/>
        <v/>
      </c>
      <c r="P36" s="11"/>
    </row>
    <row r="37" spans="1:16" ht="15" customHeight="1" x14ac:dyDescent="0.25">
      <c r="A37" s="11"/>
      <c r="B37" s="25"/>
      <c r="C37" s="11"/>
      <c r="D37" s="25"/>
      <c r="E37" s="11"/>
      <c r="F37" s="11"/>
      <c r="G37" s="25"/>
      <c r="H37" s="11"/>
      <c r="I37" s="11"/>
      <c r="J37" s="26" t="str">
        <f t="shared" si="0"/>
        <v/>
      </c>
      <c r="K37" s="26" t="str">
        <f t="shared" si="1"/>
        <v/>
      </c>
      <c r="L37" s="26" t="str">
        <f t="shared" si="2"/>
        <v/>
      </c>
      <c r="M37" s="26" t="str">
        <f t="shared" si="3"/>
        <v/>
      </c>
      <c r="N37" s="26" t="str">
        <f>IF(A37="","",COUNTIF(ES!$B:$B,A37))</f>
        <v/>
      </c>
      <c r="O37" s="26" t="str">
        <f t="shared" si="4"/>
        <v/>
      </c>
      <c r="P37" s="11"/>
    </row>
    <row r="38" spans="1:16" ht="15" customHeight="1" x14ac:dyDescent="0.25">
      <c r="A38" s="11"/>
      <c r="B38" s="25"/>
      <c r="C38" s="11"/>
      <c r="D38" s="25"/>
      <c r="E38" s="11"/>
      <c r="F38" s="11"/>
      <c r="G38" s="25"/>
      <c r="H38" s="11"/>
      <c r="I38" s="11"/>
      <c r="J38" s="26" t="str">
        <f t="shared" si="0"/>
        <v/>
      </c>
      <c r="K38" s="26" t="str">
        <f t="shared" si="1"/>
        <v/>
      </c>
      <c r="L38" s="26" t="str">
        <f t="shared" si="2"/>
        <v/>
      </c>
      <c r="M38" s="26" t="str">
        <f t="shared" si="3"/>
        <v/>
      </c>
      <c r="N38" s="26" t="str">
        <f>IF(A38="","",COUNTIF(ES!$B:$B,A38))</f>
        <v/>
      </c>
      <c r="O38" s="26" t="str">
        <f t="shared" si="4"/>
        <v/>
      </c>
      <c r="P38" s="11"/>
    </row>
    <row r="39" spans="1:16" ht="15" customHeight="1" x14ac:dyDescent="0.25">
      <c r="A39" s="11"/>
      <c r="B39" s="25"/>
      <c r="C39" s="11"/>
      <c r="D39" s="25"/>
      <c r="E39" s="11"/>
      <c r="F39" s="11"/>
      <c r="G39" s="25"/>
      <c r="H39" s="11"/>
      <c r="I39" s="11"/>
      <c r="J39" s="26" t="str">
        <f t="shared" si="0"/>
        <v/>
      </c>
      <c r="K39" s="26" t="str">
        <f t="shared" si="1"/>
        <v/>
      </c>
      <c r="L39" s="26" t="str">
        <f t="shared" si="2"/>
        <v/>
      </c>
      <c r="M39" s="26" t="str">
        <f t="shared" si="3"/>
        <v/>
      </c>
      <c r="N39" s="26" t="str">
        <f>IF(A39="","",COUNTIF(ES!$B:$B,A39))</f>
        <v/>
      </c>
      <c r="O39" s="26" t="str">
        <f t="shared" si="4"/>
        <v/>
      </c>
      <c r="P39" s="11"/>
    </row>
    <row r="40" spans="1:16" ht="15" customHeight="1" x14ac:dyDescent="0.25">
      <c r="A40" s="11"/>
      <c r="B40" s="25"/>
      <c r="C40" s="11"/>
      <c r="D40" s="25"/>
      <c r="E40" s="11"/>
      <c r="F40" s="11"/>
      <c r="G40" s="25"/>
      <c r="H40" s="11"/>
      <c r="I40" s="11"/>
      <c r="J40" s="26" t="str">
        <f t="shared" si="0"/>
        <v/>
      </c>
      <c r="K40" s="26" t="str">
        <f t="shared" si="1"/>
        <v/>
      </c>
      <c r="L40" s="26" t="str">
        <f t="shared" si="2"/>
        <v/>
      </c>
      <c r="M40" s="26" t="str">
        <f t="shared" si="3"/>
        <v/>
      </c>
      <c r="N40" s="26" t="str">
        <f>IF(A40="","",COUNTIF(ES!$B:$B,A40))</f>
        <v/>
      </c>
      <c r="O40" s="26" t="str">
        <f t="shared" si="4"/>
        <v/>
      </c>
      <c r="P40" s="11"/>
    </row>
    <row r="41" spans="1:16" ht="15" customHeight="1" x14ac:dyDescent="0.25">
      <c r="A41" s="11"/>
      <c r="B41" s="25"/>
      <c r="C41" s="11"/>
      <c r="D41" s="25"/>
      <c r="E41" s="11"/>
      <c r="F41" s="11"/>
      <c r="G41" s="25"/>
      <c r="H41" s="11"/>
      <c r="I41" s="11"/>
      <c r="J41" s="26" t="str">
        <f t="shared" si="0"/>
        <v/>
      </c>
      <c r="K41" s="26" t="str">
        <f t="shared" si="1"/>
        <v/>
      </c>
      <c r="L41" s="26" t="str">
        <f t="shared" si="2"/>
        <v/>
      </c>
      <c r="M41" s="26" t="str">
        <f t="shared" si="3"/>
        <v/>
      </c>
      <c r="N41" s="26" t="str">
        <f>IF(A41="","",COUNTIF(ES!$B:$B,A41))</f>
        <v/>
      </c>
      <c r="O41" s="26" t="str">
        <f t="shared" si="4"/>
        <v/>
      </c>
      <c r="P41" s="11"/>
    </row>
    <row r="42" spans="1:16" ht="15" customHeight="1" x14ac:dyDescent="0.25">
      <c r="A42" s="11"/>
      <c r="B42" s="25"/>
      <c r="C42" s="11"/>
      <c r="D42" s="25"/>
      <c r="E42" s="11"/>
      <c r="F42" s="11"/>
      <c r="G42" s="25"/>
      <c r="H42" s="11"/>
      <c r="I42" s="11"/>
      <c r="J42" s="26" t="str">
        <f t="shared" si="0"/>
        <v/>
      </c>
      <c r="K42" s="26" t="str">
        <f t="shared" si="1"/>
        <v/>
      </c>
      <c r="L42" s="26" t="str">
        <f t="shared" si="2"/>
        <v/>
      </c>
      <c r="M42" s="26" t="str">
        <f t="shared" si="3"/>
        <v/>
      </c>
      <c r="N42" s="26" t="str">
        <f>IF(A42="","",COUNTIF(ES!$B:$B,A42))</f>
        <v/>
      </c>
      <c r="O42" s="26" t="str">
        <f t="shared" si="4"/>
        <v/>
      </c>
      <c r="P42" s="11"/>
    </row>
    <row r="43" spans="1:16" ht="15" customHeight="1" x14ac:dyDescent="0.25">
      <c r="A43" s="11"/>
      <c r="B43" s="25"/>
      <c r="C43" s="11"/>
      <c r="D43" s="25"/>
      <c r="E43" s="11"/>
      <c r="F43" s="11"/>
      <c r="G43" s="25"/>
      <c r="H43" s="11"/>
      <c r="I43" s="11"/>
      <c r="J43" s="26" t="str">
        <f t="shared" si="0"/>
        <v/>
      </c>
      <c r="K43" s="26" t="str">
        <f t="shared" si="1"/>
        <v/>
      </c>
      <c r="L43" s="26" t="str">
        <f t="shared" si="2"/>
        <v/>
      </c>
      <c r="M43" s="26" t="str">
        <f t="shared" si="3"/>
        <v/>
      </c>
      <c r="N43" s="26" t="str">
        <f>IF(A43="","",COUNTIF(ES!$B:$B,A43))</f>
        <v/>
      </c>
      <c r="O43" s="26" t="str">
        <f t="shared" si="4"/>
        <v/>
      </c>
      <c r="P43" s="11"/>
    </row>
    <row r="44" spans="1:16" ht="15" customHeight="1" x14ac:dyDescent="0.25">
      <c r="A44" s="11"/>
      <c r="B44" s="25"/>
      <c r="C44" s="11"/>
      <c r="D44" s="25"/>
      <c r="E44" s="11"/>
      <c r="F44" s="11"/>
      <c r="G44" s="25"/>
      <c r="H44" s="11"/>
      <c r="I44" s="11"/>
      <c r="J44" s="26" t="str">
        <f t="shared" si="0"/>
        <v/>
      </c>
      <c r="K44" s="26" t="str">
        <f t="shared" si="1"/>
        <v/>
      </c>
      <c r="L44" s="26" t="str">
        <f t="shared" si="2"/>
        <v/>
      </c>
      <c r="M44" s="26" t="str">
        <f t="shared" si="3"/>
        <v/>
      </c>
      <c r="N44" s="26" t="str">
        <f>IF(A44="","",COUNTIF(ES!$B:$B,A44))</f>
        <v/>
      </c>
      <c r="O44" s="26" t="str">
        <f t="shared" si="4"/>
        <v/>
      </c>
      <c r="P44" s="11"/>
    </row>
    <row r="45" spans="1:16" ht="15" customHeight="1" x14ac:dyDescent="0.25">
      <c r="A45" s="11"/>
      <c r="B45" s="25"/>
      <c r="C45" s="11"/>
      <c r="D45" s="25"/>
      <c r="E45" s="11"/>
      <c r="F45" s="11"/>
      <c r="G45" s="25"/>
      <c r="H45" s="11"/>
      <c r="I45" s="11"/>
      <c r="J45" s="26" t="str">
        <f t="shared" si="0"/>
        <v/>
      </c>
      <c r="K45" s="26" t="str">
        <f t="shared" si="1"/>
        <v/>
      </c>
      <c r="L45" s="26" t="str">
        <f t="shared" si="2"/>
        <v/>
      </c>
      <c r="M45" s="26" t="str">
        <f t="shared" si="3"/>
        <v/>
      </c>
      <c r="N45" s="26" t="str">
        <f>IF(A45="","",COUNTIF(ES!$B:$B,A45))</f>
        <v/>
      </c>
      <c r="O45" s="26" t="str">
        <f t="shared" si="4"/>
        <v/>
      </c>
      <c r="P45" s="11"/>
    </row>
    <row r="46" spans="1:16" ht="15" customHeight="1" x14ac:dyDescent="0.25">
      <c r="A46" s="11"/>
      <c r="B46" s="25"/>
      <c r="C46" s="11"/>
      <c r="D46" s="25"/>
      <c r="E46" s="11"/>
      <c r="F46" s="11"/>
      <c r="G46" s="25"/>
      <c r="H46" s="11"/>
      <c r="I46" s="11"/>
      <c r="J46" s="26" t="str">
        <f t="shared" si="0"/>
        <v/>
      </c>
      <c r="K46" s="26" t="str">
        <f t="shared" si="1"/>
        <v/>
      </c>
      <c r="L46" s="26" t="str">
        <f t="shared" si="2"/>
        <v/>
      </c>
      <c r="M46" s="26" t="str">
        <f t="shared" si="3"/>
        <v/>
      </c>
      <c r="N46" s="26" t="str">
        <f>IF(A46="","",COUNTIF(ES!$B:$B,A46))</f>
        <v/>
      </c>
      <c r="O46" s="26" t="str">
        <f t="shared" si="4"/>
        <v/>
      </c>
      <c r="P46" s="11"/>
    </row>
    <row r="47" spans="1:16" ht="15" customHeight="1" x14ac:dyDescent="0.25">
      <c r="A47" s="11"/>
      <c r="B47" s="25"/>
      <c r="C47" s="11"/>
      <c r="D47" s="25"/>
      <c r="E47" s="11"/>
      <c r="F47" s="11"/>
      <c r="G47" s="25"/>
      <c r="H47" s="11"/>
      <c r="I47" s="11"/>
      <c r="J47" s="26" t="str">
        <f t="shared" si="0"/>
        <v/>
      </c>
      <c r="K47" s="26" t="str">
        <f t="shared" si="1"/>
        <v/>
      </c>
      <c r="L47" s="26" t="str">
        <f t="shared" si="2"/>
        <v/>
      </c>
      <c r="M47" s="26" t="str">
        <f t="shared" si="3"/>
        <v/>
      </c>
      <c r="N47" s="26" t="str">
        <f>IF(A47="","",COUNTIF(ES!$B:$B,A47))</f>
        <v/>
      </c>
      <c r="O47" s="26" t="str">
        <f t="shared" si="4"/>
        <v/>
      </c>
      <c r="P47" s="11"/>
    </row>
    <row r="48" spans="1:16" ht="15" customHeight="1" x14ac:dyDescent="0.25">
      <c r="A48" s="11"/>
      <c r="B48" s="25"/>
      <c r="C48" s="11"/>
      <c r="D48" s="25"/>
      <c r="E48" s="11"/>
      <c r="F48" s="11"/>
      <c r="G48" s="25"/>
      <c r="H48" s="11"/>
      <c r="I48" s="11"/>
      <c r="J48" s="26" t="str">
        <f t="shared" si="0"/>
        <v/>
      </c>
      <c r="K48" s="26" t="str">
        <f t="shared" si="1"/>
        <v/>
      </c>
      <c r="L48" s="26" t="str">
        <f t="shared" si="2"/>
        <v/>
      </c>
      <c r="M48" s="26" t="str">
        <f t="shared" si="3"/>
        <v/>
      </c>
      <c r="N48" s="26" t="str">
        <f>IF(A48="","",COUNTIF(ES!$B:$B,A48))</f>
        <v/>
      </c>
      <c r="O48" s="26" t="str">
        <f t="shared" si="4"/>
        <v/>
      </c>
      <c r="P48" s="11"/>
    </row>
    <row r="50" spans="70:70" x14ac:dyDescent="0.25">
      <c r="BR50" s="17" t="s">
        <v>117</v>
      </c>
    </row>
    <row r="51" spans="70:70" x14ac:dyDescent="0.25">
      <c r="BR51" s="17" t="s">
        <v>118</v>
      </c>
    </row>
  </sheetData>
  <autoFilter ref="A7:P7" xr:uid="{00000000-0009-0000-0000-000001000000}"/>
  <mergeCells count="5">
    <mergeCell ref="A1:P1"/>
    <mergeCell ref="A2:P2"/>
    <mergeCell ref="A6:G6"/>
    <mergeCell ref="H6:I6"/>
    <mergeCell ref="J6:O6"/>
  </mergeCells>
  <dataValidations count="3">
    <dataValidation type="list" allowBlank="1" sqref="B9:B48" xr:uid="{00000000-0002-0000-0100-000000000000}">
      <formula1>"0,1,2,3,4,5,6,7"</formula1>
      <formula2>0</formula2>
    </dataValidation>
    <dataValidation type="list" allowBlank="1" sqref="D9:D48" xr:uid="{00000000-0002-0000-0100-000001000000}">
      <formula1>"DI,DO,AI,AO"</formula1>
      <formula2>0</formula2>
    </dataValidation>
    <dataValidation type="list" allowBlank="1" sqref="G9:G48" xr:uid="{00000000-0002-0000-0100-000002000000}">
      <formula1>"O,N"</formula1>
      <formula2>0</formula2>
    </dataValidation>
  </dataValidation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Cartes de l'automate&amp;C&amp;7 &amp;D&amp;R&amp;7 page 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BR72"/>
  <sheetViews>
    <sheetView zoomScaleNormal="100" workbookViewId="0">
      <selection sqref="A1:R1"/>
    </sheetView>
  </sheetViews>
  <sheetFormatPr baseColWidth="10" defaultColWidth="8.7109375" defaultRowHeight="15" x14ac:dyDescent="0.25"/>
  <cols>
    <col min="1" max="1" width="10" customWidth="1"/>
    <col min="2" max="17" width="14" customWidth="1"/>
  </cols>
  <sheetData>
    <row r="1" spans="1:18" ht="25.5" customHeight="1" x14ac:dyDescent="0.25">
      <c r="A1" s="9" t="s">
        <v>119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18" ht="15.75" customHeight="1" x14ac:dyDescent="0.25">
      <c r="A2" s="8" t="s">
        <v>120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</row>
    <row r="3" spans="1:18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8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9" spans="1:18" ht="15.75" customHeight="1" x14ac:dyDescent="0.25">
      <c r="A9" s="27" t="s">
        <v>121</v>
      </c>
      <c r="B9" s="28">
        <v>0</v>
      </c>
      <c r="C9" s="28">
        <v>1</v>
      </c>
      <c r="D9" s="28">
        <v>2</v>
      </c>
      <c r="E9" s="28">
        <v>3</v>
      </c>
      <c r="F9" s="28">
        <v>4</v>
      </c>
      <c r="G9" s="28">
        <v>5</v>
      </c>
      <c r="H9" s="28">
        <v>6</v>
      </c>
      <c r="I9" s="28">
        <v>7</v>
      </c>
      <c r="J9" s="28">
        <v>8</v>
      </c>
      <c r="K9" s="28">
        <v>9</v>
      </c>
      <c r="L9" s="28">
        <v>10</v>
      </c>
      <c r="M9" s="28">
        <v>11</v>
      </c>
      <c r="N9" s="28">
        <v>12</v>
      </c>
      <c r="O9" s="28">
        <v>13</v>
      </c>
      <c r="P9" s="28">
        <v>14</v>
      </c>
      <c r="Q9" s="28">
        <v>15</v>
      </c>
    </row>
    <row r="10" spans="1:18" ht="12.75" customHeight="1" x14ac:dyDescent="0.25">
      <c r="A10" s="29" t="s">
        <v>122</v>
      </c>
      <c r="B10" s="44"/>
      <c r="C10" s="44"/>
      <c r="D10" s="44"/>
      <c r="E10" s="44"/>
      <c r="F10" s="46" t="s">
        <v>92</v>
      </c>
      <c r="G10" s="49" t="s">
        <v>98</v>
      </c>
      <c r="H10" s="44"/>
      <c r="I10" s="46" t="s">
        <v>103</v>
      </c>
      <c r="J10" s="49" t="s">
        <v>106</v>
      </c>
      <c r="K10" s="44"/>
      <c r="L10" s="52" t="s">
        <v>109</v>
      </c>
      <c r="M10" s="52" t="s">
        <v>114</v>
      </c>
      <c r="N10" s="44"/>
      <c r="O10" s="44"/>
      <c r="P10" s="44"/>
      <c r="Q10" s="44"/>
    </row>
    <row r="11" spans="1:18" ht="12.75" customHeight="1" x14ac:dyDescent="0.25">
      <c r="A11" s="29" t="s">
        <v>123</v>
      </c>
      <c r="B11" s="44"/>
      <c r="C11" s="44"/>
      <c r="D11" s="44"/>
      <c r="E11" s="44"/>
      <c r="F11" s="45" t="s">
        <v>93</v>
      </c>
      <c r="G11" s="48" t="s">
        <v>99</v>
      </c>
      <c r="H11" s="44"/>
      <c r="I11" s="45" t="s">
        <v>93</v>
      </c>
      <c r="J11" s="48" t="s">
        <v>99</v>
      </c>
      <c r="K11" s="44"/>
      <c r="L11" s="51" t="s">
        <v>110</v>
      </c>
      <c r="M11" s="51" t="s">
        <v>110</v>
      </c>
      <c r="N11" s="44"/>
      <c r="O11" s="44"/>
      <c r="P11" s="44"/>
      <c r="Q11" s="44"/>
    </row>
    <row r="12" spans="1:18" ht="12.75" customHeight="1" x14ac:dyDescent="0.25">
      <c r="A12" s="29" t="s">
        <v>124</v>
      </c>
      <c r="B12" s="44"/>
      <c r="C12" s="44"/>
      <c r="D12" s="44"/>
      <c r="E12" s="44"/>
      <c r="F12" s="45" t="s">
        <v>94</v>
      </c>
      <c r="G12" s="48" t="s">
        <v>100</v>
      </c>
      <c r="H12" s="44"/>
      <c r="I12" s="45" t="s">
        <v>94</v>
      </c>
      <c r="J12" s="48" t="s">
        <v>100</v>
      </c>
      <c r="K12" s="44"/>
      <c r="L12" s="51" t="s">
        <v>111</v>
      </c>
      <c r="M12" s="51" t="s">
        <v>111</v>
      </c>
      <c r="N12" s="44"/>
      <c r="O12" s="44"/>
      <c r="P12" s="44"/>
      <c r="Q12" s="44"/>
    </row>
    <row r="13" spans="1:18" ht="12.75" customHeight="1" x14ac:dyDescent="0.25">
      <c r="A13" s="29" t="s">
        <v>125</v>
      </c>
      <c r="B13" s="44"/>
      <c r="C13" s="44"/>
      <c r="D13" s="44"/>
      <c r="E13" s="44"/>
      <c r="F13" s="45" t="s">
        <v>985</v>
      </c>
      <c r="G13" s="48" t="s">
        <v>985</v>
      </c>
      <c r="H13" s="44"/>
      <c r="I13" s="45" t="s">
        <v>985</v>
      </c>
      <c r="J13" s="48" t="s">
        <v>985</v>
      </c>
      <c r="K13" s="44"/>
      <c r="L13" s="51" t="s">
        <v>987</v>
      </c>
      <c r="M13" s="51" t="s">
        <v>987</v>
      </c>
      <c r="N13" s="44"/>
      <c r="O13" s="44"/>
      <c r="P13" s="44"/>
      <c r="Q13" s="44"/>
    </row>
    <row r="14" spans="1:18" ht="12.75" customHeight="1" x14ac:dyDescent="0.25">
      <c r="A14" s="29" t="s">
        <v>126</v>
      </c>
      <c r="B14" s="44"/>
      <c r="C14" s="44"/>
      <c r="D14" s="44"/>
      <c r="E14" s="44"/>
      <c r="F14" s="47" t="s">
        <v>986</v>
      </c>
      <c r="G14" s="50" t="s">
        <v>986</v>
      </c>
      <c r="H14" s="44"/>
      <c r="I14" s="47" t="s">
        <v>986</v>
      </c>
      <c r="J14" s="50" t="s">
        <v>986</v>
      </c>
      <c r="K14" s="44"/>
      <c r="L14" s="53" t="s">
        <v>986</v>
      </c>
      <c r="M14" s="53" t="s">
        <v>986</v>
      </c>
      <c r="N14" s="44"/>
      <c r="O14" s="44"/>
      <c r="P14" s="44"/>
      <c r="Q14" s="44"/>
    </row>
    <row r="16" spans="1:18" ht="15.75" customHeight="1" x14ac:dyDescent="0.25">
      <c r="A16" s="27" t="s">
        <v>127</v>
      </c>
      <c r="B16" s="28">
        <v>0</v>
      </c>
      <c r="C16" s="28">
        <v>1</v>
      </c>
      <c r="D16" s="28">
        <v>2</v>
      </c>
      <c r="E16" s="28">
        <v>3</v>
      </c>
      <c r="F16" s="28">
        <v>4</v>
      </c>
      <c r="G16" s="28">
        <v>5</v>
      </c>
      <c r="H16" s="28">
        <v>6</v>
      </c>
      <c r="I16" s="28">
        <v>7</v>
      </c>
      <c r="J16" s="28">
        <v>8</v>
      </c>
      <c r="K16" s="28">
        <v>9</v>
      </c>
      <c r="L16" s="28">
        <v>10</v>
      </c>
      <c r="M16" s="28">
        <v>11</v>
      </c>
      <c r="N16" s="28">
        <v>12</v>
      </c>
      <c r="O16" s="28">
        <v>13</v>
      </c>
      <c r="P16" s="28">
        <v>14</v>
      </c>
      <c r="Q16" s="28">
        <v>15</v>
      </c>
    </row>
    <row r="17" spans="1:17" ht="12.75" customHeight="1" x14ac:dyDescent="0.25">
      <c r="A17" s="29" t="s">
        <v>122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2.75" customHeight="1" x14ac:dyDescent="0.25">
      <c r="A18" s="29" t="s">
        <v>123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2.75" customHeight="1" x14ac:dyDescent="0.25">
      <c r="A19" s="29" t="s">
        <v>124</v>
      </c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2.75" customHeight="1" x14ac:dyDescent="0.25">
      <c r="A20" s="29" t="s">
        <v>125</v>
      </c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2.75" customHeight="1" x14ac:dyDescent="0.25">
      <c r="A21" s="29" t="s">
        <v>126</v>
      </c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3" spans="1:17" ht="15.75" customHeight="1" x14ac:dyDescent="0.25">
      <c r="A23" s="27" t="s">
        <v>128</v>
      </c>
      <c r="B23" s="28">
        <v>0</v>
      </c>
      <c r="C23" s="28">
        <v>1</v>
      </c>
      <c r="D23" s="28">
        <v>2</v>
      </c>
      <c r="E23" s="28">
        <v>3</v>
      </c>
      <c r="F23" s="28">
        <v>4</v>
      </c>
      <c r="G23" s="28">
        <v>5</v>
      </c>
      <c r="H23" s="28">
        <v>6</v>
      </c>
      <c r="I23" s="28">
        <v>7</v>
      </c>
      <c r="J23" s="28">
        <v>8</v>
      </c>
      <c r="K23" s="28">
        <v>9</v>
      </c>
      <c r="L23" s="28">
        <v>10</v>
      </c>
      <c r="M23" s="28">
        <v>11</v>
      </c>
      <c r="N23" s="28">
        <v>12</v>
      </c>
      <c r="O23" s="28">
        <v>13</v>
      </c>
      <c r="P23" s="28">
        <v>14</v>
      </c>
      <c r="Q23" s="28">
        <v>15</v>
      </c>
    </row>
    <row r="24" spans="1:17" ht="12.75" customHeight="1" x14ac:dyDescent="0.25">
      <c r="A24" s="29" t="s">
        <v>122</v>
      </c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2.75" customHeight="1" x14ac:dyDescent="0.25">
      <c r="A25" s="29" t="s">
        <v>123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2.75" customHeight="1" x14ac:dyDescent="0.25">
      <c r="A26" s="29" t="s">
        <v>124</v>
      </c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2.75" customHeight="1" x14ac:dyDescent="0.25">
      <c r="A27" s="29" t="s">
        <v>125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2.75" customHeight="1" x14ac:dyDescent="0.25">
      <c r="A28" s="29" t="s">
        <v>126</v>
      </c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30" spans="1:17" ht="15.75" customHeight="1" x14ac:dyDescent="0.25">
      <c r="A30" s="27" t="s">
        <v>129</v>
      </c>
      <c r="B30" s="28">
        <v>0</v>
      </c>
      <c r="C30" s="28">
        <v>1</v>
      </c>
      <c r="D30" s="28">
        <v>2</v>
      </c>
      <c r="E30" s="28">
        <v>3</v>
      </c>
      <c r="F30" s="28">
        <v>4</v>
      </c>
      <c r="G30" s="28">
        <v>5</v>
      </c>
      <c r="H30" s="28">
        <v>6</v>
      </c>
      <c r="I30" s="28">
        <v>7</v>
      </c>
      <c r="J30" s="28">
        <v>8</v>
      </c>
      <c r="K30" s="28">
        <v>9</v>
      </c>
      <c r="L30" s="28">
        <v>10</v>
      </c>
      <c r="M30" s="28">
        <v>11</v>
      </c>
      <c r="N30" s="28">
        <v>12</v>
      </c>
      <c r="O30" s="28">
        <v>13</v>
      </c>
      <c r="P30" s="28">
        <v>14</v>
      </c>
      <c r="Q30" s="28">
        <v>15</v>
      </c>
    </row>
    <row r="31" spans="1:17" ht="12.75" customHeight="1" x14ac:dyDescent="0.25">
      <c r="A31" s="29" t="s">
        <v>122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2.75" customHeight="1" x14ac:dyDescent="0.25">
      <c r="A32" s="29" t="s">
        <v>123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2.75" customHeight="1" x14ac:dyDescent="0.25">
      <c r="A33" s="29" t="s">
        <v>124</v>
      </c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  <row r="34" spans="1:17" ht="12.75" customHeight="1" x14ac:dyDescent="0.25">
      <c r="A34" s="29" t="s">
        <v>125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</row>
    <row r="35" spans="1:17" ht="12.75" customHeight="1" x14ac:dyDescent="0.25">
      <c r="A35" s="29" t="s">
        <v>126</v>
      </c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</row>
    <row r="37" spans="1:17" ht="15.75" customHeight="1" x14ac:dyDescent="0.25">
      <c r="A37" s="27" t="s">
        <v>130</v>
      </c>
      <c r="B37" s="28">
        <v>0</v>
      </c>
      <c r="C37" s="28">
        <v>1</v>
      </c>
      <c r="D37" s="28">
        <v>2</v>
      </c>
      <c r="E37" s="28">
        <v>3</v>
      </c>
      <c r="F37" s="28">
        <v>4</v>
      </c>
      <c r="G37" s="28">
        <v>5</v>
      </c>
      <c r="H37" s="28">
        <v>6</v>
      </c>
      <c r="I37" s="28">
        <v>7</v>
      </c>
      <c r="J37" s="28">
        <v>8</v>
      </c>
      <c r="K37" s="28">
        <v>9</v>
      </c>
      <c r="L37" s="28">
        <v>10</v>
      </c>
      <c r="M37" s="28">
        <v>11</v>
      </c>
      <c r="N37" s="28">
        <v>12</v>
      </c>
      <c r="O37" s="28">
        <v>13</v>
      </c>
      <c r="P37" s="28">
        <v>14</v>
      </c>
      <c r="Q37" s="28">
        <v>15</v>
      </c>
    </row>
    <row r="38" spans="1:17" ht="12.75" customHeight="1" x14ac:dyDescent="0.25">
      <c r="A38" s="29" t="s">
        <v>122</v>
      </c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12.75" customHeight="1" x14ac:dyDescent="0.25">
      <c r="A39" s="29" t="s">
        <v>123</v>
      </c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</row>
    <row r="40" spans="1:17" ht="12.75" customHeight="1" x14ac:dyDescent="0.25">
      <c r="A40" s="29" t="s">
        <v>124</v>
      </c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</row>
    <row r="41" spans="1:17" ht="12.75" customHeight="1" x14ac:dyDescent="0.25">
      <c r="A41" s="29" t="s">
        <v>125</v>
      </c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</row>
    <row r="42" spans="1:17" ht="12.75" customHeight="1" x14ac:dyDescent="0.25">
      <c r="A42" s="29" t="s">
        <v>126</v>
      </c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</row>
    <row r="44" spans="1:17" ht="15.75" customHeight="1" x14ac:dyDescent="0.25">
      <c r="A44" s="27" t="s">
        <v>131</v>
      </c>
      <c r="B44" s="28">
        <v>0</v>
      </c>
      <c r="C44" s="28">
        <v>1</v>
      </c>
      <c r="D44" s="28">
        <v>2</v>
      </c>
      <c r="E44" s="28">
        <v>3</v>
      </c>
      <c r="F44" s="28">
        <v>4</v>
      </c>
      <c r="G44" s="28">
        <v>5</v>
      </c>
      <c r="H44" s="28">
        <v>6</v>
      </c>
      <c r="I44" s="28">
        <v>7</v>
      </c>
      <c r="J44" s="28">
        <v>8</v>
      </c>
      <c r="K44" s="28">
        <v>9</v>
      </c>
      <c r="L44" s="28">
        <v>10</v>
      </c>
      <c r="M44" s="28">
        <v>11</v>
      </c>
      <c r="N44" s="28">
        <v>12</v>
      </c>
      <c r="O44" s="28">
        <v>13</v>
      </c>
      <c r="P44" s="28">
        <v>14</v>
      </c>
      <c r="Q44" s="28">
        <v>15</v>
      </c>
    </row>
    <row r="45" spans="1:17" ht="12.75" customHeight="1" x14ac:dyDescent="0.25">
      <c r="A45" s="29" t="s">
        <v>122</v>
      </c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</row>
    <row r="46" spans="1:17" ht="12.75" customHeight="1" x14ac:dyDescent="0.25">
      <c r="A46" s="29" t="s">
        <v>123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</row>
    <row r="47" spans="1:17" ht="12.75" customHeight="1" x14ac:dyDescent="0.25">
      <c r="A47" s="29" t="s">
        <v>124</v>
      </c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</row>
    <row r="48" spans="1:17" ht="12.75" customHeight="1" x14ac:dyDescent="0.25">
      <c r="A48" s="29" t="s">
        <v>125</v>
      </c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</row>
    <row r="49" spans="1:17" ht="12.75" customHeight="1" x14ac:dyDescent="0.25">
      <c r="A49" s="29" t="s">
        <v>126</v>
      </c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</row>
    <row r="51" spans="1:17" ht="15.75" customHeight="1" x14ac:dyDescent="0.25">
      <c r="A51" s="27" t="s">
        <v>132</v>
      </c>
      <c r="B51" s="28">
        <v>0</v>
      </c>
      <c r="C51" s="28">
        <v>1</v>
      </c>
      <c r="D51" s="28">
        <v>2</v>
      </c>
      <c r="E51" s="28">
        <v>3</v>
      </c>
      <c r="F51" s="28">
        <v>4</v>
      </c>
      <c r="G51" s="28">
        <v>5</v>
      </c>
      <c r="H51" s="28">
        <v>6</v>
      </c>
      <c r="I51" s="28">
        <v>7</v>
      </c>
      <c r="J51" s="28">
        <v>8</v>
      </c>
      <c r="K51" s="28">
        <v>9</v>
      </c>
      <c r="L51" s="28">
        <v>10</v>
      </c>
      <c r="M51" s="28">
        <v>11</v>
      </c>
      <c r="N51" s="28">
        <v>12</v>
      </c>
      <c r="O51" s="28">
        <v>13</v>
      </c>
      <c r="P51" s="28">
        <v>14</v>
      </c>
      <c r="Q51" s="28">
        <v>15</v>
      </c>
    </row>
    <row r="52" spans="1:17" ht="12.75" customHeight="1" x14ac:dyDescent="0.25">
      <c r="A52" s="29" t="s">
        <v>122</v>
      </c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</row>
    <row r="53" spans="1:17" ht="12.75" customHeight="1" x14ac:dyDescent="0.25">
      <c r="A53" s="29" t="s">
        <v>123</v>
      </c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</row>
    <row r="54" spans="1:17" ht="12.75" customHeight="1" x14ac:dyDescent="0.25">
      <c r="A54" s="29" t="s">
        <v>124</v>
      </c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</row>
    <row r="55" spans="1:17" ht="12.75" customHeight="1" x14ac:dyDescent="0.25">
      <c r="A55" s="29" t="s">
        <v>125</v>
      </c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</row>
    <row r="56" spans="1:17" ht="12.75" customHeight="1" x14ac:dyDescent="0.25">
      <c r="A56" s="29" t="s">
        <v>126</v>
      </c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</row>
    <row r="58" spans="1:17" ht="15.75" customHeight="1" x14ac:dyDescent="0.25">
      <c r="A58" s="27" t="s">
        <v>133</v>
      </c>
      <c r="B58" s="28">
        <v>0</v>
      </c>
      <c r="C58" s="28">
        <v>1</v>
      </c>
      <c r="D58" s="28">
        <v>2</v>
      </c>
      <c r="E58" s="28">
        <v>3</v>
      </c>
      <c r="F58" s="28">
        <v>4</v>
      </c>
      <c r="G58" s="28">
        <v>5</v>
      </c>
      <c r="H58" s="28">
        <v>6</v>
      </c>
      <c r="I58" s="28">
        <v>7</v>
      </c>
      <c r="J58" s="28">
        <v>8</v>
      </c>
      <c r="K58" s="28">
        <v>9</v>
      </c>
      <c r="L58" s="28">
        <v>10</v>
      </c>
      <c r="M58" s="28">
        <v>11</v>
      </c>
      <c r="N58" s="28">
        <v>12</v>
      </c>
      <c r="O58" s="28">
        <v>13</v>
      </c>
      <c r="P58" s="28">
        <v>14</v>
      </c>
      <c r="Q58" s="28">
        <v>15</v>
      </c>
    </row>
    <row r="59" spans="1:17" ht="12.75" customHeight="1" x14ac:dyDescent="0.25">
      <c r="A59" s="29" t="s">
        <v>122</v>
      </c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</row>
    <row r="60" spans="1:17" ht="12.75" customHeight="1" x14ac:dyDescent="0.25">
      <c r="A60" s="29" t="s">
        <v>123</v>
      </c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</row>
    <row r="61" spans="1:17" ht="12.75" customHeight="1" x14ac:dyDescent="0.25">
      <c r="A61" s="29" t="s">
        <v>124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</row>
    <row r="62" spans="1:17" ht="12.75" customHeight="1" x14ac:dyDescent="0.25">
      <c r="A62" s="29" t="s">
        <v>125</v>
      </c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</row>
    <row r="63" spans="1:17" ht="12.75" customHeight="1" x14ac:dyDescent="0.25">
      <c r="A63" s="29" t="s">
        <v>126</v>
      </c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</row>
    <row r="66" spans="1:70" x14ac:dyDescent="0.25">
      <c r="A66" s="10" t="s">
        <v>134</v>
      </c>
    </row>
    <row r="67" spans="1:70" x14ac:dyDescent="0.25">
      <c r="A67" s="30" t="s">
        <v>93</v>
      </c>
      <c r="B67" s="16" t="s">
        <v>135</v>
      </c>
    </row>
    <row r="68" spans="1:70" x14ac:dyDescent="0.25">
      <c r="A68" s="31" t="s">
        <v>99</v>
      </c>
      <c r="B68" s="16" t="s">
        <v>136</v>
      </c>
    </row>
    <row r="69" spans="1:70" x14ac:dyDescent="0.25">
      <c r="A69" s="32" t="s">
        <v>110</v>
      </c>
      <c r="B69" s="16" t="s">
        <v>137</v>
      </c>
    </row>
    <row r="70" spans="1:70" x14ac:dyDescent="0.25">
      <c r="A70" s="33" t="s">
        <v>138</v>
      </c>
      <c r="B70" s="16" t="s">
        <v>139</v>
      </c>
    </row>
    <row r="72" spans="1:70" x14ac:dyDescent="0.25">
      <c r="BR72" s="17" t="s">
        <v>140</v>
      </c>
    </row>
  </sheetData>
  <mergeCells count="2">
    <mergeCell ref="A1:R1"/>
    <mergeCell ref="A2:R2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Vue des racks&amp;C&amp;7 &amp;D&amp;R&amp;7 page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BR612"/>
  <sheetViews>
    <sheetView zoomScaleNormal="100" workbookViewId="0">
      <pane ySplit="8" topLeftCell="A9" activePane="bottomLeft" state="frozen"/>
      <selection pane="bottomLeft" sqref="A1:AX1"/>
    </sheetView>
  </sheetViews>
  <sheetFormatPr baseColWidth="10" defaultColWidth="8.7109375" defaultRowHeight="15" outlineLevelCol="1" x14ac:dyDescent="0.25"/>
  <cols>
    <col min="1" max="1" width="13.42578125" customWidth="1"/>
    <col min="2" max="2" width="9.42578125" customWidth="1"/>
    <col min="3" max="3" width="7.42578125" customWidth="1"/>
    <col min="4" max="4" width="34" customWidth="1"/>
    <col min="5" max="5" width="8.42578125" customWidth="1"/>
    <col min="6" max="6" width="9.42578125" customWidth="1"/>
    <col min="7" max="7" width="14.42578125" customWidth="1"/>
    <col min="8" max="9" width="17.42578125" customWidth="1"/>
    <col min="10" max="10" width="16.42578125" customWidth="1"/>
    <col min="11" max="11" width="6" hidden="1" customWidth="1" outlineLevel="1"/>
    <col min="12" max="12" width="7.42578125" hidden="1" customWidth="1" outlineLevel="1"/>
    <col min="13" max="13" width="6" hidden="1" customWidth="1" outlineLevel="1"/>
    <col min="14" max="14" width="7.42578125" hidden="1" customWidth="1" outlineLevel="1"/>
    <col min="15" max="15" width="8.42578125" hidden="1" customWidth="1" outlineLevel="1"/>
    <col min="16" max="17" width="6.42578125" hidden="1" customWidth="1" outlineLevel="1"/>
    <col min="18" max="18" width="6" hidden="1" customWidth="1" outlineLevel="1"/>
    <col min="19" max="19" width="7.42578125" hidden="1" customWidth="1" outlineLevel="1"/>
    <col min="20" max="22" width="6" hidden="1" customWidth="1" outlineLevel="1"/>
    <col min="23" max="24" width="6.42578125" hidden="1" customWidth="1" outlineLevel="1"/>
    <col min="25" max="29" width="6" hidden="1" customWidth="1" outlineLevel="1"/>
    <col min="30" max="30" width="7.42578125" hidden="1" customWidth="1" outlineLevel="1"/>
    <col min="31" max="31" width="6.42578125" hidden="1" customWidth="1" outlineLevel="1"/>
    <col min="32" max="35" width="6" hidden="1" customWidth="1" outlineLevel="1"/>
    <col min="36" max="36" width="7.42578125" hidden="1" customWidth="1" outlineLevel="1"/>
    <col min="37" max="37" width="6.42578125" hidden="1" customWidth="1" outlineLevel="1"/>
    <col min="38" max="41" width="6" hidden="1" customWidth="1" outlineLevel="1"/>
    <col min="42" max="42" width="7.42578125" hidden="1" customWidth="1" outlineLevel="1"/>
    <col min="43" max="43" width="6.42578125" hidden="1" customWidth="1" outlineLevel="1"/>
    <col min="44" max="47" width="6" hidden="1" customWidth="1" outlineLevel="1"/>
    <col min="48" max="48" width="7.42578125" hidden="1" customWidth="1" outlineLevel="1"/>
    <col min="49" max="49" width="6.42578125" hidden="1" customWidth="1" outlineLevel="1"/>
    <col min="50" max="50" width="30" customWidth="1" collapsed="1"/>
  </cols>
  <sheetData>
    <row r="1" spans="1:50" ht="25.5" customHeight="1" x14ac:dyDescent="0.25">
      <c r="A1" s="9" t="s">
        <v>141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15.75" customHeight="1" x14ac:dyDescent="0.25">
      <c r="A2" s="8" t="s">
        <v>142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</row>
    <row r="3" spans="1:50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50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50" ht="15" customHeight="1" x14ac:dyDescent="0.25">
      <c r="A6" s="5" t="s">
        <v>143</v>
      </c>
      <c r="B6" s="5"/>
      <c r="C6" s="5"/>
      <c r="D6" s="5"/>
      <c r="E6" s="5"/>
      <c r="F6" s="5"/>
      <c r="G6" s="5"/>
      <c r="H6" s="5"/>
      <c r="I6" s="5"/>
      <c r="J6" s="5"/>
      <c r="K6" s="5" t="s">
        <v>144</v>
      </c>
      <c r="L6" s="5"/>
      <c r="M6" s="5"/>
      <c r="N6" s="5"/>
      <c r="O6" s="5"/>
      <c r="P6" s="5"/>
      <c r="Q6" s="3" t="s">
        <v>145</v>
      </c>
      <c r="R6" s="3"/>
      <c r="S6" s="3"/>
      <c r="T6" s="3"/>
      <c r="U6" s="3"/>
      <c r="V6" s="3"/>
      <c r="W6" s="3"/>
      <c r="X6" s="3"/>
      <c r="Y6" s="3"/>
      <c r="Z6" s="2" t="s">
        <v>146</v>
      </c>
      <c r="AA6" s="2"/>
      <c r="AB6" s="2"/>
      <c r="AC6" s="2"/>
      <c r="AD6" s="2"/>
      <c r="AE6" s="2"/>
      <c r="AF6" s="2" t="s">
        <v>147</v>
      </c>
      <c r="AG6" s="2"/>
      <c r="AH6" s="2"/>
      <c r="AI6" s="2"/>
      <c r="AJ6" s="2"/>
      <c r="AK6" s="2"/>
      <c r="AL6" s="2" t="s">
        <v>148</v>
      </c>
      <c r="AM6" s="2"/>
      <c r="AN6" s="2"/>
      <c r="AO6" s="2"/>
      <c r="AP6" s="2"/>
      <c r="AQ6" s="2"/>
      <c r="AR6" s="2" t="s">
        <v>149</v>
      </c>
      <c r="AS6" s="2"/>
      <c r="AT6" s="2"/>
      <c r="AU6" s="2"/>
      <c r="AV6" s="2"/>
      <c r="AW6" s="2"/>
      <c r="AX6" s="21" t="s">
        <v>64</v>
      </c>
    </row>
    <row r="7" spans="1:50" ht="30" customHeight="1" x14ac:dyDescent="0.25">
      <c r="A7" s="23" t="s">
        <v>68</v>
      </c>
      <c r="B7" s="23" t="s">
        <v>61</v>
      </c>
      <c r="C7" s="23" t="s">
        <v>143</v>
      </c>
      <c r="D7" s="23" t="s">
        <v>150</v>
      </c>
      <c r="E7" s="23" t="s">
        <v>151</v>
      </c>
      <c r="F7" s="23" t="s">
        <v>152</v>
      </c>
      <c r="G7" s="23" t="s">
        <v>72</v>
      </c>
      <c r="H7" s="23" t="s">
        <v>153</v>
      </c>
      <c r="I7" s="23" t="s">
        <v>154</v>
      </c>
      <c r="J7" s="23" t="s">
        <v>155</v>
      </c>
      <c r="K7" s="23" t="s">
        <v>156</v>
      </c>
      <c r="L7" s="23" t="s">
        <v>157</v>
      </c>
      <c r="M7" s="23" t="s">
        <v>158</v>
      </c>
      <c r="N7" s="23" t="s">
        <v>159</v>
      </c>
      <c r="O7" s="23" t="s">
        <v>160</v>
      </c>
      <c r="P7" s="23" t="s">
        <v>161</v>
      </c>
      <c r="Q7" s="23" t="s">
        <v>162</v>
      </c>
      <c r="R7" s="23" t="s">
        <v>163</v>
      </c>
      <c r="S7" s="23" t="s">
        <v>164</v>
      </c>
      <c r="T7" s="23" t="s">
        <v>165</v>
      </c>
      <c r="U7" s="23" t="s">
        <v>166</v>
      </c>
      <c r="V7" s="23" t="s">
        <v>167</v>
      </c>
      <c r="W7" s="23" t="s">
        <v>168</v>
      </c>
      <c r="X7" s="23" t="s">
        <v>169</v>
      </c>
      <c r="Y7" s="23" t="s">
        <v>170</v>
      </c>
      <c r="Z7" s="23" t="s">
        <v>171</v>
      </c>
      <c r="AA7" s="23" t="s">
        <v>172</v>
      </c>
      <c r="AB7" s="23" t="s">
        <v>173</v>
      </c>
      <c r="AC7" s="23" t="s">
        <v>174</v>
      </c>
      <c r="AD7" s="23" t="s">
        <v>175</v>
      </c>
      <c r="AE7" s="23" t="s">
        <v>176</v>
      </c>
      <c r="AF7" s="23" t="s">
        <v>177</v>
      </c>
      <c r="AG7" s="23" t="s">
        <v>178</v>
      </c>
      <c r="AH7" s="23" t="s">
        <v>179</v>
      </c>
      <c r="AI7" s="23" t="s">
        <v>180</v>
      </c>
      <c r="AJ7" s="23" t="s">
        <v>181</v>
      </c>
      <c r="AK7" s="23" t="s">
        <v>182</v>
      </c>
      <c r="AL7" s="23" t="s">
        <v>183</v>
      </c>
      <c r="AM7" s="23" t="s">
        <v>184</v>
      </c>
      <c r="AN7" s="23" t="s">
        <v>185</v>
      </c>
      <c r="AO7" s="23" t="s">
        <v>186</v>
      </c>
      <c r="AP7" s="23" t="s">
        <v>187</v>
      </c>
      <c r="AQ7" s="23" t="s">
        <v>188</v>
      </c>
      <c r="AR7" s="23" t="s">
        <v>189</v>
      </c>
      <c r="AS7" s="23" t="s">
        <v>190</v>
      </c>
      <c r="AT7" s="23" t="s">
        <v>191</v>
      </c>
      <c r="AU7" s="23" t="s">
        <v>192</v>
      </c>
      <c r="AV7" s="23" t="s">
        <v>193</v>
      </c>
      <c r="AW7" s="23" t="s">
        <v>194</v>
      </c>
      <c r="AX7" s="23" t="s">
        <v>80</v>
      </c>
    </row>
    <row r="8" spans="1:50" ht="12.75" customHeight="1" x14ac:dyDescent="0.25">
      <c r="A8" s="24" t="s">
        <v>195</v>
      </c>
      <c r="B8" s="24" t="s">
        <v>84</v>
      </c>
      <c r="C8" s="24" t="s">
        <v>196</v>
      </c>
      <c r="D8" s="24" t="s">
        <v>197</v>
      </c>
      <c r="E8" s="24" t="s">
        <v>198</v>
      </c>
      <c r="F8" s="24"/>
      <c r="G8" s="24"/>
      <c r="H8" s="24" t="s">
        <v>199</v>
      </c>
      <c r="I8" s="24"/>
      <c r="J8" s="24" t="s">
        <v>200</v>
      </c>
      <c r="K8" s="24" t="s">
        <v>201</v>
      </c>
      <c r="L8" s="24" t="s">
        <v>202</v>
      </c>
      <c r="M8" s="24" t="s">
        <v>201</v>
      </c>
      <c r="N8" s="24" t="s">
        <v>203</v>
      </c>
      <c r="O8" s="24" t="s">
        <v>202</v>
      </c>
      <c r="P8" s="24" t="s">
        <v>204</v>
      </c>
      <c r="Q8" s="24"/>
      <c r="R8" s="24" t="s">
        <v>205</v>
      </c>
      <c r="S8" s="24" t="s">
        <v>205</v>
      </c>
      <c r="T8" s="24"/>
      <c r="U8" s="24"/>
      <c r="V8" s="24" t="s">
        <v>201</v>
      </c>
      <c r="W8" s="24"/>
      <c r="X8" s="24" t="s">
        <v>206</v>
      </c>
      <c r="Y8" s="24" t="s">
        <v>207</v>
      </c>
      <c r="Z8" s="24" t="s">
        <v>201</v>
      </c>
      <c r="AA8" s="24" t="s">
        <v>208</v>
      </c>
      <c r="AB8" s="24"/>
      <c r="AC8" s="24"/>
      <c r="AD8" s="24" t="s">
        <v>202</v>
      </c>
      <c r="AE8" s="24" t="s">
        <v>204</v>
      </c>
      <c r="AF8" s="24" t="s">
        <v>201</v>
      </c>
      <c r="AG8" s="24" t="s">
        <v>208</v>
      </c>
      <c r="AH8" s="24"/>
      <c r="AI8" s="24"/>
      <c r="AJ8" s="24" t="s">
        <v>202</v>
      </c>
      <c r="AK8" s="24" t="s">
        <v>204</v>
      </c>
      <c r="AL8" s="24" t="s">
        <v>201</v>
      </c>
      <c r="AM8" s="24" t="s">
        <v>208</v>
      </c>
      <c r="AN8" s="24"/>
      <c r="AO8" s="24"/>
      <c r="AP8" s="24" t="s">
        <v>202</v>
      </c>
      <c r="AQ8" s="24" t="s">
        <v>204</v>
      </c>
      <c r="AR8" s="24" t="s">
        <v>201</v>
      </c>
      <c r="AS8" s="24" t="s">
        <v>208</v>
      </c>
      <c r="AT8" s="24"/>
      <c r="AU8" s="24"/>
      <c r="AV8" s="24" t="s">
        <v>202</v>
      </c>
      <c r="AW8" s="24" t="s">
        <v>204</v>
      </c>
      <c r="AX8" s="24"/>
    </row>
    <row r="9" spans="1:50" ht="15" customHeight="1" x14ac:dyDescent="0.25">
      <c r="A9" s="41" t="s">
        <v>93</v>
      </c>
      <c r="B9" s="25" t="s">
        <v>92</v>
      </c>
      <c r="C9" s="11">
        <v>0</v>
      </c>
      <c r="D9" s="11"/>
      <c r="E9" s="11"/>
      <c r="F9" s="26" t="str">
        <f>IFERROR(IF(OR($B9="",$C9=""),"",INDEX('Cartes API'!$J:$J,MATCH($B9,'Cartes API'!$A:$A,0))&amp;INDEX('Cartes API'!$B:$B,MATCH($B9,'Cartes API'!$A:$A,0))&amp;"."&amp;INDEX('Cartes API'!$C:$C,MATCH($B9,'Cartes API'!$A:$A,0))&amp;"."&amp;$C9),"")</f>
        <v>%I0.4.0</v>
      </c>
      <c r="G9" s="26" t="str">
        <f>IFERROR(IF($B9="","",INDEX('Cartes API'!$H:$H,MATCH($B9,'Cartes API'!$A:$A,0))),"")</f>
        <v>CarteDI_R0S4</v>
      </c>
      <c r="H9" s="11">
        <v>0</v>
      </c>
      <c r="I9" s="26" t="str">
        <f t="shared" ref="I9:I72" si="0">IF(OR($G9="",$H9=""),"",$G9&amp;"["&amp;$H9&amp;"]")</f>
        <v>CarteDI_R0S4[0]</v>
      </c>
      <c r="J9" s="26" t="str">
        <f>IFERROR(INDEX(Cablage!$A:$A,MATCH($I9,Cablage!$F:$F,0)),"")</f>
        <v/>
      </c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</row>
    <row r="10" spans="1:50" ht="15" customHeight="1" x14ac:dyDescent="0.25">
      <c r="A10" s="41" t="s">
        <v>93</v>
      </c>
      <c r="B10" s="25" t="s">
        <v>92</v>
      </c>
      <c r="C10" s="11">
        <v>1</v>
      </c>
      <c r="D10" s="11"/>
      <c r="E10" s="11"/>
      <c r="F10" s="26" t="str">
        <f>IFERROR(IF(OR($B10="",$C10=""),"",INDEX('Cartes API'!$J:$J,MATCH($B10,'Cartes API'!$A:$A,0))&amp;INDEX('Cartes API'!$B:$B,MATCH($B10,'Cartes API'!$A:$A,0))&amp;"."&amp;INDEX('Cartes API'!$C:$C,MATCH($B10,'Cartes API'!$A:$A,0))&amp;"."&amp;$C10),"")</f>
        <v>%I0.4.1</v>
      </c>
      <c r="G10" s="26" t="str">
        <f>IFERROR(IF($B10="","",INDEX('Cartes API'!$H:$H,MATCH($B10,'Cartes API'!$A:$A,0))),"")</f>
        <v>CarteDI_R0S4</v>
      </c>
      <c r="H10" s="11">
        <v>1</v>
      </c>
      <c r="I10" s="26" t="str">
        <f t="shared" si="0"/>
        <v>CarteDI_R0S4[1]</v>
      </c>
      <c r="J10" s="26" t="str">
        <f>IFERROR(INDEX(Cablage!$A:$A,MATCH($I10,Cablage!$F:$F,0)),"")</f>
        <v/>
      </c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</row>
    <row r="11" spans="1:50" ht="15" customHeight="1" x14ac:dyDescent="0.25">
      <c r="A11" s="41" t="s">
        <v>93</v>
      </c>
      <c r="B11" s="25" t="s">
        <v>92</v>
      </c>
      <c r="C11" s="11">
        <v>2</v>
      </c>
      <c r="D11" s="11"/>
      <c r="E11" s="11"/>
      <c r="F11" s="26" t="str">
        <f>IFERROR(IF(OR($B11="",$C11=""),"",INDEX('Cartes API'!$J:$J,MATCH($B11,'Cartes API'!$A:$A,0))&amp;INDEX('Cartes API'!$B:$B,MATCH($B11,'Cartes API'!$A:$A,0))&amp;"."&amp;INDEX('Cartes API'!$C:$C,MATCH($B11,'Cartes API'!$A:$A,0))&amp;"."&amp;$C11),"")</f>
        <v>%I0.4.2</v>
      </c>
      <c r="G11" s="26" t="str">
        <f>IFERROR(IF($B11="","",INDEX('Cartes API'!$H:$H,MATCH($B11,'Cartes API'!$A:$A,0))),"")</f>
        <v>CarteDI_R0S4</v>
      </c>
      <c r="H11" s="11">
        <v>2</v>
      </c>
      <c r="I11" s="26" t="str">
        <f t="shared" si="0"/>
        <v>CarteDI_R0S4[2]</v>
      </c>
      <c r="J11" s="26" t="str">
        <f>IFERROR(INDEX(Cablage!$A:$A,MATCH($I11,Cablage!$F:$F,0)),"")</f>
        <v/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</row>
    <row r="12" spans="1:50" ht="15" customHeight="1" x14ac:dyDescent="0.25">
      <c r="A12" s="41" t="s">
        <v>93</v>
      </c>
      <c r="B12" s="25" t="s">
        <v>92</v>
      </c>
      <c r="C12" s="11">
        <v>3</v>
      </c>
      <c r="D12" s="11"/>
      <c r="E12" s="11"/>
      <c r="F12" s="26" t="str">
        <f>IFERROR(IF(OR($B12="",$C12=""),"",INDEX('Cartes API'!$J:$J,MATCH($B12,'Cartes API'!$A:$A,0))&amp;INDEX('Cartes API'!$B:$B,MATCH($B12,'Cartes API'!$A:$A,0))&amp;"."&amp;INDEX('Cartes API'!$C:$C,MATCH($B12,'Cartes API'!$A:$A,0))&amp;"."&amp;$C12),"")</f>
        <v>%I0.4.3</v>
      </c>
      <c r="G12" s="26" t="str">
        <f>IFERROR(IF($B12="","",INDEX('Cartes API'!$H:$H,MATCH($B12,'Cartes API'!$A:$A,0))),"")</f>
        <v>CarteDI_R0S4</v>
      </c>
      <c r="H12" s="11">
        <v>3</v>
      </c>
      <c r="I12" s="26" t="str">
        <f t="shared" si="0"/>
        <v>CarteDI_R0S4[3]</v>
      </c>
      <c r="J12" s="26" t="str">
        <f>IFERROR(INDEX(Cablage!$A:$A,MATCH($I12,Cablage!$F:$F,0)),"")</f>
        <v>P0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</row>
    <row r="13" spans="1:50" ht="15" customHeight="1" x14ac:dyDescent="0.25">
      <c r="A13" s="41" t="s">
        <v>93</v>
      </c>
      <c r="B13" s="25" t="s">
        <v>92</v>
      </c>
      <c r="C13" s="11">
        <v>4</v>
      </c>
      <c r="D13" s="11"/>
      <c r="E13" s="11"/>
      <c r="F13" s="26" t="str">
        <f>IFERROR(IF(OR($B13="",$C13=""),"",INDEX('Cartes API'!$J:$J,MATCH($B13,'Cartes API'!$A:$A,0))&amp;INDEX('Cartes API'!$B:$B,MATCH($B13,'Cartes API'!$A:$A,0))&amp;"."&amp;INDEX('Cartes API'!$C:$C,MATCH($B13,'Cartes API'!$A:$A,0))&amp;"."&amp;$C13),"")</f>
        <v>%I0.4.4</v>
      </c>
      <c r="G13" s="26" t="str">
        <f>IFERROR(IF($B13="","",INDEX('Cartes API'!$H:$H,MATCH($B13,'Cartes API'!$A:$A,0))),"")</f>
        <v>CarteDI_R0S4</v>
      </c>
      <c r="H13" s="11">
        <v>4</v>
      </c>
      <c r="I13" s="26" t="str">
        <f t="shared" si="0"/>
        <v>CarteDI_R0S4[4]</v>
      </c>
      <c r="J13" s="26" t="str">
        <f>IFERROR(INDEX(Cablage!$A:$A,MATCH($I13,Cablage!$F:$F,0)),"")</f>
        <v/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</row>
    <row r="14" spans="1:50" ht="15" customHeight="1" x14ac:dyDescent="0.25">
      <c r="A14" s="41" t="s">
        <v>93</v>
      </c>
      <c r="B14" s="25" t="s">
        <v>92</v>
      </c>
      <c r="C14" s="11">
        <v>5</v>
      </c>
      <c r="D14" s="11"/>
      <c r="E14" s="11"/>
      <c r="F14" s="26" t="str">
        <f>IFERROR(IF(OR($B14="",$C14=""),"",INDEX('Cartes API'!$J:$J,MATCH($B14,'Cartes API'!$A:$A,0))&amp;INDEX('Cartes API'!$B:$B,MATCH($B14,'Cartes API'!$A:$A,0))&amp;"."&amp;INDEX('Cartes API'!$C:$C,MATCH($B14,'Cartes API'!$A:$A,0))&amp;"."&amp;$C14),"")</f>
        <v>%I0.4.5</v>
      </c>
      <c r="G14" s="26" t="str">
        <f>IFERROR(IF($B14="","",INDEX('Cartes API'!$H:$H,MATCH($B14,'Cartes API'!$A:$A,0))),"")</f>
        <v>CarteDI_R0S4</v>
      </c>
      <c r="H14" s="11">
        <v>5</v>
      </c>
      <c r="I14" s="26" t="str">
        <f t="shared" si="0"/>
        <v>CarteDI_R0S4[5]</v>
      </c>
      <c r="J14" s="26" t="str">
        <f>IFERROR(INDEX(Cablage!$A:$A,MATCH($I14,Cablage!$F:$F,0)),"")</f>
        <v/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</row>
    <row r="15" spans="1:50" ht="15" customHeight="1" x14ac:dyDescent="0.25">
      <c r="A15" s="41" t="s">
        <v>93</v>
      </c>
      <c r="B15" s="25" t="s">
        <v>92</v>
      </c>
      <c r="C15" s="11">
        <v>6</v>
      </c>
      <c r="D15" s="11"/>
      <c r="E15" s="11"/>
      <c r="F15" s="26" t="str">
        <f>IFERROR(IF(OR($B15="",$C15=""),"",INDEX('Cartes API'!$J:$J,MATCH($B15,'Cartes API'!$A:$A,0))&amp;INDEX('Cartes API'!$B:$B,MATCH($B15,'Cartes API'!$A:$A,0))&amp;"."&amp;INDEX('Cartes API'!$C:$C,MATCH($B15,'Cartes API'!$A:$A,0))&amp;"."&amp;$C15),"")</f>
        <v>%I0.4.6</v>
      </c>
      <c r="G15" s="26" t="str">
        <f>IFERROR(IF($B15="","",INDEX('Cartes API'!$H:$H,MATCH($B15,'Cartes API'!$A:$A,0))),"")</f>
        <v>CarteDI_R0S4</v>
      </c>
      <c r="H15" s="11">
        <v>6</v>
      </c>
      <c r="I15" s="26" t="str">
        <f t="shared" si="0"/>
        <v>CarteDI_R0S4[6]</v>
      </c>
      <c r="J15" s="26" t="str">
        <f>IFERROR(INDEX(Cablage!$A:$A,MATCH($I15,Cablage!$F:$F,0)),"")</f>
        <v/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</row>
    <row r="16" spans="1:50" ht="15" customHeight="1" x14ac:dyDescent="0.25">
      <c r="A16" s="41" t="s">
        <v>93</v>
      </c>
      <c r="B16" s="25" t="s">
        <v>92</v>
      </c>
      <c r="C16" s="11">
        <v>7</v>
      </c>
      <c r="D16" s="11"/>
      <c r="E16" s="11"/>
      <c r="F16" s="26" t="str">
        <f>IFERROR(IF(OR($B16="",$C16=""),"",INDEX('Cartes API'!$J:$J,MATCH($B16,'Cartes API'!$A:$A,0))&amp;INDEX('Cartes API'!$B:$B,MATCH($B16,'Cartes API'!$A:$A,0))&amp;"."&amp;INDEX('Cartes API'!$C:$C,MATCH($B16,'Cartes API'!$A:$A,0))&amp;"."&amp;$C16),"")</f>
        <v>%I0.4.7</v>
      </c>
      <c r="G16" s="26" t="str">
        <f>IFERROR(IF($B16="","",INDEX('Cartes API'!$H:$H,MATCH($B16,'Cartes API'!$A:$A,0))),"")</f>
        <v>CarteDI_R0S4</v>
      </c>
      <c r="H16" s="11">
        <v>7</v>
      </c>
      <c r="I16" s="26" t="str">
        <f t="shared" si="0"/>
        <v>CarteDI_R0S4[7]</v>
      </c>
      <c r="J16" s="26" t="str">
        <f>IFERROR(INDEX(Cablage!$A:$A,MATCH($I16,Cablage!$F:$F,0)),"")</f>
        <v/>
      </c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</row>
    <row r="17" spans="1:50" ht="15" customHeight="1" x14ac:dyDescent="0.25">
      <c r="A17" s="41" t="s">
        <v>93</v>
      </c>
      <c r="B17" s="25" t="s">
        <v>92</v>
      </c>
      <c r="C17" s="11">
        <v>8</v>
      </c>
      <c r="D17" s="11"/>
      <c r="E17" s="11"/>
      <c r="F17" s="26" t="str">
        <f>IFERROR(IF(OR($B17="",$C17=""),"",INDEX('Cartes API'!$J:$J,MATCH($B17,'Cartes API'!$A:$A,0))&amp;INDEX('Cartes API'!$B:$B,MATCH($B17,'Cartes API'!$A:$A,0))&amp;"."&amp;INDEX('Cartes API'!$C:$C,MATCH($B17,'Cartes API'!$A:$A,0))&amp;"."&amp;$C17),"")</f>
        <v>%I0.4.8</v>
      </c>
      <c r="G17" s="26" t="str">
        <f>IFERROR(IF($B17="","",INDEX('Cartes API'!$H:$H,MATCH($B17,'Cartes API'!$A:$A,0))),"")</f>
        <v>CarteDI_R0S4</v>
      </c>
      <c r="H17" s="11">
        <v>8</v>
      </c>
      <c r="I17" s="26" t="str">
        <f t="shared" si="0"/>
        <v>CarteDI_R0S4[8]</v>
      </c>
      <c r="J17" s="26" t="str">
        <f>IFERROR(INDEX(Cablage!$A:$A,MATCH($I17,Cablage!$F:$F,0)),"")</f>
        <v/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</row>
    <row r="18" spans="1:50" ht="15" customHeight="1" x14ac:dyDescent="0.25">
      <c r="A18" s="41" t="s">
        <v>93</v>
      </c>
      <c r="B18" s="25" t="s">
        <v>92</v>
      </c>
      <c r="C18" s="11">
        <v>9</v>
      </c>
      <c r="D18" s="11"/>
      <c r="E18" s="11"/>
      <c r="F18" s="26" t="str">
        <f>IFERROR(IF(OR($B18="",$C18=""),"",INDEX('Cartes API'!$J:$J,MATCH($B18,'Cartes API'!$A:$A,0))&amp;INDEX('Cartes API'!$B:$B,MATCH($B18,'Cartes API'!$A:$A,0))&amp;"."&amp;INDEX('Cartes API'!$C:$C,MATCH($B18,'Cartes API'!$A:$A,0))&amp;"."&amp;$C18),"")</f>
        <v>%I0.4.9</v>
      </c>
      <c r="G18" s="26" t="str">
        <f>IFERROR(IF($B18="","",INDEX('Cartes API'!$H:$H,MATCH($B18,'Cartes API'!$A:$A,0))),"")</f>
        <v>CarteDI_R0S4</v>
      </c>
      <c r="H18" s="11">
        <v>9</v>
      </c>
      <c r="I18" s="26" t="str">
        <f t="shared" si="0"/>
        <v>CarteDI_R0S4[9]</v>
      </c>
      <c r="J18" s="26" t="str">
        <f>IFERROR(INDEX(Cablage!$A:$A,MATCH($I18,Cablage!$F:$F,0)),"")</f>
        <v/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</row>
    <row r="19" spans="1:50" ht="15" customHeight="1" x14ac:dyDescent="0.25">
      <c r="A19" s="41" t="s">
        <v>93</v>
      </c>
      <c r="B19" s="25" t="s">
        <v>92</v>
      </c>
      <c r="C19" s="11">
        <v>10</v>
      </c>
      <c r="D19" s="11"/>
      <c r="E19" s="11"/>
      <c r="F19" s="26" t="str">
        <f>IFERROR(IF(OR($B19="",$C19=""),"",INDEX('Cartes API'!$J:$J,MATCH($B19,'Cartes API'!$A:$A,0))&amp;INDEX('Cartes API'!$B:$B,MATCH($B19,'Cartes API'!$A:$A,0))&amp;"."&amp;INDEX('Cartes API'!$C:$C,MATCH($B19,'Cartes API'!$A:$A,0))&amp;"."&amp;$C19),"")</f>
        <v>%I0.4.10</v>
      </c>
      <c r="G19" s="26" t="str">
        <f>IFERROR(IF($B19="","",INDEX('Cartes API'!$H:$H,MATCH($B19,'Cartes API'!$A:$A,0))),"")</f>
        <v>CarteDI_R0S4</v>
      </c>
      <c r="H19" s="11">
        <v>10</v>
      </c>
      <c r="I19" s="26" t="str">
        <f t="shared" si="0"/>
        <v>CarteDI_R0S4[10]</v>
      </c>
      <c r="J19" s="26" t="str">
        <f>IFERROR(INDEX(Cablage!$A:$A,MATCH($I19,Cablage!$F:$F,0)),"")</f>
        <v/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</row>
    <row r="20" spans="1:50" ht="15" customHeight="1" x14ac:dyDescent="0.25">
      <c r="A20" s="41" t="s">
        <v>93</v>
      </c>
      <c r="B20" s="25" t="s">
        <v>92</v>
      </c>
      <c r="C20" s="11">
        <v>11</v>
      </c>
      <c r="D20" s="11"/>
      <c r="E20" s="11"/>
      <c r="F20" s="26" t="str">
        <f>IFERROR(IF(OR($B20="",$C20=""),"",INDEX('Cartes API'!$J:$J,MATCH($B20,'Cartes API'!$A:$A,0))&amp;INDEX('Cartes API'!$B:$B,MATCH($B20,'Cartes API'!$A:$A,0))&amp;"."&amp;INDEX('Cartes API'!$C:$C,MATCH($B20,'Cartes API'!$A:$A,0))&amp;"."&amp;$C20),"")</f>
        <v>%I0.4.11</v>
      </c>
      <c r="G20" s="26" t="str">
        <f>IFERROR(IF($B20="","",INDEX('Cartes API'!$H:$H,MATCH($B20,'Cartes API'!$A:$A,0))),"")</f>
        <v>CarteDI_R0S4</v>
      </c>
      <c r="H20" s="11">
        <v>11</v>
      </c>
      <c r="I20" s="26" t="str">
        <f t="shared" si="0"/>
        <v>CarteDI_R0S4[11]</v>
      </c>
      <c r="J20" s="26" t="str">
        <f>IFERROR(INDEX(Cablage!$A:$A,MATCH($I20,Cablage!$F:$F,0)),"")</f>
        <v/>
      </c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</row>
    <row r="21" spans="1:50" ht="15" customHeight="1" x14ac:dyDescent="0.25">
      <c r="A21" s="41" t="s">
        <v>93</v>
      </c>
      <c r="B21" s="25" t="s">
        <v>92</v>
      </c>
      <c r="C21" s="11">
        <v>12</v>
      </c>
      <c r="D21" s="11"/>
      <c r="E21" s="11"/>
      <c r="F21" s="26" t="str">
        <f>IFERROR(IF(OR($B21="",$C21=""),"",INDEX('Cartes API'!$J:$J,MATCH($B21,'Cartes API'!$A:$A,0))&amp;INDEX('Cartes API'!$B:$B,MATCH($B21,'Cartes API'!$A:$A,0))&amp;"."&amp;INDEX('Cartes API'!$C:$C,MATCH($B21,'Cartes API'!$A:$A,0))&amp;"."&amp;$C21),"")</f>
        <v>%I0.4.12</v>
      </c>
      <c r="G21" s="26" t="str">
        <f>IFERROR(IF($B21="","",INDEX('Cartes API'!$H:$H,MATCH($B21,'Cartes API'!$A:$A,0))),"")</f>
        <v>CarteDI_R0S4</v>
      </c>
      <c r="H21" s="11">
        <v>12</v>
      </c>
      <c r="I21" s="26" t="str">
        <f t="shared" si="0"/>
        <v>CarteDI_R0S4[12]</v>
      </c>
      <c r="J21" s="26" t="str">
        <f>IFERROR(INDEX(Cablage!$A:$A,MATCH($I21,Cablage!$F:$F,0)),"")</f>
        <v/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 ht="15" customHeight="1" x14ac:dyDescent="0.25">
      <c r="A22" s="41" t="s">
        <v>93</v>
      </c>
      <c r="B22" s="25" t="s">
        <v>92</v>
      </c>
      <c r="C22" s="11">
        <v>13</v>
      </c>
      <c r="D22" s="11"/>
      <c r="E22" s="11"/>
      <c r="F22" s="26" t="str">
        <f>IFERROR(IF(OR($B22="",$C22=""),"",INDEX('Cartes API'!$J:$J,MATCH($B22,'Cartes API'!$A:$A,0))&amp;INDEX('Cartes API'!$B:$B,MATCH($B22,'Cartes API'!$A:$A,0))&amp;"."&amp;INDEX('Cartes API'!$C:$C,MATCH($B22,'Cartes API'!$A:$A,0))&amp;"."&amp;$C22),"")</f>
        <v>%I0.4.13</v>
      </c>
      <c r="G22" s="26" t="str">
        <f>IFERROR(IF($B22="","",INDEX('Cartes API'!$H:$H,MATCH($B22,'Cartes API'!$A:$A,0))),"")</f>
        <v>CarteDI_R0S4</v>
      </c>
      <c r="H22" s="11">
        <v>13</v>
      </c>
      <c r="I22" s="26" t="str">
        <f t="shared" si="0"/>
        <v>CarteDI_R0S4[13]</v>
      </c>
      <c r="J22" s="26" t="str">
        <f>IFERROR(INDEX(Cablage!$A:$A,MATCH($I22,Cablage!$F:$F,0)),"")</f>
        <v/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 ht="15" customHeight="1" x14ac:dyDescent="0.25">
      <c r="A23" s="41" t="s">
        <v>93</v>
      </c>
      <c r="B23" s="25" t="s">
        <v>92</v>
      </c>
      <c r="C23" s="11">
        <v>14</v>
      </c>
      <c r="D23" s="11"/>
      <c r="E23" s="11"/>
      <c r="F23" s="26" t="str">
        <f>IFERROR(IF(OR($B23="",$C23=""),"",INDEX('Cartes API'!$J:$J,MATCH($B23,'Cartes API'!$A:$A,0))&amp;INDEX('Cartes API'!$B:$B,MATCH($B23,'Cartes API'!$A:$A,0))&amp;"."&amp;INDEX('Cartes API'!$C:$C,MATCH($B23,'Cartes API'!$A:$A,0))&amp;"."&amp;$C23),"")</f>
        <v>%I0.4.14</v>
      </c>
      <c r="G23" s="26" t="str">
        <f>IFERROR(IF($B23="","",INDEX('Cartes API'!$H:$H,MATCH($B23,'Cartes API'!$A:$A,0))),"")</f>
        <v>CarteDI_R0S4</v>
      </c>
      <c r="H23" s="11">
        <v>14</v>
      </c>
      <c r="I23" s="26" t="str">
        <f t="shared" si="0"/>
        <v>CarteDI_R0S4[14]</v>
      </c>
      <c r="J23" s="26" t="str">
        <f>IFERROR(INDEX(Cablage!$A:$A,MATCH($I23,Cablage!$F:$F,0)),"")</f>
        <v/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 ht="15" customHeight="1" x14ac:dyDescent="0.25">
      <c r="A24" s="41" t="s">
        <v>93</v>
      </c>
      <c r="B24" s="25" t="s">
        <v>92</v>
      </c>
      <c r="C24" s="11">
        <v>15</v>
      </c>
      <c r="D24" s="11"/>
      <c r="E24" s="11"/>
      <c r="F24" s="26" t="str">
        <f>IFERROR(IF(OR($B24="",$C24=""),"",INDEX('Cartes API'!$J:$J,MATCH($B24,'Cartes API'!$A:$A,0))&amp;INDEX('Cartes API'!$B:$B,MATCH($B24,'Cartes API'!$A:$A,0))&amp;"."&amp;INDEX('Cartes API'!$C:$C,MATCH($B24,'Cartes API'!$A:$A,0))&amp;"."&amp;$C24),"")</f>
        <v>%I0.4.15</v>
      </c>
      <c r="G24" s="26" t="str">
        <f>IFERROR(IF($B24="","",INDEX('Cartes API'!$H:$H,MATCH($B24,'Cartes API'!$A:$A,0))),"")</f>
        <v>CarteDI_R0S4</v>
      </c>
      <c r="H24" s="11">
        <v>15</v>
      </c>
      <c r="I24" s="26" t="str">
        <f t="shared" si="0"/>
        <v>CarteDI_R0S4[15]</v>
      </c>
      <c r="J24" s="26" t="str">
        <f>IFERROR(INDEX(Cablage!$A:$A,MATCH($I24,Cablage!$F:$F,0)),"")</f>
        <v/>
      </c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 ht="15" customHeight="1" x14ac:dyDescent="0.25">
      <c r="A25" s="42" t="s">
        <v>99</v>
      </c>
      <c r="B25" s="25" t="s">
        <v>98</v>
      </c>
      <c r="C25" s="11">
        <v>0</v>
      </c>
      <c r="D25" s="11"/>
      <c r="E25" s="11"/>
      <c r="F25" s="26" t="str">
        <f>IFERROR(IF(OR($B25="",$C25=""),"",INDEX('Cartes API'!$J:$J,MATCH($B25,'Cartes API'!$A:$A,0))&amp;INDEX('Cartes API'!$B:$B,MATCH($B25,'Cartes API'!$A:$A,0))&amp;"."&amp;INDEX('Cartes API'!$C:$C,MATCH($B25,'Cartes API'!$A:$A,0))&amp;"."&amp;$C25),"")</f>
        <v>%Q0.5.0</v>
      </c>
      <c r="G25" s="26" t="str">
        <f>IFERROR(IF($B25="","",INDEX('Cartes API'!$H:$H,MATCH($B25,'Cartes API'!$A:$A,0))),"")</f>
        <v>CarteDO_R0S5</v>
      </c>
      <c r="H25" s="11">
        <v>0</v>
      </c>
      <c r="I25" s="26" t="str">
        <f t="shared" si="0"/>
        <v>CarteDO_R0S5[0]</v>
      </c>
      <c r="J25" s="26" t="str">
        <f>IFERROR(INDEX(Cablage!$A:$A,MATCH($I25,Cablage!$F:$F,0)),"")</f>
        <v/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 ht="15" customHeight="1" x14ac:dyDescent="0.25">
      <c r="A26" s="42" t="s">
        <v>99</v>
      </c>
      <c r="B26" s="25" t="s">
        <v>98</v>
      </c>
      <c r="C26" s="11">
        <v>1</v>
      </c>
      <c r="D26" s="11"/>
      <c r="E26" s="11"/>
      <c r="F26" s="26" t="str">
        <f>IFERROR(IF(OR($B26="",$C26=""),"",INDEX('Cartes API'!$J:$J,MATCH($B26,'Cartes API'!$A:$A,0))&amp;INDEX('Cartes API'!$B:$B,MATCH($B26,'Cartes API'!$A:$A,0))&amp;"."&amp;INDEX('Cartes API'!$C:$C,MATCH($B26,'Cartes API'!$A:$A,0))&amp;"."&amp;$C26),"")</f>
        <v>%Q0.5.1</v>
      </c>
      <c r="G26" s="26" t="str">
        <f>IFERROR(IF($B26="","",INDEX('Cartes API'!$H:$H,MATCH($B26,'Cartes API'!$A:$A,0))),"")</f>
        <v>CarteDO_R0S5</v>
      </c>
      <c r="H26" s="11">
        <v>1</v>
      </c>
      <c r="I26" s="26" t="str">
        <f t="shared" si="0"/>
        <v>CarteDO_R0S5[1]</v>
      </c>
      <c r="J26" s="26" t="str">
        <f>IFERROR(INDEX(Cablage!$A:$A,MATCH($I26,Cablage!$F:$F,0)),"")</f>
        <v/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 ht="15" customHeight="1" x14ac:dyDescent="0.25">
      <c r="A27" s="42" t="s">
        <v>99</v>
      </c>
      <c r="B27" s="25" t="s">
        <v>98</v>
      </c>
      <c r="C27" s="11">
        <v>2</v>
      </c>
      <c r="D27" s="11"/>
      <c r="E27" s="11"/>
      <c r="F27" s="26" t="str">
        <f>IFERROR(IF(OR($B27="",$C27=""),"",INDEX('Cartes API'!$J:$J,MATCH($B27,'Cartes API'!$A:$A,0))&amp;INDEX('Cartes API'!$B:$B,MATCH($B27,'Cartes API'!$A:$A,0))&amp;"."&amp;INDEX('Cartes API'!$C:$C,MATCH($B27,'Cartes API'!$A:$A,0))&amp;"."&amp;$C27),"")</f>
        <v>%Q0.5.2</v>
      </c>
      <c r="G27" s="26" t="str">
        <f>IFERROR(IF($B27="","",INDEX('Cartes API'!$H:$H,MATCH($B27,'Cartes API'!$A:$A,0))),"")</f>
        <v>CarteDO_R0S5</v>
      </c>
      <c r="H27" s="11">
        <v>2</v>
      </c>
      <c r="I27" s="26" t="str">
        <f t="shared" si="0"/>
        <v>CarteDO_R0S5[2]</v>
      </c>
      <c r="J27" s="26" t="str">
        <f>IFERROR(INDEX(Cablage!$A:$A,MATCH($I27,Cablage!$F:$F,0)),"")</f>
        <v/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 ht="15" customHeight="1" x14ac:dyDescent="0.25">
      <c r="A28" s="42" t="s">
        <v>99</v>
      </c>
      <c r="B28" s="25" t="s">
        <v>98</v>
      </c>
      <c r="C28" s="11">
        <v>3</v>
      </c>
      <c r="D28" s="11"/>
      <c r="E28" s="11"/>
      <c r="F28" s="26" t="str">
        <f>IFERROR(IF(OR($B28="",$C28=""),"",INDEX('Cartes API'!$J:$J,MATCH($B28,'Cartes API'!$A:$A,0))&amp;INDEX('Cartes API'!$B:$B,MATCH($B28,'Cartes API'!$A:$A,0))&amp;"."&amp;INDEX('Cartes API'!$C:$C,MATCH($B28,'Cartes API'!$A:$A,0))&amp;"."&amp;$C28),"")</f>
        <v>%Q0.5.3</v>
      </c>
      <c r="G28" s="26" t="str">
        <f>IFERROR(IF($B28="","",INDEX('Cartes API'!$H:$H,MATCH($B28,'Cartes API'!$A:$A,0))),"")</f>
        <v>CarteDO_R0S5</v>
      </c>
      <c r="H28" s="11">
        <v>3</v>
      </c>
      <c r="I28" s="26" t="str">
        <f t="shared" si="0"/>
        <v>CarteDO_R0S5[3]</v>
      </c>
      <c r="J28" s="26" t="str">
        <f>IFERROR(INDEX(Cablage!$A:$A,MATCH($I28,Cablage!$F:$F,0)),"")</f>
        <v/>
      </c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 ht="15" customHeight="1" x14ac:dyDescent="0.25">
      <c r="A29" s="42" t="s">
        <v>99</v>
      </c>
      <c r="B29" s="25" t="s">
        <v>98</v>
      </c>
      <c r="C29" s="11">
        <v>4</v>
      </c>
      <c r="D29" s="11"/>
      <c r="E29" s="11"/>
      <c r="F29" s="26" t="str">
        <f>IFERROR(IF(OR($B29="",$C29=""),"",INDEX('Cartes API'!$J:$J,MATCH($B29,'Cartes API'!$A:$A,0))&amp;INDEX('Cartes API'!$B:$B,MATCH($B29,'Cartes API'!$A:$A,0))&amp;"."&amp;INDEX('Cartes API'!$C:$C,MATCH($B29,'Cartes API'!$A:$A,0))&amp;"."&amp;$C29),"")</f>
        <v>%Q0.5.4</v>
      </c>
      <c r="G29" s="26" t="str">
        <f>IFERROR(IF($B29="","",INDEX('Cartes API'!$H:$H,MATCH($B29,'Cartes API'!$A:$A,0))),"")</f>
        <v>CarteDO_R0S5</v>
      </c>
      <c r="H29" s="11">
        <v>4</v>
      </c>
      <c r="I29" s="26" t="str">
        <f t="shared" si="0"/>
        <v>CarteDO_R0S5[4]</v>
      </c>
      <c r="J29" s="26" t="str">
        <f>IFERROR(INDEX(Cablage!$A:$A,MATCH($I29,Cablage!$F:$F,0)),"")</f>
        <v/>
      </c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 ht="15" customHeight="1" x14ac:dyDescent="0.25">
      <c r="A30" s="42" t="s">
        <v>99</v>
      </c>
      <c r="B30" s="25" t="s">
        <v>98</v>
      </c>
      <c r="C30" s="11">
        <v>5</v>
      </c>
      <c r="D30" s="11"/>
      <c r="E30" s="11"/>
      <c r="F30" s="26" t="str">
        <f>IFERROR(IF(OR($B30="",$C30=""),"",INDEX('Cartes API'!$J:$J,MATCH($B30,'Cartes API'!$A:$A,0))&amp;INDEX('Cartes API'!$B:$B,MATCH($B30,'Cartes API'!$A:$A,0))&amp;"."&amp;INDEX('Cartes API'!$C:$C,MATCH($B30,'Cartes API'!$A:$A,0))&amp;"."&amp;$C30),"")</f>
        <v>%Q0.5.5</v>
      </c>
      <c r="G30" s="26" t="str">
        <f>IFERROR(IF($B30="","",INDEX('Cartes API'!$H:$H,MATCH($B30,'Cartes API'!$A:$A,0))),"")</f>
        <v>CarteDO_R0S5</v>
      </c>
      <c r="H30" s="11">
        <v>5</v>
      </c>
      <c r="I30" s="26" t="str">
        <f t="shared" si="0"/>
        <v>CarteDO_R0S5[5]</v>
      </c>
      <c r="J30" s="26" t="str">
        <f>IFERROR(INDEX(Cablage!$A:$A,MATCH($I30,Cablage!$F:$F,0)),"")</f>
        <v/>
      </c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 ht="15" customHeight="1" x14ac:dyDescent="0.25">
      <c r="A31" s="42" t="s">
        <v>99</v>
      </c>
      <c r="B31" s="25" t="s">
        <v>98</v>
      </c>
      <c r="C31" s="11">
        <v>6</v>
      </c>
      <c r="D31" s="11"/>
      <c r="E31" s="11"/>
      <c r="F31" s="26" t="str">
        <f>IFERROR(IF(OR($B31="",$C31=""),"",INDEX('Cartes API'!$J:$J,MATCH($B31,'Cartes API'!$A:$A,0))&amp;INDEX('Cartes API'!$B:$B,MATCH($B31,'Cartes API'!$A:$A,0))&amp;"."&amp;INDEX('Cartes API'!$C:$C,MATCH($B31,'Cartes API'!$A:$A,0))&amp;"."&amp;$C31),"")</f>
        <v>%Q0.5.6</v>
      </c>
      <c r="G31" s="26" t="str">
        <f>IFERROR(IF($B31="","",INDEX('Cartes API'!$H:$H,MATCH($B31,'Cartes API'!$A:$A,0))),"")</f>
        <v>CarteDO_R0S5</v>
      </c>
      <c r="H31" s="11">
        <v>6</v>
      </c>
      <c r="I31" s="26" t="str">
        <f t="shared" si="0"/>
        <v>CarteDO_R0S5[6]</v>
      </c>
      <c r="J31" s="26" t="str">
        <f>IFERROR(INDEX(Cablage!$A:$A,MATCH($I31,Cablage!$F:$F,0)),"")</f>
        <v/>
      </c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 ht="15" customHeight="1" x14ac:dyDescent="0.25">
      <c r="A32" s="42" t="s">
        <v>99</v>
      </c>
      <c r="B32" s="25" t="s">
        <v>98</v>
      </c>
      <c r="C32" s="11">
        <v>7</v>
      </c>
      <c r="D32" s="11"/>
      <c r="E32" s="11"/>
      <c r="F32" s="26" t="str">
        <f>IFERROR(IF(OR($B32="",$C32=""),"",INDEX('Cartes API'!$J:$J,MATCH($B32,'Cartes API'!$A:$A,0))&amp;INDEX('Cartes API'!$B:$B,MATCH($B32,'Cartes API'!$A:$A,0))&amp;"."&amp;INDEX('Cartes API'!$C:$C,MATCH($B32,'Cartes API'!$A:$A,0))&amp;"."&amp;$C32),"")</f>
        <v>%Q0.5.7</v>
      </c>
      <c r="G32" s="26" t="str">
        <f>IFERROR(IF($B32="","",INDEX('Cartes API'!$H:$H,MATCH($B32,'Cartes API'!$A:$A,0))),"")</f>
        <v>CarteDO_R0S5</v>
      </c>
      <c r="H32" s="11">
        <v>7</v>
      </c>
      <c r="I32" s="26" t="str">
        <f t="shared" si="0"/>
        <v>CarteDO_R0S5[7]</v>
      </c>
      <c r="J32" s="26" t="str">
        <f>IFERROR(INDEX(Cablage!$A:$A,MATCH($I32,Cablage!$F:$F,0)),"")</f>
        <v/>
      </c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50" ht="15" customHeight="1" x14ac:dyDescent="0.25">
      <c r="A33" s="42" t="s">
        <v>99</v>
      </c>
      <c r="B33" s="25" t="s">
        <v>98</v>
      </c>
      <c r="C33" s="11">
        <v>8</v>
      </c>
      <c r="D33" s="11"/>
      <c r="E33" s="11"/>
      <c r="F33" s="26" t="str">
        <f>IFERROR(IF(OR($B33="",$C33=""),"",INDEX('Cartes API'!$J:$J,MATCH($B33,'Cartes API'!$A:$A,0))&amp;INDEX('Cartes API'!$B:$B,MATCH($B33,'Cartes API'!$A:$A,0))&amp;"."&amp;INDEX('Cartes API'!$C:$C,MATCH($B33,'Cartes API'!$A:$A,0))&amp;"."&amp;$C33),"")</f>
        <v>%Q0.5.8</v>
      </c>
      <c r="G33" s="26" t="str">
        <f>IFERROR(IF($B33="","",INDEX('Cartes API'!$H:$H,MATCH($B33,'Cartes API'!$A:$A,0))),"")</f>
        <v>CarteDO_R0S5</v>
      </c>
      <c r="H33" s="11">
        <v>8</v>
      </c>
      <c r="I33" s="26" t="str">
        <f t="shared" si="0"/>
        <v>CarteDO_R0S5[8]</v>
      </c>
      <c r="J33" s="26" t="str">
        <f>IFERROR(INDEX(Cablage!$A:$A,MATCH($I33,Cablage!$F:$F,0)),"")</f>
        <v/>
      </c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50" ht="15" customHeight="1" x14ac:dyDescent="0.25">
      <c r="A34" s="42" t="s">
        <v>99</v>
      </c>
      <c r="B34" s="25" t="s">
        <v>98</v>
      </c>
      <c r="C34" s="11">
        <v>9</v>
      </c>
      <c r="D34" s="11"/>
      <c r="E34" s="11"/>
      <c r="F34" s="26" t="str">
        <f>IFERROR(IF(OR($B34="",$C34=""),"",INDEX('Cartes API'!$J:$J,MATCH($B34,'Cartes API'!$A:$A,0))&amp;INDEX('Cartes API'!$B:$B,MATCH($B34,'Cartes API'!$A:$A,0))&amp;"."&amp;INDEX('Cartes API'!$C:$C,MATCH($B34,'Cartes API'!$A:$A,0))&amp;"."&amp;$C34),"")</f>
        <v>%Q0.5.9</v>
      </c>
      <c r="G34" s="26" t="str">
        <f>IFERROR(IF($B34="","",INDEX('Cartes API'!$H:$H,MATCH($B34,'Cartes API'!$A:$A,0))),"")</f>
        <v>CarteDO_R0S5</v>
      </c>
      <c r="H34" s="11">
        <v>9</v>
      </c>
      <c r="I34" s="26" t="str">
        <f t="shared" si="0"/>
        <v>CarteDO_R0S5[9]</v>
      </c>
      <c r="J34" s="26" t="str">
        <f>IFERROR(INDEX(Cablage!$A:$A,MATCH($I34,Cablage!$F:$F,0)),"")</f>
        <v/>
      </c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50" ht="15" customHeight="1" x14ac:dyDescent="0.25">
      <c r="A35" s="42" t="s">
        <v>99</v>
      </c>
      <c r="B35" s="25" t="s">
        <v>98</v>
      </c>
      <c r="C35" s="11">
        <v>10</v>
      </c>
      <c r="D35" s="11"/>
      <c r="E35" s="11"/>
      <c r="F35" s="26" t="str">
        <f>IFERROR(IF(OR($B35="",$C35=""),"",INDEX('Cartes API'!$J:$J,MATCH($B35,'Cartes API'!$A:$A,0))&amp;INDEX('Cartes API'!$B:$B,MATCH($B35,'Cartes API'!$A:$A,0))&amp;"."&amp;INDEX('Cartes API'!$C:$C,MATCH($B35,'Cartes API'!$A:$A,0))&amp;"."&amp;$C35),"")</f>
        <v>%Q0.5.10</v>
      </c>
      <c r="G35" s="26" t="str">
        <f>IFERROR(IF($B35="","",INDEX('Cartes API'!$H:$H,MATCH($B35,'Cartes API'!$A:$A,0))),"")</f>
        <v>CarteDO_R0S5</v>
      </c>
      <c r="H35" s="11">
        <v>10</v>
      </c>
      <c r="I35" s="26" t="str">
        <f t="shared" si="0"/>
        <v>CarteDO_R0S5[10]</v>
      </c>
      <c r="J35" s="26" t="str">
        <f>IFERROR(INDEX(Cablage!$A:$A,MATCH($I35,Cablage!$F:$F,0)),"")</f>
        <v/>
      </c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50" ht="15" customHeight="1" x14ac:dyDescent="0.25">
      <c r="A36" s="42" t="s">
        <v>99</v>
      </c>
      <c r="B36" s="25" t="s">
        <v>98</v>
      </c>
      <c r="C36" s="11">
        <v>11</v>
      </c>
      <c r="D36" s="11"/>
      <c r="E36" s="11"/>
      <c r="F36" s="26" t="str">
        <f>IFERROR(IF(OR($B36="",$C36=""),"",INDEX('Cartes API'!$J:$J,MATCH($B36,'Cartes API'!$A:$A,0))&amp;INDEX('Cartes API'!$B:$B,MATCH($B36,'Cartes API'!$A:$A,0))&amp;"."&amp;INDEX('Cartes API'!$C:$C,MATCH($B36,'Cartes API'!$A:$A,0))&amp;"."&amp;$C36),"")</f>
        <v>%Q0.5.11</v>
      </c>
      <c r="G36" s="26" t="str">
        <f>IFERROR(IF($B36="","",INDEX('Cartes API'!$H:$H,MATCH($B36,'Cartes API'!$A:$A,0))),"")</f>
        <v>CarteDO_R0S5</v>
      </c>
      <c r="H36" s="11">
        <v>11</v>
      </c>
      <c r="I36" s="26" t="str">
        <f t="shared" si="0"/>
        <v>CarteDO_R0S5[11]</v>
      </c>
      <c r="J36" s="26" t="str">
        <f>IFERROR(INDEX(Cablage!$A:$A,MATCH($I36,Cablage!$F:$F,0)),"")</f>
        <v/>
      </c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50" ht="15" customHeight="1" x14ac:dyDescent="0.25">
      <c r="A37" s="42" t="s">
        <v>99</v>
      </c>
      <c r="B37" s="25" t="s">
        <v>98</v>
      </c>
      <c r="C37" s="11">
        <v>12</v>
      </c>
      <c r="D37" s="11"/>
      <c r="E37" s="11"/>
      <c r="F37" s="26" t="str">
        <f>IFERROR(IF(OR($B37="",$C37=""),"",INDEX('Cartes API'!$J:$J,MATCH($B37,'Cartes API'!$A:$A,0))&amp;INDEX('Cartes API'!$B:$B,MATCH($B37,'Cartes API'!$A:$A,0))&amp;"."&amp;INDEX('Cartes API'!$C:$C,MATCH($B37,'Cartes API'!$A:$A,0))&amp;"."&amp;$C37),"")</f>
        <v>%Q0.5.12</v>
      </c>
      <c r="G37" s="26" t="str">
        <f>IFERROR(IF($B37="","",INDEX('Cartes API'!$H:$H,MATCH($B37,'Cartes API'!$A:$A,0))),"")</f>
        <v>CarteDO_R0S5</v>
      </c>
      <c r="H37" s="11">
        <v>12</v>
      </c>
      <c r="I37" s="26" t="str">
        <f t="shared" si="0"/>
        <v>CarteDO_R0S5[12]</v>
      </c>
      <c r="J37" s="26" t="str">
        <f>IFERROR(INDEX(Cablage!$A:$A,MATCH($I37,Cablage!$F:$F,0)),"")</f>
        <v/>
      </c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 ht="15" customHeight="1" x14ac:dyDescent="0.25">
      <c r="A38" s="42" t="s">
        <v>99</v>
      </c>
      <c r="B38" s="25" t="s">
        <v>98</v>
      </c>
      <c r="C38" s="11">
        <v>13</v>
      </c>
      <c r="D38" s="11"/>
      <c r="E38" s="11"/>
      <c r="F38" s="26" t="str">
        <f>IFERROR(IF(OR($B38="",$C38=""),"",INDEX('Cartes API'!$J:$J,MATCH($B38,'Cartes API'!$A:$A,0))&amp;INDEX('Cartes API'!$B:$B,MATCH($B38,'Cartes API'!$A:$A,0))&amp;"."&amp;INDEX('Cartes API'!$C:$C,MATCH($B38,'Cartes API'!$A:$A,0))&amp;"."&amp;$C38),"")</f>
        <v>%Q0.5.13</v>
      </c>
      <c r="G38" s="26" t="str">
        <f>IFERROR(IF($B38="","",INDEX('Cartes API'!$H:$H,MATCH($B38,'Cartes API'!$A:$A,0))),"")</f>
        <v>CarteDO_R0S5</v>
      </c>
      <c r="H38" s="11">
        <v>13</v>
      </c>
      <c r="I38" s="26" t="str">
        <f t="shared" si="0"/>
        <v>CarteDO_R0S5[13]</v>
      </c>
      <c r="J38" s="26" t="str">
        <f>IFERROR(INDEX(Cablage!$A:$A,MATCH($I38,Cablage!$F:$F,0)),"")</f>
        <v/>
      </c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 ht="15" customHeight="1" x14ac:dyDescent="0.25">
      <c r="A39" s="42" t="s">
        <v>99</v>
      </c>
      <c r="B39" s="25" t="s">
        <v>98</v>
      </c>
      <c r="C39" s="11">
        <v>14</v>
      </c>
      <c r="D39" s="11"/>
      <c r="E39" s="11"/>
      <c r="F39" s="26" t="str">
        <f>IFERROR(IF(OR($B39="",$C39=""),"",INDEX('Cartes API'!$J:$J,MATCH($B39,'Cartes API'!$A:$A,0))&amp;INDEX('Cartes API'!$B:$B,MATCH($B39,'Cartes API'!$A:$A,0))&amp;"."&amp;INDEX('Cartes API'!$C:$C,MATCH($B39,'Cartes API'!$A:$A,0))&amp;"."&amp;$C39),"")</f>
        <v>%Q0.5.14</v>
      </c>
      <c r="G39" s="26" t="str">
        <f>IFERROR(IF($B39="","",INDEX('Cartes API'!$H:$H,MATCH($B39,'Cartes API'!$A:$A,0))),"")</f>
        <v>CarteDO_R0S5</v>
      </c>
      <c r="H39" s="11">
        <v>14</v>
      </c>
      <c r="I39" s="26" t="str">
        <f t="shared" si="0"/>
        <v>CarteDO_R0S5[14]</v>
      </c>
      <c r="J39" s="26" t="str">
        <f>IFERROR(INDEX(Cablage!$A:$A,MATCH($I39,Cablage!$F:$F,0)),"")</f>
        <v/>
      </c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 ht="15" customHeight="1" x14ac:dyDescent="0.25">
      <c r="A40" s="42" t="s">
        <v>99</v>
      </c>
      <c r="B40" s="25" t="s">
        <v>98</v>
      </c>
      <c r="C40" s="11">
        <v>15</v>
      </c>
      <c r="D40" s="11"/>
      <c r="E40" s="11"/>
      <c r="F40" s="26" t="str">
        <f>IFERROR(IF(OR($B40="",$C40=""),"",INDEX('Cartes API'!$J:$J,MATCH($B40,'Cartes API'!$A:$A,0))&amp;INDEX('Cartes API'!$B:$B,MATCH($B40,'Cartes API'!$A:$A,0))&amp;"."&amp;INDEX('Cartes API'!$C:$C,MATCH($B40,'Cartes API'!$A:$A,0))&amp;"."&amp;$C40),"")</f>
        <v>%Q0.5.15</v>
      </c>
      <c r="G40" s="26" t="str">
        <f>IFERROR(IF($B40="","",INDEX('Cartes API'!$H:$H,MATCH($B40,'Cartes API'!$A:$A,0))),"")</f>
        <v>CarteDO_R0S5</v>
      </c>
      <c r="H40" s="11">
        <v>15</v>
      </c>
      <c r="I40" s="26" t="str">
        <f t="shared" si="0"/>
        <v>CarteDO_R0S5[15]</v>
      </c>
      <c r="J40" s="26" t="str">
        <f>IFERROR(INDEX(Cablage!$A:$A,MATCH($I40,Cablage!$F:$F,0)),"")</f>
        <v/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 ht="15" customHeight="1" x14ac:dyDescent="0.25">
      <c r="A41" s="41" t="s">
        <v>93</v>
      </c>
      <c r="B41" s="25" t="s">
        <v>103</v>
      </c>
      <c r="C41" s="11">
        <v>0</v>
      </c>
      <c r="D41" s="11"/>
      <c r="E41" s="11"/>
      <c r="F41" s="26" t="str">
        <f>IFERROR(IF(OR($B41="",$C41=""),"",INDEX('Cartes API'!$J:$J,MATCH($B41,'Cartes API'!$A:$A,0))&amp;INDEX('Cartes API'!$B:$B,MATCH($B41,'Cartes API'!$A:$A,0))&amp;"."&amp;INDEX('Cartes API'!$C:$C,MATCH($B41,'Cartes API'!$A:$A,0))&amp;"."&amp;$C41),"")</f>
        <v>%I0.7.0</v>
      </c>
      <c r="G41" s="26" t="str">
        <f>IFERROR(IF($B41="","",INDEX('Cartes API'!$H:$H,MATCH($B41,'Cartes API'!$A:$A,0))),"")</f>
        <v>CarteDI_R0S7</v>
      </c>
      <c r="H41" s="11">
        <v>0</v>
      </c>
      <c r="I41" s="26" t="str">
        <f t="shared" si="0"/>
        <v>CarteDI_R0S7[0]</v>
      </c>
      <c r="J41" s="26" t="str">
        <f>IFERROR(INDEX(Cablage!$A:$A,MATCH($I41,Cablage!$F:$F,0)),"")</f>
        <v/>
      </c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</row>
    <row r="42" spans="1:50" ht="15" customHeight="1" x14ac:dyDescent="0.25">
      <c r="A42" s="41" t="s">
        <v>93</v>
      </c>
      <c r="B42" s="25" t="s">
        <v>103</v>
      </c>
      <c r="C42" s="11">
        <v>1</v>
      </c>
      <c r="D42" s="11"/>
      <c r="E42" s="11"/>
      <c r="F42" s="26" t="str">
        <f>IFERROR(IF(OR($B42="",$C42=""),"",INDEX('Cartes API'!$J:$J,MATCH($B42,'Cartes API'!$A:$A,0))&amp;INDEX('Cartes API'!$B:$B,MATCH($B42,'Cartes API'!$A:$A,0))&amp;"."&amp;INDEX('Cartes API'!$C:$C,MATCH($B42,'Cartes API'!$A:$A,0))&amp;"."&amp;$C42),"")</f>
        <v>%I0.7.1</v>
      </c>
      <c r="G42" s="26" t="str">
        <f>IFERROR(IF($B42="","",INDEX('Cartes API'!$H:$H,MATCH($B42,'Cartes API'!$A:$A,0))),"")</f>
        <v>CarteDI_R0S7</v>
      </c>
      <c r="H42" s="11">
        <v>1</v>
      </c>
      <c r="I42" s="26" t="str">
        <f t="shared" si="0"/>
        <v>CarteDI_R0S7[1]</v>
      </c>
      <c r="J42" s="26" t="str">
        <f>IFERROR(INDEX(Cablage!$A:$A,MATCH($I42,Cablage!$F:$F,0)),"")</f>
        <v/>
      </c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</row>
    <row r="43" spans="1:50" ht="15" customHeight="1" x14ac:dyDescent="0.25">
      <c r="A43" s="41" t="s">
        <v>93</v>
      </c>
      <c r="B43" s="25" t="s">
        <v>103</v>
      </c>
      <c r="C43" s="11">
        <v>2</v>
      </c>
      <c r="D43" s="11"/>
      <c r="E43" s="11"/>
      <c r="F43" s="26" t="str">
        <f>IFERROR(IF(OR($B43="",$C43=""),"",INDEX('Cartes API'!$J:$J,MATCH($B43,'Cartes API'!$A:$A,0))&amp;INDEX('Cartes API'!$B:$B,MATCH($B43,'Cartes API'!$A:$A,0))&amp;"."&amp;INDEX('Cartes API'!$C:$C,MATCH($B43,'Cartes API'!$A:$A,0))&amp;"."&amp;$C43),"")</f>
        <v>%I0.7.2</v>
      </c>
      <c r="G43" s="26" t="str">
        <f>IFERROR(IF($B43="","",INDEX('Cartes API'!$H:$H,MATCH($B43,'Cartes API'!$A:$A,0))),"")</f>
        <v>CarteDI_R0S7</v>
      </c>
      <c r="H43" s="11">
        <v>2</v>
      </c>
      <c r="I43" s="26" t="str">
        <f t="shared" si="0"/>
        <v>CarteDI_R0S7[2]</v>
      </c>
      <c r="J43" s="26" t="str">
        <f>IFERROR(INDEX(Cablage!$A:$A,MATCH($I43,Cablage!$F:$F,0)),"")</f>
        <v/>
      </c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</row>
    <row r="44" spans="1:50" ht="15" customHeight="1" x14ac:dyDescent="0.25">
      <c r="A44" s="41" t="s">
        <v>93</v>
      </c>
      <c r="B44" s="25" t="s">
        <v>103</v>
      </c>
      <c r="C44" s="11">
        <v>3</v>
      </c>
      <c r="D44" s="11"/>
      <c r="E44" s="11"/>
      <c r="F44" s="26" t="str">
        <f>IFERROR(IF(OR($B44="",$C44=""),"",INDEX('Cartes API'!$J:$J,MATCH($B44,'Cartes API'!$A:$A,0))&amp;INDEX('Cartes API'!$B:$B,MATCH($B44,'Cartes API'!$A:$A,0))&amp;"."&amp;INDEX('Cartes API'!$C:$C,MATCH($B44,'Cartes API'!$A:$A,0))&amp;"."&amp;$C44),"")</f>
        <v>%I0.7.3</v>
      </c>
      <c r="G44" s="26" t="str">
        <f>IFERROR(IF($B44="","",INDEX('Cartes API'!$H:$H,MATCH($B44,'Cartes API'!$A:$A,0))),"")</f>
        <v>CarteDI_R0S7</v>
      </c>
      <c r="H44" s="11">
        <v>3</v>
      </c>
      <c r="I44" s="26" t="str">
        <f t="shared" si="0"/>
        <v>CarteDI_R0S7[3]</v>
      </c>
      <c r="J44" s="26" t="str">
        <f>IFERROR(INDEX(Cablage!$A:$A,MATCH($I44,Cablage!$F:$F,0)),"")</f>
        <v/>
      </c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</row>
    <row r="45" spans="1:50" ht="15" customHeight="1" x14ac:dyDescent="0.25">
      <c r="A45" s="41" t="s">
        <v>93</v>
      </c>
      <c r="B45" s="25" t="s">
        <v>103</v>
      </c>
      <c r="C45" s="11">
        <v>4</v>
      </c>
      <c r="D45" s="11"/>
      <c r="E45" s="11"/>
      <c r="F45" s="26" t="str">
        <f>IFERROR(IF(OR($B45="",$C45=""),"",INDEX('Cartes API'!$J:$J,MATCH($B45,'Cartes API'!$A:$A,0))&amp;INDEX('Cartes API'!$B:$B,MATCH($B45,'Cartes API'!$A:$A,0))&amp;"."&amp;INDEX('Cartes API'!$C:$C,MATCH($B45,'Cartes API'!$A:$A,0))&amp;"."&amp;$C45),"")</f>
        <v>%I0.7.4</v>
      </c>
      <c r="G45" s="26" t="str">
        <f>IFERROR(IF($B45="","",INDEX('Cartes API'!$H:$H,MATCH($B45,'Cartes API'!$A:$A,0))),"")</f>
        <v>CarteDI_R0S7</v>
      </c>
      <c r="H45" s="11">
        <v>4</v>
      </c>
      <c r="I45" s="26" t="str">
        <f t="shared" si="0"/>
        <v>CarteDI_R0S7[4]</v>
      </c>
      <c r="J45" s="26" t="str">
        <f>IFERROR(INDEX(Cablage!$A:$A,MATCH($I45,Cablage!$F:$F,0)),"")</f>
        <v/>
      </c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</row>
    <row r="46" spans="1:50" ht="15" customHeight="1" x14ac:dyDescent="0.25">
      <c r="A46" s="41" t="s">
        <v>93</v>
      </c>
      <c r="B46" s="25" t="s">
        <v>103</v>
      </c>
      <c r="C46" s="11">
        <v>5</v>
      </c>
      <c r="D46" s="11"/>
      <c r="E46" s="11"/>
      <c r="F46" s="26" t="str">
        <f>IFERROR(IF(OR($B46="",$C46=""),"",INDEX('Cartes API'!$J:$J,MATCH($B46,'Cartes API'!$A:$A,0))&amp;INDEX('Cartes API'!$B:$B,MATCH($B46,'Cartes API'!$A:$A,0))&amp;"."&amp;INDEX('Cartes API'!$C:$C,MATCH($B46,'Cartes API'!$A:$A,0))&amp;"."&amp;$C46),"")</f>
        <v>%I0.7.5</v>
      </c>
      <c r="G46" s="26" t="str">
        <f>IFERROR(IF($B46="","",INDEX('Cartes API'!$H:$H,MATCH($B46,'Cartes API'!$A:$A,0))),"")</f>
        <v>CarteDI_R0S7</v>
      </c>
      <c r="H46" s="11">
        <v>5</v>
      </c>
      <c r="I46" s="26" t="str">
        <f t="shared" si="0"/>
        <v>CarteDI_R0S7[5]</v>
      </c>
      <c r="J46" s="26" t="str">
        <f>IFERROR(INDEX(Cablage!$A:$A,MATCH($I46,Cablage!$F:$F,0)),"")</f>
        <v/>
      </c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</row>
    <row r="47" spans="1:50" ht="15" customHeight="1" x14ac:dyDescent="0.25">
      <c r="A47" s="41" t="s">
        <v>93</v>
      </c>
      <c r="B47" s="25" t="s">
        <v>103</v>
      </c>
      <c r="C47" s="11">
        <v>6</v>
      </c>
      <c r="D47" s="11"/>
      <c r="E47" s="11"/>
      <c r="F47" s="26" t="str">
        <f>IFERROR(IF(OR($B47="",$C47=""),"",INDEX('Cartes API'!$J:$J,MATCH($B47,'Cartes API'!$A:$A,0))&amp;INDEX('Cartes API'!$B:$B,MATCH($B47,'Cartes API'!$A:$A,0))&amp;"."&amp;INDEX('Cartes API'!$C:$C,MATCH($B47,'Cartes API'!$A:$A,0))&amp;"."&amp;$C47),"")</f>
        <v>%I0.7.6</v>
      </c>
      <c r="G47" s="26" t="str">
        <f>IFERROR(IF($B47="","",INDEX('Cartes API'!$H:$H,MATCH($B47,'Cartes API'!$A:$A,0))),"")</f>
        <v>CarteDI_R0S7</v>
      </c>
      <c r="H47" s="11">
        <v>6</v>
      </c>
      <c r="I47" s="26" t="str">
        <f t="shared" si="0"/>
        <v>CarteDI_R0S7[6]</v>
      </c>
      <c r="J47" s="26" t="str">
        <f>IFERROR(INDEX(Cablage!$A:$A,MATCH($I47,Cablage!$F:$F,0)),"")</f>
        <v/>
      </c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</row>
    <row r="48" spans="1:50" ht="15" customHeight="1" x14ac:dyDescent="0.25">
      <c r="A48" s="41" t="s">
        <v>93</v>
      </c>
      <c r="B48" s="25" t="s">
        <v>103</v>
      </c>
      <c r="C48" s="11">
        <v>7</v>
      </c>
      <c r="D48" s="11"/>
      <c r="E48" s="11"/>
      <c r="F48" s="26" t="str">
        <f>IFERROR(IF(OR($B48="",$C48=""),"",INDEX('Cartes API'!$J:$J,MATCH($B48,'Cartes API'!$A:$A,0))&amp;INDEX('Cartes API'!$B:$B,MATCH($B48,'Cartes API'!$A:$A,0))&amp;"."&amp;INDEX('Cartes API'!$C:$C,MATCH($B48,'Cartes API'!$A:$A,0))&amp;"."&amp;$C48),"")</f>
        <v>%I0.7.7</v>
      </c>
      <c r="G48" s="26" t="str">
        <f>IFERROR(IF($B48="","",INDEX('Cartes API'!$H:$H,MATCH($B48,'Cartes API'!$A:$A,0))),"")</f>
        <v>CarteDI_R0S7</v>
      </c>
      <c r="H48" s="11">
        <v>7</v>
      </c>
      <c r="I48" s="26" t="str">
        <f t="shared" si="0"/>
        <v>CarteDI_R0S7[7]</v>
      </c>
      <c r="J48" s="26" t="str">
        <f>IFERROR(INDEX(Cablage!$A:$A,MATCH($I48,Cablage!$F:$F,0)),"")</f>
        <v/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 ht="15" customHeight="1" x14ac:dyDescent="0.25">
      <c r="A49" s="41" t="s">
        <v>93</v>
      </c>
      <c r="B49" s="25" t="s">
        <v>103</v>
      </c>
      <c r="C49" s="11">
        <v>8</v>
      </c>
      <c r="D49" s="11"/>
      <c r="E49" s="11"/>
      <c r="F49" s="26" t="str">
        <f>IFERROR(IF(OR($B49="",$C49=""),"",INDEX('Cartes API'!$J:$J,MATCH($B49,'Cartes API'!$A:$A,0))&amp;INDEX('Cartes API'!$B:$B,MATCH($B49,'Cartes API'!$A:$A,0))&amp;"."&amp;INDEX('Cartes API'!$C:$C,MATCH($B49,'Cartes API'!$A:$A,0))&amp;"."&amp;$C49),"")</f>
        <v>%I0.7.8</v>
      </c>
      <c r="G49" s="26" t="str">
        <f>IFERROR(IF($B49="","",INDEX('Cartes API'!$H:$H,MATCH($B49,'Cartes API'!$A:$A,0))),"")</f>
        <v>CarteDI_R0S7</v>
      </c>
      <c r="H49" s="11">
        <v>8</v>
      </c>
      <c r="I49" s="26" t="str">
        <f t="shared" si="0"/>
        <v>CarteDI_R0S7[8]</v>
      </c>
      <c r="J49" s="26" t="str">
        <f>IFERROR(INDEX(Cablage!$A:$A,MATCH($I49,Cablage!$F:$F,0)),"")</f>
        <v/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ht="15" customHeight="1" x14ac:dyDescent="0.25">
      <c r="A50" s="41" t="s">
        <v>93</v>
      </c>
      <c r="B50" s="25" t="s">
        <v>103</v>
      </c>
      <c r="C50" s="11">
        <v>9</v>
      </c>
      <c r="D50" s="11"/>
      <c r="E50" s="11"/>
      <c r="F50" s="26" t="str">
        <f>IFERROR(IF(OR($B50="",$C50=""),"",INDEX('Cartes API'!$J:$J,MATCH($B50,'Cartes API'!$A:$A,0))&amp;INDEX('Cartes API'!$B:$B,MATCH($B50,'Cartes API'!$A:$A,0))&amp;"."&amp;INDEX('Cartes API'!$C:$C,MATCH($B50,'Cartes API'!$A:$A,0))&amp;"."&amp;$C50),"")</f>
        <v>%I0.7.9</v>
      </c>
      <c r="G50" s="26" t="str">
        <f>IFERROR(IF($B50="","",INDEX('Cartes API'!$H:$H,MATCH($B50,'Cartes API'!$A:$A,0))),"")</f>
        <v>CarteDI_R0S7</v>
      </c>
      <c r="H50" s="11">
        <v>9</v>
      </c>
      <c r="I50" s="26" t="str">
        <f t="shared" si="0"/>
        <v>CarteDI_R0S7[9]</v>
      </c>
      <c r="J50" s="26" t="str">
        <f>IFERROR(INDEX(Cablage!$A:$A,MATCH($I50,Cablage!$F:$F,0)),"")</f>
        <v/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</row>
    <row r="51" spans="1:50" ht="15" customHeight="1" x14ac:dyDescent="0.25">
      <c r="A51" s="41" t="s">
        <v>93</v>
      </c>
      <c r="B51" s="25" t="s">
        <v>103</v>
      </c>
      <c r="C51" s="11">
        <v>10</v>
      </c>
      <c r="D51" s="11"/>
      <c r="E51" s="11"/>
      <c r="F51" s="26" t="str">
        <f>IFERROR(IF(OR($B51="",$C51=""),"",INDEX('Cartes API'!$J:$J,MATCH($B51,'Cartes API'!$A:$A,0))&amp;INDEX('Cartes API'!$B:$B,MATCH($B51,'Cartes API'!$A:$A,0))&amp;"."&amp;INDEX('Cartes API'!$C:$C,MATCH($B51,'Cartes API'!$A:$A,0))&amp;"."&amp;$C51),"")</f>
        <v>%I0.7.10</v>
      </c>
      <c r="G51" s="26" t="str">
        <f>IFERROR(IF($B51="","",INDEX('Cartes API'!$H:$H,MATCH($B51,'Cartes API'!$A:$A,0))),"")</f>
        <v>CarteDI_R0S7</v>
      </c>
      <c r="H51" s="11">
        <v>10</v>
      </c>
      <c r="I51" s="26" t="str">
        <f t="shared" si="0"/>
        <v>CarteDI_R0S7[10]</v>
      </c>
      <c r="J51" s="26" t="str">
        <f>IFERROR(INDEX(Cablage!$A:$A,MATCH($I51,Cablage!$F:$F,0)),"")</f>
        <v/>
      </c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5" customHeight="1" x14ac:dyDescent="0.25">
      <c r="A52" s="41" t="s">
        <v>93</v>
      </c>
      <c r="B52" s="25" t="s">
        <v>103</v>
      </c>
      <c r="C52" s="11">
        <v>11</v>
      </c>
      <c r="D52" s="11"/>
      <c r="E52" s="11"/>
      <c r="F52" s="26" t="str">
        <f>IFERROR(IF(OR($B52="",$C52=""),"",INDEX('Cartes API'!$J:$J,MATCH($B52,'Cartes API'!$A:$A,0))&amp;INDEX('Cartes API'!$B:$B,MATCH($B52,'Cartes API'!$A:$A,0))&amp;"."&amp;INDEX('Cartes API'!$C:$C,MATCH($B52,'Cartes API'!$A:$A,0))&amp;"."&amp;$C52),"")</f>
        <v>%I0.7.11</v>
      </c>
      <c r="G52" s="26" t="str">
        <f>IFERROR(IF($B52="","",INDEX('Cartes API'!$H:$H,MATCH($B52,'Cartes API'!$A:$A,0))),"")</f>
        <v>CarteDI_R0S7</v>
      </c>
      <c r="H52" s="11">
        <v>11</v>
      </c>
      <c r="I52" s="26" t="str">
        <f t="shared" si="0"/>
        <v>CarteDI_R0S7[11]</v>
      </c>
      <c r="J52" s="26" t="str">
        <f>IFERROR(INDEX(Cablage!$A:$A,MATCH($I52,Cablage!$F:$F,0)),"")</f>
        <v/>
      </c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ht="15" customHeight="1" x14ac:dyDescent="0.25">
      <c r="A53" s="41" t="s">
        <v>93</v>
      </c>
      <c r="B53" s="25" t="s">
        <v>103</v>
      </c>
      <c r="C53" s="11">
        <v>12</v>
      </c>
      <c r="D53" s="11"/>
      <c r="E53" s="11"/>
      <c r="F53" s="26" t="str">
        <f>IFERROR(IF(OR($B53="",$C53=""),"",INDEX('Cartes API'!$J:$J,MATCH($B53,'Cartes API'!$A:$A,0))&amp;INDEX('Cartes API'!$B:$B,MATCH($B53,'Cartes API'!$A:$A,0))&amp;"."&amp;INDEX('Cartes API'!$C:$C,MATCH($B53,'Cartes API'!$A:$A,0))&amp;"."&amp;$C53),"")</f>
        <v>%I0.7.12</v>
      </c>
      <c r="G53" s="26" t="str">
        <f>IFERROR(IF($B53="","",INDEX('Cartes API'!$H:$H,MATCH($B53,'Cartes API'!$A:$A,0))),"")</f>
        <v>CarteDI_R0S7</v>
      </c>
      <c r="H53" s="11">
        <v>12</v>
      </c>
      <c r="I53" s="26" t="str">
        <f t="shared" si="0"/>
        <v>CarteDI_R0S7[12]</v>
      </c>
      <c r="J53" s="26" t="str">
        <f>IFERROR(INDEX(Cablage!$A:$A,MATCH($I53,Cablage!$F:$F,0)),"")</f>
        <v/>
      </c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ht="15" customHeight="1" x14ac:dyDescent="0.25">
      <c r="A54" s="41" t="s">
        <v>93</v>
      </c>
      <c r="B54" s="25" t="s">
        <v>103</v>
      </c>
      <c r="C54" s="11">
        <v>13</v>
      </c>
      <c r="D54" s="11"/>
      <c r="E54" s="11"/>
      <c r="F54" s="26" t="str">
        <f>IFERROR(IF(OR($B54="",$C54=""),"",INDEX('Cartes API'!$J:$J,MATCH($B54,'Cartes API'!$A:$A,0))&amp;INDEX('Cartes API'!$B:$B,MATCH($B54,'Cartes API'!$A:$A,0))&amp;"."&amp;INDEX('Cartes API'!$C:$C,MATCH($B54,'Cartes API'!$A:$A,0))&amp;"."&amp;$C54),"")</f>
        <v>%I0.7.13</v>
      </c>
      <c r="G54" s="26" t="str">
        <f>IFERROR(IF($B54="","",INDEX('Cartes API'!$H:$H,MATCH($B54,'Cartes API'!$A:$A,0))),"")</f>
        <v>CarteDI_R0S7</v>
      </c>
      <c r="H54" s="11">
        <v>13</v>
      </c>
      <c r="I54" s="26" t="str">
        <f t="shared" si="0"/>
        <v>CarteDI_R0S7[13]</v>
      </c>
      <c r="J54" s="26" t="str">
        <f>IFERROR(INDEX(Cablage!$A:$A,MATCH($I54,Cablage!$F:$F,0)),"")</f>
        <v/>
      </c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ht="15" customHeight="1" x14ac:dyDescent="0.25">
      <c r="A55" s="41" t="s">
        <v>93</v>
      </c>
      <c r="B55" s="25" t="s">
        <v>103</v>
      </c>
      <c r="C55" s="11">
        <v>14</v>
      </c>
      <c r="D55" s="11"/>
      <c r="E55" s="11"/>
      <c r="F55" s="26" t="str">
        <f>IFERROR(IF(OR($B55="",$C55=""),"",INDEX('Cartes API'!$J:$J,MATCH($B55,'Cartes API'!$A:$A,0))&amp;INDEX('Cartes API'!$B:$B,MATCH($B55,'Cartes API'!$A:$A,0))&amp;"."&amp;INDEX('Cartes API'!$C:$C,MATCH($B55,'Cartes API'!$A:$A,0))&amp;"."&amp;$C55),"")</f>
        <v>%I0.7.14</v>
      </c>
      <c r="G55" s="26" t="str">
        <f>IFERROR(IF($B55="","",INDEX('Cartes API'!$H:$H,MATCH($B55,'Cartes API'!$A:$A,0))),"")</f>
        <v>CarteDI_R0S7</v>
      </c>
      <c r="H55" s="11">
        <v>14</v>
      </c>
      <c r="I55" s="26" t="str">
        <f t="shared" si="0"/>
        <v>CarteDI_R0S7[14]</v>
      </c>
      <c r="J55" s="26" t="str">
        <f>IFERROR(INDEX(Cablage!$A:$A,MATCH($I55,Cablage!$F:$F,0)),"")</f>
        <v/>
      </c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</row>
    <row r="56" spans="1:50" ht="15" customHeight="1" x14ac:dyDescent="0.25">
      <c r="A56" s="41" t="s">
        <v>93</v>
      </c>
      <c r="B56" s="25" t="s">
        <v>103</v>
      </c>
      <c r="C56" s="11">
        <v>15</v>
      </c>
      <c r="D56" s="11"/>
      <c r="E56" s="11"/>
      <c r="F56" s="26" t="str">
        <f>IFERROR(IF(OR($B56="",$C56=""),"",INDEX('Cartes API'!$J:$J,MATCH($B56,'Cartes API'!$A:$A,0))&amp;INDEX('Cartes API'!$B:$B,MATCH($B56,'Cartes API'!$A:$A,0))&amp;"."&amp;INDEX('Cartes API'!$C:$C,MATCH($B56,'Cartes API'!$A:$A,0))&amp;"."&amp;$C56),"")</f>
        <v>%I0.7.15</v>
      </c>
      <c r="G56" s="26" t="str">
        <f>IFERROR(IF($B56="","",INDEX('Cartes API'!$H:$H,MATCH($B56,'Cartes API'!$A:$A,0))),"")</f>
        <v>CarteDI_R0S7</v>
      </c>
      <c r="H56" s="11">
        <v>15</v>
      </c>
      <c r="I56" s="26" t="str">
        <f t="shared" si="0"/>
        <v>CarteDI_R0S7[15]</v>
      </c>
      <c r="J56" s="26" t="str">
        <f>IFERROR(INDEX(Cablage!$A:$A,MATCH($I56,Cablage!$F:$F,0)),"")</f>
        <v/>
      </c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ht="15" customHeight="1" x14ac:dyDescent="0.25">
      <c r="A57" s="42" t="s">
        <v>99</v>
      </c>
      <c r="B57" s="25" t="s">
        <v>106</v>
      </c>
      <c r="C57" s="11">
        <v>0</v>
      </c>
      <c r="D57" s="11"/>
      <c r="E57" s="11"/>
      <c r="F57" s="26" t="str">
        <f>IFERROR(IF(OR($B57="",$C57=""),"",INDEX('Cartes API'!$J:$J,MATCH($B57,'Cartes API'!$A:$A,0))&amp;INDEX('Cartes API'!$B:$B,MATCH($B57,'Cartes API'!$A:$A,0))&amp;"."&amp;INDEX('Cartes API'!$C:$C,MATCH($B57,'Cartes API'!$A:$A,0))&amp;"."&amp;$C57),"")</f>
        <v>%Q0.8.0</v>
      </c>
      <c r="G57" s="26" t="str">
        <f>IFERROR(IF($B57="","",INDEX('Cartes API'!$H:$H,MATCH($B57,'Cartes API'!$A:$A,0))),"")</f>
        <v>CarteDO_R0S8</v>
      </c>
      <c r="H57" s="11">
        <v>0</v>
      </c>
      <c r="I57" s="26" t="str">
        <f t="shared" si="0"/>
        <v>CarteDO_R0S8[0]</v>
      </c>
      <c r="J57" s="26" t="str">
        <f>IFERROR(INDEX(Cablage!$A:$A,MATCH($I57,Cablage!$F:$F,0)),"")</f>
        <v/>
      </c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" customHeight="1" x14ac:dyDescent="0.25">
      <c r="A58" s="42" t="s">
        <v>99</v>
      </c>
      <c r="B58" s="25" t="s">
        <v>106</v>
      </c>
      <c r="C58" s="11">
        <v>1</v>
      </c>
      <c r="D58" s="11"/>
      <c r="E58" s="11"/>
      <c r="F58" s="26" t="str">
        <f>IFERROR(IF(OR($B58="",$C58=""),"",INDEX('Cartes API'!$J:$J,MATCH($B58,'Cartes API'!$A:$A,0))&amp;INDEX('Cartes API'!$B:$B,MATCH($B58,'Cartes API'!$A:$A,0))&amp;"."&amp;INDEX('Cartes API'!$C:$C,MATCH($B58,'Cartes API'!$A:$A,0))&amp;"."&amp;$C58),"")</f>
        <v>%Q0.8.1</v>
      </c>
      <c r="G58" s="26" t="str">
        <f>IFERROR(IF($B58="","",INDEX('Cartes API'!$H:$H,MATCH($B58,'Cartes API'!$A:$A,0))),"")</f>
        <v>CarteDO_R0S8</v>
      </c>
      <c r="H58" s="11">
        <v>1</v>
      </c>
      <c r="I58" s="26" t="str">
        <f t="shared" si="0"/>
        <v>CarteDO_R0S8[1]</v>
      </c>
      <c r="J58" s="26" t="str">
        <f>IFERROR(INDEX(Cablage!$A:$A,MATCH($I58,Cablage!$F:$F,0)),"")</f>
        <v/>
      </c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ht="15" customHeight="1" x14ac:dyDescent="0.25">
      <c r="A59" s="42" t="s">
        <v>99</v>
      </c>
      <c r="B59" s="25" t="s">
        <v>106</v>
      </c>
      <c r="C59" s="11">
        <v>2</v>
      </c>
      <c r="D59" s="11"/>
      <c r="E59" s="11"/>
      <c r="F59" s="26" t="str">
        <f>IFERROR(IF(OR($B59="",$C59=""),"",INDEX('Cartes API'!$J:$J,MATCH($B59,'Cartes API'!$A:$A,0))&amp;INDEX('Cartes API'!$B:$B,MATCH($B59,'Cartes API'!$A:$A,0))&amp;"."&amp;INDEX('Cartes API'!$C:$C,MATCH($B59,'Cartes API'!$A:$A,0))&amp;"."&amp;$C59),"")</f>
        <v>%Q0.8.2</v>
      </c>
      <c r="G59" s="26" t="str">
        <f>IFERROR(IF($B59="","",INDEX('Cartes API'!$H:$H,MATCH($B59,'Cartes API'!$A:$A,0))),"")</f>
        <v>CarteDO_R0S8</v>
      </c>
      <c r="H59" s="11">
        <v>2</v>
      </c>
      <c r="I59" s="26" t="str">
        <f t="shared" si="0"/>
        <v>CarteDO_R0S8[2]</v>
      </c>
      <c r="J59" s="26" t="str">
        <f>IFERROR(INDEX(Cablage!$A:$A,MATCH($I59,Cablage!$F:$F,0)),"")</f>
        <v/>
      </c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ht="15" customHeight="1" x14ac:dyDescent="0.25">
      <c r="A60" s="42" t="s">
        <v>99</v>
      </c>
      <c r="B60" s="25" t="s">
        <v>106</v>
      </c>
      <c r="C60" s="11">
        <v>3</v>
      </c>
      <c r="D60" s="11"/>
      <c r="E60" s="11"/>
      <c r="F60" s="26" t="str">
        <f>IFERROR(IF(OR($B60="",$C60=""),"",INDEX('Cartes API'!$J:$J,MATCH($B60,'Cartes API'!$A:$A,0))&amp;INDEX('Cartes API'!$B:$B,MATCH($B60,'Cartes API'!$A:$A,0))&amp;"."&amp;INDEX('Cartes API'!$C:$C,MATCH($B60,'Cartes API'!$A:$A,0))&amp;"."&amp;$C60),"")</f>
        <v>%Q0.8.3</v>
      </c>
      <c r="G60" s="26" t="str">
        <f>IFERROR(IF($B60="","",INDEX('Cartes API'!$H:$H,MATCH($B60,'Cartes API'!$A:$A,0))),"")</f>
        <v>CarteDO_R0S8</v>
      </c>
      <c r="H60" s="11">
        <v>3</v>
      </c>
      <c r="I60" s="26" t="str">
        <f t="shared" si="0"/>
        <v>CarteDO_R0S8[3]</v>
      </c>
      <c r="J60" s="26" t="str">
        <f>IFERROR(INDEX(Cablage!$A:$A,MATCH($I60,Cablage!$F:$F,0)),"")</f>
        <v/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ht="15" customHeight="1" x14ac:dyDescent="0.25">
      <c r="A61" s="42" t="s">
        <v>99</v>
      </c>
      <c r="B61" s="25" t="s">
        <v>106</v>
      </c>
      <c r="C61" s="11">
        <v>4</v>
      </c>
      <c r="D61" s="11"/>
      <c r="E61" s="11"/>
      <c r="F61" s="26" t="str">
        <f>IFERROR(IF(OR($B61="",$C61=""),"",INDEX('Cartes API'!$J:$J,MATCH($B61,'Cartes API'!$A:$A,0))&amp;INDEX('Cartes API'!$B:$B,MATCH($B61,'Cartes API'!$A:$A,0))&amp;"."&amp;INDEX('Cartes API'!$C:$C,MATCH($B61,'Cartes API'!$A:$A,0))&amp;"."&amp;$C61),"")</f>
        <v>%Q0.8.4</v>
      </c>
      <c r="G61" s="26" t="str">
        <f>IFERROR(IF($B61="","",INDEX('Cartes API'!$H:$H,MATCH($B61,'Cartes API'!$A:$A,0))),"")</f>
        <v>CarteDO_R0S8</v>
      </c>
      <c r="H61" s="11">
        <v>4</v>
      </c>
      <c r="I61" s="26" t="str">
        <f t="shared" si="0"/>
        <v>CarteDO_R0S8[4]</v>
      </c>
      <c r="J61" s="26" t="str">
        <f>IFERROR(INDEX(Cablage!$A:$A,MATCH($I61,Cablage!$F:$F,0)),"")</f>
        <v/>
      </c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5" customHeight="1" x14ac:dyDescent="0.25">
      <c r="A62" s="42" t="s">
        <v>99</v>
      </c>
      <c r="B62" s="25" t="s">
        <v>106</v>
      </c>
      <c r="C62" s="11">
        <v>5</v>
      </c>
      <c r="D62" s="11"/>
      <c r="E62" s="11"/>
      <c r="F62" s="26" t="str">
        <f>IFERROR(IF(OR($B62="",$C62=""),"",INDEX('Cartes API'!$J:$J,MATCH($B62,'Cartes API'!$A:$A,0))&amp;INDEX('Cartes API'!$B:$B,MATCH($B62,'Cartes API'!$A:$A,0))&amp;"."&amp;INDEX('Cartes API'!$C:$C,MATCH($B62,'Cartes API'!$A:$A,0))&amp;"."&amp;$C62),"")</f>
        <v>%Q0.8.5</v>
      </c>
      <c r="G62" s="26" t="str">
        <f>IFERROR(IF($B62="","",INDEX('Cartes API'!$H:$H,MATCH($B62,'Cartes API'!$A:$A,0))),"")</f>
        <v>CarteDO_R0S8</v>
      </c>
      <c r="H62" s="11">
        <v>5</v>
      </c>
      <c r="I62" s="26" t="str">
        <f t="shared" si="0"/>
        <v>CarteDO_R0S8[5]</v>
      </c>
      <c r="J62" s="26" t="str">
        <f>IFERROR(INDEX(Cablage!$A:$A,MATCH($I62,Cablage!$F:$F,0)),"")</f>
        <v/>
      </c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ht="15" customHeight="1" x14ac:dyDescent="0.25">
      <c r="A63" s="42" t="s">
        <v>99</v>
      </c>
      <c r="B63" s="25" t="s">
        <v>106</v>
      </c>
      <c r="C63" s="11">
        <v>6</v>
      </c>
      <c r="D63" s="11"/>
      <c r="E63" s="11"/>
      <c r="F63" s="26" t="str">
        <f>IFERROR(IF(OR($B63="",$C63=""),"",INDEX('Cartes API'!$J:$J,MATCH($B63,'Cartes API'!$A:$A,0))&amp;INDEX('Cartes API'!$B:$B,MATCH($B63,'Cartes API'!$A:$A,0))&amp;"."&amp;INDEX('Cartes API'!$C:$C,MATCH($B63,'Cartes API'!$A:$A,0))&amp;"."&amp;$C63),"")</f>
        <v>%Q0.8.6</v>
      </c>
      <c r="G63" s="26" t="str">
        <f>IFERROR(IF($B63="","",INDEX('Cartes API'!$H:$H,MATCH($B63,'Cartes API'!$A:$A,0))),"")</f>
        <v>CarteDO_R0S8</v>
      </c>
      <c r="H63" s="11">
        <v>6</v>
      </c>
      <c r="I63" s="26" t="str">
        <f t="shared" si="0"/>
        <v>CarteDO_R0S8[6]</v>
      </c>
      <c r="J63" s="26" t="str">
        <f>IFERROR(INDEX(Cablage!$A:$A,MATCH($I63,Cablage!$F:$F,0)),"")</f>
        <v/>
      </c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ht="15" customHeight="1" x14ac:dyDescent="0.25">
      <c r="A64" s="42" t="s">
        <v>99</v>
      </c>
      <c r="B64" s="25" t="s">
        <v>106</v>
      </c>
      <c r="C64" s="11">
        <v>7</v>
      </c>
      <c r="D64" s="11"/>
      <c r="E64" s="11"/>
      <c r="F64" s="26" t="str">
        <f>IFERROR(IF(OR($B64="",$C64=""),"",INDEX('Cartes API'!$J:$J,MATCH($B64,'Cartes API'!$A:$A,0))&amp;INDEX('Cartes API'!$B:$B,MATCH($B64,'Cartes API'!$A:$A,0))&amp;"."&amp;INDEX('Cartes API'!$C:$C,MATCH($B64,'Cartes API'!$A:$A,0))&amp;"."&amp;$C64),"")</f>
        <v>%Q0.8.7</v>
      </c>
      <c r="G64" s="26" t="str">
        <f>IFERROR(IF($B64="","",INDEX('Cartes API'!$H:$H,MATCH($B64,'Cartes API'!$A:$A,0))),"")</f>
        <v>CarteDO_R0S8</v>
      </c>
      <c r="H64" s="11">
        <v>7</v>
      </c>
      <c r="I64" s="26" t="str">
        <f t="shared" si="0"/>
        <v>CarteDO_R0S8[7]</v>
      </c>
      <c r="J64" s="26" t="str">
        <f>IFERROR(INDEX(Cablage!$A:$A,MATCH($I64,Cablage!$F:$F,0)),"")</f>
        <v/>
      </c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:50" ht="15" customHeight="1" x14ac:dyDescent="0.25">
      <c r="A65" s="42" t="s">
        <v>99</v>
      </c>
      <c r="B65" s="25" t="s">
        <v>106</v>
      </c>
      <c r="C65" s="11">
        <v>8</v>
      </c>
      <c r="D65" s="11"/>
      <c r="E65" s="11"/>
      <c r="F65" s="26" t="str">
        <f>IFERROR(IF(OR($B65="",$C65=""),"",INDEX('Cartes API'!$J:$J,MATCH($B65,'Cartes API'!$A:$A,0))&amp;INDEX('Cartes API'!$B:$B,MATCH($B65,'Cartes API'!$A:$A,0))&amp;"."&amp;INDEX('Cartes API'!$C:$C,MATCH($B65,'Cartes API'!$A:$A,0))&amp;"."&amp;$C65),"")</f>
        <v>%Q0.8.8</v>
      </c>
      <c r="G65" s="26" t="str">
        <f>IFERROR(IF($B65="","",INDEX('Cartes API'!$H:$H,MATCH($B65,'Cartes API'!$A:$A,0))),"")</f>
        <v>CarteDO_R0S8</v>
      </c>
      <c r="H65" s="11">
        <v>8</v>
      </c>
      <c r="I65" s="26" t="str">
        <f t="shared" si="0"/>
        <v>CarteDO_R0S8[8]</v>
      </c>
      <c r="J65" s="26" t="str">
        <f>IFERROR(INDEX(Cablage!$A:$A,MATCH($I65,Cablage!$F:$F,0)),"")</f>
        <v/>
      </c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:50" ht="15" customHeight="1" x14ac:dyDescent="0.25">
      <c r="A66" s="42" t="s">
        <v>99</v>
      </c>
      <c r="B66" s="25" t="s">
        <v>106</v>
      </c>
      <c r="C66" s="11">
        <v>9</v>
      </c>
      <c r="D66" s="11"/>
      <c r="E66" s="11"/>
      <c r="F66" s="26" t="str">
        <f>IFERROR(IF(OR($B66="",$C66=""),"",INDEX('Cartes API'!$J:$J,MATCH($B66,'Cartes API'!$A:$A,0))&amp;INDEX('Cartes API'!$B:$B,MATCH($B66,'Cartes API'!$A:$A,0))&amp;"."&amp;INDEX('Cartes API'!$C:$C,MATCH($B66,'Cartes API'!$A:$A,0))&amp;"."&amp;$C66),"")</f>
        <v>%Q0.8.9</v>
      </c>
      <c r="G66" s="26" t="str">
        <f>IFERROR(IF($B66="","",INDEX('Cartes API'!$H:$H,MATCH($B66,'Cartes API'!$A:$A,0))),"")</f>
        <v>CarteDO_R0S8</v>
      </c>
      <c r="H66" s="11">
        <v>9</v>
      </c>
      <c r="I66" s="26" t="str">
        <f t="shared" si="0"/>
        <v>CarteDO_R0S8[9]</v>
      </c>
      <c r="J66" s="26" t="str">
        <f>IFERROR(INDEX(Cablage!$A:$A,MATCH($I66,Cablage!$F:$F,0)),"")</f>
        <v/>
      </c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:50" ht="15" customHeight="1" x14ac:dyDescent="0.25">
      <c r="A67" s="42" t="s">
        <v>99</v>
      </c>
      <c r="B67" s="25" t="s">
        <v>106</v>
      </c>
      <c r="C67" s="11">
        <v>10</v>
      </c>
      <c r="D67" s="11"/>
      <c r="E67" s="11"/>
      <c r="F67" s="26" t="str">
        <f>IFERROR(IF(OR($B67="",$C67=""),"",INDEX('Cartes API'!$J:$J,MATCH($B67,'Cartes API'!$A:$A,0))&amp;INDEX('Cartes API'!$B:$B,MATCH($B67,'Cartes API'!$A:$A,0))&amp;"."&amp;INDEX('Cartes API'!$C:$C,MATCH($B67,'Cartes API'!$A:$A,0))&amp;"."&amp;$C67),"")</f>
        <v>%Q0.8.10</v>
      </c>
      <c r="G67" s="26" t="str">
        <f>IFERROR(IF($B67="","",INDEX('Cartes API'!$H:$H,MATCH($B67,'Cartes API'!$A:$A,0))),"")</f>
        <v>CarteDO_R0S8</v>
      </c>
      <c r="H67" s="11">
        <v>10</v>
      </c>
      <c r="I67" s="26" t="str">
        <f t="shared" si="0"/>
        <v>CarteDO_R0S8[10]</v>
      </c>
      <c r="J67" s="26" t="str">
        <f>IFERROR(INDEX(Cablage!$A:$A,MATCH($I67,Cablage!$F:$F,0)),"")</f>
        <v/>
      </c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:50" ht="15" customHeight="1" x14ac:dyDescent="0.25">
      <c r="A68" s="42" t="s">
        <v>99</v>
      </c>
      <c r="B68" s="25" t="s">
        <v>106</v>
      </c>
      <c r="C68" s="11">
        <v>11</v>
      </c>
      <c r="D68" s="11"/>
      <c r="E68" s="11"/>
      <c r="F68" s="26" t="str">
        <f>IFERROR(IF(OR($B68="",$C68=""),"",INDEX('Cartes API'!$J:$J,MATCH($B68,'Cartes API'!$A:$A,0))&amp;INDEX('Cartes API'!$B:$B,MATCH($B68,'Cartes API'!$A:$A,0))&amp;"."&amp;INDEX('Cartes API'!$C:$C,MATCH($B68,'Cartes API'!$A:$A,0))&amp;"."&amp;$C68),"")</f>
        <v>%Q0.8.11</v>
      </c>
      <c r="G68" s="26" t="str">
        <f>IFERROR(IF($B68="","",INDEX('Cartes API'!$H:$H,MATCH($B68,'Cartes API'!$A:$A,0))),"")</f>
        <v>CarteDO_R0S8</v>
      </c>
      <c r="H68" s="11">
        <v>11</v>
      </c>
      <c r="I68" s="26" t="str">
        <f t="shared" si="0"/>
        <v>CarteDO_R0S8[11]</v>
      </c>
      <c r="J68" s="26" t="str">
        <f>IFERROR(INDEX(Cablage!$A:$A,MATCH($I68,Cablage!$F:$F,0)),"")</f>
        <v/>
      </c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:50" ht="15" customHeight="1" x14ac:dyDescent="0.25">
      <c r="A69" s="42" t="s">
        <v>99</v>
      </c>
      <c r="B69" s="25" t="s">
        <v>106</v>
      </c>
      <c r="C69" s="11">
        <v>12</v>
      </c>
      <c r="D69" s="11"/>
      <c r="E69" s="11"/>
      <c r="F69" s="26" t="str">
        <f>IFERROR(IF(OR($B69="",$C69=""),"",INDEX('Cartes API'!$J:$J,MATCH($B69,'Cartes API'!$A:$A,0))&amp;INDEX('Cartes API'!$B:$B,MATCH($B69,'Cartes API'!$A:$A,0))&amp;"."&amp;INDEX('Cartes API'!$C:$C,MATCH($B69,'Cartes API'!$A:$A,0))&amp;"."&amp;$C69),"")</f>
        <v>%Q0.8.12</v>
      </c>
      <c r="G69" s="26" t="str">
        <f>IFERROR(IF($B69="","",INDEX('Cartes API'!$H:$H,MATCH($B69,'Cartes API'!$A:$A,0))),"")</f>
        <v>CarteDO_R0S8</v>
      </c>
      <c r="H69" s="11">
        <v>12</v>
      </c>
      <c r="I69" s="26" t="str">
        <f t="shared" si="0"/>
        <v>CarteDO_R0S8[12]</v>
      </c>
      <c r="J69" s="26" t="str">
        <f>IFERROR(INDEX(Cablage!$A:$A,MATCH($I69,Cablage!$F:$F,0)),"")</f>
        <v/>
      </c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:50" ht="15" customHeight="1" x14ac:dyDescent="0.25">
      <c r="A70" s="42" t="s">
        <v>99</v>
      </c>
      <c r="B70" s="25" t="s">
        <v>106</v>
      </c>
      <c r="C70" s="11">
        <v>13</v>
      </c>
      <c r="D70" s="11"/>
      <c r="E70" s="11"/>
      <c r="F70" s="26" t="str">
        <f>IFERROR(IF(OR($B70="",$C70=""),"",INDEX('Cartes API'!$J:$J,MATCH($B70,'Cartes API'!$A:$A,0))&amp;INDEX('Cartes API'!$B:$B,MATCH($B70,'Cartes API'!$A:$A,0))&amp;"."&amp;INDEX('Cartes API'!$C:$C,MATCH($B70,'Cartes API'!$A:$A,0))&amp;"."&amp;$C70),"")</f>
        <v>%Q0.8.13</v>
      </c>
      <c r="G70" s="26" t="str">
        <f>IFERROR(IF($B70="","",INDEX('Cartes API'!$H:$H,MATCH($B70,'Cartes API'!$A:$A,0))),"")</f>
        <v>CarteDO_R0S8</v>
      </c>
      <c r="H70" s="11">
        <v>13</v>
      </c>
      <c r="I70" s="26" t="str">
        <f t="shared" si="0"/>
        <v>CarteDO_R0S8[13]</v>
      </c>
      <c r="J70" s="26" t="str">
        <f>IFERROR(INDEX(Cablage!$A:$A,MATCH($I70,Cablage!$F:$F,0)),"")</f>
        <v/>
      </c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:50" ht="15" customHeight="1" x14ac:dyDescent="0.25">
      <c r="A71" s="42" t="s">
        <v>99</v>
      </c>
      <c r="B71" s="25" t="s">
        <v>106</v>
      </c>
      <c r="C71" s="11">
        <v>14</v>
      </c>
      <c r="D71" s="11"/>
      <c r="E71" s="11"/>
      <c r="F71" s="26" t="str">
        <f>IFERROR(IF(OR($B71="",$C71=""),"",INDEX('Cartes API'!$J:$J,MATCH($B71,'Cartes API'!$A:$A,0))&amp;INDEX('Cartes API'!$B:$B,MATCH($B71,'Cartes API'!$A:$A,0))&amp;"."&amp;INDEX('Cartes API'!$C:$C,MATCH($B71,'Cartes API'!$A:$A,0))&amp;"."&amp;$C71),"")</f>
        <v>%Q0.8.14</v>
      </c>
      <c r="G71" s="26" t="str">
        <f>IFERROR(IF($B71="","",INDEX('Cartes API'!$H:$H,MATCH($B71,'Cartes API'!$A:$A,0))),"")</f>
        <v>CarteDO_R0S8</v>
      </c>
      <c r="H71" s="11">
        <v>14</v>
      </c>
      <c r="I71" s="26" t="str">
        <f t="shared" si="0"/>
        <v>CarteDO_R0S8[14]</v>
      </c>
      <c r="J71" s="26" t="str">
        <f>IFERROR(INDEX(Cablage!$A:$A,MATCH($I71,Cablage!$F:$F,0)),"")</f>
        <v/>
      </c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:50" ht="15" customHeight="1" x14ac:dyDescent="0.25">
      <c r="A72" s="42" t="s">
        <v>99</v>
      </c>
      <c r="B72" s="25" t="s">
        <v>106</v>
      </c>
      <c r="C72" s="11">
        <v>15</v>
      </c>
      <c r="D72" s="11"/>
      <c r="E72" s="11"/>
      <c r="F72" s="26" t="str">
        <f>IFERROR(IF(OR($B72="",$C72=""),"",INDEX('Cartes API'!$J:$J,MATCH($B72,'Cartes API'!$A:$A,0))&amp;INDEX('Cartes API'!$B:$B,MATCH($B72,'Cartes API'!$A:$A,0))&amp;"."&amp;INDEX('Cartes API'!$C:$C,MATCH($B72,'Cartes API'!$A:$A,0))&amp;"."&amp;$C72),"")</f>
        <v>%Q0.8.15</v>
      </c>
      <c r="G72" s="26" t="str">
        <f>IFERROR(IF($B72="","",INDEX('Cartes API'!$H:$H,MATCH($B72,'Cartes API'!$A:$A,0))),"")</f>
        <v>CarteDO_R0S8</v>
      </c>
      <c r="H72" s="11">
        <v>15</v>
      </c>
      <c r="I72" s="26" t="str">
        <f t="shared" si="0"/>
        <v>CarteDO_R0S8[15]</v>
      </c>
      <c r="J72" s="26" t="str">
        <f>IFERROR(INDEX(Cablage!$A:$A,MATCH($I72,Cablage!$F:$F,0)),"")</f>
        <v/>
      </c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:50" ht="15" customHeight="1" x14ac:dyDescent="0.25">
      <c r="A73" s="43" t="s">
        <v>110</v>
      </c>
      <c r="B73" s="25" t="s">
        <v>109</v>
      </c>
      <c r="C73" s="11">
        <v>0</v>
      </c>
      <c r="D73" s="11"/>
      <c r="E73" s="11"/>
      <c r="F73" s="26" t="str">
        <f>IFERROR(IF(OR($B73="",$C73=""),"",INDEX('Cartes API'!$J:$J,MATCH($B73,'Cartes API'!$A:$A,0))&amp;INDEX('Cartes API'!$B:$B,MATCH($B73,'Cartes API'!$A:$A,0))&amp;"."&amp;INDEX('Cartes API'!$C:$C,MATCH($B73,'Cartes API'!$A:$A,0))&amp;"."&amp;$C73),"")</f>
        <v>%IW0.10.0</v>
      </c>
      <c r="G73" s="26" t="str">
        <f>IFERROR(IF($B73="","",INDEX('Cartes API'!$H:$H,MATCH($B73,'Cartes API'!$A:$A,0))),"")</f>
        <v>CarteAI_R0S10</v>
      </c>
      <c r="H73" s="11">
        <v>0</v>
      </c>
      <c r="I73" s="26" t="str">
        <f t="shared" ref="I73:I136" si="1">IF(OR($G73="",$H73=""),"",$G73&amp;"["&amp;$H73&amp;"]")</f>
        <v>CarteAI_R0S10[0]</v>
      </c>
      <c r="J73" s="26" t="str">
        <f>IFERROR(INDEX(Cablage!$A:$A,MATCH($I73,Cablage!$F:$F,0)),"")</f>
        <v/>
      </c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:50" ht="15" customHeight="1" x14ac:dyDescent="0.25">
      <c r="A74" s="43" t="s">
        <v>110</v>
      </c>
      <c r="B74" s="25" t="s">
        <v>109</v>
      </c>
      <c r="C74" s="11">
        <v>1</v>
      </c>
      <c r="D74" s="11"/>
      <c r="E74" s="11"/>
      <c r="F74" s="26" t="str">
        <f>IFERROR(IF(OR($B74="",$C74=""),"",INDEX('Cartes API'!$J:$J,MATCH($B74,'Cartes API'!$A:$A,0))&amp;INDEX('Cartes API'!$B:$B,MATCH($B74,'Cartes API'!$A:$A,0))&amp;"."&amp;INDEX('Cartes API'!$C:$C,MATCH($B74,'Cartes API'!$A:$A,0))&amp;"."&amp;$C74),"")</f>
        <v>%IW0.10.1</v>
      </c>
      <c r="G74" s="26" t="str">
        <f>IFERROR(IF($B74="","",INDEX('Cartes API'!$H:$H,MATCH($B74,'Cartes API'!$A:$A,0))),"")</f>
        <v>CarteAI_R0S10</v>
      </c>
      <c r="H74" s="11">
        <v>1</v>
      </c>
      <c r="I74" s="26" t="str">
        <f t="shared" si="1"/>
        <v>CarteAI_R0S10[1]</v>
      </c>
      <c r="J74" s="26" t="str">
        <f>IFERROR(INDEX(Cablage!$A:$A,MATCH($I74,Cablage!$F:$F,0)),"")</f>
        <v/>
      </c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:50" ht="15" customHeight="1" x14ac:dyDescent="0.25">
      <c r="A75" s="43" t="s">
        <v>110</v>
      </c>
      <c r="B75" s="25" t="s">
        <v>109</v>
      </c>
      <c r="C75" s="11">
        <v>2</v>
      </c>
      <c r="D75" s="11"/>
      <c r="E75" s="11"/>
      <c r="F75" s="26" t="str">
        <f>IFERROR(IF(OR($B75="",$C75=""),"",INDEX('Cartes API'!$J:$J,MATCH($B75,'Cartes API'!$A:$A,0))&amp;INDEX('Cartes API'!$B:$B,MATCH($B75,'Cartes API'!$A:$A,0))&amp;"."&amp;INDEX('Cartes API'!$C:$C,MATCH($B75,'Cartes API'!$A:$A,0))&amp;"."&amp;$C75),"")</f>
        <v>%IW0.10.2</v>
      </c>
      <c r="G75" s="26" t="str">
        <f>IFERROR(IF($B75="","",INDEX('Cartes API'!$H:$H,MATCH($B75,'Cartes API'!$A:$A,0))),"")</f>
        <v>CarteAI_R0S10</v>
      </c>
      <c r="H75" s="11">
        <v>2</v>
      </c>
      <c r="I75" s="26" t="str">
        <f t="shared" si="1"/>
        <v>CarteAI_R0S10[2]</v>
      </c>
      <c r="J75" s="26" t="str">
        <f>IFERROR(INDEX(Cablage!$A:$A,MATCH($I75,Cablage!$F:$F,0)),"")</f>
        <v/>
      </c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:50" ht="15" customHeight="1" x14ac:dyDescent="0.25">
      <c r="A76" s="43" t="s">
        <v>110</v>
      </c>
      <c r="B76" s="25" t="s">
        <v>109</v>
      </c>
      <c r="C76" s="11">
        <v>3</v>
      </c>
      <c r="D76" s="11"/>
      <c r="E76" s="11"/>
      <c r="F76" s="26" t="str">
        <f>IFERROR(IF(OR($B76="",$C76=""),"",INDEX('Cartes API'!$J:$J,MATCH($B76,'Cartes API'!$A:$A,0))&amp;INDEX('Cartes API'!$B:$B,MATCH($B76,'Cartes API'!$A:$A,0))&amp;"."&amp;INDEX('Cartes API'!$C:$C,MATCH($B76,'Cartes API'!$A:$A,0))&amp;"."&amp;$C76),"")</f>
        <v>%IW0.10.3</v>
      </c>
      <c r="G76" s="26" t="str">
        <f>IFERROR(IF($B76="","",INDEX('Cartes API'!$H:$H,MATCH($B76,'Cartes API'!$A:$A,0))),"")</f>
        <v>CarteAI_R0S10</v>
      </c>
      <c r="H76" s="11">
        <v>3</v>
      </c>
      <c r="I76" s="26" t="str">
        <f t="shared" si="1"/>
        <v>CarteAI_R0S10[3]</v>
      </c>
      <c r="J76" s="26" t="str">
        <f>IFERROR(INDEX(Cablage!$A:$A,MATCH($I76,Cablage!$F:$F,0)),"")</f>
        <v/>
      </c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:50" ht="15" customHeight="1" x14ac:dyDescent="0.25">
      <c r="A77" s="43" t="s">
        <v>110</v>
      </c>
      <c r="B77" s="25" t="s">
        <v>109</v>
      </c>
      <c r="C77" s="11">
        <v>4</v>
      </c>
      <c r="D77" s="11"/>
      <c r="E77" s="11"/>
      <c r="F77" s="26" t="str">
        <f>IFERROR(IF(OR($B77="",$C77=""),"",INDEX('Cartes API'!$J:$J,MATCH($B77,'Cartes API'!$A:$A,0))&amp;INDEX('Cartes API'!$B:$B,MATCH($B77,'Cartes API'!$A:$A,0))&amp;"."&amp;INDEX('Cartes API'!$C:$C,MATCH($B77,'Cartes API'!$A:$A,0))&amp;"."&amp;$C77),"")</f>
        <v>%IW0.10.4</v>
      </c>
      <c r="G77" s="26" t="str">
        <f>IFERROR(IF($B77="","",INDEX('Cartes API'!$H:$H,MATCH($B77,'Cartes API'!$A:$A,0))),"")</f>
        <v>CarteAI_R0S10</v>
      </c>
      <c r="H77" s="11">
        <v>4</v>
      </c>
      <c r="I77" s="26" t="str">
        <f t="shared" si="1"/>
        <v>CarteAI_R0S10[4]</v>
      </c>
      <c r="J77" s="26" t="str">
        <f>IFERROR(INDEX(Cablage!$A:$A,MATCH($I77,Cablage!$F:$F,0)),"")</f>
        <v/>
      </c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:50" ht="15" customHeight="1" x14ac:dyDescent="0.25">
      <c r="A78" s="43" t="s">
        <v>110</v>
      </c>
      <c r="B78" s="25" t="s">
        <v>109</v>
      </c>
      <c r="C78" s="11">
        <v>5</v>
      </c>
      <c r="D78" s="11"/>
      <c r="E78" s="11"/>
      <c r="F78" s="26" t="str">
        <f>IFERROR(IF(OR($B78="",$C78=""),"",INDEX('Cartes API'!$J:$J,MATCH($B78,'Cartes API'!$A:$A,0))&amp;INDEX('Cartes API'!$B:$B,MATCH($B78,'Cartes API'!$A:$A,0))&amp;"."&amp;INDEX('Cartes API'!$C:$C,MATCH($B78,'Cartes API'!$A:$A,0))&amp;"."&amp;$C78),"")</f>
        <v>%IW0.10.5</v>
      </c>
      <c r="G78" s="26" t="str">
        <f>IFERROR(IF($B78="","",INDEX('Cartes API'!$H:$H,MATCH($B78,'Cartes API'!$A:$A,0))),"")</f>
        <v>CarteAI_R0S10</v>
      </c>
      <c r="H78" s="11">
        <v>5</v>
      </c>
      <c r="I78" s="26" t="str">
        <f t="shared" si="1"/>
        <v>CarteAI_R0S10[5]</v>
      </c>
      <c r="J78" s="26" t="str">
        <f>IFERROR(INDEX(Cablage!$A:$A,MATCH($I78,Cablage!$F:$F,0)),"")</f>
        <v/>
      </c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:50" ht="15" customHeight="1" x14ac:dyDescent="0.25">
      <c r="A79" s="43" t="s">
        <v>110</v>
      </c>
      <c r="B79" s="25" t="s">
        <v>109</v>
      </c>
      <c r="C79" s="11">
        <v>6</v>
      </c>
      <c r="D79" s="11"/>
      <c r="E79" s="11"/>
      <c r="F79" s="26" t="str">
        <f>IFERROR(IF(OR($B79="",$C79=""),"",INDEX('Cartes API'!$J:$J,MATCH($B79,'Cartes API'!$A:$A,0))&amp;INDEX('Cartes API'!$B:$B,MATCH($B79,'Cartes API'!$A:$A,0))&amp;"."&amp;INDEX('Cartes API'!$C:$C,MATCH($B79,'Cartes API'!$A:$A,0))&amp;"."&amp;$C79),"")</f>
        <v>%IW0.10.6</v>
      </c>
      <c r="G79" s="26" t="str">
        <f>IFERROR(IF($B79="","",INDEX('Cartes API'!$H:$H,MATCH($B79,'Cartes API'!$A:$A,0))),"")</f>
        <v>CarteAI_R0S10</v>
      </c>
      <c r="H79" s="11">
        <v>6</v>
      </c>
      <c r="I79" s="26" t="str">
        <f t="shared" si="1"/>
        <v>CarteAI_R0S10[6]</v>
      </c>
      <c r="J79" s="26" t="str">
        <f>IFERROR(INDEX(Cablage!$A:$A,MATCH($I79,Cablage!$F:$F,0)),"")</f>
        <v/>
      </c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:50" ht="15" customHeight="1" x14ac:dyDescent="0.25">
      <c r="A80" s="43" t="s">
        <v>110</v>
      </c>
      <c r="B80" s="25" t="s">
        <v>109</v>
      </c>
      <c r="C80" s="11">
        <v>7</v>
      </c>
      <c r="D80" s="11"/>
      <c r="E80" s="11"/>
      <c r="F80" s="26" t="str">
        <f>IFERROR(IF(OR($B80="",$C80=""),"",INDEX('Cartes API'!$J:$J,MATCH($B80,'Cartes API'!$A:$A,0))&amp;INDEX('Cartes API'!$B:$B,MATCH($B80,'Cartes API'!$A:$A,0))&amp;"."&amp;INDEX('Cartes API'!$C:$C,MATCH($B80,'Cartes API'!$A:$A,0))&amp;"."&amp;$C80),"")</f>
        <v>%IW0.10.7</v>
      </c>
      <c r="G80" s="26" t="str">
        <f>IFERROR(IF($B80="","",INDEX('Cartes API'!$H:$H,MATCH($B80,'Cartes API'!$A:$A,0))),"")</f>
        <v>CarteAI_R0S10</v>
      </c>
      <c r="H80" s="11">
        <v>7</v>
      </c>
      <c r="I80" s="26" t="str">
        <f t="shared" si="1"/>
        <v>CarteAI_R0S10[7]</v>
      </c>
      <c r="J80" s="26" t="str">
        <f>IFERROR(INDEX(Cablage!$A:$A,MATCH($I80,Cablage!$F:$F,0)),"")</f>
        <v/>
      </c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:50" ht="15" customHeight="1" x14ac:dyDescent="0.25">
      <c r="A81" s="43" t="s">
        <v>110</v>
      </c>
      <c r="B81" s="25" t="s">
        <v>114</v>
      </c>
      <c r="C81" s="11">
        <v>0</v>
      </c>
      <c r="D81" s="11"/>
      <c r="E81" s="11"/>
      <c r="F81" s="26" t="str">
        <f>IFERROR(IF(OR($B81="",$C81=""),"",INDEX('Cartes API'!$J:$J,MATCH($B81,'Cartes API'!$A:$A,0))&amp;INDEX('Cartes API'!$B:$B,MATCH($B81,'Cartes API'!$A:$A,0))&amp;"."&amp;INDEX('Cartes API'!$C:$C,MATCH($B81,'Cartes API'!$A:$A,0))&amp;"."&amp;$C81),"")</f>
        <v>%IW0.11.0</v>
      </c>
      <c r="G81" s="26" t="str">
        <f>IFERROR(IF($B81="","",INDEX('Cartes API'!$H:$H,MATCH($B81,'Cartes API'!$A:$A,0))),"")</f>
        <v>CarteAI_R0S11</v>
      </c>
      <c r="H81" s="11">
        <v>0</v>
      </c>
      <c r="I81" s="26" t="str">
        <f t="shared" si="1"/>
        <v>CarteAI_R0S11[0]</v>
      </c>
      <c r="J81" s="26" t="str">
        <f>IFERROR(INDEX(Cablage!$A:$A,MATCH($I81,Cablage!$F:$F,0)),"")</f>
        <v/>
      </c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:50" ht="15" customHeight="1" x14ac:dyDescent="0.25">
      <c r="A82" s="43" t="s">
        <v>110</v>
      </c>
      <c r="B82" s="25" t="s">
        <v>114</v>
      </c>
      <c r="C82" s="11">
        <v>1</v>
      </c>
      <c r="D82" s="11"/>
      <c r="E82" s="11"/>
      <c r="F82" s="26" t="str">
        <f>IFERROR(IF(OR($B82="",$C82=""),"",INDEX('Cartes API'!$J:$J,MATCH($B82,'Cartes API'!$A:$A,0))&amp;INDEX('Cartes API'!$B:$B,MATCH($B82,'Cartes API'!$A:$A,0))&amp;"."&amp;INDEX('Cartes API'!$C:$C,MATCH($B82,'Cartes API'!$A:$A,0))&amp;"."&amp;$C82),"")</f>
        <v>%IW0.11.1</v>
      </c>
      <c r="G82" s="26" t="str">
        <f>IFERROR(IF($B82="","",INDEX('Cartes API'!$H:$H,MATCH($B82,'Cartes API'!$A:$A,0))),"")</f>
        <v>CarteAI_R0S11</v>
      </c>
      <c r="H82" s="11">
        <v>1</v>
      </c>
      <c r="I82" s="26" t="str">
        <f t="shared" si="1"/>
        <v>CarteAI_R0S11[1]</v>
      </c>
      <c r="J82" s="26" t="str">
        <f>IFERROR(INDEX(Cablage!$A:$A,MATCH($I82,Cablage!$F:$F,0)),"")</f>
        <v/>
      </c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:50" ht="15" customHeight="1" x14ac:dyDescent="0.25">
      <c r="A83" s="43" t="s">
        <v>110</v>
      </c>
      <c r="B83" s="25" t="s">
        <v>114</v>
      </c>
      <c r="C83" s="11">
        <v>2</v>
      </c>
      <c r="D83" s="11"/>
      <c r="E83" s="11"/>
      <c r="F83" s="26" t="str">
        <f>IFERROR(IF(OR($B83="",$C83=""),"",INDEX('Cartes API'!$J:$J,MATCH($B83,'Cartes API'!$A:$A,0))&amp;INDEX('Cartes API'!$B:$B,MATCH($B83,'Cartes API'!$A:$A,0))&amp;"."&amp;INDEX('Cartes API'!$C:$C,MATCH($B83,'Cartes API'!$A:$A,0))&amp;"."&amp;$C83),"")</f>
        <v>%IW0.11.2</v>
      </c>
      <c r="G83" s="26" t="str">
        <f>IFERROR(IF($B83="","",INDEX('Cartes API'!$H:$H,MATCH($B83,'Cartes API'!$A:$A,0))),"")</f>
        <v>CarteAI_R0S11</v>
      </c>
      <c r="H83" s="11">
        <v>2</v>
      </c>
      <c r="I83" s="26" t="str">
        <f t="shared" si="1"/>
        <v>CarteAI_R0S11[2]</v>
      </c>
      <c r="J83" s="26" t="str">
        <f>IFERROR(INDEX(Cablage!$A:$A,MATCH($I83,Cablage!$F:$F,0)),"")</f>
        <v/>
      </c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:50" ht="15" customHeight="1" x14ac:dyDescent="0.25">
      <c r="A84" s="43" t="s">
        <v>110</v>
      </c>
      <c r="B84" s="25" t="s">
        <v>114</v>
      </c>
      <c r="C84" s="11">
        <v>3</v>
      </c>
      <c r="D84" s="11"/>
      <c r="E84" s="11"/>
      <c r="F84" s="26" t="str">
        <f>IFERROR(IF(OR($B84="",$C84=""),"",INDEX('Cartes API'!$J:$J,MATCH($B84,'Cartes API'!$A:$A,0))&amp;INDEX('Cartes API'!$B:$B,MATCH($B84,'Cartes API'!$A:$A,0))&amp;"."&amp;INDEX('Cartes API'!$C:$C,MATCH($B84,'Cartes API'!$A:$A,0))&amp;"."&amp;$C84),"")</f>
        <v>%IW0.11.3</v>
      </c>
      <c r="G84" s="26" t="str">
        <f>IFERROR(IF($B84="","",INDEX('Cartes API'!$H:$H,MATCH($B84,'Cartes API'!$A:$A,0))),"")</f>
        <v>CarteAI_R0S11</v>
      </c>
      <c r="H84" s="11">
        <v>3</v>
      </c>
      <c r="I84" s="26" t="str">
        <f t="shared" si="1"/>
        <v>CarteAI_R0S11[3]</v>
      </c>
      <c r="J84" s="26" t="str">
        <f>IFERROR(INDEX(Cablage!$A:$A,MATCH($I84,Cablage!$F:$F,0)),"")</f>
        <v/>
      </c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:50" ht="15" customHeight="1" x14ac:dyDescent="0.25">
      <c r="A85" s="43" t="s">
        <v>110</v>
      </c>
      <c r="B85" s="25" t="s">
        <v>114</v>
      </c>
      <c r="C85" s="11">
        <v>4</v>
      </c>
      <c r="D85" s="11"/>
      <c r="E85" s="11"/>
      <c r="F85" s="26" t="str">
        <f>IFERROR(IF(OR($B85="",$C85=""),"",INDEX('Cartes API'!$J:$J,MATCH($B85,'Cartes API'!$A:$A,0))&amp;INDEX('Cartes API'!$B:$B,MATCH($B85,'Cartes API'!$A:$A,0))&amp;"."&amp;INDEX('Cartes API'!$C:$C,MATCH($B85,'Cartes API'!$A:$A,0))&amp;"."&amp;$C85),"")</f>
        <v>%IW0.11.4</v>
      </c>
      <c r="G85" s="26" t="str">
        <f>IFERROR(IF($B85="","",INDEX('Cartes API'!$H:$H,MATCH($B85,'Cartes API'!$A:$A,0))),"")</f>
        <v>CarteAI_R0S11</v>
      </c>
      <c r="H85" s="11">
        <v>4</v>
      </c>
      <c r="I85" s="26" t="str">
        <f t="shared" si="1"/>
        <v>CarteAI_R0S11[4]</v>
      </c>
      <c r="J85" s="26" t="str">
        <f>IFERROR(INDEX(Cablage!$A:$A,MATCH($I85,Cablage!$F:$F,0)),"")</f>
        <v/>
      </c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:50" ht="15" customHeight="1" x14ac:dyDescent="0.25">
      <c r="A86" s="43" t="s">
        <v>110</v>
      </c>
      <c r="B86" s="25" t="s">
        <v>114</v>
      </c>
      <c r="C86" s="11">
        <v>5</v>
      </c>
      <c r="D86" s="11"/>
      <c r="E86" s="11"/>
      <c r="F86" s="26" t="str">
        <f>IFERROR(IF(OR($B86="",$C86=""),"",INDEX('Cartes API'!$J:$J,MATCH($B86,'Cartes API'!$A:$A,0))&amp;INDEX('Cartes API'!$B:$B,MATCH($B86,'Cartes API'!$A:$A,0))&amp;"."&amp;INDEX('Cartes API'!$C:$C,MATCH($B86,'Cartes API'!$A:$A,0))&amp;"."&amp;$C86),"")</f>
        <v>%IW0.11.5</v>
      </c>
      <c r="G86" s="26" t="str">
        <f>IFERROR(IF($B86="","",INDEX('Cartes API'!$H:$H,MATCH($B86,'Cartes API'!$A:$A,0))),"")</f>
        <v>CarteAI_R0S11</v>
      </c>
      <c r="H86" s="11">
        <v>5</v>
      </c>
      <c r="I86" s="26" t="str">
        <f t="shared" si="1"/>
        <v>CarteAI_R0S11[5]</v>
      </c>
      <c r="J86" s="26" t="str">
        <f>IFERROR(INDEX(Cablage!$A:$A,MATCH($I86,Cablage!$F:$F,0)),"")</f>
        <v/>
      </c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:50" ht="15" customHeight="1" x14ac:dyDescent="0.25">
      <c r="A87" s="43" t="s">
        <v>110</v>
      </c>
      <c r="B87" s="25" t="s">
        <v>114</v>
      </c>
      <c r="C87" s="11">
        <v>6</v>
      </c>
      <c r="D87" s="11"/>
      <c r="E87" s="11"/>
      <c r="F87" s="26" t="str">
        <f>IFERROR(IF(OR($B87="",$C87=""),"",INDEX('Cartes API'!$J:$J,MATCH($B87,'Cartes API'!$A:$A,0))&amp;INDEX('Cartes API'!$B:$B,MATCH($B87,'Cartes API'!$A:$A,0))&amp;"."&amp;INDEX('Cartes API'!$C:$C,MATCH($B87,'Cartes API'!$A:$A,0))&amp;"."&amp;$C87),"")</f>
        <v>%IW0.11.6</v>
      </c>
      <c r="G87" s="26" t="str">
        <f>IFERROR(IF($B87="","",INDEX('Cartes API'!$H:$H,MATCH($B87,'Cartes API'!$A:$A,0))),"")</f>
        <v>CarteAI_R0S11</v>
      </c>
      <c r="H87" s="11">
        <v>6</v>
      </c>
      <c r="I87" s="26" t="str">
        <f t="shared" si="1"/>
        <v>CarteAI_R0S11[6]</v>
      </c>
      <c r="J87" s="26" t="str">
        <f>IFERROR(INDEX(Cablage!$A:$A,MATCH($I87,Cablage!$F:$F,0)),"")</f>
        <v/>
      </c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:50" ht="15" customHeight="1" x14ac:dyDescent="0.25">
      <c r="A88" s="43" t="s">
        <v>110</v>
      </c>
      <c r="B88" s="25" t="s">
        <v>114</v>
      </c>
      <c r="C88" s="11">
        <v>7</v>
      </c>
      <c r="D88" s="11"/>
      <c r="E88" s="11"/>
      <c r="F88" s="26" t="str">
        <f>IFERROR(IF(OR($B88="",$C88=""),"",INDEX('Cartes API'!$J:$J,MATCH($B88,'Cartes API'!$A:$A,0))&amp;INDEX('Cartes API'!$B:$B,MATCH($B88,'Cartes API'!$A:$A,0))&amp;"."&amp;INDEX('Cartes API'!$C:$C,MATCH($B88,'Cartes API'!$A:$A,0))&amp;"."&amp;$C88),"")</f>
        <v>%IW0.11.7</v>
      </c>
      <c r="G88" s="26" t="str">
        <f>IFERROR(IF($B88="","",INDEX('Cartes API'!$H:$H,MATCH($B88,'Cartes API'!$A:$A,0))),"")</f>
        <v>CarteAI_R0S11</v>
      </c>
      <c r="H88" s="11">
        <v>7</v>
      </c>
      <c r="I88" s="26" t="str">
        <f t="shared" si="1"/>
        <v>CarteAI_R0S11[7]</v>
      </c>
      <c r="J88" s="26" t="str">
        <f>IFERROR(INDEX(Cablage!$A:$A,MATCH($I88,Cablage!$F:$F,0)),"")</f>
        <v/>
      </c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:50" ht="15" customHeight="1" x14ac:dyDescent="0.25">
      <c r="A89" s="25"/>
      <c r="B89" s="25"/>
      <c r="C89" s="11"/>
      <c r="D89" s="11"/>
      <c r="E89" s="11"/>
      <c r="F89" s="26" t="str">
        <f>IFERROR(IF(OR($B89="",$C89=""),"",INDEX('Cartes API'!$J:$J,MATCH($B89,'Cartes API'!$A:$A,0))&amp;INDEX('Cartes API'!$B:$B,MATCH($B89,'Cartes API'!$A:$A,0))&amp;"."&amp;INDEX('Cartes API'!$C:$C,MATCH($B89,'Cartes API'!$A:$A,0))&amp;"."&amp;$C89),"")</f>
        <v/>
      </c>
      <c r="G89" s="26" t="str">
        <f>IFERROR(IF($B89="","",INDEX('Cartes API'!$H:$H,MATCH($B89,'Cartes API'!$A:$A,0))),"")</f>
        <v/>
      </c>
      <c r="H89" s="11"/>
      <c r="I89" s="26" t="str">
        <f t="shared" si="1"/>
        <v/>
      </c>
      <c r="J89" s="26" t="str">
        <f>IFERROR(INDEX(Cablage!$A:$A,MATCH($I89,Cablage!$F:$F,0)),"")</f>
        <v/>
      </c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:50" ht="15" customHeight="1" x14ac:dyDescent="0.25">
      <c r="A90" s="25"/>
      <c r="B90" s="25"/>
      <c r="C90" s="11"/>
      <c r="D90" s="11"/>
      <c r="E90" s="11"/>
      <c r="F90" s="26" t="str">
        <f>IFERROR(IF(OR($B90="",$C90=""),"",INDEX('Cartes API'!$J:$J,MATCH($B90,'Cartes API'!$A:$A,0))&amp;INDEX('Cartes API'!$B:$B,MATCH($B90,'Cartes API'!$A:$A,0))&amp;"."&amp;INDEX('Cartes API'!$C:$C,MATCH($B90,'Cartes API'!$A:$A,0))&amp;"."&amp;$C90),"")</f>
        <v/>
      </c>
      <c r="G90" s="26" t="str">
        <f>IFERROR(IF($B90="","",INDEX('Cartes API'!$H:$H,MATCH($B90,'Cartes API'!$A:$A,0))),"")</f>
        <v/>
      </c>
      <c r="H90" s="11"/>
      <c r="I90" s="26" t="str">
        <f t="shared" si="1"/>
        <v/>
      </c>
      <c r="J90" s="26" t="str">
        <f>IFERROR(INDEX(Cablage!$A:$A,MATCH($I90,Cablage!$F:$F,0)),"")</f>
        <v/>
      </c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:50" ht="15" customHeight="1" x14ac:dyDescent="0.25">
      <c r="A91" s="25"/>
      <c r="B91" s="25"/>
      <c r="C91" s="11"/>
      <c r="D91" s="11"/>
      <c r="E91" s="11"/>
      <c r="F91" s="26" t="str">
        <f>IFERROR(IF(OR($B91="",$C91=""),"",INDEX('Cartes API'!$J:$J,MATCH($B91,'Cartes API'!$A:$A,0))&amp;INDEX('Cartes API'!$B:$B,MATCH($B91,'Cartes API'!$A:$A,0))&amp;"."&amp;INDEX('Cartes API'!$C:$C,MATCH($B91,'Cartes API'!$A:$A,0))&amp;"."&amp;$C91),"")</f>
        <v/>
      </c>
      <c r="G91" s="26" t="str">
        <f>IFERROR(IF($B91="","",INDEX('Cartes API'!$H:$H,MATCH($B91,'Cartes API'!$A:$A,0))),"")</f>
        <v/>
      </c>
      <c r="H91" s="11"/>
      <c r="I91" s="26" t="str">
        <f t="shared" si="1"/>
        <v/>
      </c>
      <c r="J91" s="26" t="str">
        <f>IFERROR(INDEX(Cablage!$A:$A,MATCH($I91,Cablage!$F:$F,0)),"")</f>
        <v/>
      </c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:50" ht="15" customHeight="1" x14ac:dyDescent="0.25">
      <c r="A92" s="25"/>
      <c r="B92" s="25"/>
      <c r="C92" s="11"/>
      <c r="D92" s="11"/>
      <c r="E92" s="11"/>
      <c r="F92" s="26" t="str">
        <f>IFERROR(IF(OR($B92="",$C92=""),"",INDEX('Cartes API'!$J:$J,MATCH($B92,'Cartes API'!$A:$A,0))&amp;INDEX('Cartes API'!$B:$B,MATCH($B92,'Cartes API'!$A:$A,0))&amp;"."&amp;INDEX('Cartes API'!$C:$C,MATCH($B92,'Cartes API'!$A:$A,0))&amp;"."&amp;$C92),"")</f>
        <v/>
      </c>
      <c r="G92" s="26" t="str">
        <f>IFERROR(IF($B92="","",INDEX('Cartes API'!$H:$H,MATCH($B92,'Cartes API'!$A:$A,0))),"")</f>
        <v/>
      </c>
      <c r="H92" s="11"/>
      <c r="I92" s="26" t="str">
        <f t="shared" si="1"/>
        <v/>
      </c>
      <c r="J92" s="26" t="str">
        <f>IFERROR(INDEX(Cablage!$A:$A,MATCH($I92,Cablage!$F:$F,0)),"")</f>
        <v/>
      </c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:50" ht="15" customHeight="1" x14ac:dyDescent="0.25">
      <c r="A93" s="25"/>
      <c r="B93" s="25"/>
      <c r="C93" s="11"/>
      <c r="D93" s="11"/>
      <c r="E93" s="11"/>
      <c r="F93" s="26" t="str">
        <f>IFERROR(IF(OR($B93="",$C93=""),"",INDEX('Cartes API'!$J:$J,MATCH($B93,'Cartes API'!$A:$A,0))&amp;INDEX('Cartes API'!$B:$B,MATCH($B93,'Cartes API'!$A:$A,0))&amp;"."&amp;INDEX('Cartes API'!$C:$C,MATCH($B93,'Cartes API'!$A:$A,0))&amp;"."&amp;$C93),"")</f>
        <v/>
      </c>
      <c r="G93" s="26" t="str">
        <f>IFERROR(IF($B93="","",INDEX('Cartes API'!$H:$H,MATCH($B93,'Cartes API'!$A:$A,0))),"")</f>
        <v/>
      </c>
      <c r="H93" s="11"/>
      <c r="I93" s="26" t="str">
        <f t="shared" si="1"/>
        <v/>
      </c>
      <c r="J93" s="26" t="str">
        <f>IFERROR(INDEX(Cablage!$A:$A,MATCH($I93,Cablage!$F:$F,0)),"")</f>
        <v/>
      </c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:50" ht="15" customHeight="1" x14ac:dyDescent="0.25">
      <c r="A94" s="25"/>
      <c r="B94" s="25"/>
      <c r="C94" s="11"/>
      <c r="D94" s="11"/>
      <c r="E94" s="11"/>
      <c r="F94" s="26" t="str">
        <f>IFERROR(IF(OR($B94="",$C94=""),"",INDEX('Cartes API'!$J:$J,MATCH($B94,'Cartes API'!$A:$A,0))&amp;INDEX('Cartes API'!$B:$B,MATCH($B94,'Cartes API'!$A:$A,0))&amp;"."&amp;INDEX('Cartes API'!$C:$C,MATCH($B94,'Cartes API'!$A:$A,0))&amp;"."&amp;$C94),"")</f>
        <v/>
      </c>
      <c r="G94" s="26" t="str">
        <f>IFERROR(IF($B94="","",INDEX('Cartes API'!$H:$H,MATCH($B94,'Cartes API'!$A:$A,0))),"")</f>
        <v/>
      </c>
      <c r="H94" s="11"/>
      <c r="I94" s="26" t="str">
        <f t="shared" si="1"/>
        <v/>
      </c>
      <c r="J94" s="26" t="str">
        <f>IFERROR(INDEX(Cablage!$A:$A,MATCH($I94,Cablage!$F:$F,0)),"")</f>
        <v/>
      </c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:50" ht="15" customHeight="1" x14ac:dyDescent="0.25">
      <c r="A95" s="25"/>
      <c r="B95" s="25"/>
      <c r="C95" s="11"/>
      <c r="D95" s="11"/>
      <c r="E95" s="11"/>
      <c r="F95" s="26" t="str">
        <f>IFERROR(IF(OR($B95="",$C95=""),"",INDEX('Cartes API'!$J:$J,MATCH($B95,'Cartes API'!$A:$A,0))&amp;INDEX('Cartes API'!$B:$B,MATCH($B95,'Cartes API'!$A:$A,0))&amp;"."&amp;INDEX('Cartes API'!$C:$C,MATCH($B95,'Cartes API'!$A:$A,0))&amp;"."&amp;$C95),"")</f>
        <v/>
      </c>
      <c r="G95" s="26" t="str">
        <f>IFERROR(IF($B95="","",INDEX('Cartes API'!$H:$H,MATCH($B95,'Cartes API'!$A:$A,0))),"")</f>
        <v/>
      </c>
      <c r="H95" s="11"/>
      <c r="I95" s="26" t="str">
        <f t="shared" si="1"/>
        <v/>
      </c>
      <c r="J95" s="26" t="str">
        <f>IFERROR(INDEX(Cablage!$A:$A,MATCH($I95,Cablage!$F:$F,0)),"")</f>
        <v/>
      </c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:50" ht="15" customHeight="1" x14ac:dyDescent="0.25">
      <c r="A96" s="25"/>
      <c r="B96" s="25"/>
      <c r="C96" s="11"/>
      <c r="D96" s="11"/>
      <c r="E96" s="11"/>
      <c r="F96" s="26" t="str">
        <f>IFERROR(IF(OR($B96="",$C96=""),"",INDEX('Cartes API'!$J:$J,MATCH($B96,'Cartes API'!$A:$A,0))&amp;INDEX('Cartes API'!$B:$B,MATCH($B96,'Cartes API'!$A:$A,0))&amp;"."&amp;INDEX('Cartes API'!$C:$C,MATCH($B96,'Cartes API'!$A:$A,0))&amp;"."&amp;$C96),"")</f>
        <v/>
      </c>
      <c r="G96" s="26" t="str">
        <f>IFERROR(IF($B96="","",INDEX('Cartes API'!$H:$H,MATCH($B96,'Cartes API'!$A:$A,0))),"")</f>
        <v/>
      </c>
      <c r="H96" s="11"/>
      <c r="I96" s="26" t="str">
        <f t="shared" si="1"/>
        <v/>
      </c>
      <c r="J96" s="26" t="str">
        <f>IFERROR(INDEX(Cablage!$A:$A,MATCH($I96,Cablage!$F:$F,0)),"")</f>
        <v/>
      </c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:50" ht="15" customHeight="1" x14ac:dyDescent="0.25">
      <c r="A97" s="25"/>
      <c r="B97" s="25"/>
      <c r="C97" s="11"/>
      <c r="D97" s="11"/>
      <c r="E97" s="11"/>
      <c r="F97" s="26" t="str">
        <f>IFERROR(IF(OR($B97="",$C97=""),"",INDEX('Cartes API'!$J:$J,MATCH($B97,'Cartes API'!$A:$A,0))&amp;INDEX('Cartes API'!$B:$B,MATCH($B97,'Cartes API'!$A:$A,0))&amp;"."&amp;INDEX('Cartes API'!$C:$C,MATCH($B97,'Cartes API'!$A:$A,0))&amp;"."&amp;$C97),"")</f>
        <v/>
      </c>
      <c r="G97" s="26" t="str">
        <f>IFERROR(IF($B97="","",INDEX('Cartes API'!$H:$H,MATCH($B97,'Cartes API'!$A:$A,0))),"")</f>
        <v/>
      </c>
      <c r="H97" s="11"/>
      <c r="I97" s="26" t="str">
        <f t="shared" si="1"/>
        <v/>
      </c>
      <c r="J97" s="26" t="str">
        <f>IFERROR(INDEX(Cablage!$A:$A,MATCH($I97,Cablage!$F:$F,0)),"")</f>
        <v/>
      </c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</row>
    <row r="98" spans="1:50" ht="15" customHeight="1" x14ac:dyDescent="0.25">
      <c r="A98" s="25"/>
      <c r="B98" s="25"/>
      <c r="C98" s="11"/>
      <c r="D98" s="11"/>
      <c r="E98" s="11"/>
      <c r="F98" s="26" t="str">
        <f>IFERROR(IF(OR($B98="",$C98=""),"",INDEX('Cartes API'!$J:$J,MATCH($B98,'Cartes API'!$A:$A,0))&amp;INDEX('Cartes API'!$B:$B,MATCH($B98,'Cartes API'!$A:$A,0))&amp;"."&amp;INDEX('Cartes API'!$C:$C,MATCH($B98,'Cartes API'!$A:$A,0))&amp;"."&amp;$C98),"")</f>
        <v/>
      </c>
      <c r="G98" s="26" t="str">
        <f>IFERROR(IF($B98="","",INDEX('Cartes API'!$H:$H,MATCH($B98,'Cartes API'!$A:$A,0))),"")</f>
        <v/>
      </c>
      <c r="H98" s="11"/>
      <c r="I98" s="26" t="str">
        <f t="shared" si="1"/>
        <v/>
      </c>
      <c r="J98" s="26" t="str">
        <f>IFERROR(INDEX(Cablage!$A:$A,MATCH($I98,Cablage!$F:$F,0)),"")</f>
        <v/>
      </c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</row>
    <row r="99" spans="1:50" ht="15" customHeight="1" x14ac:dyDescent="0.25">
      <c r="A99" s="25"/>
      <c r="B99" s="25"/>
      <c r="C99" s="11"/>
      <c r="D99" s="11"/>
      <c r="E99" s="11"/>
      <c r="F99" s="26" t="str">
        <f>IFERROR(IF(OR($B99="",$C99=""),"",INDEX('Cartes API'!$J:$J,MATCH($B99,'Cartes API'!$A:$A,0))&amp;INDEX('Cartes API'!$B:$B,MATCH($B99,'Cartes API'!$A:$A,0))&amp;"."&amp;INDEX('Cartes API'!$C:$C,MATCH($B99,'Cartes API'!$A:$A,0))&amp;"."&amp;$C99),"")</f>
        <v/>
      </c>
      <c r="G99" s="26" t="str">
        <f>IFERROR(IF($B99="","",INDEX('Cartes API'!$H:$H,MATCH($B99,'Cartes API'!$A:$A,0))),"")</f>
        <v/>
      </c>
      <c r="H99" s="11"/>
      <c r="I99" s="26" t="str">
        <f t="shared" si="1"/>
        <v/>
      </c>
      <c r="J99" s="26" t="str">
        <f>IFERROR(INDEX(Cablage!$A:$A,MATCH($I99,Cablage!$F:$F,0)),"")</f>
        <v/>
      </c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</row>
    <row r="100" spans="1:50" ht="15" customHeight="1" x14ac:dyDescent="0.25">
      <c r="A100" s="25"/>
      <c r="B100" s="25"/>
      <c r="C100" s="11"/>
      <c r="D100" s="11"/>
      <c r="E100" s="11"/>
      <c r="F100" s="26" t="str">
        <f>IFERROR(IF(OR($B100="",$C100=""),"",INDEX('Cartes API'!$J:$J,MATCH($B100,'Cartes API'!$A:$A,0))&amp;INDEX('Cartes API'!$B:$B,MATCH($B100,'Cartes API'!$A:$A,0))&amp;"."&amp;INDEX('Cartes API'!$C:$C,MATCH($B100,'Cartes API'!$A:$A,0))&amp;"."&amp;$C100),"")</f>
        <v/>
      </c>
      <c r="G100" s="26" t="str">
        <f>IFERROR(IF($B100="","",INDEX('Cartes API'!$H:$H,MATCH($B100,'Cartes API'!$A:$A,0))),"")</f>
        <v/>
      </c>
      <c r="H100" s="11"/>
      <c r="I100" s="26" t="str">
        <f t="shared" si="1"/>
        <v/>
      </c>
      <c r="J100" s="26" t="str">
        <f>IFERROR(INDEX(Cablage!$A:$A,MATCH($I100,Cablage!$F:$F,0)),"")</f>
        <v/>
      </c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</row>
    <row r="101" spans="1:50" ht="15" customHeight="1" x14ac:dyDescent="0.25">
      <c r="A101" s="25"/>
      <c r="B101" s="25"/>
      <c r="C101" s="11"/>
      <c r="D101" s="11"/>
      <c r="E101" s="11"/>
      <c r="F101" s="26" t="str">
        <f>IFERROR(IF(OR($B101="",$C101=""),"",INDEX('Cartes API'!$J:$J,MATCH($B101,'Cartes API'!$A:$A,0))&amp;INDEX('Cartes API'!$B:$B,MATCH($B101,'Cartes API'!$A:$A,0))&amp;"."&amp;INDEX('Cartes API'!$C:$C,MATCH($B101,'Cartes API'!$A:$A,0))&amp;"."&amp;$C101),"")</f>
        <v/>
      </c>
      <c r="G101" s="26" t="str">
        <f>IFERROR(IF($B101="","",INDEX('Cartes API'!$H:$H,MATCH($B101,'Cartes API'!$A:$A,0))),"")</f>
        <v/>
      </c>
      <c r="H101" s="11"/>
      <c r="I101" s="26" t="str">
        <f t="shared" si="1"/>
        <v/>
      </c>
      <c r="J101" s="26" t="str">
        <f>IFERROR(INDEX(Cablage!$A:$A,MATCH($I101,Cablage!$F:$F,0)),"")</f>
        <v/>
      </c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</row>
    <row r="102" spans="1:50" ht="15" customHeight="1" x14ac:dyDescent="0.25">
      <c r="A102" s="25"/>
      <c r="B102" s="25"/>
      <c r="C102" s="11"/>
      <c r="D102" s="11"/>
      <c r="E102" s="11"/>
      <c r="F102" s="26" t="str">
        <f>IFERROR(IF(OR($B102="",$C102=""),"",INDEX('Cartes API'!$J:$J,MATCH($B102,'Cartes API'!$A:$A,0))&amp;INDEX('Cartes API'!$B:$B,MATCH($B102,'Cartes API'!$A:$A,0))&amp;"."&amp;INDEX('Cartes API'!$C:$C,MATCH($B102,'Cartes API'!$A:$A,0))&amp;"."&amp;$C102),"")</f>
        <v/>
      </c>
      <c r="G102" s="26" t="str">
        <f>IFERROR(IF($B102="","",INDEX('Cartes API'!$H:$H,MATCH($B102,'Cartes API'!$A:$A,0))),"")</f>
        <v/>
      </c>
      <c r="H102" s="11"/>
      <c r="I102" s="26" t="str">
        <f t="shared" si="1"/>
        <v/>
      </c>
      <c r="J102" s="26" t="str">
        <f>IFERROR(INDEX(Cablage!$A:$A,MATCH($I102,Cablage!$F:$F,0)),"")</f>
        <v/>
      </c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</row>
    <row r="103" spans="1:50" ht="15" customHeight="1" x14ac:dyDescent="0.25">
      <c r="A103" s="25"/>
      <c r="B103" s="25"/>
      <c r="C103" s="11"/>
      <c r="D103" s="11"/>
      <c r="E103" s="11"/>
      <c r="F103" s="26" t="str">
        <f>IFERROR(IF(OR($B103="",$C103=""),"",INDEX('Cartes API'!$J:$J,MATCH($B103,'Cartes API'!$A:$A,0))&amp;INDEX('Cartes API'!$B:$B,MATCH($B103,'Cartes API'!$A:$A,0))&amp;"."&amp;INDEX('Cartes API'!$C:$C,MATCH($B103,'Cartes API'!$A:$A,0))&amp;"."&amp;$C103),"")</f>
        <v/>
      </c>
      <c r="G103" s="26" t="str">
        <f>IFERROR(IF($B103="","",INDEX('Cartes API'!$H:$H,MATCH($B103,'Cartes API'!$A:$A,0))),"")</f>
        <v/>
      </c>
      <c r="H103" s="11"/>
      <c r="I103" s="26" t="str">
        <f t="shared" si="1"/>
        <v/>
      </c>
      <c r="J103" s="26" t="str">
        <f>IFERROR(INDEX(Cablage!$A:$A,MATCH($I103,Cablage!$F:$F,0)),"")</f>
        <v/>
      </c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</row>
    <row r="104" spans="1:50" ht="15" customHeight="1" x14ac:dyDescent="0.25">
      <c r="A104" s="25"/>
      <c r="B104" s="25"/>
      <c r="C104" s="11"/>
      <c r="D104" s="11"/>
      <c r="E104" s="11"/>
      <c r="F104" s="26" t="str">
        <f>IFERROR(IF(OR($B104="",$C104=""),"",INDEX('Cartes API'!$J:$J,MATCH($B104,'Cartes API'!$A:$A,0))&amp;INDEX('Cartes API'!$B:$B,MATCH($B104,'Cartes API'!$A:$A,0))&amp;"."&amp;INDEX('Cartes API'!$C:$C,MATCH($B104,'Cartes API'!$A:$A,0))&amp;"."&amp;$C104),"")</f>
        <v/>
      </c>
      <c r="G104" s="26" t="str">
        <f>IFERROR(IF($B104="","",INDEX('Cartes API'!$H:$H,MATCH($B104,'Cartes API'!$A:$A,0))),"")</f>
        <v/>
      </c>
      <c r="H104" s="11"/>
      <c r="I104" s="26" t="str">
        <f t="shared" si="1"/>
        <v/>
      </c>
      <c r="J104" s="26" t="str">
        <f>IFERROR(INDEX(Cablage!$A:$A,MATCH($I104,Cablage!$F:$F,0)),"")</f>
        <v/>
      </c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</row>
    <row r="105" spans="1:50" ht="15" customHeight="1" x14ac:dyDescent="0.25">
      <c r="A105" s="25"/>
      <c r="B105" s="25"/>
      <c r="C105" s="11"/>
      <c r="D105" s="11"/>
      <c r="E105" s="11"/>
      <c r="F105" s="26" t="str">
        <f>IFERROR(IF(OR($B105="",$C105=""),"",INDEX('Cartes API'!$J:$J,MATCH($B105,'Cartes API'!$A:$A,0))&amp;INDEX('Cartes API'!$B:$B,MATCH($B105,'Cartes API'!$A:$A,0))&amp;"."&amp;INDEX('Cartes API'!$C:$C,MATCH($B105,'Cartes API'!$A:$A,0))&amp;"."&amp;$C105),"")</f>
        <v/>
      </c>
      <c r="G105" s="26" t="str">
        <f>IFERROR(IF($B105="","",INDEX('Cartes API'!$H:$H,MATCH($B105,'Cartes API'!$A:$A,0))),"")</f>
        <v/>
      </c>
      <c r="H105" s="11"/>
      <c r="I105" s="26" t="str">
        <f t="shared" si="1"/>
        <v/>
      </c>
      <c r="J105" s="26" t="str">
        <f>IFERROR(INDEX(Cablage!$A:$A,MATCH($I105,Cablage!$F:$F,0)),"")</f>
        <v/>
      </c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</row>
    <row r="106" spans="1:50" ht="15" customHeight="1" x14ac:dyDescent="0.25">
      <c r="A106" s="25"/>
      <c r="B106" s="25"/>
      <c r="C106" s="11"/>
      <c r="D106" s="11"/>
      <c r="E106" s="11"/>
      <c r="F106" s="26" t="str">
        <f>IFERROR(IF(OR($B106="",$C106=""),"",INDEX('Cartes API'!$J:$J,MATCH($B106,'Cartes API'!$A:$A,0))&amp;INDEX('Cartes API'!$B:$B,MATCH($B106,'Cartes API'!$A:$A,0))&amp;"."&amp;INDEX('Cartes API'!$C:$C,MATCH($B106,'Cartes API'!$A:$A,0))&amp;"."&amp;$C106),"")</f>
        <v/>
      </c>
      <c r="G106" s="26" t="str">
        <f>IFERROR(IF($B106="","",INDEX('Cartes API'!$H:$H,MATCH($B106,'Cartes API'!$A:$A,0))),"")</f>
        <v/>
      </c>
      <c r="H106" s="11"/>
      <c r="I106" s="26" t="str">
        <f t="shared" si="1"/>
        <v/>
      </c>
      <c r="J106" s="26" t="str">
        <f>IFERROR(INDEX(Cablage!$A:$A,MATCH($I106,Cablage!$F:$F,0)),"")</f>
        <v/>
      </c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</row>
    <row r="107" spans="1:50" ht="15" customHeight="1" x14ac:dyDescent="0.25">
      <c r="A107" s="25"/>
      <c r="B107" s="25"/>
      <c r="C107" s="11"/>
      <c r="D107" s="11"/>
      <c r="E107" s="11"/>
      <c r="F107" s="26" t="str">
        <f>IFERROR(IF(OR($B107="",$C107=""),"",INDEX('Cartes API'!$J:$J,MATCH($B107,'Cartes API'!$A:$A,0))&amp;INDEX('Cartes API'!$B:$B,MATCH($B107,'Cartes API'!$A:$A,0))&amp;"."&amp;INDEX('Cartes API'!$C:$C,MATCH($B107,'Cartes API'!$A:$A,0))&amp;"."&amp;$C107),"")</f>
        <v/>
      </c>
      <c r="G107" s="26" t="str">
        <f>IFERROR(IF($B107="","",INDEX('Cartes API'!$H:$H,MATCH($B107,'Cartes API'!$A:$A,0))),"")</f>
        <v/>
      </c>
      <c r="H107" s="11"/>
      <c r="I107" s="26" t="str">
        <f t="shared" si="1"/>
        <v/>
      </c>
      <c r="J107" s="26" t="str">
        <f>IFERROR(INDEX(Cablage!$A:$A,MATCH($I107,Cablage!$F:$F,0)),"")</f>
        <v/>
      </c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</row>
    <row r="108" spans="1:50" ht="15" customHeight="1" x14ac:dyDescent="0.25">
      <c r="A108" s="25"/>
      <c r="B108" s="25"/>
      <c r="C108" s="11"/>
      <c r="D108" s="11"/>
      <c r="E108" s="11"/>
      <c r="F108" s="26" t="str">
        <f>IFERROR(IF(OR($B108="",$C108=""),"",INDEX('Cartes API'!$J:$J,MATCH($B108,'Cartes API'!$A:$A,0))&amp;INDEX('Cartes API'!$B:$B,MATCH($B108,'Cartes API'!$A:$A,0))&amp;"."&amp;INDEX('Cartes API'!$C:$C,MATCH($B108,'Cartes API'!$A:$A,0))&amp;"."&amp;$C108),"")</f>
        <v/>
      </c>
      <c r="G108" s="26" t="str">
        <f>IFERROR(IF($B108="","",INDEX('Cartes API'!$H:$H,MATCH($B108,'Cartes API'!$A:$A,0))),"")</f>
        <v/>
      </c>
      <c r="H108" s="11"/>
      <c r="I108" s="26" t="str">
        <f t="shared" si="1"/>
        <v/>
      </c>
      <c r="J108" s="26" t="str">
        <f>IFERROR(INDEX(Cablage!$A:$A,MATCH($I108,Cablage!$F:$F,0)),"")</f>
        <v/>
      </c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</row>
    <row r="109" spans="1:50" ht="15" customHeight="1" x14ac:dyDescent="0.25">
      <c r="A109" s="25"/>
      <c r="B109" s="25"/>
      <c r="C109" s="11"/>
      <c r="D109" s="11"/>
      <c r="E109" s="11"/>
      <c r="F109" s="26" t="str">
        <f>IFERROR(IF(OR($B109="",$C109=""),"",INDEX('Cartes API'!$J:$J,MATCH($B109,'Cartes API'!$A:$A,0))&amp;INDEX('Cartes API'!$B:$B,MATCH($B109,'Cartes API'!$A:$A,0))&amp;"."&amp;INDEX('Cartes API'!$C:$C,MATCH($B109,'Cartes API'!$A:$A,0))&amp;"."&amp;$C109),"")</f>
        <v/>
      </c>
      <c r="G109" s="26" t="str">
        <f>IFERROR(IF($B109="","",INDEX('Cartes API'!$H:$H,MATCH($B109,'Cartes API'!$A:$A,0))),"")</f>
        <v/>
      </c>
      <c r="H109" s="11"/>
      <c r="I109" s="26" t="str">
        <f t="shared" si="1"/>
        <v/>
      </c>
      <c r="J109" s="26" t="str">
        <f>IFERROR(INDEX(Cablage!$A:$A,MATCH($I109,Cablage!$F:$F,0)),"")</f>
        <v/>
      </c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</row>
    <row r="110" spans="1:50" ht="15" customHeight="1" x14ac:dyDescent="0.25">
      <c r="A110" s="25"/>
      <c r="B110" s="25"/>
      <c r="C110" s="11"/>
      <c r="D110" s="11"/>
      <c r="E110" s="11"/>
      <c r="F110" s="26" t="str">
        <f>IFERROR(IF(OR($B110="",$C110=""),"",INDEX('Cartes API'!$J:$J,MATCH($B110,'Cartes API'!$A:$A,0))&amp;INDEX('Cartes API'!$B:$B,MATCH($B110,'Cartes API'!$A:$A,0))&amp;"."&amp;INDEX('Cartes API'!$C:$C,MATCH($B110,'Cartes API'!$A:$A,0))&amp;"."&amp;$C110),"")</f>
        <v/>
      </c>
      <c r="G110" s="26" t="str">
        <f>IFERROR(IF($B110="","",INDEX('Cartes API'!$H:$H,MATCH($B110,'Cartes API'!$A:$A,0))),"")</f>
        <v/>
      </c>
      <c r="H110" s="11"/>
      <c r="I110" s="26" t="str">
        <f t="shared" si="1"/>
        <v/>
      </c>
      <c r="J110" s="26" t="str">
        <f>IFERROR(INDEX(Cablage!$A:$A,MATCH($I110,Cablage!$F:$F,0)),"")</f>
        <v/>
      </c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</row>
    <row r="111" spans="1:50" ht="15" customHeight="1" x14ac:dyDescent="0.25">
      <c r="A111" s="25"/>
      <c r="B111" s="25"/>
      <c r="C111" s="11"/>
      <c r="D111" s="11"/>
      <c r="E111" s="11"/>
      <c r="F111" s="26" t="str">
        <f>IFERROR(IF(OR($B111="",$C111=""),"",INDEX('Cartes API'!$J:$J,MATCH($B111,'Cartes API'!$A:$A,0))&amp;INDEX('Cartes API'!$B:$B,MATCH($B111,'Cartes API'!$A:$A,0))&amp;"."&amp;INDEX('Cartes API'!$C:$C,MATCH($B111,'Cartes API'!$A:$A,0))&amp;"."&amp;$C111),"")</f>
        <v/>
      </c>
      <c r="G111" s="26" t="str">
        <f>IFERROR(IF($B111="","",INDEX('Cartes API'!$H:$H,MATCH($B111,'Cartes API'!$A:$A,0))),"")</f>
        <v/>
      </c>
      <c r="H111" s="11"/>
      <c r="I111" s="26" t="str">
        <f t="shared" si="1"/>
        <v/>
      </c>
      <c r="J111" s="26" t="str">
        <f>IFERROR(INDEX(Cablage!$A:$A,MATCH($I111,Cablage!$F:$F,0)),"")</f>
        <v/>
      </c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</row>
    <row r="112" spans="1:50" ht="15" customHeight="1" x14ac:dyDescent="0.25">
      <c r="A112" s="25"/>
      <c r="B112" s="25"/>
      <c r="C112" s="11"/>
      <c r="D112" s="11"/>
      <c r="E112" s="11"/>
      <c r="F112" s="26" t="str">
        <f>IFERROR(IF(OR($B112="",$C112=""),"",INDEX('Cartes API'!$J:$J,MATCH($B112,'Cartes API'!$A:$A,0))&amp;INDEX('Cartes API'!$B:$B,MATCH($B112,'Cartes API'!$A:$A,0))&amp;"."&amp;INDEX('Cartes API'!$C:$C,MATCH($B112,'Cartes API'!$A:$A,0))&amp;"."&amp;$C112),"")</f>
        <v/>
      </c>
      <c r="G112" s="26" t="str">
        <f>IFERROR(IF($B112="","",INDEX('Cartes API'!$H:$H,MATCH($B112,'Cartes API'!$A:$A,0))),"")</f>
        <v/>
      </c>
      <c r="H112" s="11"/>
      <c r="I112" s="26" t="str">
        <f t="shared" si="1"/>
        <v/>
      </c>
      <c r="J112" s="26" t="str">
        <f>IFERROR(INDEX(Cablage!$A:$A,MATCH($I112,Cablage!$F:$F,0)),"")</f>
        <v/>
      </c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</row>
    <row r="113" spans="1:50" ht="15" customHeight="1" x14ac:dyDescent="0.25">
      <c r="A113" s="25"/>
      <c r="B113" s="25"/>
      <c r="C113" s="11"/>
      <c r="D113" s="11"/>
      <c r="E113" s="11"/>
      <c r="F113" s="26" t="str">
        <f>IFERROR(IF(OR($B113="",$C113=""),"",INDEX('Cartes API'!$J:$J,MATCH($B113,'Cartes API'!$A:$A,0))&amp;INDEX('Cartes API'!$B:$B,MATCH($B113,'Cartes API'!$A:$A,0))&amp;"."&amp;INDEX('Cartes API'!$C:$C,MATCH($B113,'Cartes API'!$A:$A,0))&amp;"."&amp;$C113),"")</f>
        <v/>
      </c>
      <c r="G113" s="26" t="str">
        <f>IFERROR(IF($B113="","",INDEX('Cartes API'!$H:$H,MATCH($B113,'Cartes API'!$A:$A,0))),"")</f>
        <v/>
      </c>
      <c r="H113" s="11"/>
      <c r="I113" s="26" t="str">
        <f t="shared" si="1"/>
        <v/>
      </c>
      <c r="J113" s="26" t="str">
        <f>IFERROR(INDEX(Cablage!$A:$A,MATCH($I113,Cablage!$F:$F,0)),"")</f>
        <v/>
      </c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</row>
    <row r="114" spans="1:50" ht="15" customHeight="1" x14ac:dyDescent="0.25">
      <c r="A114" s="25"/>
      <c r="B114" s="25"/>
      <c r="C114" s="11"/>
      <c r="D114" s="11"/>
      <c r="E114" s="11"/>
      <c r="F114" s="26" t="str">
        <f>IFERROR(IF(OR($B114="",$C114=""),"",INDEX('Cartes API'!$J:$J,MATCH($B114,'Cartes API'!$A:$A,0))&amp;INDEX('Cartes API'!$B:$B,MATCH($B114,'Cartes API'!$A:$A,0))&amp;"."&amp;INDEX('Cartes API'!$C:$C,MATCH($B114,'Cartes API'!$A:$A,0))&amp;"."&amp;$C114),"")</f>
        <v/>
      </c>
      <c r="G114" s="26" t="str">
        <f>IFERROR(IF($B114="","",INDEX('Cartes API'!$H:$H,MATCH($B114,'Cartes API'!$A:$A,0))),"")</f>
        <v/>
      </c>
      <c r="H114" s="11"/>
      <c r="I114" s="26" t="str">
        <f t="shared" si="1"/>
        <v/>
      </c>
      <c r="J114" s="26" t="str">
        <f>IFERROR(INDEX(Cablage!$A:$A,MATCH($I114,Cablage!$F:$F,0)),"")</f>
        <v/>
      </c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</row>
    <row r="115" spans="1:50" ht="15" customHeight="1" x14ac:dyDescent="0.25">
      <c r="A115" s="25"/>
      <c r="B115" s="25"/>
      <c r="C115" s="11"/>
      <c r="D115" s="11"/>
      <c r="E115" s="11"/>
      <c r="F115" s="26" t="str">
        <f>IFERROR(IF(OR($B115="",$C115=""),"",INDEX('Cartes API'!$J:$J,MATCH($B115,'Cartes API'!$A:$A,0))&amp;INDEX('Cartes API'!$B:$B,MATCH($B115,'Cartes API'!$A:$A,0))&amp;"."&amp;INDEX('Cartes API'!$C:$C,MATCH($B115,'Cartes API'!$A:$A,0))&amp;"."&amp;$C115),"")</f>
        <v/>
      </c>
      <c r="G115" s="26" t="str">
        <f>IFERROR(IF($B115="","",INDEX('Cartes API'!$H:$H,MATCH($B115,'Cartes API'!$A:$A,0))),"")</f>
        <v/>
      </c>
      <c r="H115" s="11"/>
      <c r="I115" s="26" t="str">
        <f t="shared" si="1"/>
        <v/>
      </c>
      <c r="J115" s="26" t="str">
        <f>IFERROR(INDEX(Cablage!$A:$A,MATCH($I115,Cablage!$F:$F,0)),"")</f>
        <v/>
      </c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</row>
    <row r="116" spans="1:50" ht="15" customHeight="1" x14ac:dyDescent="0.25">
      <c r="A116" s="25"/>
      <c r="B116" s="25"/>
      <c r="C116" s="11"/>
      <c r="D116" s="11"/>
      <c r="E116" s="11"/>
      <c r="F116" s="26" t="str">
        <f>IFERROR(IF(OR($B116="",$C116=""),"",INDEX('Cartes API'!$J:$J,MATCH($B116,'Cartes API'!$A:$A,0))&amp;INDEX('Cartes API'!$B:$B,MATCH($B116,'Cartes API'!$A:$A,0))&amp;"."&amp;INDEX('Cartes API'!$C:$C,MATCH($B116,'Cartes API'!$A:$A,0))&amp;"."&amp;$C116),"")</f>
        <v/>
      </c>
      <c r="G116" s="26" t="str">
        <f>IFERROR(IF($B116="","",INDEX('Cartes API'!$H:$H,MATCH($B116,'Cartes API'!$A:$A,0))),"")</f>
        <v/>
      </c>
      <c r="H116" s="11"/>
      <c r="I116" s="26" t="str">
        <f t="shared" si="1"/>
        <v/>
      </c>
      <c r="J116" s="26" t="str">
        <f>IFERROR(INDEX(Cablage!$A:$A,MATCH($I116,Cablage!$F:$F,0)),"")</f>
        <v/>
      </c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</row>
    <row r="117" spans="1:50" ht="15" customHeight="1" x14ac:dyDescent="0.25">
      <c r="A117" s="25"/>
      <c r="B117" s="25"/>
      <c r="C117" s="11"/>
      <c r="D117" s="11"/>
      <c r="E117" s="11"/>
      <c r="F117" s="26" t="str">
        <f>IFERROR(IF(OR($B117="",$C117=""),"",INDEX('Cartes API'!$J:$J,MATCH($B117,'Cartes API'!$A:$A,0))&amp;INDEX('Cartes API'!$B:$B,MATCH($B117,'Cartes API'!$A:$A,0))&amp;"."&amp;INDEX('Cartes API'!$C:$C,MATCH($B117,'Cartes API'!$A:$A,0))&amp;"."&amp;$C117),"")</f>
        <v/>
      </c>
      <c r="G117" s="26" t="str">
        <f>IFERROR(IF($B117="","",INDEX('Cartes API'!$H:$H,MATCH($B117,'Cartes API'!$A:$A,0))),"")</f>
        <v/>
      </c>
      <c r="H117" s="11"/>
      <c r="I117" s="26" t="str">
        <f t="shared" si="1"/>
        <v/>
      </c>
      <c r="J117" s="26" t="str">
        <f>IFERROR(INDEX(Cablage!$A:$A,MATCH($I117,Cablage!$F:$F,0)),"")</f>
        <v/>
      </c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</row>
    <row r="118" spans="1:50" ht="15" customHeight="1" x14ac:dyDescent="0.25">
      <c r="A118" s="25"/>
      <c r="B118" s="25"/>
      <c r="C118" s="11"/>
      <c r="D118" s="11"/>
      <c r="E118" s="11"/>
      <c r="F118" s="26" t="str">
        <f>IFERROR(IF(OR($B118="",$C118=""),"",INDEX('Cartes API'!$J:$J,MATCH($B118,'Cartes API'!$A:$A,0))&amp;INDEX('Cartes API'!$B:$B,MATCH($B118,'Cartes API'!$A:$A,0))&amp;"."&amp;INDEX('Cartes API'!$C:$C,MATCH($B118,'Cartes API'!$A:$A,0))&amp;"."&amp;$C118),"")</f>
        <v/>
      </c>
      <c r="G118" s="26" t="str">
        <f>IFERROR(IF($B118="","",INDEX('Cartes API'!$H:$H,MATCH($B118,'Cartes API'!$A:$A,0))),"")</f>
        <v/>
      </c>
      <c r="H118" s="11"/>
      <c r="I118" s="26" t="str">
        <f t="shared" si="1"/>
        <v/>
      </c>
      <c r="J118" s="26" t="str">
        <f>IFERROR(INDEX(Cablage!$A:$A,MATCH($I118,Cablage!$F:$F,0)),"")</f>
        <v/>
      </c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</row>
    <row r="119" spans="1:50" ht="15" customHeight="1" x14ac:dyDescent="0.25">
      <c r="A119" s="25"/>
      <c r="B119" s="25"/>
      <c r="C119" s="11"/>
      <c r="D119" s="11"/>
      <c r="E119" s="11"/>
      <c r="F119" s="26" t="str">
        <f>IFERROR(IF(OR($B119="",$C119=""),"",INDEX('Cartes API'!$J:$J,MATCH($B119,'Cartes API'!$A:$A,0))&amp;INDEX('Cartes API'!$B:$B,MATCH($B119,'Cartes API'!$A:$A,0))&amp;"."&amp;INDEX('Cartes API'!$C:$C,MATCH($B119,'Cartes API'!$A:$A,0))&amp;"."&amp;$C119),"")</f>
        <v/>
      </c>
      <c r="G119" s="26" t="str">
        <f>IFERROR(IF($B119="","",INDEX('Cartes API'!$H:$H,MATCH($B119,'Cartes API'!$A:$A,0))),"")</f>
        <v/>
      </c>
      <c r="H119" s="11"/>
      <c r="I119" s="26" t="str">
        <f t="shared" si="1"/>
        <v/>
      </c>
      <c r="J119" s="26" t="str">
        <f>IFERROR(INDEX(Cablage!$A:$A,MATCH($I119,Cablage!$F:$F,0)),"")</f>
        <v/>
      </c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</row>
    <row r="120" spans="1:50" ht="15" customHeight="1" x14ac:dyDescent="0.25">
      <c r="A120" s="25"/>
      <c r="B120" s="25"/>
      <c r="C120" s="11"/>
      <c r="D120" s="11"/>
      <c r="E120" s="11"/>
      <c r="F120" s="26" t="str">
        <f>IFERROR(IF(OR($B120="",$C120=""),"",INDEX('Cartes API'!$J:$J,MATCH($B120,'Cartes API'!$A:$A,0))&amp;INDEX('Cartes API'!$B:$B,MATCH($B120,'Cartes API'!$A:$A,0))&amp;"."&amp;INDEX('Cartes API'!$C:$C,MATCH($B120,'Cartes API'!$A:$A,0))&amp;"."&amp;$C120),"")</f>
        <v/>
      </c>
      <c r="G120" s="26" t="str">
        <f>IFERROR(IF($B120="","",INDEX('Cartes API'!$H:$H,MATCH($B120,'Cartes API'!$A:$A,0))),"")</f>
        <v/>
      </c>
      <c r="H120" s="11"/>
      <c r="I120" s="26" t="str">
        <f t="shared" si="1"/>
        <v/>
      </c>
      <c r="J120" s="26" t="str">
        <f>IFERROR(INDEX(Cablage!$A:$A,MATCH($I120,Cablage!$F:$F,0)),"")</f>
        <v/>
      </c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</row>
    <row r="121" spans="1:50" ht="15" customHeight="1" x14ac:dyDescent="0.25">
      <c r="A121" s="25"/>
      <c r="B121" s="25"/>
      <c r="C121" s="11"/>
      <c r="D121" s="11"/>
      <c r="E121" s="11"/>
      <c r="F121" s="26" t="str">
        <f>IFERROR(IF(OR($B121="",$C121=""),"",INDEX('Cartes API'!$J:$J,MATCH($B121,'Cartes API'!$A:$A,0))&amp;INDEX('Cartes API'!$B:$B,MATCH($B121,'Cartes API'!$A:$A,0))&amp;"."&amp;INDEX('Cartes API'!$C:$C,MATCH($B121,'Cartes API'!$A:$A,0))&amp;"."&amp;$C121),"")</f>
        <v/>
      </c>
      <c r="G121" s="26" t="str">
        <f>IFERROR(IF($B121="","",INDEX('Cartes API'!$H:$H,MATCH($B121,'Cartes API'!$A:$A,0))),"")</f>
        <v/>
      </c>
      <c r="H121" s="11"/>
      <c r="I121" s="26" t="str">
        <f t="shared" si="1"/>
        <v/>
      </c>
      <c r="J121" s="26" t="str">
        <f>IFERROR(INDEX(Cablage!$A:$A,MATCH($I121,Cablage!$F:$F,0)),"")</f>
        <v/>
      </c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</row>
    <row r="122" spans="1:50" ht="15" customHeight="1" x14ac:dyDescent="0.25">
      <c r="A122" s="25"/>
      <c r="B122" s="25"/>
      <c r="C122" s="11"/>
      <c r="D122" s="11"/>
      <c r="E122" s="11"/>
      <c r="F122" s="26" t="str">
        <f>IFERROR(IF(OR($B122="",$C122=""),"",INDEX('Cartes API'!$J:$J,MATCH($B122,'Cartes API'!$A:$A,0))&amp;INDEX('Cartes API'!$B:$B,MATCH($B122,'Cartes API'!$A:$A,0))&amp;"."&amp;INDEX('Cartes API'!$C:$C,MATCH($B122,'Cartes API'!$A:$A,0))&amp;"."&amp;$C122),"")</f>
        <v/>
      </c>
      <c r="G122" s="26" t="str">
        <f>IFERROR(IF($B122="","",INDEX('Cartes API'!$H:$H,MATCH($B122,'Cartes API'!$A:$A,0))),"")</f>
        <v/>
      </c>
      <c r="H122" s="11"/>
      <c r="I122" s="26" t="str">
        <f t="shared" si="1"/>
        <v/>
      </c>
      <c r="J122" s="26" t="str">
        <f>IFERROR(INDEX(Cablage!$A:$A,MATCH($I122,Cablage!$F:$F,0)),"")</f>
        <v/>
      </c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</row>
    <row r="123" spans="1:50" ht="15" customHeight="1" x14ac:dyDescent="0.25">
      <c r="A123" s="25"/>
      <c r="B123" s="25"/>
      <c r="C123" s="11"/>
      <c r="D123" s="11"/>
      <c r="E123" s="11"/>
      <c r="F123" s="26" t="str">
        <f>IFERROR(IF(OR($B123="",$C123=""),"",INDEX('Cartes API'!$J:$J,MATCH($B123,'Cartes API'!$A:$A,0))&amp;INDEX('Cartes API'!$B:$B,MATCH($B123,'Cartes API'!$A:$A,0))&amp;"."&amp;INDEX('Cartes API'!$C:$C,MATCH($B123,'Cartes API'!$A:$A,0))&amp;"."&amp;$C123),"")</f>
        <v/>
      </c>
      <c r="G123" s="26" t="str">
        <f>IFERROR(IF($B123="","",INDEX('Cartes API'!$H:$H,MATCH($B123,'Cartes API'!$A:$A,0))),"")</f>
        <v/>
      </c>
      <c r="H123" s="11"/>
      <c r="I123" s="26" t="str">
        <f t="shared" si="1"/>
        <v/>
      </c>
      <c r="J123" s="26" t="str">
        <f>IFERROR(INDEX(Cablage!$A:$A,MATCH($I123,Cablage!$F:$F,0)),"")</f>
        <v/>
      </c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</row>
    <row r="124" spans="1:50" ht="15" customHeight="1" x14ac:dyDescent="0.25">
      <c r="A124" s="25"/>
      <c r="B124" s="25"/>
      <c r="C124" s="11"/>
      <c r="D124" s="11"/>
      <c r="E124" s="11"/>
      <c r="F124" s="26" t="str">
        <f>IFERROR(IF(OR($B124="",$C124=""),"",INDEX('Cartes API'!$J:$J,MATCH($B124,'Cartes API'!$A:$A,0))&amp;INDEX('Cartes API'!$B:$B,MATCH($B124,'Cartes API'!$A:$A,0))&amp;"."&amp;INDEX('Cartes API'!$C:$C,MATCH($B124,'Cartes API'!$A:$A,0))&amp;"."&amp;$C124),"")</f>
        <v/>
      </c>
      <c r="G124" s="26" t="str">
        <f>IFERROR(IF($B124="","",INDEX('Cartes API'!$H:$H,MATCH($B124,'Cartes API'!$A:$A,0))),"")</f>
        <v/>
      </c>
      <c r="H124" s="11"/>
      <c r="I124" s="26" t="str">
        <f t="shared" si="1"/>
        <v/>
      </c>
      <c r="J124" s="26" t="str">
        <f>IFERROR(INDEX(Cablage!$A:$A,MATCH($I124,Cablage!$F:$F,0)),"")</f>
        <v/>
      </c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</row>
    <row r="125" spans="1:50" ht="15" customHeight="1" x14ac:dyDescent="0.25">
      <c r="A125" s="25"/>
      <c r="B125" s="25"/>
      <c r="C125" s="11"/>
      <c r="D125" s="11"/>
      <c r="E125" s="11"/>
      <c r="F125" s="26" t="str">
        <f>IFERROR(IF(OR($B125="",$C125=""),"",INDEX('Cartes API'!$J:$J,MATCH($B125,'Cartes API'!$A:$A,0))&amp;INDEX('Cartes API'!$B:$B,MATCH($B125,'Cartes API'!$A:$A,0))&amp;"."&amp;INDEX('Cartes API'!$C:$C,MATCH($B125,'Cartes API'!$A:$A,0))&amp;"."&amp;$C125),"")</f>
        <v/>
      </c>
      <c r="G125" s="26" t="str">
        <f>IFERROR(IF($B125="","",INDEX('Cartes API'!$H:$H,MATCH($B125,'Cartes API'!$A:$A,0))),"")</f>
        <v/>
      </c>
      <c r="H125" s="11"/>
      <c r="I125" s="26" t="str">
        <f t="shared" si="1"/>
        <v/>
      </c>
      <c r="J125" s="26" t="str">
        <f>IFERROR(INDEX(Cablage!$A:$A,MATCH($I125,Cablage!$F:$F,0)),"")</f>
        <v/>
      </c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</row>
    <row r="126" spans="1:50" ht="15" customHeight="1" x14ac:dyDescent="0.25">
      <c r="A126" s="25"/>
      <c r="B126" s="25"/>
      <c r="C126" s="11"/>
      <c r="D126" s="11"/>
      <c r="E126" s="11"/>
      <c r="F126" s="26" t="str">
        <f>IFERROR(IF(OR($B126="",$C126=""),"",INDEX('Cartes API'!$J:$J,MATCH($B126,'Cartes API'!$A:$A,0))&amp;INDEX('Cartes API'!$B:$B,MATCH($B126,'Cartes API'!$A:$A,0))&amp;"."&amp;INDEX('Cartes API'!$C:$C,MATCH($B126,'Cartes API'!$A:$A,0))&amp;"."&amp;$C126),"")</f>
        <v/>
      </c>
      <c r="G126" s="26" t="str">
        <f>IFERROR(IF($B126="","",INDEX('Cartes API'!$H:$H,MATCH($B126,'Cartes API'!$A:$A,0))),"")</f>
        <v/>
      </c>
      <c r="H126" s="11"/>
      <c r="I126" s="26" t="str">
        <f t="shared" si="1"/>
        <v/>
      </c>
      <c r="J126" s="26" t="str">
        <f>IFERROR(INDEX(Cablage!$A:$A,MATCH($I126,Cablage!$F:$F,0)),"")</f>
        <v/>
      </c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</row>
    <row r="127" spans="1:50" ht="15" customHeight="1" x14ac:dyDescent="0.25">
      <c r="A127" s="25"/>
      <c r="B127" s="25"/>
      <c r="C127" s="11"/>
      <c r="D127" s="11"/>
      <c r="E127" s="11"/>
      <c r="F127" s="26" t="str">
        <f>IFERROR(IF(OR($B127="",$C127=""),"",INDEX('Cartes API'!$J:$J,MATCH($B127,'Cartes API'!$A:$A,0))&amp;INDEX('Cartes API'!$B:$B,MATCH($B127,'Cartes API'!$A:$A,0))&amp;"."&amp;INDEX('Cartes API'!$C:$C,MATCH($B127,'Cartes API'!$A:$A,0))&amp;"."&amp;$C127),"")</f>
        <v/>
      </c>
      <c r="G127" s="26" t="str">
        <f>IFERROR(IF($B127="","",INDEX('Cartes API'!$H:$H,MATCH($B127,'Cartes API'!$A:$A,0))),"")</f>
        <v/>
      </c>
      <c r="H127" s="11"/>
      <c r="I127" s="26" t="str">
        <f t="shared" si="1"/>
        <v/>
      </c>
      <c r="J127" s="26" t="str">
        <f>IFERROR(INDEX(Cablage!$A:$A,MATCH($I127,Cablage!$F:$F,0)),"")</f>
        <v/>
      </c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</row>
    <row r="128" spans="1:50" ht="15" customHeight="1" x14ac:dyDescent="0.25">
      <c r="A128" s="25"/>
      <c r="B128" s="25"/>
      <c r="C128" s="11"/>
      <c r="D128" s="11"/>
      <c r="E128" s="11"/>
      <c r="F128" s="26" t="str">
        <f>IFERROR(IF(OR($B128="",$C128=""),"",INDEX('Cartes API'!$J:$J,MATCH($B128,'Cartes API'!$A:$A,0))&amp;INDEX('Cartes API'!$B:$B,MATCH($B128,'Cartes API'!$A:$A,0))&amp;"."&amp;INDEX('Cartes API'!$C:$C,MATCH($B128,'Cartes API'!$A:$A,0))&amp;"."&amp;$C128),"")</f>
        <v/>
      </c>
      <c r="G128" s="26" t="str">
        <f>IFERROR(IF($B128="","",INDEX('Cartes API'!$H:$H,MATCH($B128,'Cartes API'!$A:$A,0))),"")</f>
        <v/>
      </c>
      <c r="H128" s="11"/>
      <c r="I128" s="26" t="str">
        <f t="shared" si="1"/>
        <v/>
      </c>
      <c r="J128" s="26" t="str">
        <f>IFERROR(INDEX(Cablage!$A:$A,MATCH($I128,Cablage!$F:$F,0)),"")</f>
        <v/>
      </c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</row>
    <row r="129" spans="1:50" ht="15" customHeight="1" x14ac:dyDescent="0.25">
      <c r="A129" s="25"/>
      <c r="B129" s="25"/>
      <c r="C129" s="11"/>
      <c r="D129" s="11"/>
      <c r="E129" s="11"/>
      <c r="F129" s="26" t="str">
        <f>IFERROR(IF(OR($B129="",$C129=""),"",INDEX('Cartes API'!$J:$J,MATCH($B129,'Cartes API'!$A:$A,0))&amp;INDEX('Cartes API'!$B:$B,MATCH($B129,'Cartes API'!$A:$A,0))&amp;"."&amp;INDEX('Cartes API'!$C:$C,MATCH($B129,'Cartes API'!$A:$A,0))&amp;"."&amp;$C129),"")</f>
        <v/>
      </c>
      <c r="G129" s="26" t="str">
        <f>IFERROR(IF($B129="","",INDEX('Cartes API'!$H:$H,MATCH($B129,'Cartes API'!$A:$A,0))),"")</f>
        <v/>
      </c>
      <c r="H129" s="11"/>
      <c r="I129" s="26" t="str">
        <f t="shared" si="1"/>
        <v/>
      </c>
      <c r="J129" s="26" t="str">
        <f>IFERROR(INDEX(Cablage!$A:$A,MATCH($I129,Cablage!$F:$F,0)),"")</f>
        <v/>
      </c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</row>
    <row r="130" spans="1:50" ht="15" customHeight="1" x14ac:dyDescent="0.25">
      <c r="A130" s="25"/>
      <c r="B130" s="25"/>
      <c r="C130" s="11"/>
      <c r="D130" s="11"/>
      <c r="E130" s="11"/>
      <c r="F130" s="26" t="str">
        <f>IFERROR(IF(OR($B130="",$C130=""),"",INDEX('Cartes API'!$J:$J,MATCH($B130,'Cartes API'!$A:$A,0))&amp;INDEX('Cartes API'!$B:$B,MATCH($B130,'Cartes API'!$A:$A,0))&amp;"."&amp;INDEX('Cartes API'!$C:$C,MATCH($B130,'Cartes API'!$A:$A,0))&amp;"."&amp;$C130),"")</f>
        <v/>
      </c>
      <c r="G130" s="26" t="str">
        <f>IFERROR(IF($B130="","",INDEX('Cartes API'!$H:$H,MATCH($B130,'Cartes API'!$A:$A,0))),"")</f>
        <v/>
      </c>
      <c r="H130" s="11"/>
      <c r="I130" s="26" t="str">
        <f t="shared" si="1"/>
        <v/>
      </c>
      <c r="J130" s="26" t="str">
        <f>IFERROR(INDEX(Cablage!$A:$A,MATCH($I130,Cablage!$F:$F,0)),"")</f>
        <v/>
      </c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</row>
    <row r="131" spans="1:50" ht="15" customHeight="1" x14ac:dyDescent="0.25">
      <c r="A131" s="25"/>
      <c r="B131" s="25"/>
      <c r="C131" s="11"/>
      <c r="D131" s="11"/>
      <c r="E131" s="11"/>
      <c r="F131" s="26" t="str">
        <f>IFERROR(IF(OR($B131="",$C131=""),"",INDEX('Cartes API'!$J:$J,MATCH($B131,'Cartes API'!$A:$A,0))&amp;INDEX('Cartes API'!$B:$B,MATCH($B131,'Cartes API'!$A:$A,0))&amp;"."&amp;INDEX('Cartes API'!$C:$C,MATCH($B131,'Cartes API'!$A:$A,0))&amp;"."&amp;$C131),"")</f>
        <v/>
      </c>
      <c r="G131" s="26" t="str">
        <f>IFERROR(IF($B131="","",INDEX('Cartes API'!$H:$H,MATCH($B131,'Cartes API'!$A:$A,0))),"")</f>
        <v/>
      </c>
      <c r="H131" s="11"/>
      <c r="I131" s="26" t="str">
        <f t="shared" si="1"/>
        <v/>
      </c>
      <c r="J131" s="26" t="str">
        <f>IFERROR(INDEX(Cablage!$A:$A,MATCH($I131,Cablage!$F:$F,0)),"")</f>
        <v/>
      </c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</row>
    <row r="132" spans="1:50" ht="15" customHeight="1" x14ac:dyDescent="0.25">
      <c r="A132" s="25"/>
      <c r="B132" s="25"/>
      <c r="C132" s="11"/>
      <c r="D132" s="11"/>
      <c r="E132" s="11"/>
      <c r="F132" s="26" t="str">
        <f>IFERROR(IF(OR($B132="",$C132=""),"",INDEX('Cartes API'!$J:$J,MATCH($B132,'Cartes API'!$A:$A,0))&amp;INDEX('Cartes API'!$B:$B,MATCH($B132,'Cartes API'!$A:$A,0))&amp;"."&amp;INDEX('Cartes API'!$C:$C,MATCH($B132,'Cartes API'!$A:$A,0))&amp;"."&amp;$C132),"")</f>
        <v/>
      </c>
      <c r="G132" s="26" t="str">
        <f>IFERROR(IF($B132="","",INDEX('Cartes API'!$H:$H,MATCH($B132,'Cartes API'!$A:$A,0))),"")</f>
        <v/>
      </c>
      <c r="H132" s="11"/>
      <c r="I132" s="26" t="str">
        <f t="shared" si="1"/>
        <v/>
      </c>
      <c r="J132" s="26" t="str">
        <f>IFERROR(INDEX(Cablage!$A:$A,MATCH($I132,Cablage!$F:$F,0)),"")</f>
        <v/>
      </c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</row>
    <row r="133" spans="1:50" ht="15" customHeight="1" x14ac:dyDescent="0.25">
      <c r="A133" s="25"/>
      <c r="B133" s="25"/>
      <c r="C133" s="11"/>
      <c r="D133" s="11"/>
      <c r="E133" s="11"/>
      <c r="F133" s="26" t="str">
        <f>IFERROR(IF(OR($B133="",$C133=""),"",INDEX('Cartes API'!$J:$J,MATCH($B133,'Cartes API'!$A:$A,0))&amp;INDEX('Cartes API'!$B:$B,MATCH($B133,'Cartes API'!$A:$A,0))&amp;"."&amp;INDEX('Cartes API'!$C:$C,MATCH($B133,'Cartes API'!$A:$A,0))&amp;"."&amp;$C133),"")</f>
        <v/>
      </c>
      <c r="G133" s="26" t="str">
        <f>IFERROR(IF($B133="","",INDEX('Cartes API'!$H:$H,MATCH($B133,'Cartes API'!$A:$A,0))),"")</f>
        <v/>
      </c>
      <c r="H133" s="11"/>
      <c r="I133" s="26" t="str">
        <f t="shared" si="1"/>
        <v/>
      </c>
      <c r="J133" s="26" t="str">
        <f>IFERROR(INDEX(Cablage!$A:$A,MATCH($I133,Cablage!$F:$F,0)),"")</f>
        <v/>
      </c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</row>
    <row r="134" spans="1:50" ht="15" customHeight="1" x14ac:dyDescent="0.25">
      <c r="A134" s="25"/>
      <c r="B134" s="25"/>
      <c r="C134" s="11"/>
      <c r="D134" s="11"/>
      <c r="E134" s="11"/>
      <c r="F134" s="26" t="str">
        <f>IFERROR(IF(OR($B134="",$C134=""),"",INDEX('Cartes API'!$J:$J,MATCH($B134,'Cartes API'!$A:$A,0))&amp;INDEX('Cartes API'!$B:$B,MATCH($B134,'Cartes API'!$A:$A,0))&amp;"."&amp;INDEX('Cartes API'!$C:$C,MATCH($B134,'Cartes API'!$A:$A,0))&amp;"."&amp;$C134),"")</f>
        <v/>
      </c>
      <c r="G134" s="26" t="str">
        <f>IFERROR(IF($B134="","",INDEX('Cartes API'!$H:$H,MATCH($B134,'Cartes API'!$A:$A,0))),"")</f>
        <v/>
      </c>
      <c r="H134" s="11"/>
      <c r="I134" s="26" t="str">
        <f t="shared" si="1"/>
        <v/>
      </c>
      <c r="J134" s="26" t="str">
        <f>IFERROR(INDEX(Cablage!$A:$A,MATCH($I134,Cablage!$F:$F,0)),"")</f>
        <v/>
      </c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</row>
    <row r="135" spans="1:50" ht="15" customHeight="1" x14ac:dyDescent="0.25">
      <c r="A135" s="25"/>
      <c r="B135" s="25"/>
      <c r="C135" s="11"/>
      <c r="D135" s="11"/>
      <c r="E135" s="11"/>
      <c r="F135" s="26" t="str">
        <f>IFERROR(IF(OR($B135="",$C135=""),"",INDEX('Cartes API'!$J:$J,MATCH($B135,'Cartes API'!$A:$A,0))&amp;INDEX('Cartes API'!$B:$B,MATCH($B135,'Cartes API'!$A:$A,0))&amp;"."&amp;INDEX('Cartes API'!$C:$C,MATCH($B135,'Cartes API'!$A:$A,0))&amp;"."&amp;$C135),"")</f>
        <v/>
      </c>
      <c r="G135" s="26" t="str">
        <f>IFERROR(IF($B135="","",INDEX('Cartes API'!$H:$H,MATCH($B135,'Cartes API'!$A:$A,0))),"")</f>
        <v/>
      </c>
      <c r="H135" s="11"/>
      <c r="I135" s="26" t="str">
        <f t="shared" si="1"/>
        <v/>
      </c>
      <c r="J135" s="26" t="str">
        <f>IFERROR(INDEX(Cablage!$A:$A,MATCH($I135,Cablage!$F:$F,0)),"")</f>
        <v/>
      </c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</row>
    <row r="136" spans="1:50" ht="15" customHeight="1" x14ac:dyDescent="0.25">
      <c r="A136" s="25"/>
      <c r="B136" s="25"/>
      <c r="C136" s="11"/>
      <c r="D136" s="11"/>
      <c r="E136" s="11"/>
      <c r="F136" s="26" t="str">
        <f>IFERROR(IF(OR($B136="",$C136=""),"",INDEX('Cartes API'!$J:$J,MATCH($B136,'Cartes API'!$A:$A,0))&amp;INDEX('Cartes API'!$B:$B,MATCH($B136,'Cartes API'!$A:$A,0))&amp;"."&amp;INDEX('Cartes API'!$C:$C,MATCH($B136,'Cartes API'!$A:$A,0))&amp;"."&amp;$C136),"")</f>
        <v/>
      </c>
      <c r="G136" s="26" t="str">
        <f>IFERROR(IF($B136="","",INDEX('Cartes API'!$H:$H,MATCH($B136,'Cartes API'!$A:$A,0))),"")</f>
        <v/>
      </c>
      <c r="H136" s="11"/>
      <c r="I136" s="26" t="str">
        <f t="shared" si="1"/>
        <v/>
      </c>
      <c r="J136" s="26" t="str">
        <f>IFERROR(INDEX(Cablage!$A:$A,MATCH($I136,Cablage!$F:$F,0)),"")</f>
        <v/>
      </c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</row>
    <row r="137" spans="1:50" ht="15" customHeight="1" x14ac:dyDescent="0.25">
      <c r="A137" s="25"/>
      <c r="B137" s="25"/>
      <c r="C137" s="11"/>
      <c r="D137" s="11"/>
      <c r="E137" s="11"/>
      <c r="F137" s="26" t="str">
        <f>IFERROR(IF(OR($B137="",$C137=""),"",INDEX('Cartes API'!$J:$J,MATCH($B137,'Cartes API'!$A:$A,0))&amp;INDEX('Cartes API'!$B:$B,MATCH($B137,'Cartes API'!$A:$A,0))&amp;"."&amp;INDEX('Cartes API'!$C:$C,MATCH($B137,'Cartes API'!$A:$A,0))&amp;"."&amp;$C137),"")</f>
        <v/>
      </c>
      <c r="G137" s="26" t="str">
        <f>IFERROR(IF($B137="","",INDEX('Cartes API'!$H:$H,MATCH($B137,'Cartes API'!$A:$A,0))),"")</f>
        <v/>
      </c>
      <c r="H137" s="11"/>
      <c r="I137" s="26" t="str">
        <f t="shared" ref="I137:I200" si="2">IF(OR($G137="",$H137=""),"",$G137&amp;"["&amp;$H137&amp;"]")</f>
        <v/>
      </c>
      <c r="J137" s="26" t="str">
        <f>IFERROR(INDEX(Cablage!$A:$A,MATCH($I137,Cablage!$F:$F,0)),"")</f>
        <v/>
      </c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</row>
    <row r="138" spans="1:50" ht="15" customHeight="1" x14ac:dyDescent="0.25">
      <c r="A138" s="25"/>
      <c r="B138" s="25"/>
      <c r="C138" s="11"/>
      <c r="D138" s="11"/>
      <c r="E138" s="11"/>
      <c r="F138" s="26" t="str">
        <f>IFERROR(IF(OR($B138="",$C138=""),"",INDEX('Cartes API'!$J:$J,MATCH($B138,'Cartes API'!$A:$A,0))&amp;INDEX('Cartes API'!$B:$B,MATCH($B138,'Cartes API'!$A:$A,0))&amp;"."&amp;INDEX('Cartes API'!$C:$C,MATCH($B138,'Cartes API'!$A:$A,0))&amp;"."&amp;$C138),"")</f>
        <v/>
      </c>
      <c r="G138" s="26" t="str">
        <f>IFERROR(IF($B138="","",INDEX('Cartes API'!$H:$H,MATCH($B138,'Cartes API'!$A:$A,0))),"")</f>
        <v/>
      </c>
      <c r="H138" s="11"/>
      <c r="I138" s="26" t="str">
        <f t="shared" si="2"/>
        <v/>
      </c>
      <c r="J138" s="26" t="str">
        <f>IFERROR(INDEX(Cablage!$A:$A,MATCH($I138,Cablage!$F:$F,0)),"")</f>
        <v/>
      </c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</row>
    <row r="139" spans="1:50" ht="15" customHeight="1" x14ac:dyDescent="0.25">
      <c r="A139" s="25"/>
      <c r="B139" s="25"/>
      <c r="C139" s="11"/>
      <c r="D139" s="11"/>
      <c r="E139" s="11"/>
      <c r="F139" s="26" t="str">
        <f>IFERROR(IF(OR($B139="",$C139=""),"",INDEX('Cartes API'!$J:$J,MATCH($B139,'Cartes API'!$A:$A,0))&amp;INDEX('Cartes API'!$B:$B,MATCH($B139,'Cartes API'!$A:$A,0))&amp;"."&amp;INDEX('Cartes API'!$C:$C,MATCH($B139,'Cartes API'!$A:$A,0))&amp;"."&amp;$C139),"")</f>
        <v/>
      </c>
      <c r="G139" s="26" t="str">
        <f>IFERROR(IF($B139="","",INDEX('Cartes API'!$H:$H,MATCH($B139,'Cartes API'!$A:$A,0))),"")</f>
        <v/>
      </c>
      <c r="H139" s="11"/>
      <c r="I139" s="26" t="str">
        <f t="shared" si="2"/>
        <v/>
      </c>
      <c r="J139" s="26" t="str">
        <f>IFERROR(INDEX(Cablage!$A:$A,MATCH($I139,Cablage!$F:$F,0)),"")</f>
        <v/>
      </c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</row>
    <row r="140" spans="1:50" ht="15" customHeight="1" x14ac:dyDescent="0.25">
      <c r="A140" s="25"/>
      <c r="B140" s="25"/>
      <c r="C140" s="11"/>
      <c r="D140" s="11"/>
      <c r="E140" s="11"/>
      <c r="F140" s="26" t="str">
        <f>IFERROR(IF(OR($B140="",$C140=""),"",INDEX('Cartes API'!$J:$J,MATCH($B140,'Cartes API'!$A:$A,0))&amp;INDEX('Cartes API'!$B:$B,MATCH($B140,'Cartes API'!$A:$A,0))&amp;"."&amp;INDEX('Cartes API'!$C:$C,MATCH($B140,'Cartes API'!$A:$A,0))&amp;"."&amp;$C140),"")</f>
        <v/>
      </c>
      <c r="G140" s="26" t="str">
        <f>IFERROR(IF($B140="","",INDEX('Cartes API'!$H:$H,MATCH($B140,'Cartes API'!$A:$A,0))),"")</f>
        <v/>
      </c>
      <c r="H140" s="11"/>
      <c r="I140" s="26" t="str">
        <f t="shared" si="2"/>
        <v/>
      </c>
      <c r="J140" s="26" t="str">
        <f>IFERROR(INDEX(Cablage!$A:$A,MATCH($I140,Cablage!$F:$F,0)),"")</f>
        <v/>
      </c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</row>
    <row r="141" spans="1:50" ht="15" customHeight="1" x14ac:dyDescent="0.25">
      <c r="A141" s="25"/>
      <c r="B141" s="25"/>
      <c r="C141" s="11"/>
      <c r="D141" s="11"/>
      <c r="E141" s="11"/>
      <c r="F141" s="26" t="str">
        <f>IFERROR(IF(OR($B141="",$C141=""),"",INDEX('Cartes API'!$J:$J,MATCH($B141,'Cartes API'!$A:$A,0))&amp;INDEX('Cartes API'!$B:$B,MATCH($B141,'Cartes API'!$A:$A,0))&amp;"."&amp;INDEX('Cartes API'!$C:$C,MATCH($B141,'Cartes API'!$A:$A,0))&amp;"."&amp;$C141),"")</f>
        <v/>
      </c>
      <c r="G141" s="26" t="str">
        <f>IFERROR(IF($B141="","",INDEX('Cartes API'!$H:$H,MATCH($B141,'Cartes API'!$A:$A,0))),"")</f>
        <v/>
      </c>
      <c r="H141" s="11"/>
      <c r="I141" s="26" t="str">
        <f t="shared" si="2"/>
        <v/>
      </c>
      <c r="J141" s="26" t="str">
        <f>IFERROR(INDEX(Cablage!$A:$A,MATCH($I141,Cablage!$F:$F,0)),"")</f>
        <v/>
      </c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</row>
    <row r="142" spans="1:50" ht="15" customHeight="1" x14ac:dyDescent="0.25">
      <c r="A142" s="25"/>
      <c r="B142" s="25"/>
      <c r="C142" s="11"/>
      <c r="D142" s="11"/>
      <c r="E142" s="11"/>
      <c r="F142" s="26" t="str">
        <f>IFERROR(IF(OR($B142="",$C142=""),"",INDEX('Cartes API'!$J:$J,MATCH($B142,'Cartes API'!$A:$A,0))&amp;INDEX('Cartes API'!$B:$B,MATCH($B142,'Cartes API'!$A:$A,0))&amp;"."&amp;INDEX('Cartes API'!$C:$C,MATCH($B142,'Cartes API'!$A:$A,0))&amp;"."&amp;$C142),"")</f>
        <v/>
      </c>
      <c r="G142" s="26" t="str">
        <f>IFERROR(IF($B142="","",INDEX('Cartes API'!$H:$H,MATCH($B142,'Cartes API'!$A:$A,0))),"")</f>
        <v/>
      </c>
      <c r="H142" s="11"/>
      <c r="I142" s="26" t="str">
        <f t="shared" si="2"/>
        <v/>
      </c>
      <c r="J142" s="26" t="str">
        <f>IFERROR(INDEX(Cablage!$A:$A,MATCH($I142,Cablage!$F:$F,0)),"")</f>
        <v/>
      </c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</row>
    <row r="143" spans="1:50" ht="15" customHeight="1" x14ac:dyDescent="0.25">
      <c r="A143" s="25"/>
      <c r="B143" s="25"/>
      <c r="C143" s="11"/>
      <c r="D143" s="11"/>
      <c r="E143" s="11"/>
      <c r="F143" s="26" t="str">
        <f>IFERROR(IF(OR($B143="",$C143=""),"",INDEX('Cartes API'!$J:$J,MATCH($B143,'Cartes API'!$A:$A,0))&amp;INDEX('Cartes API'!$B:$B,MATCH($B143,'Cartes API'!$A:$A,0))&amp;"."&amp;INDEX('Cartes API'!$C:$C,MATCH($B143,'Cartes API'!$A:$A,0))&amp;"."&amp;$C143),"")</f>
        <v/>
      </c>
      <c r="G143" s="26" t="str">
        <f>IFERROR(IF($B143="","",INDEX('Cartes API'!$H:$H,MATCH($B143,'Cartes API'!$A:$A,0))),"")</f>
        <v/>
      </c>
      <c r="H143" s="11"/>
      <c r="I143" s="26" t="str">
        <f t="shared" si="2"/>
        <v/>
      </c>
      <c r="J143" s="26" t="str">
        <f>IFERROR(INDEX(Cablage!$A:$A,MATCH($I143,Cablage!$F:$F,0)),"")</f>
        <v/>
      </c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</row>
    <row r="144" spans="1:50" ht="15" customHeight="1" x14ac:dyDescent="0.25">
      <c r="A144" s="25"/>
      <c r="B144" s="25"/>
      <c r="C144" s="11"/>
      <c r="D144" s="11"/>
      <c r="E144" s="11"/>
      <c r="F144" s="26" t="str">
        <f>IFERROR(IF(OR($B144="",$C144=""),"",INDEX('Cartes API'!$J:$J,MATCH($B144,'Cartes API'!$A:$A,0))&amp;INDEX('Cartes API'!$B:$B,MATCH($B144,'Cartes API'!$A:$A,0))&amp;"."&amp;INDEX('Cartes API'!$C:$C,MATCH($B144,'Cartes API'!$A:$A,0))&amp;"."&amp;$C144),"")</f>
        <v/>
      </c>
      <c r="G144" s="26" t="str">
        <f>IFERROR(IF($B144="","",INDEX('Cartes API'!$H:$H,MATCH($B144,'Cartes API'!$A:$A,0))),"")</f>
        <v/>
      </c>
      <c r="H144" s="11"/>
      <c r="I144" s="26" t="str">
        <f t="shared" si="2"/>
        <v/>
      </c>
      <c r="J144" s="26" t="str">
        <f>IFERROR(INDEX(Cablage!$A:$A,MATCH($I144,Cablage!$F:$F,0)),"")</f>
        <v/>
      </c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</row>
    <row r="145" spans="1:50" ht="15" customHeight="1" x14ac:dyDescent="0.25">
      <c r="A145" s="25"/>
      <c r="B145" s="25"/>
      <c r="C145" s="11"/>
      <c r="D145" s="11"/>
      <c r="E145" s="11"/>
      <c r="F145" s="26" t="str">
        <f>IFERROR(IF(OR($B145="",$C145=""),"",INDEX('Cartes API'!$J:$J,MATCH($B145,'Cartes API'!$A:$A,0))&amp;INDEX('Cartes API'!$B:$B,MATCH($B145,'Cartes API'!$A:$A,0))&amp;"."&amp;INDEX('Cartes API'!$C:$C,MATCH($B145,'Cartes API'!$A:$A,0))&amp;"."&amp;$C145),"")</f>
        <v/>
      </c>
      <c r="G145" s="26" t="str">
        <f>IFERROR(IF($B145="","",INDEX('Cartes API'!$H:$H,MATCH($B145,'Cartes API'!$A:$A,0))),"")</f>
        <v/>
      </c>
      <c r="H145" s="11"/>
      <c r="I145" s="26" t="str">
        <f t="shared" si="2"/>
        <v/>
      </c>
      <c r="J145" s="26" t="str">
        <f>IFERROR(INDEX(Cablage!$A:$A,MATCH($I145,Cablage!$F:$F,0)),"")</f>
        <v/>
      </c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</row>
    <row r="146" spans="1:50" ht="15" customHeight="1" x14ac:dyDescent="0.25">
      <c r="A146" s="25"/>
      <c r="B146" s="25"/>
      <c r="C146" s="11"/>
      <c r="D146" s="11"/>
      <c r="E146" s="11"/>
      <c r="F146" s="26" t="str">
        <f>IFERROR(IF(OR($B146="",$C146=""),"",INDEX('Cartes API'!$J:$J,MATCH($B146,'Cartes API'!$A:$A,0))&amp;INDEX('Cartes API'!$B:$B,MATCH($B146,'Cartes API'!$A:$A,0))&amp;"."&amp;INDEX('Cartes API'!$C:$C,MATCH($B146,'Cartes API'!$A:$A,0))&amp;"."&amp;$C146),"")</f>
        <v/>
      </c>
      <c r="G146" s="26" t="str">
        <f>IFERROR(IF($B146="","",INDEX('Cartes API'!$H:$H,MATCH($B146,'Cartes API'!$A:$A,0))),"")</f>
        <v/>
      </c>
      <c r="H146" s="11"/>
      <c r="I146" s="26" t="str">
        <f t="shared" si="2"/>
        <v/>
      </c>
      <c r="J146" s="26" t="str">
        <f>IFERROR(INDEX(Cablage!$A:$A,MATCH($I146,Cablage!$F:$F,0)),"")</f>
        <v/>
      </c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</row>
    <row r="147" spans="1:50" ht="15" customHeight="1" x14ac:dyDescent="0.25">
      <c r="A147" s="25"/>
      <c r="B147" s="25"/>
      <c r="C147" s="11"/>
      <c r="D147" s="11"/>
      <c r="E147" s="11"/>
      <c r="F147" s="26" t="str">
        <f>IFERROR(IF(OR($B147="",$C147=""),"",INDEX('Cartes API'!$J:$J,MATCH($B147,'Cartes API'!$A:$A,0))&amp;INDEX('Cartes API'!$B:$B,MATCH($B147,'Cartes API'!$A:$A,0))&amp;"."&amp;INDEX('Cartes API'!$C:$C,MATCH($B147,'Cartes API'!$A:$A,0))&amp;"."&amp;$C147),"")</f>
        <v/>
      </c>
      <c r="G147" s="26" t="str">
        <f>IFERROR(IF($B147="","",INDEX('Cartes API'!$H:$H,MATCH($B147,'Cartes API'!$A:$A,0))),"")</f>
        <v/>
      </c>
      <c r="H147" s="11"/>
      <c r="I147" s="26" t="str">
        <f t="shared" si="2"/>
        <v/>
      </c>
      <c r="J147" s="26" t="str">
        <f>IFERROR(INDEX(Cablage!$A:$A,MATCH($I147,Cablage!$F:$F,0)),"")</f>
        <v/>
      </c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</row>
    <row r="148" spans="1:50" ht="15" customHeight="1" x14ac:dyDescent="0.25">
      <c r="A148" s="25"/>
      <c r="B148" s="25"/>
      <c r="C148" s="11"/>
      <c r="D148" s="11"/>
      <c r="E148" s="11"/>
      <c r="F148" s="26" t="str">
        <f>IFERROR(IF(OR($B148="",$C148=""),"",INDEX('Cartes API'!$J:$J,MATCH($B148,'Cartes API'!$A:$A,0))&amp;INDEX('Cartes API'!$B:$B,MATCH($B148,'Cartes API'!$A:$A,0))&amp;"."&amp;INDEX('Cartes API'!$C:$C,MATCH($B148,'Cartes API'!$A:$A,0))&amp;"."&amp;$C148),"")</f>
        <v/>
      </c>
      <c r="G148" s="26" t="str">
        <f>IFERROR(IF($B148="","",INDEX('Cartes API'!$H:$H,MATCH($B148,'Cartes API'!$A:$A,0))),"")</f>
        <v/>
      </c>
      <c r="H148" s="11"/>
      <c r="I148" s="26" t="str">
        <f t="shared" si="2"/>
        <v/>
      </c>
      <c r="J148" s="26" t="str">
        <f>IFERROR(INDEX(Cablage!$A:$A,MATCH($I148,Cablage!$F:$F,0)),"")</f>
        <v/>
      </c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</row>
    <row r="149" spans="1:50" ht="15" customHeight="1" x14ac:dyDescent="0.25">
      <c r="A149" s="25"/>
      <c r="B149" s="25"/>
      <c r="C149" s="11"/>
      <c r="D149" s="11"/>
      <c r="E149" s="11"/>
      <c r="F149" s="26" t="str">
        <f>IFERROR(IF(OR($B149="",$C149=""),"",INDEX('Cartes API'!$J:$J,MATCH($B149,'Cartes API'!$A:$A,0))&amp;INDEX('Cartes API'!$B:$B,MATCH($B149,'Cartes API'!$A:$A,0))&amp;"."&amp;INDEX('Cartes API'!$C:$C,MATCH($B149,'Cartes API'!$A:$A,0))&amp;"."&amp;$C149),"")</f>
        <v/>
      </c>
      <c r="G149" s="26" t="str">
        <f>IFERROR(IF($B149="","",INDEX('Cartes API'!$H:$H,MATCH($B149,'Cartes API'!$A:$A,0))),"")</f>
        <v/>
      </c>
      <c r="H149" s="11"/>
      <c r="I149" s="26" t="str">
        <f t="shared" si="2"/>
        <v/>
      </c>
      <c r="J149" s="26" t="str">
        <f>IFERROR(INDEX(Cablage!$A:$A,MATCH($I149,Cablage!$F:$F,0)),"")</f>
        <v/>
      </c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</row>
    <row r="150" spans="1:50" ht="15" customHeight="1" x14ac:dyDescent="0.25">
      <c r="A150" s="25"/>
      <c r="B150" s="25"/>
      <c r="C150" s="11"/>
      <c r="D150" s="11"/>
      <c r="E150" s="11"/>
      <c r="F150" s="26" t="str">
        <f>IFERROR(IF(OR($B150="",$C150=""),"",INDEX('Cartes API'!$J:$J,MATCH($B150,'Cartes API'!$A:$A,0))&amp;INDEX('Cartes API'!$B:$B,MATCH($B150,'Cartes API'!$A:$A,0))&amp;"."&amp;INDEX('Cartes API'!$C:$C,MATCH($B150,'Cartes API'!$A:$A,0))&amp;"."&amp;$C150),"")</f>
        <v/>
      </c>
      <c r="G150" s="26" t="str">
        <f>IFERROR(IF($B150="","",INDEX('Cartes API'!$H:$H,MATCH($B150,'Cartes API'!$A:$A,0))),"")</f>
        <v/>
      </c>
      <c r="H150" s="11"/>
      <c r="I150" s="26" t="str">
        <f t="shared" si="2"/>
        <v/>
      </c>
      <c r="J150" s="26" t="str">
        <f>IFERROR(INDEX(Cablage!$A:$A,MATCH($I150,Cablage!$F:$F,0)),"")</f>
        <v/>
      </c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</row>
    <row r="151" spans="1:50" ht="15" customHeight="1" x14ac:dyDescent="0.25">
      <c r="A151" s="25"/>
      <c r="B151" s="25"/>
      <c r="C151" s="11"/>
      <c r="D151" s="11"/>
      <c r="E151" s="11"/>
      <c r="F151" s="26" t="str">
        <f>IFERROR(IF(OR($B151="",$C151=""),"",INDEX('Cartes API'!$J:$J,MATCH($B151,'Cartes API'!$A:$A,0))&amp;INDEX('Cartes API'!$B:$B,MATCH($B151,'Cartes API'!$A:$A,0))&amp;"."&amp;INDEX('Cartes API'!$C:$C,MATCH($B151,'Cartes API'!$A:$A,0))&amp;"."&amp;$C151),"")</f>
        <v/>
      </c>
      <c r="G151" s="26" t="str">
        <f>IFERROR(IF($B151="","",INDEX('Cartes API'!$H:$H,MATCH($B151,'Cartes API'!$A:$A,0))),"")</f>
        <v/>
      </c>
      <c r="H151" s="11"/>
      <c r="I151" s="26" t="str">
        <f t="shared" si="2"/>
        <v/>
      </c>
      <c r="J151" s="26" t="str">
        <f>IFERROR(INDEX(Cablage!$A:$A,MATCH($I151,Cablage!$F:$F,0)),"")</f>
        <v/>
      </c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</row>
    <row r="152" spans="1:50" ht="15" customHeight="1" x14ac:dyDescent="0.25">
      <c r="A152" s="25"/>
      <c r="B152" s="25"/>
      <c r="C152" s="11"/>
      <c r="D152" s="11"/>
      <c r="E152" s="11"/>
      <c r="F152" s="26" t="str">
        <f>IFERROR(IF(OR($B152="",$C152=""),"",INDEX('Cartes API'!$J:$J,MATCH($B152,'Cartes API'!$A:$A,0))&amp;INDEX('Cartes API'!$B:$B,MATCH($B152,'Cartes API'!$A:$A,0))&amp;"."&amp;INDEX('Cartes API'!$C:$C,MATCH($B152,'Cartes API'!$A:$A,0))&amp;"."&amp;$C152),"")</f>
        <v/>
      </c>
      <c r="G152" s="26" t="str">
        <f>IFERROR(IF($B152="","",INDEX('Cartes API'!$H:$H,MATCH($B152,'Cartes API'!$A:$A,0))),"")</f>
        <v/>
      </c>
      <c r="H152" s="11"/>
      <c r="I152" s="26" t="str">
        <f t="shared" si="2"/>
        <v/>
      </c>
      <c r="J152" s="26" t="str">
        <f>IFERROR(INDEX(Cablage!$A:$A,MATCH($I152,Cablage!$F:$F,0)),"")</f>
        <v/>
      </c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</row>
    <row r="153" spans="1:50" ht="15" customHeight="1" x14ac:dyDescent="0.25">
      <c r="A153" s="25"/>
      <c r="B153" s="25"/>
      <c r="C153" s="11"/>
      <c r="D153" s="11"/>
      <c r="E153" s="11"/>
      <c r="F153" s="26" t="str">
        <f>IFERROR(IF(OR($B153="",$C153=""),"",INDEX('Cartes API'!$J:$J,MATCH($B153,'Cartes API'!$A:$A,0))&amp;INDEX('Cartes API'!$B:$B,MATCH($B153,'Cartes API'!$A:$A,0))&amp;"."&amp;INDEX('Cartes API'!$C:$C,MATCH($B153,'Cartes API'!$A:$A,0))&amp;"."&amp;$C153),"")</f>
        <v/>
      </c>
      <c r="G153" s="26" t="str">
        <f>IFERROR(IF($B153="","",INDEX('Cartes API'!$H:$H,MATCH($B153,'Cartes API'!$A:$A,0))),"")</f>
        <v/>
      </c>
      <c r="H153" s="11"/>
      <c r="I153" s="26" t="str">
        <f t="shared" si="2"/>
        <v/>
      </c>
      <c r="J153" s="26" t="str">
        <f>IFERROR(INDEX(Cablage!$A:$A,MATCH($I153,Cablage!$F:$F,0)),"")</f>
        <v/>
      </c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</row>
    <row r="154" spans="1:50" ht="15" customHeight="1" x14ac:dyDescent="0.25">
      <c r="A154" s="25"/>
      <c r="B154" s="25"/>
      <c r="C154" s="11"/>
      <c r="D154" s="11"/>
      <c r="E154" s="11"/>
      <c r="F154" s="26" t="str">
        <f>IFERROR(IF(OR($B154="",$C154=""),"",INDEX('Cartes API'!$J:$J,MATCH($B154,'Cartes API'!$A:$A,0))&amp;INDEX('Cartes API'!$B:$B,MATCH($B154,'Cartes API'!$A:$A,0))&amp;"."&amp;INDEX('Cartes API'!$C:$C,MATCH($B154,'Cartes API'!$A:$A,0))&amp;"."&amp;$C154),"")</f>
        <v/>
      </c>
      <c r="G154" s="26" t="str">
        <f>IFERROR(IF($B154="","",INDEX('Cartes API'!$H:$H,MATCH($B154,'Cartes API'!$A:$A,0))),"")</f>
        <v/>
      </c>
      <c r="H154" s="11"/>
      <c r="I154" s="26" t="str">
        <f t="shared" si="2"/>
        <v/>
      </c>
      <c r="J154" s="26" t="str">
        <f>IFERROR(INDEX(Cablage!$A:$A,MATCH($I154,Cablage!$F:$F,0)),"")</f>
        <v/>
      </c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</row>
    <row r="155" spans="1:50" ht="15" customHeight="1" x14ac:dyDescent="0.25">
      <c r="A155" s="25"/>
      <c r="B155" s="25"/>
      <c r="C155" s="11"/>
      <c r="D155" s="11"/>
      <c r="E155" s="11"/>
      <c r="F155" s="26" t="str">
        <f>IFERROR(IF(OR($B155="",$C155=""),"",INDEX('Cartes API'!$J:$J,MATCH($B155,'Cartes API'!$A:$A,0))&amp;INDEX('Cartes API'!$B:$B,MATCH($B155,'Cartes API'!$A:$A,0))&amp;"."&amp;INDEX('Cartes API'!$C:$C,MATCH($B155,'Cartes API'!$A:$A,0))&amp;"."&amp;$C155),"")</f>
        <v/>
      </c>
      <c r="G155" s="26" t="str">
        <f>IFERROR(IF($B155="","",INDEX('Cartes API'!$H:$H,MATCH($B155,'Cartes API'!$A:$A,0))),"")</f>
        <v/>
      </c>
      <c r="H155" s="11"/>
      <c r="I155" s="26" t="str">
        <f t="shared" si="2"/>
        <v/>
      </c>
      <c r="J155" s="26" t="str">
        <f>IFERROR(INDEX(Cablage!$A:$A,MATCH($I155,Cablage!$F:$F,0)),"")</f>
        <v/>
      </c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</row>
    <row r="156" spans="1:50" ht="15" customHeight="1" x14ac:dyDescent="0.25">
      <c r="A156" s="25"/>
      <c r="B156" s="25"/>
      <c r="C156" s="11"/>
      <c r="D156" s="11"/>
      <c r="E156" s="11"/>
      <c r="F156" s="26" t="str">
        <f>IFERROR(IF(OR($B156="",$C156=""),"",INDEX('Cartes API'!$J:$J,MATCH($B156,'Cartes API'!$A:$A,0))&amp;INDEX('Cartes API'!$B:$B,MATCH($B156,'Cartes API'!$A:$A,0))&amp;"."&amp;INDEX('Cartes API'!$C:$C,MATCH($B156,'Cartes API'!$A:$A,0))&amp;"."&amp;$C156),"")</f>
        <v/>
      </c>
      <c r="G156" s="26" t="str">
        <f>IFERROR(IF($B156="","",INDEX('Cartes API'!$H:$H,MATCH($B156,'Cartes API'!$A:$A,0))),"")</f>
        <v/>
      </c>
      <c r="H156" s="11"/>
      <c r="I156" s="26" t="str">
        <f t="shared" si="2"/>
        <v/>
      </c>
      <c r="J156" s="26" t="str">
        <f>IFERROR(INDEX(Cablage!$A:$A,MATCH($I156,Cablage!$F:$F,0)),"")</f>
        <v/>
      </c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</row>
    <row r="157" spans="1:50" ht="15" customHeight="1" x14ac:dyDescent="0.25">
      <c r="A157" s="25"/>
      <c r="B157" s="25"/>
      <c r="C157" s="11"/>
      <c r="D157" s="11"/>
      <c r="E157" s="11"/>
      <c r="F157" s="26" t="str">
        <f>IFERROR(IF(OR($B157="",$C157=""),"",INDEX('Cartes API'!$J:$J,MATCH($B157,'Cartes API'!$A:$A,0))&amp;INDEX('Cartes API'!$B:$B,MATCH($B157,'Cartes API'!$A:$A,0))&amp;"."&amp;INDEX('Cartes API'!$C:$C,MATCH($B157,'Cartes API'!$A:$A,0))&amp;"."&amp;$C157),"")</f>
        <v/>
      </c>
      <c r="G157" s="26" t="str">
        <f>IFERROR(IF($B157="","",INDEX('Cartes API'!$H:$H,MATCH($B157,'Cartes API'!$A:$A,0))),"")</f>
        <v/>
      </c>
      <c r="H157" s="11"/>
      <c r="I157" s="26" t="str">
        <f t="shared" si="2"/>
        <v/>
      </c>
      <c r="J157" s="26" t="str">
        <f>IFERROR(INDEX(Cablage!$A:$A,MATCH($I157,Cablage!$F:$F,0)),"")</f>
        <v/>
      </c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</row>
    <row r="158" spans="1:50" ht="15" customHeight="1" x14ac:dyDescent="0.25">
      <c r="A158" s="25"/>
      <c r="B158" s="25"/>
      <c r="C158" s="11"/>
      <c r="D158" s="11"/>
      <c r="E158" s="11"/>
      <c r="F158" s="26" t="str">
        <f>IFERROR(IF(OR($B158="",$C158=""),"",INDEX('Cartes API'!$J:$J,MATCH($B158,'Cartes API'!$A:$A,0))&amp;INDEX('Cartes API'!$B:$B,MATCH($B158,'Cartes API'!$A:$A,0))&amp;"."&amp;INDEX('Cartes API'!$C:$C,MATCH($B158,'Cartes API'!$A:$A,0))&amp;"."&amp;$C158),"")</f>
        <v/>
      </c>
      <c r="G158" s="26" t="str">
        <f>IFERROR(IF($B158="","",INDEX('Cartes API'!$H:$H,MATCH($B158,'Cartes API'!$A:$A,0))),"")</f>
        <v/>
      </c>
      <c r="H158" s="11"/>
      <c r="I158" s="26" t="str">
        <f t="shared" si="2"/>
        <v/>
      </c>
      <c r="J158" s="26" t="str">
        <f>IFERROR(INDEX(Cablage!$A:$A,MATCH($I158,Cablage!$F:$F,0)),"")</f>
        <v/>
      </c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</row>
    <row r="159" spans="1:50" ht="15" customHeight="1" x14ac:dyDescent="0.25">
      <c r="A159" s="25"/>
      <c r="B159" s="25"/>
      <c r="C159" s="11"/>
      <c r="D159" s="11"/>
      <c r="E159" s="11"/>
      <c r="F159" s="26" t="str">
        <f>IFERROR(IF(OR($B159="",$C159=""),"",INDEX('Cartes API'!$J:$J,MATCH($B159,'Cartes API'!$A:$A,0))&amp;INDEX('Cartes API'!$B:$B,MATCH($B159,'Cartes API'!$A:$A,0))&amp;"."&amp;INDEX('Cartes API'!$C:$C,MATCH($B159,'Cartes API'!$A:$A,0))&amp;"."&amp;$C159),"")</f>
        <v/>
      </c>
      <c r="G159" s="26" t="str">
        <f>IFERROR(IF($B159="","",INDEX('Cartes API'!$H:$H,MATCH($B159,'Cartes API'!$A:$A,0))),"")</f>
        <v/>
      </c>
      <c r="H159" s="11"/>
      <c r="I159" s="26" t="str">
        <f t="shared" si="2"/>
        <v/>
      </c>
      <c r="J159" s="26" t="str">
        <f>IFERROR(INDEX(Cablage!$A:$A,MATCH($I159,Cablage!$F:$F,0)),"")</f>
        <v/>
      </c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</row>
    <row r="160" spans="1:50" ht="15" customHeight="1" x14ac:dyDescent="0.25">
      <c r="A160" s="25"/>
      <c r="B160" s="25"/>
      <c r="C160" s="11"/>
      <c r="D160" s="11"/>
      <c r="E160" s="11"/>
      <c r="F160" s="26" t="str">
        <f>IFERROR(IF(OR($B160="",$C160=""),"",INDEX('Cartes API'!$J:$J,MATCH($B160,'Cartes API'!$A:$A,0))&amp;INDEX('Cartes API'!$B:$B,MATCH($B160,'Cartes API'!$A:$A,0))&amp;"."&amp;INDEX('Cartes API'!$C:$C,MATCH($B160,'Cartes API'!$A:$A,0))&amp;"."&amp;$C160),"")</f>
        <v/>
      </c>
      <c r="G160" s="26" t="str">
        <f>IFERROR(IF($B160="","",INDEX('Cartes API'!$H:$H,MATCH($B160,'Cartes API'!$A:$A,0))),"")</f>
        <v/>
      </c>
      <c r="H160" s="11"/>
      <c r="I160" s="26" t="str">
        <f t="shared" si="2"/>
        <v/>
      </c>
      <c r="J160" s="26" t="str">
        <f>IFERROR(INDEX(Cablage!$A:$A,MATCH($I160,Cablage!$F:$F,0)),"")</f>
        <v/>
      </c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</row>
    <row r="161" spans="1:50" ht="15" customHeight="1" x14ac:dyDescent="0.25">
      <c r="A161" s="25"/>
      <c r="B161" s="25"/>
      <c r="C161" s="11"/>
      <c r="D161" s="11"/>
      <c r="E161" s="11"/>
      <c r="F161" s="26" t="str">
        <f>IFERROR(IF(OR($B161="",$C161=""),"",INDEX('Cartes API'!$J:$J,MATCH($B161,'Cartes API'!$A:$A,0))&amp;INDEX('Cartes API'!$B:$B,MATCH($B161,'Cartes API'!$A:$A,0))&amp;"."&amp;INDEX('Cartes API'!$C:$C,MATCH($B161,'Cartes API'!$A:$A,0))&amp;"."&amp;$C161),"")</f>
        <v/>
      </c>
      <c r="G161" s="26" t="str">
        <f>IFERROR(IF($B161="","",INDEX('Cartes API'!$H:$H,MATCH($B161,'Cartes API'!$A:$A,0))),"")</f>
        <v/>
      </c>
      <c r="H161" s="11"/>
      <c r="I161" s="26" t="str">
        <f t="shared" si="2"/>
        <v/>
      </c>
      <c r="J161" s="26" t="str">
        <f>IFERROR(INDEX(Cablage!$A:$A,MATCH($I161,Cablage!$F:$F,0)),"")</f>
        <v/>
      </c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</row>
    <row r="162" spans="1:50" ht="15" customHeight="1" x14ac:dyDescent="0.25">
      <c r="A162" s="25"/>
      <c r="B162" s="25"/>
      <c r="C162" s="11"/>
      <c r="D162" s="11"/>
      <c r="E162" s="11"/>
      <c r="F162" s="26" t="str">
        <f>IFERROR(IF(OR($B162="",$C162=""),"",INDEX('Cartes API'!$J:$J,MATCH($B162,'Cartes API'!$A:$A,0))&amp;INDEX('Cartes API'!$B:$B,MATCH($B162,'Cartes API'!$A:$A,0))&amp;"."&amp;INDEX('Cartes API'!$C:$C,MATCH($B162,'Cartes API'!$A:$A,0))&amp;"."&amp;$C162),"")</f>
        <v/>
      </c>
      <c r="G162" s="26" t="str">
        <f>IFERROR(IF($B162="","",INDEX('Cartes API'!$H:$H,MATCH($B162,'Cartes API'!$A:$A,0))),"")</f>
        <v/>
      </c>
      <c r="H162" s="11"/>
      <c r="I162" s="26" t="str">
        <f t="shared" si="2"/>
        <v/>
      </c>
      <c r="J162" s="26" t="str">
        <f>IFERROR(INDEX(Cablage!$A:$A,MATCH($I162,Cablage!$F:$F,0)),"")</f>
        <v/>
      </c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</row>
    <row r="163" spans="1:50" ht="15" customHeight="1" x14ac:dyDescent="0.25">
      <c r="A163" s="25"/>
      <c r="B163" s="25"/>
      <c r="C163" s="11"/>
      <c r="D163" s="11"/>
      <c r="E163" s="11"/>
      <c r="F163" s="26" t="str">
        <f>IFERROR(IF(OR($B163="",$C163=""),"",INDEX('Cartes API'!$J:$J,MATCH($B163,'Cartes API'!$A:$A,0))&amp;INDEX('Cartes API'!$B:$B,MATCH($B163,'Cartes API'!$A:$A,0))&amp;"."&amp;INDEX('Cartes API'!$C:$C,MATCH($B163,'Cartes API'!$A:$A,0))&amp;"."&amp;$C163),"")</f>
        <v/>
      </c>
      <c r="G163" s="26" t="str">
        <f>IFERROR(IF($B163="","",INDEX('Cartes API'!$H:$H,MATCH($B163,'Cartes API'!$A:$A,0))),"")</f>
        <v/>
      </c>
      <c r="H163" s="11"/>
      <c r="I163" s="26" t="str">
        <f t="shared" si="2"/>
        <v/>
      </c>
      <c r="J163" s="26" t="str">
        <f>IFERROR(INDEX(Cablage!$A:$A,MATCH($I163,Cablage!$F:$F,0)),"")</f>
        <v/>
      </c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</row>
    <row r="164" spans="1:50" ht="15" customHeight="1" x14ac:dyDescent="0.25">
      <c r="A164" s="25"/>
      <c r="B164" s="25"/>
      <c r="C164" s="11"/>
      <c r="D164" s="11"/>
      <c r="E164" s="11"/>
      <c r="F164" s="26" t="str">
        <f>IFERROR(IF(OR($B164="",$C164=""),"",INDEX('Cartes API'!$J:$J,MATCH($B164,'Cartes API'!$A:$A,0))&amp;INDEX('Cartes API'!$B:$B,MATCH($B164,'Cartes API'!$A:$A,0))&amp;"."&amp;INDEX('Cartes API'!$C:$C,MATCH($B164,'Cartes API'!$A:$A,0))&amp;"."&amp;$C164),"")</f>
        <v/>
      </c>
      <c r="G164" s="26" t="str">
        <f>IFERROR(IF($B164="","",INDEX('Cartes API'!$H:$H,MATCH($B164,'Cartes API'!$A:$A,0))),"")</f>
        <v/>
      </c>
      <c r="H164" s="11"/>
      <c r="I164" s="26" t="str">
        <f t="shared" si="2"/>
        <v/>
      </c>
      <c r="J164" s="26" t="str">
        <f>IFERROR(INDEX(Cablage!$A:$A,MATCH($I164,Cablage!$F:$F,0)),"")</f>
        <v/>
      </c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</row>
    <row r="165" spans="1:50" ht="15" customHeight="1" x14ac:dyDescent="0.25">
      <c r="A165" s="25"/>
      <c r="B165" s="25"/>
      <c r="C165" s="11"/>
      <c r="D165" s="11"/>
      <c r="E165" s="11"/>
      <c r="F165" s="26" t="str">
        <f>IFERROR(IF(OR($B165="",$C165=""),"",INDEX('Cartes API'!$J:$J,MATCH($B165,'Cartes API'!$A:$A,0))&amp;INDEX('Cartes API'!$B:$B,MATCH($B165,'Cartes API'!$A:$A,0))&amp;"."&amp;INDEX('Cartes API'!$C:$C,MATCH($B165,'Cartes API'!$A:$A,0))&amp;"."&amp;$C165),"")</f>
        <v/>
      </c>
      <c r="G165" s="26" t="str">
        <f>IFERROR(IF($B165="","",INDEX('Cartes API'!$H:$H,MATCH($B165,'Cartes API'!$A:$A,0))),"")</f>
        <v/>
      </c>
      <c r="H165" s="11"/>
      <c r="I165" s="26" t="str">
        <f t="shared" si="2"/>
        <v/>
      </c>
      <c r="J165" s="26" t="str">
        <f>IFERROR(INDEX(Cablage!$A:$A,MATCH($I165,Cablage!$F:$F,0)),"")</f>
        <v/>
      </c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</row>
    <row r="166" spans="1:50" ht="15" customHeight="1" x14ac:dyDescent="0.25">
      <c r="A166" s="25"/>
      <c r="B166" s="25"/>
      <c r="C166" s="11"/>
      <c r="D166" s="11"/>
      <c r="E166" s="11"/>
      <c r="F166" s="26" t="str">
        <f>IFERROR(IF(OR($B166="",$C166=""),"",INDEX('Cartes API'!$J:$J,MATCH($B166,'Cartes API'!$A:$A,0))&amp;INDEX('Cartes API'!$B:$B,MATCH($B166,'Cartes API'!$A:$A,0))&amp;"."&amp;INDEX('Cartes API'!$C:$C,MATCH($B166,'Cartes API'!$A:$A,0))&amp;"."&amp;$C166),"")</f>
        <v/>
      </c>
      <c r="G166" s="26" t="str">
        <f>IFERROR(IF($B166="","",INDEX('Cartes API'!$H:$H,MATCH($B166,'Cartes API'!$A:$A,0))),"")</f>
        <v/>
      </c>
      <c r="H166" s="11"/>
      <c r="I166" s="26" t="str">
        <f t="shared" si="2"/>
        <v/>
      </c>
      <c r="J166" s="26" t="str">
        <f>IFERROR(INDEX(Cablage!$A:$A,MATCH($I166,Cablage!$F:$F,0)),"")</f>
        <v/>
      </c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</row>
    <row r="167" spans="1:50" ht="15" customHeight="1" x14ac:dyDescent="0.25">
      <c r="A167" s="25"/>
      <c r="B167" s="25"/>
      <c r="C167" s="11"/>
      <c r="D167" s="11"/>
      <c r="E167" s="11"/>
      <c r="F167" s="26" t="str">
        <f>IFERROR(IF(OR($B167="",$C167=""),"",INDEX('Cartes API'!$J:$J,MATCH($B167,'Cartes API'!$A:$A,0))&amp;INDEX('Cartes API'!$B:$B,MATCH($B167,'Cartes API'!$A:$A,0))&amp;"."&amp;INDEX('Cartes API'!$C:$C,MATCH($B167,'Cartes API'!$A:$A,0))&amp;"."&amp;$C167),"")</f>
        <v/>
      </c>
      <c r="G167" s="26" t="str">
        <f>IFERROR(IF($B167="","",INDEX('Cartes API'!$H:$H,MATCH($B167,'Cartes API'!$A:$A,0))),"")</f>
        <v/>
      </c>
      <c r="H167" s="11"/>
      <c r="I167" s="26" t="str">
        <f t="shared" si="2"/>
        <v/>
      </c>
      <c r="J167" s="26" t="str">
        <f>IFERROR(INDEX(Cablage!$A:$A,MATCH($I167,Cablage!$F:$F,0)),"")</f>
        <v/>
      </c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</row>
    <row r="168" spans="1:50" ht="15" customHeight="1" x14ac:dyDescent="0.25">
      <c r="A168" s="25"/>
      <c r="B168" s="25"/>
      <c r="C168" s="11"/>
      <c r="D168" s="11"/>
      <c r="E168" s="11"/>
      <c r="F168" s="26" t="str">
        <f>IFERROR(IF(OR($B168="",$C168=""),"",INDEX('Cartes API'!$J:$J,MATCH($B168,'Cartes API'!$A:$A,0))&amp;INDEX('Cartes API'!$B:$B,MATCH($B168,'Cartes API'!$A:$A,0))&amp;"."&amp;INDEX('Cartes API'!$C:$C,MATCH($B168,'Cartes API'!$A:$A,0))&amp;"."&amp;$C168),"")</f>
        <v/>
      </c>
      <c r="G168" s="26" t="str">
        <f>IFERROR(IF($B168="","",INDEX('Cartes API'!$H:$H,MATCH($B168,'Cartes API'!$A:$A,0))),"")</f>
        <v/>
      </c>
      <c r="H168" s="11"/>
      <c r="I168" s="26" t="str">
        <f t="shared" si="2"/>
        <v/>
      </c>
      <c r="J168" s="26" t="str">
        <f>IFERROR(INDEX(Cablage!$A:$A,MATCH($I168,Cablage!$F:$F,0)),"")</f>
        <v/>
      </c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</row>
    <row r="169" spans="1:50" ht="15" customHeight="1" x14ac:dyDescent="0.25">
      <c r="A169" s="25"/>
      <c r="B169" s="25"/>
      <c r="C169" s="11"/>
      <c r="D169" s="11"/>
      <c r="E169" s="11"/>
      <c r="F169" s="26" t="str">
        <f>IFERROR(IF(OR($B169="",$C169=""),"",INDEX('Cartes API'!$J:$J,MATCH($B169,'Cartes API'!$A:$A,0))&amp;INDEX('Cartes API'!$B:$B,MATCH($B169,'Cartes API'!$A:$A,0))&amp;"."&amp;INDEX('Cartes API'!$C:$C,MATCH($B169,'Cartes API'!$A:$A,0))&amp;"."&amp;$C169),"")</f>
        <v/>
      </c>
      <c r="G169" s="26" t="str">
        <f>IFERROR(IF($B169="","",INDEX('Cartes API'!$H:$H,MATCH($B169,'Cartes API'!$A:$A,0))),"")</f>
        <v/>
      </c>
      <c r="H169" s="11"/>
      <c r="I169" s="26" t="str">
        <f t="shared" si="2"/>
        <v/>
      </c>
      <c r="J169" s="26" t="str">
        <f>IFERROR(INDEX(Cablage!$A:$A,MATCH($I169,Cablage!$F:$F,0)),"")</f>
        <v/>
      </c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</row>
    <row r="170" spans="1:50" ht="15" customHeight="1" x14ac:dyDescent="0.25">
      <c r="A170" s="25"/>
      <c r="B170" s="25"/>
      <c r="C170" s="11"/>
      <c r="D170" s="11"/>
      <c r="E170" s="11"/>
      <c r="F170" s="26" t="str">
        <f>IFERROR(IF(OR($B170="",$C170=""),"",INDEX('Cartes API'!$J:$J,MATCH($B170,'Cartes API'!$A:$A,0))&amp;INDEX('Cartes API'!$B:$B,MATCH($B170,'Cartes API'!$A:$A,0))&amp;"."&amp;INDEX('Cartes API'!$C:$C,MATCH($B170,'Cartes API'!$A:$A,0))&amp;"."&amp;$C170),"")</f>
        <v/>
      </c>
      <c r="G170" s="26" t="str">
        <f>IFERROR(IF($B170="","",INDEX('Cartes API'!$H:$H,MATCH($B170,'Cartes API'!$A:$A,0))),"")</f>
        <v/>
      </c>
      <c r="H170" s="11"/>
      <c r="I170" s="26" t="str">
        <f t="shared" si="2"/>
        <v/>
      </c>
      <c r="J170" s="26" t="str">
        <f>IFERROR(INDEX(Cablage!$A:$A,MATCH($I170,Cablage!$F:$F,0)),"")</f>
        <v/>
      </c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</row>
    <row r="171" spans="1:50" ht="15" customHeight="1" x14ac:dyDescent="0.25">
      <c r="A171" s="25"/>
      <c r="B171" s="25"/>
      <c r="C171" s="11"/>
      <c r="D171" s="11"/>
      <c r="E171" s="11"/>
      <c r="F171" s="26" t="str">
        <f>IFERROR(IF(OR($B171="",$C171=""),"",INDEX('Cartes API'!$J:$J,MATCH($B171,'Cartes API'!$A:$A,0))&amp;INDEX('Cartes API'!$B:$B,MATCH($B171,'Cartes API'!$A:$A,0))&amp;"."&amp;INDEX('Cartes API'!$C:$C,MATCH($B171,'Cartes API'!$A:$A,0))&amp;"."&amp;$C171),"")</f>
        <v/>
      </c>
      <c r="G171" s="26" t="str">
        <f>IFERROR(IF($B171="","",INDEX('Cartes API'!$H:$H,MATCH($B171,'Cartes API'!$A:$A,0))),"")</f>
        <v/>
      </c>
      <c r="H171" s="11"/>
      <c r="I171" s="26" t="str">
        <f t="shared" si="2"/>
        <v/>
      </c>
      <c r="J171" s="26" t="str">
        <f>IFERROR(INDEX(Cablage!$A:$A,MATCH($I171,Cablage!$F:$F,0)),"")</f>
        <v/>
      </c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</row>
    <row r="172" spans="1:50" ht="15" customHeight="1" x14ac:dyDescent="0.25">
      <c r="A172" s="25"/>
      <c r="B172" s="25"/>
      <c r="C172" s="11"/>
      <c r="D172" s="11"/>
      <c r="E172" s="11"/>
      <c r="F172" s="26" t="str">
        <f>IFERROR(IF(OR($B172="",$C172=""),"",INDEX('Cartes API'!$J:$J,MATCH($B172,'Cartes API'!$A:$A,0))&amp;INDEX('Cartes API'!$B:$B,MATCH($B172,'Cartes API'!$A:$A,0))&amp;"."&amp;INDEX('Cartes API'!$C:$C,MATCH($B172,'Cartes API'!$A:$A,0))&amp;"."&amp;$C172),"")</f>
        <v/>
      </c>
      <c r="G172" s="26" t="str">
        <f>IFERROR(IF($B172="","",INDEX('Cartes API'!$H:$H,MATCH($B172,'Cartes API'!$A:$A,0))),"")</f>
        <v/>
      </c>
      <c r="H172" s="11"/>
      <c r="I172" s="26" t="str">
        <f t="shared" si="2"/>
        <v/>
      </c>
      <c r="J172" s="26" t="str">
        <f>IFERROR(INDEX(Cablage!$A:$A,MATCH($I172,Cablage!$F:$F,0)),"")</f>
        <v/>
      </c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</row>
    <row r="173" spans="1:50" ht="15" customHeight="1" x14ac:dyDescent="0.25">
      <c r="A173" s="25"/>
      <c r="B173" s="25"/>
      <c r="C173" s="11"/>
      <c r="D173" s="11"/>
      <c r="E173" s="11"/>
      <c r="F173" s="26" t="str">
        <f>IFERROR(IF(OR($B173="",$C173=""),"",INDEX('Cartes API'!$J:$J,MATCH($B173,'Cartes API'!$A:$A,0))&amp;INDEX('Cartes API'!$B:$B,MATCH($B173,'Cartes API'!$A:$A,0))&amp;"."&amp;INDEX('Cartes API'!$C:$C,MATCH($B173,'Cartes API'!$A:$A,0))&amp;"."&amp;$C173),"")</f>
        <v/>
      </c>
      <c r="G173" s="26" t="str">
        <f>IFERROR(IF($B173="","",INDEX('Cartes API'!$H:$H,MATCH($B173,'Cartes API'!$A:$A,0))),"")</f>
        <v/>
      </c>
      <c r="H173" s="11"/>
      <c r="I173" s="26" t="str">
        <f t="shared" si="2"/>
        <v/>
      </c>
      <c r="J173" s="26" t="str">
        <f>IFERROR(INDEX(Cablage!$A:$A,MATCH($I173,Cablage!$F:$F,0)),"")</f>
        <v/>
      </c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</row>
    <row r="174" spans="1:50" ht="15" customHeight="1" x14ac:dyDescent="0.25">
      <c r="A174" s="25"/>
      <c r="B174" s="25"/>
      <c r="C174" s="11"/>
      <c r="D174" s="11"/>
      <c r="E174" s="11"/>
      <c r="F174" s="26" t="str">
        <f>IFERROR(IF(OR($B174="",$C174=""),"",INDEX('Cartes API'!$J:$J,MATCH($B174,'Cartes API'!$A:$A,0))&amp;INDEX('Cartes API'!$B:$B,MATCH($B174,'Cartes API'!$A:$A,0))&amp;"."&amp;INDEX('Cartes API'!$C:$C,MATCH($B174,'Cartes API'!$A:$A,0))&amp;"."&amp;$C174),"")</f>
        <v/>
      </c>
      <c r="G174" s="26" t="str">
        <f>IFERROR(IF($B174="","",INDEX('Cartes API'!$H:$H,MATCH($B174,'Cartes API'!$A:$A,0))),"")</f>
        <v/>
      </c>
      <c r="H174" s="11"/>
      <c r="I174" s="26" t="str">
        <f t="shared" si="2"/>
        <v/>
      </c>
      <c r="J174" s="26" t="str">
        <f>IFERROR(INDEX(Cablage!$A:$A,MATCH($I174,Cablage!$F:$F,0)),"")</f>
        <v/>
      </c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</row>
    <row r="175" spans="1:50" ht="15" customHeight="1" x14ac:dyDescent="0.25">
      <c r="A175" s="25"/>
      <c r="B175" s="25"/>
      <c r="C175" s="11"/>
      <c r="D175" s="11"/>
      <c r="E175" s="11"/>
      <c r="F175" s="26" t="str">
        <f>IFERROR(IF(OR($B175="",$C175=""),"",INDEX('Cartes API'!$J:$J,MATCH($B175,'Cartes API'!$A:$A,0))&amp;INDEX('Cartes API'!$B:$B,MATCH($B175,'Cartes API'!$A:$A,0))&amp;"."&amp;INDEX('Cartes API'!$C:$C,MATCH($B175,'Cartes API'!$A:$A,0))&amp;"."&amp;$C175),"")</f>
        <v/>
      </c>
      <c r="G175" s="26" t="str">
        <f>IFERROR(IF($B175="","",INDEX('Cartes API'!$H:$H,MATCH($B175,'Cartes API'!$A:$A,0))),"")</f>
        <v/>
      </c>
      <c r="H175" s="11"/>
      <c r="I175" s="26" t="str">
        <f t="shared" si="2"/>
        <v/>
      </c>
      <c r="J175" s="26" t="str">
        <f>IFERROR(INDEX(Cablage!$A:$A,MATCH($I175,Cablage!$F:$F,0)),"")</f>
        <v/>
      </c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</row>
    <row r="176" spans="1:50" ht="15" customHeight="1" x14ac:dyDescent="0.25">
      <c r="A176" s="25"/>
      <c r="B176" s="25"/>
      <c r="C176" s="11"/>
      <c r="D176" s="11"/>
      <c r="E176" s="11"/>
      <c r="F176" s="26" t="str">
        <f>IFERROR(IF(OR($B176="",$C176=""),"",INDEX('Cartes API'!$J:$J,MATCH($B176,'Cartes API'!$A:$A,0))&amp;INDEX('Cartes API'!$B:$B,MATCH($B176,'Cartes API'!$A:$A,0))&amp;"."&amp;INDEX('Cartes API'!$C:$C,MATCH($B176,'Cartes API'!$A:$A,0))&amp;"."&amp;$C176),"")</f>
        <v/>
      </c>
      <c r="G176" s="26" t="str">
        <f>IFERROR(IF($B176="","",INDEX('Cartes API'!$H:$H,MATCH($B176,'Cartes API'!$A:$A,0))),"")</f>
        <v/>
      </c>
      <c r="H176" s="11"/>
      <c r="I176" s="26" t="str">
        <f t="shared" si="2"/>
        <v/>
      </c>
      <c r="J176" s="26" t="str">
        <f>IFERROR(INDEX(Cablage!$A:$A,MATCH($I176,Cablage!$F:$F,0)),"")</f>
        <v/>
      </c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</row>
    <row r="177" spans="1:50" ht="15" customHeight="1" x14ac:dyDescent="0.25">
      <c r="A177" s="25"/>
      <c r="B177" s="25"/>
      <c r="C177" s="11"/>
      <c r="D177" s="11"/>
      <c r="E177" s="11"/>
      <c r="F177" s="26" t="str">
        <f>IFERROR(IF(OR($B177="",$C177=""),"",INDEX('Cartes API'!$J:$J,MATCH($B177,'Cartes API'!$A:$A,0))&amp;INDEX('Cartes API'!$B:$B,MATCH($B177,'Cartes API'!$A:$A,0))&amp;"."&amp;INDEX('Cartes API'!$C:$C,MATCH($B177,'Cartes API'!$A:$A,0))&amp;"."&amp;$C177),"")</f>
        <v/>
      </c>
      <c r="G177" s="26" t="str">
        <f>IFERROR(IF($B177="","",INDEX('Cartes API'!$H:$H,MATCH($B177,'Cartes API'!$A:$A,0))),"")</f>
        <v/>
      </c>
      <c r="H177" s="11"/>
      <c r="I177" s="26" t="str">
        <f t="shared" si="2"/>
        <v/>
      </c>
      <c r="J177" s="26" t="str">
        <f>IFERROR(INDEX(Cablage!$A:$A,MATCH($I177,Cablage!$F:$F,0)),"")</f>
        <v/>
      </c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</row>
    <row r="178" spans="1:50" ht="15" customHeight="1" x14ac:dyDescent="0.25">
      <c r="A178" s="25"/>
      <c r="B178" s="25"/>
      <c r="C178" s="11"/>
      <c r="D178" s="11"/>
      <c r="E178" s="11"/>
      <c r="F178" s="26" t="str">
        <f>IFERROR(IF(OR($B178="",$C178=""),"",INDEX('Cartes API'!$J:$J,MATCH($B178,'Cartes API'!$A:$A,0))&amp;INDEX('Cartes API'!$B:$B,MATCH($B178,'Cartes API'!$A:$A,0))&amp;"."&amp;INDEX('Cartes API'!$C:$C,MATCH($B178,'Cartes API'!$A:$A,0))&amp;"."&amp;$C178),"")</f>
        <v/>
      </c>
      <c r="G178" s="26" t="str">
        <f>IFERROR(IF($B178="","",INDEX('Cartes API'!$H:$H,MATCH($B178,'Cartes API'!$A:$A,0))),"")</f>
        <v/>
      </c>
      <c r="H178" s="11"/>
      <c r="I178" s="26" t="str">
        <f t="shared" si="2"/>
        <v/>
      </c>
      <c r="J178" s="26" t="str">
        <f>IFERROR(INDEX(Cablage!$A:$A,MATCH($I178,Cablage!$F:$F,0)),"")</f>
        <v/>
      </c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</row>
    <row r="179" spans="1:50" ht="15" customHeight="1" x14ac:dyDescent="0.25">
      <c r="A179" s="25"/>
      <c r="B179" s="25"/>
      <c r="C179" s="11"/>
      <c r="D179" s="11"/>
      <c r="E179" s="11"/>
      <c r="F179" s="26" t="str">
        <f>IFERROR(IF(OR($B179="",$C179=""),"",INDEX('Cartes API'!$J:$J,MATCH($B179,'Cartes API'!$A:$A,0))&amp;INDEX('Cartes API'!$B:$B,MATCH($B179,'Cartes API'!$A:$A,0))&amp;"."&amp;INDEX('Cartes API'!$C:$C,MATCH($B179,'Cartes API'!$A:$A,0))&amp;"."&amp;$C179),"")</f>
        <v/>
      </c>
      <c r="G179" s="26" t="str">
        <f>IFERROR(IF($B179="","",INDEX('Cartes API'!$H:$H,MATCH($B179,'Cartes API'!$A:$A,0))),"")</f>
        <v/>
      </c>
      <c r="H179" s="11"/>
      <c r="I179" s="26" t="str">
        <f t="shared" si="2"/>
        <v/>
      </c>
      <c r="J179" s="26" t="str">
        <f>IFERROR(INDEX(Cablage!$A:$A,MATCH($I179,Cablage!$F:$F,0)),"")</f>
        <v/>
      </c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</row>
    <row r="180" spans="1:50" ht="15" customHeight="1" x14ac:dyDescent="0.25">
      <c r="A180" s="25"/>
      <c r="B180" s="25"/>
      <c r="C180" s="11"/>
      <c r="D180" s="11"/>
      <c r="E180" s="11"/>
      <c r="F180" s="26" t="str">
        <f>IFERROR(IF(OR($B180="",$C180=""),"",INDEX('Cartes API'!$J:$J,MATCH($B180,'Cartes API'!$A:$A,0))&amp;INDEX('Cartes API'!$B:$B,MATCH($B180,'Cartes API'!$A:$A,0))&amp;"."&amp;INDEX('Cartes API'!$C:$C,MATCH($B180,'Cartes API'!$A:$A,0))&amp;"."&amp;$C180),"")</f>
        <v/>
      </c>
      <c r="G180" s="26" t="str">
        <f>IFERROR(IF($B180="","",INDEX('Cartes API'!$H:$H,MATCH($B180,'Cartes API'!$A:$A,0))),"")</f>
        <v/>
      </c>
      <c r="H180" s="11"/>
      <c r="I180" s="26" t="str">
        <f t="shared" si="2"/>
        <v/>
      </c>
      <c r="J180" s="26" t="str">
        <f>IFERROR(INDEX(Cablage!$A:$A,MATCH($I180,Cablage!$F:$F,0)),"")</f>
        <v/>
      </c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</row>
    <row r="181" spans="1:50" ht="15" customHeight="1" x14ac:dyDescent="0.25">
      <c r="A181" s="25"/>
      <c r="B181" s="25"/>
      <c r="C181" s="11"/>
      <c r="D181" s="11"/>
      <c r="E181" s="11"/>
      <c r="F181" s="26" t="str">
        <f>IFERROR(IF(OR($B181="",$C181=""),"",INDEX('Cartes API'!$J:$J,MATCH($B181,'Cartes API'!$A:$A,0))&amp;INDEX('Cartes API'!$B:$B,MATCH($B181,'Cartes API'!$A:$A,0))&amp;"."&amp;INDEX('Cartes API'!$C:$C,MATCH($B181,'Cartes API'!$A:$A,0))&amp;"."&amp;$C181),"")</f>
        <v/>
      </c>
      <c r="G181" s="26" t="str">
        <f>IFERROR(IF($B181="","",INDEX('Cartes API'!$H:$H,MATCH($B181,'Cartes API'!$A:$A,0))),"")</f>
        <v/>
      </c>
      <c r="H181" s="11"/>
      <c r="I181" s="26" t="str">
        <f t="shared" si="2"/>
        <v/>
      </c>
      <c r="J181" s="26" t="str">
        <f>IFERROR(INDEX(Cablage!$A:$A,MATCH($I181,Cablage!$F:$F,0)),"")</f>
        <v/>
      </c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</row>
    <row r="182" spans="1:50" ht="15" customHeight="1" x14ac:dyDescent="0.25">
      <c r="A182" s="25"/>
      <c r="B182" s="25"/>
      <c r="C182" s="11"/>
      <c r="D182" s="11"/>
      <c r="E182" s="11"/>
      <c r="F182" s="26" t="str">
        <f>IFERROR(IF(OR($B182="",$C182=""),"",INDEX('Cartes API'!$J:$J,MATCH($B182,'Cartes API'!$A:$A,0))&amp;INDEX('Cartes API'!$B:$B,MATCH($B182,'Cartes API'!$A:$A,0))&amp;"."&amp;INDEX('Cartes API'!$C:$C,MATCH($B182,'Cartes API'!$A:$A,0))&amp;"."&amp;$C182),"")</f>
        <v/>
      </c>
      <c r="G182" s="26" t="str">
        <f>IFERROR(IF($B182="","",INDEX('Cartes API'!$H:$H,MATCH($B182,'Cartes API'!$A:$A,0))),"")</f>
        <v/>
      </c>
      <c r="H182" s="11"/>
      <c r="I182" s="26" t="str">
        <f t="shared" si="2"/>
        <v/>
      </c>
      <c r="J182" s="26" t="str">
        <f>IFERROR(INDEX(Cablage!$A:$A,MATCH($I182,Cablage!$F:$F,0)),"")</f>
        <v/>
      </c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</row>
    <row r="183" spans="1:50" ht="15" customHeight="1" x14ac:dyDescent="0.25">
      <c r="A183" s="25"/>
      <c r="B183" s="25"/>
      <c r="C183" s="11"/>
      <c r="D183" s="11"/>
      <c r="E183" s="11"/>
      <c r="F183" s="26" t="str">
        <f>IFERROR(IF(OR($B183="",$C183=""),"",INDEX('Cartes API'!$J:$J,MATCH($B183,'Cartes API'!$A:$A,0))&amp;INDEX('Cartes API'!$B:$B,MATCH($B183,'Cartes API'!$A:$A,0))&amp;"."&amp;INDEX('Cartes API'!$C:$C,MATCH($B183,'Cartes API'!$A:$A,0))&amp;"."&amp;$C183),"")</f>
        <v/>
      </c>
      <c r="G183" s="26" t="str">
        <f>IFERROR(IF($B183="","",INDEX('Cartes API'!$H:$H,MATCH($B183,'Cartes API'!$A:$A,0))),"")</f>
        <v/>
      </c>
      <c r="H183" s="11"/>
      <c r="I183" s="26" t="str">
        <f t="shared" si="2"/>
        <v/>
      </c>
      <c r="J183" s="26" t="str">
        <f>IFERROR(INDEX(Cablage!$A:$A,MATCH($I183,Cablage!$F:$F,0)),"")</f>
        <v/>
      </c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</row>
    <row r="184" spans="1:50" ht="15" customHeight="1" x14ac:dyDescent="0.25">
      <c r="A184" s="25"/>
      <c r="B184" s="25"/>
      <c r="C184" s="11"/>
      <c r="D184" s="11"/>
      <c r="E184" s="11"/>
      <c r="F184" s="26" t="str">
        <f>IFERROR(IF(OR($B184="",$C184=""),"",INDEX('Cartes API'!$J:$J,MATCH($B184,'Cartes API'!$A:$A,0))&amp;INDEX('Cartes API'!$B:$B,MATCH($B184,'Cartes API'!$A:$A,0))&amp;"."&amp;INDEX('Cartes API'!$C:$C,MATCH($B184,'Cartes API'!$A:$A,0))&amp;"."&amp;$C184),"")</f>
        <v/>
      </c>
      <c r="G184" s="26" t="str">
        <f>IFERROR(IF($B184="","",INDEX('Cartes API'!$H:$H,MATCH($B184,'Cartes API'!$A:$A,0))),"")</f>
        <v/>
      </c>
      <c r="H184" s="11"/>
      <c r="I184" s="26" t="str">
        <f t="shared" si="2"/>
        <v/>
      </c>
      <c r="J184" s="26" t="str">
        <f>IFERROR(INDEX(Cablage!$A:$A,MATCH($I184,Cablage!$F:$F,0)),"")</f>
        <v/>
      </c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</row>
    <row r="185" spans="1:50" ht="15" customHeight="1" x14ac:dyDescent="0.25">
      <c r="A185" s="25"/>
      <c r="B185" s="25"/>
      <c r="C185" s="11"/>
      <c r="D185" s="11"/>
      <c r="E185" s="11"/>
      <c r="F185" s="26" t="str">
        <f>IFERROR(IF(OR($B185="",$C185=""),"",INDEX('Cartes API'!$J:$J,MATCH($B185,'Cartes API'!$A:$A,0))&amp;INDEX('Cartes API'!$B:$B,MATCH($B185,'Cartes API'!$A:$A,0))&amp;"."&amp;INDEX('Cartes API'!$C:$C,MATCH($B185,'Cartes API'!$A:$A,0))&amp;"."&amp;$C185),"")</f>
        <v/>
      </c>
      <c r="G185" s="26" t="str">
        <f>IFERROR(IF($B185="","",INDEX('Cartes API'!$H:$H,MATCH($B185,'Cartes API'!$A:$A,0))),"")</f>
        <v/>
      </c>
      <c r="H185" s="11"/>
      <c r="I185" s="26" t="str">
        <f t="shared" si="2"/>
        <v/>
      </c>
      <c r="J185" s="26" t="str">
        <f>IFERROR(INDEX(Cablage!$A:$A,MATCH($I185,Cablage!$F:$F,0)),"")</f>
        <v/>
      </c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</row>
    <row r="186" spans="1:50" ht="15" customHeight="1" x14ac:dyDescent="0.25">
      <c r="A186" s="25"/>
      <c r="B186" s="25"/>
      <c r="C186" s="11"/>
      <c r="D186" s="11"/>
      <c r="E186" s="11"/>
      <c r="F186" s="26" t="str">
        <f>IFERROR(IF(OR($B186="",$C186=""),"",INDEX('Cartes API'!$J:$J,MATCH($B186,'Cartes API'!$A:$A,0))&amp;INDEX('Cartes API'!$B:$B,MATCH($B186,'Cartes API'!$A:$A,0))&amp;"."&amp;INDEX('Cartes API'!$C:$C,MATCH($B186,'Cartes API'!$A:$A,0))&amp;"."&amp;$C186),"")</f>
        <v/>
      </c>
      <c r="G186" s="26" t="str">
        <f>IFERROR(IF($B186="","",INDEX('Cartes API'!$H:$H,MATCH($B186,'Cartes API'!$A:$A,0))),"")</f>
        <v/>
      </c>
      <c r="H186" s="11"/>
      <c r="I186" s="26" t="str">
        <f t="shared" si="2"/>
        <v/>
      </c>
      <c r="J186" s="26" t="str">
        <f>IFERROR(INDEX(Cablage!$A:$A,MATCH($I186,Cablage!$F:$F,0)),"")</f>
        <v/>
      </c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</row>
    <row r="187" spans="1:50" ht="15" customHeight="1" x14ac:dyDescent="0.25">
      <c r="A187" s="25"/>
      <c r="B187" s="25"/>
      <c r="C187" s="11"/>
      <c r="D187" s="11"/>
      <c r="E187" s="11"/>
      <c r="F187" s="26" t="str">
        <f>IFERROR(IF(OR($B187="",$C187=""),"",INDEX('Cartes API'!$J:$J,MATCH($B187,'Cartes API'!$A:$A,0))&amp;INDEX('Cartes API'!$B:$B,MATCH($B187,'Cartes API'!$A:$A,0))&amp;"."&amp;INDEX('Cartes API'!$C:$C,MATCH($B187,'Cartes API'!$A:$A,0))&amp;"."&amp;$C187),"")</f>
        <v/>
      </c>
      <c r="G187" s="26" t="str">
        <f>IFERROR(IF($B187="","",INDEX('Cartes API'!$H:$H,MATCH($B187,'Cartes API'!$A:$A,0))),"")</f>
        <v/>
      </c>
      <c r="H187" s="11"/>
      <c r="I187" s="26" t="str">
        <f t="shared" si="2"/>
        <v/>
      </c>
      <c r="J187" s="26" t="str">
        <f>IFERROR(INDEX(Cablage!$A:$A,MATCH($I187,Cablage!$F:$F,0)),"")</f>
        <v/>
      </c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</row>
    <row r="188" spans="1:50" ht="15" customHeight="1" x14ac:dyDescent="0.25">
      <c r="A188" s="25"/>
      <c r="B188" s="25"/>
      <c r="C188" s="11"/>
      <c r="D188" s="11"/>
      <c r="E188" s="11"/>
      <c r="F188" s="26" t="str">
        <f>IFERROR(IF(OR($B188="",$C188=""),"",INDEX('Cartes API'!$J:$J,MATCH($B188,'Cartes API'!$A:$A,0))&amp;INDEX('Cartes API'!$B:$B,MATCH($B188,'Cartes API'!$A:$A,0))&amp;"."&amp;INDEX('Cartes API'!$C:$C,MATCH($B188,'Cartes API'!$A:$A,0))&amp;"."&amp;$C188),"")</f>
        <v/>
      </c>
      <c r="G188" s="26" t="str">
        <f>IFERROR(IF($B188="","",INDEX('Cartes API'!$H:$H,MATCH($B188,'Cartes API'!$A:$A,0))),"")</f>
        <v/>
      </c>
      <c r="H188" s="11"/>
      <c r="I188" s="26" t="str">
        <f t="shared" si="2"/>
        <v/>
      </c>
      <c r="J188" s="26" t="str">
        <f>IFERROR(INDEX(Cablage!$A:$A,MATCH($I188,Cablage!$F:$F,0)),"")</f>
        <v/>
      </c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</row>
    <row r="189" spans="1:50" ht="15" customHeight="1" x14ac:dyDescent="0.25">
      <c r="A189" s="25"/>
      <c r="B189" s="25"/>
      <c r="C189" s="11"/>
      <c r="D189" s="11"/>
      <c r="E189" s="11"/>
      <c r="F189" s="26" t="str">
        <f>IFERROR(IF(OR($B189="",$C189=""),"",INDEX('Cartes API'!$J:$J,MATCH($B189,'Cartes API'!$A:$A,0))&amp;INDEX('Cartes API'!$B:$B,MATCH($B189,'Cartes API'!$A:$A,0))&amp;"."&amp;INDEX('Cartes API'!$C:$C,MATCH($B189,'Cartes API'!$A:$A,0))&amp;"."&amp;$C189),"")</f>
        <v/>
      </c>
      <c r="G189" s="26" t="str">
        <f>IFERROR(IF($B189="","",INDEX('Cartes API'!$H:$H,MATCH($B189,'Cartes API'!$A:$A,0))),"")</f>
        <v/>
      </c>
      <c r="H189" s="11"/>
      <c r="I189" s="26" t="str">
        <f t="shared" si="2"/>
        <v/>
      </c>
      <c r="J189" s="26" t="str">
        <f>IFERROR(INDEX(Cablage!$A:$A,MATCH($I189,Cablage!$F:$F,0)),"")</f>
        <v/>
      </c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</row>
    <row r="190" spans="1:50" ht="15" customHeight="1" x14ac:dyDescent="0.25">
      <c r="A190" s="25"/>
      <c r="B190" s="25"/>
      <c r="C190" s="11"/>
      <c r="D190" s="11"/>
      <c r="E190" s="11"/>
      <c r="F190" s="26" t="str">
        <f>IFERROR(IF(OR($B190="",$C190=""),"",INDEX('Cartes API'!$J:$J,MATCH($B190,'Cartes API'!$A:$A,0))&amp;INDEX('Cartes API'!$B:$B,MATCH($B190,'Cartes API'!$A:$A,0))&amp;"."&amp;INDEX('Cartes API'!$C:$C,MATCH($B190,'Cartes API'!$A:$A,0))&amp;"."&amp;$C190),"")</f>
        <v/>
      </c>
      <c r="G190" s="26" t="str">
        <f>IFERROR(IF($B190="","",INDEX('Cartes API'!$H:$H,MATCH($B190,'Cartes API'!$A:$A,0))),"")</f>
        <v/>
      </c>
      <c r="H190" s="11"/>
      <c r="I190" s="26" t="str">
        <f t="shared" si="2"/>
        <v/>
      </c>
      <c r="J190" s="26" t="str">
        <f>IFERROR(INDEX(Cablage!$A:$A,MATCH($I190,Cablage!$F:$F,0)),"")</f>
        <v/>
      </c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</row>
    <row r="191" spans="1:50" ht="15" customHeight="1" x14ac:dyDescent="0.25">
      <c r="A191" s="25"/>
      <c r="B191" s="25"/>
      <c r="C191" s="11"/>
      <c r="D191" s="11"/>
      <c r="E191" s="11"/>
      <c r="F191" s="26" t="str">
        <f>IFERROR(IF(OR($B191="",$C191=""),"",INDEX('Cartes API'!$J:$J,MATCH($B191,'Cartes API'!$A:$A,0))&amp;INDEX('Cartes API'!$B:$B,MATCH($B191,'Cartes API'!$A:$A,0))&amp;"."&amp;INDEX('Cartes API'!$C:$C,MATCH($B191,'Cartes API'!$A:$A,0))&amp;"."&amp;$C191),"")</f>
        <v/>
      </c>
      <c r="G191" s="26" t="str">
        <f>IFERROR(IF($B191="","",INDEX('Cartes API'!$H:$H,MATCH($B191,'Cartes API'!$A:$A,0))),"")</f>
        <v/>
      </c>
      <c r="H191" s="11"/>
      <c r="I191" s="26" t="str">
        <f t="shared" si="2"/>
        <v/>
      </c>
      <c r="J191" s="26" t="str">
        <f>IFERROR(INDEX(Cablage!$A:$A,MATCH($I191,Cablage!$F:$F,0)),"")</f>
        <v/>
      </c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</row>
    <row r="192" spans="1:50" ht="15" customHeight="1" x14ac:dyDescent="0.25">
      <c r="A192" s="25"/>
      <c r="B192" s="25"/>
      <c r="C192" s="11"/>
      <c r="D192" s="11"/>
      <c r="E192" s="11"/>
      <c r="F192" s="26" t="str">
        <f>IFERROR(IF(OR($B192="",$C192=""),"",INDEX('Cartes API'!$J:$J,MATCH($B192,'Cartes API'!$A:$A,0))&amp;INDEX('Cartes API'!$B:$B,MATCH($B192,'Cartes API'!$A:$A,0))&amp;"."&amp;INDEX('Cartes API'!$C:$C,MATCH($B192,'Cartes API'!$A:$A,0))&amp;"."&amp;$C192),"")</f>
        <v/>
      </c>
      <c r="G192" s="26" t="str">
        <f>IFERROR(IF($B192="","",INDEX('Cartes API'!$H:$H,MATCH($B192,'Cartes API'!$A:$A,0))),"")</f>
        <v/>
      </c>
      <c r="H192" s="11"/>
      <c r="I192" s="26" t="str">
        <f t="shared" si="2"/>
        <v/>
      </c>
      <c r="J192" s="26" t="str">
        <f>IFERROR(INDEX(Cablage!$A:$A,MATCH($I192,Cablage!$F:$F,0)),"")</f>
        <v/>
      </c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</row>
    <row r="193" spans="1:50" ht="15" customHeight="1" x14ac:dyDescent="0.25">
      <c r="A193" s="25"/>
      <c r="B193" s="25"/>
      <c r="C193" s="11"/>
      <c r="D193" s="11"/>
      <c r="E193" s="11"/>
      <c r="F193" s="26" t="str">
        <f>IFERROR(IF(OR($B193="",$C193=""),"",INDEX('Cartes API'!$J:$J,MATCH($B193,'Cartes API'!$A:$A,0))&amp;INDEX('Cartes API'!$B:$B,MATCH($B193,'Cartes API'!$A:$A,0))&amp;"."&amp;INDEX('Cartes API'!$C:$C,MATCH($B193,'Cartes API'!$A:$A,0))&amp;"."&amp;$C193),"")</f>
        <v/>
      </c>
      <c r="G193" s="26" t="str">
        <f>IFERROR(IF($B193="","",INDEX('Cartes API'!$H:$H,MATCH($B193,'Cartes API'!$A:$A,0))),"")</f>
        <v/>
      </c>
      <c r="H193" s="11"/>
      <c r="I193" s="26" t="str">
        <f t="shared" si="2"/>
        <v/>
      </c>
      <c r="J193" s="26" t="str">
        <f>IFERROR(INDEX(Cablage!$A:$A,MATCH($I193,Cablage!$F:$F,0)),"")</f>
        <v/>
      </c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</row>
    <row r="194" spans="1:50" ht="15" customHeight="1" x14ac:dyDescent="0.25">
      <c r="A194" s="25"/>
      <c r="B194" s="25"/>
      <c r="C194" s="11"/>
      <c r="D194" s="11"/>
      <c r="E194" s="11"/>
      <c r="F194" s="26" t="str">
        <f>IFERROR(IF(OR($B194="",$C194=""),"",INDEX('Cartes API'!$J:$J,MATCH($B194,'Cartes API'!$A:$A,0))&amp;INDEX('Cartes API'!$B:$B,MATCH($B194,'Cartes API'!$A:$A,0))&amp;"."&amp;INDEX('Cartes API'!$C:$C,MATCH($B194,'Cartes API'!$A:$A,0))&amp;"."&amp;$C194),"")</f>
        <v/>
      </c>
      <c r="G194" s="26" t="str">
        <f>IFERROR(IF($B194="","",INDEX('Cartes API'!$H:$H,MATCH($B194,'Cartes API'!$A:$A,0))),"")</f>
        <v/>
      </c>
      <c r="H194" s="11"/>
      <c r="I194" s="26" t="str">
        <f t="shared" si="2"/>
        <v/>
      </c>
      <c r="J194" s="26" t="str">
        <f>IFERROR(INDEX(Cablage!$A:$A,MATCH($I194,Cablage!$F:$F,0)),"")</f>
        <v/>
      </c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</row>
    <row r="195" spans="1:50" ht="15" customHeight="1" x14ac:dyDescent="0.25">
      <c r="A195" s="25"/>
      <c r="B195" s="25"/>
      <c r="C195" s="11"/>
      <c r="D195" s="11"/>
      <c r="E195" s="11"/>
      <c r="F195" s="26" t="str">
        <f>IFERROR(IF(OR($B195="",$C195=""),"",INDEX('Cartes API'!$J:$J,MATCH($B195,'Cartes API'!$A:$A,0))&amp;INDEX('Cartes API'!$B:$B,MATCH($B195,'Cartes API'!$A:$A,0))&amp;"."&amp;INDEX('Cartes API'!$C:$C,MATCH($B195,'Cartes API'!$A:$A,0))&amp;"."&amp;$C195),"")</f>
        <v/>
      </c>
      <c r="G195" s="26" t="str">
        <f>IFERROR(IF($B195="","",INDEX('Cartes API'!$H:$H,MATCH($B195,'Cartes API'!$A:$A,0))),"")</f>
        <v/>
      </c>
      <c r="H195" s="11"/>
      <c r="I195" s="26" t="str">
        <f t="shared" si="2"/>
        <v/>
      </c>
      <c r="J195" s="26" t="str">
        <f>IFERROR(INDEX(Cablage!$A:$A,MATCH($I195,Cablage!$F:$F,0)),"")</f>
        <v/>
      </c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</row>
    <row r="196" spans="1:50" ht="15" customHeight="1" x14ac:dyDescent="0.25">
      <c r="A196" s="25"/>
      <c r="B196" s="25"/>
      <c r="C196" s="11"/>
      <c r="D196" s="11"/>
      <c r="E196" s="11"/>
      <c r="F196" s="26" t="str">
        <f>IFERROR(IF(OR($B196="",$C196=""),"",INDEX('Cartes API'!$J:$J,MATCH($B196,'Cartes API'!$A:$A,0))&amp;INDEX('Cartes API'!$B:$B,MATCH($B196,'Cartes API'!$A:$A,0))&amp;"."&amp;INDEX('Cartes API'!$C:$C,MATCH($B196,'Cartes API'!$A:$A,0))&amp;"."&amp;$C196),"")</f>
        <v/>
      </c>
      <c r="G196" s="26" t="str">
        <f>IFERROR(IF($B196="","",INDEX('Cartes API'!$H:$H,MATCH($B196,'Cartes API'!$A:$A,0))),"")</f>
        <v/>
      </c>
      <c r="H196" s="11"/>
      <c r="I196" s="26" t="str">
        <f t="shared" si="2"/>
        <v/>
      </c>
      <c r="J196" s="26" t="str">
        <f>IFERROR(INDEX(Cablage!$A:$A,MATCH($I196,Cablage!$F:$F,0)),"")</f>
        <v/>
      </c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</row>
    <row r="197" spans="1:50" ht="15" customHeight="1" x14ac:dyDescent="0.25">
      <c r="A197" s="25"/>
      <c r="B197" s="25"/>
      <c r="C197" s="11"/>
      <c r="D197" s="11"/>
      <c r="E197" s="11"/>
      <c r="F197" s="26" t="str">
        <f>IFERROR(IF(OR($B197="",$C197=""),"",INDEX('Cartes API'!$J:$J,MATCH($B197,'Cartes API'!$A:$A,0))&amp;INDEX('Cartes API'!$B:$B,MATCH($B197,'Cartes API'!$A:$A,0))&amp;"."&amp;INDEX('Cartes API'!$C:$C,MATCH($B197,'Cartes API'!$A:$A,0))&amp;"."&amp;$C197),"")</f>
        <v/>
      </c>
      <c r="G197" s="26" t="str">
        <f>IFERROR(IF($B197="","",INDEX('Cartes API'!$H:$H,MATCH($B197,'Cartes API'!$A:$A,0))),"")</f>
        <v/>
      </c>
      <c r="H197" s="11"/>
      <c r="I197" s="26" t="str">
        <f t="shared" si="2"/>
        <v/>
      </c>
      <c r="J197" s="26" t="str">
        <f>IFERROR(INDEX(Cablage!$A:$A,MATCH($I197,Cablage!$F:$F,0)),"")</f>
        <v/>
      </c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</row>
    <row r="198" spans="1:50" ht="15" customHeight="1" x14ac:dyDescent="0.25">
      <c r="A198" s="25"/>
      <c r="B198" s="25"/>
      <c r="C198" s="11"/>
      <c r="D198" s="11"/>
      <c r="E198" s="11"/>
      <c r="F198" s="26" t="str">
        <f>IFERROR(IF(OR($B198="",$C198=""),"",INDEX('Cartes API'!$J:$J,MATCH($B198,'Cartes API'!$A:$A,0))&amp;INDEX('Cartes API'!$B:$B,MATCH($B198,'Cartes API'!$A:$A,0))&amp;"."&amp;INDEX('Cartes API'!$C:$C,MATCH($B198,'Cartes API'!$A:$A,0))&amp;"."&amp;$C198),"")</f>
        <v/>
      </c>
      <c r="G198" s="26" t="str">
        <f>IFERROR(IF($B198="","",INDEX('Cartes API'!$H:$H,MATCH($B198,'Cartes API'!$A:$A,0))),"")</f>
        <v/>
      </c>
      <c r="H198" s="11"/>
      <c r="I198" s="26" t="str">
        <f t="shared" si="2"/>
        <v/>
      </c>
      <c r="J198" s="26" t="str">
        <f>IFERROR(INDEX(Cablage!$A:$A,MATCH($I198,Cablage!$F:$F,0)),"")</f>
        <v/>
      </c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</row>
    <row r="199" spans="1:50" ht="15" customHeight="1" x14ac:dyDescent="0.25">
      <c r="A199" s="25"/>
      <c r="B199" s="25"/>
      <c r="C199" s="11"/>
      <c r="D199" s="11"/>
      <c r="E199" s="11"/>
      <c r="F199" s="26" t="str">
        <f>IFERROR(IF(OR($B199="",$C199=""),"",INDEX('Cartes API'!$J:$J,MATCH($B199,'Cartes API'!$A:$A,0))&amp;INDEX('Cartes API'!$B:$B,MATCH($B199,'Cartes API'!$A:$A,0))&amp;"."&amp;INDEX('Cartes API'!$C:$C,MATCH($B199,'Cartes API'!$A:$A,0))&amp;"."&amp;$C199),"")</f>
        <v/>
      </c>
      <c r="G199" s="26" t="str">
        <f>IFERROR(IF($B199="","",INDEX('Cartes API'!$H:$H,MATCH($B199,'Cartes API'!$A:$A,0))),"")</f>
        <v/>
      </c>
      <c r="H199" s="11"/>
      <c r="I199" s="26" t="str">
        <f t="shared" si="2"/>
        <v/>
      </c>
      <c r="J199" s="26" t="str">
        <f>IFERROR(INDEX(Cablage!$A:$A,MATCH($I199,Cablage!$F:$F,0)),"")</f>
        <v/>
      </c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</row>
    <row r="200" spans="1:50" ht="15" customHeight="1" x14ac:dyDescent="0.25">
      <c r="A200" s="25"/>
      <c r="B200" s="25"/>
      <c r="C200" s="11"/>
      <c r="D200" s="11"/>
      <c r="E200" s="11"/>
      <c r="F200" s="26" t="str">
        <f>IFERROR(IF(OR($B200="",$C200=""),"",INDEX('Cartes API'!$J:$J,MATCH($B200,'Cartes API'!$A:$A,0))&amp;INDEX('Cartes API'!$B:$B,MATCH($B200,'Cartes API'!$A:$A,0))&amp;"."&amp;INDEX('Cartes API'!$C:$C,MATCH($B200,'Cartes API'!$A:$A,0))&amp;"."&amp;$C200),"")</f>
        <v/>
      </c>
      <c r="G200" s="26" t="str">
        <f>IFERROR(IF($B200="","",INDEX('Cartes API'!$H:$H,MATCH($B200,'Cartes API'!$A:$A,0))),"")</f>
        <v/>
      </c>
      <c r="H200" s="11"/>
      <c r="I200" s="26" t="str">
        <f t="shared" si="2"/>
        <v/>
      </c>
      <c r="J200" s="26" t="str">
        <f>IFERROR(INDEX(Cablage!$A:$A,MATCH($I200,Cablage!$F:$F,0)),"")</f>
        <v/>
      </c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</row>
    <row r="201" spans="1:50" ht="15" customHeight="1" x14ac:dyDescent="0.25">
      <c r="A201" s="25"/>
      <c r="B201" s="25"/>
      <c r="C201" s="11"/>
      <c r="D201" s="11"/>
      <c r="E201" s="11"/>
      <c r="F201" s="26" t="str">
        <f>IFERROR(IF(OR($B201="",$C201=""),"",INDEX('Cartes API'!$J:$J,MATCH($B201,'Cartes API'!$A:$A,0))&amp;INDEX('Cartes API'!$B:$B,MATCH($B201,'Cartes API'!$A:$A,0))&amp;"."&amp;INDEX('Cartes API'!$C:$C,MATCH($B201,'Cartes API'!$A:$A,0))&amp;"."&amp;$C201),"")</f>
        <v/>
      </c>
      <c r="G201" s="26" t="str">
        <f>IFERROR(IF($B201="","",INDEX('Cartes API'!$H:$H,MATCH($B201,'Cartes API'!$A:$A,0))),"")</f>
        <v/>
      </c>
      <c r="H201" s="11"/>
      <c r="I201" s="26" t="str">
        <f t="shared" ref="I201:I264" si="3">IF(OR($G201="",$H201=""),"",$G201&amp;"["&amp;$H201&amp;"]")</f>
        <v/>
      </c>
      <c r="J201" s="26" t="str">
        <f>IFERROR(INDEX(Cablage!$A:$A,MATCH($I201,Cablage!$F:$F,0)),"")</f>
        <v/>
      </c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</row>
    <row r="202" spans="1:50" ht="15" customHeight="1" x14ac:dyDescent="0.25">
      <c r="A202" s="25"/>
      <c r="B202" s="25"/>
      <c r="C202" s="11"/>
      <c r="D202" s="11"/>
      <c r="E202" s="11"/>
      <c r="F202" s="26" t="str">
        <f>IFERROR(IF(OR($B202="",$C202=""),"",INDEX('Cartes API'!$J:$J,MATCH($B202,'Cartes API'!$A:$A,0))&amp;INDEX('Cartes API'!$B:$B,MATCH($B202,'Cartes API'!$A:$A,0))&amp;"."&amp;INDEX('Cartes API'!$C:$C,MATCH($B202,'Cartes API'!$A:$A,0))&amp;"."&amp;$C202),"")</f>
        <v/>
      </c>
      <c r="G202" s="26" t="str">
        <f>IFERROR(IF($B202="","",INDEX('Cartes API'!$H:$H,MATCH($B202,'Cartes API'!$A:$A,0))),"")</f>
        <v/>
      </c>
      <c r="H202" s="11"/>
      <c r="I202" s="26" t="str">
        <f t="shared" si="3"/>
        <v/>
      </c>
      <c r="J202" s="26" t="str">
        <f>IFERROR(INDEX(Cablage!$A:$A,MATCH($I202,Cablage!$F:$F,0)),"")</f>
        <v/>
      </c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</row>
    <row r="203" spans="1:50" ht="15" customHeight="1" x14ac:dyDescent="0.25">
      <c r="A203" s="25"/>
      <c r="B203" s="25"/>
      <c r="C203" s="11"/>
      <c r="D203" s="11"/>
      <c r="E203" s="11"/>
      <c r="F203" s="26" t="str">
        <f>IFERROR(IF(OR($B203="",$C203=""),"",INDEX('Cartes API'!$J:$J,MATCH($B203,'Cartes API'!$A:$A,0))&amp;INDEX('Cartes API'!$B:$B,MATCH($B203,'Cartes API'!$A:$A,0))&amp;"."&amp;INDEX('Cartes API'!$C:$C,MATCH($B203,'Cartes API'!$A:$A,0))&amp;"."&amp;$C203),"")</f>
        <v/>
      </c>
      <c r="G203" s="26" t="str">
        <f>IFERROR(IF($B203="","",INDEX('Cartes API'!$H:$H,MATCH($B203,'Cartes API'!$A:$A,0))),"")</f>
        <v/>
      </c>
      <c r="H203" s="11"/>
      <c r="I203" s="26" t="str">
        <f t="shared" si="3"/>
        <v/>
      </c>
      <c r="J203" s="26" t="str">
        <f>IFERROR(INDEX(Cablage!$A:$A,MATCH($I203,Cablage!$F:$F,0)),"")</f>
        <v/>
      </c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</row>
    <row r="204" spans="1:50" ht="15" customHeight="1" x14ac:dyDescent="0.25">
      <c r="A204" s="25"/>
      <c r="B204" s="25"/>
      <c r="C204" s="11"/>
      <c r="D204" s="11"/>
      <c r="E204" s="11"/>
      <c r="F204" s="26" t="str">
        <f>IFERROR(IF(OR($B204="",$C204=""),"",INDEX('Cartes API'!$J:$J,MATCH($B204,'Cartes API'!$A:$A,0))&amp;INDEX('Cartes API'!$B:$B,MATCH($B204,'Cartes API'!$A:$A,0))&amp;"."&amp;INDEX('Cartes API'!$C:$C,MATCH($B204,'Cartes API'!$A:$A,0))&amp;"."&amp;$C204),"")</f>
        <v/>
      </c>
      <c r="G204" s="26" t="str">
        <f>IFERROR(IF($B204="","",INDEX('Cartes API'!$H:$H,MATCH($B204,'Cartes API'!$A:$A,0))),"")</f>
        <v/>
      </c>
      <c r="H204" s="11"/>
      <c r="I204" s="26" t="str">
        <f t="shared" si="3"/>
        <v/>
      </c>
      <c r="J204" s="26" t="str">
        <f>IFERROR(INDEX(Cablage!$A:$A,MATCH($I204,Cablage!$F:$F,0)),"")</f>
        <v/>
      </c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</row>
    <row r="205" spans="1:50" ht="15" customHeight="1" x14ac:dyDescent="0.25">
      <c r="A205" s="25"/>
      <c r="B205" s="25"/>
      <c r="C205" s="11"/>
      <c r="D205" s="11"/>
      <c r="E205" s="11"/>
      <c r="F205" s="26" t="str">
        <f>IFERROR(IF(OR($B205="",$C205=""),"",INDEX('Cartes API'!$J:$J,MATCH($B205,'Cartes API'!$A:$A,0))&amp;INDEX('Cartes API'!$B:$B,MATCH($B205,'Cartes API'!$A:$A,0))&amp;"."&amp;INDEX('Cartes API'!$C:$C,MATCH($B205,'Cartes API'!$A:$A,0))&amp;"."&amp;$C205),"")</f>
        <v/>
      </c>
      <c r="G205" s="26" t="str">
        <f>IFERROR(IF($B205="","",INDEX('Cartes API'!$H:$H,MATCH($B205,'Cartes API'!$A:$A,0))),"")</f>
        <v/>
      </c>
      <c r="H205" s="11"/>
      <c r="I205" s="26" t="str">
        <f t="shared" si="3"/>
        <v/>
      </c>
      <c r="J205" s="26" t="str">
        <f>IFERROR(INDEX(Cablage!$A:$A,MATCH($I205,Cablage!$F:$F,0)),"")</f>
        <v/>
      </c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</row>
    <row r="206" spans="1:50" ht="15" customHeight="1" x14ac:dyDescent="0.25">
      <c r="A206" s="25"/>
      <c r="B206" s="25"/>
      <c r="C206" s="11"/>
      <c r="D206" s="11"/>
      <c r="E206" s="11"/>
      <c r="F206" s="26" t="str">
        <f>IFERROR(IF(OR($B206="",$C206=""),"",INDEX('Cartes API'!$J:$J,MATCH($B206,'Cartes API'!$A:$A,0))&amp;INDEX('Cartes API'!$B:$B,MATCH($B206,'Cartes API'!$A:$A,0))&amp;"."&amp;INDEX('Cartes API'!$C:$C,MATCH($B206,'Cartes API'!$A:$A,0))&amp;"."&amp;$C206),"")</f>
        <v/>
      </c>
      <c r="G206" s="26" t="str">
        <f>IFERROR(IF($B206="","",INDEX('Cartes API'!$H:$H,MATCH($B206,'Cartes API'!$A:$A,0))),"")</f>
        <v/>
      </c>
      <c r="H206" s="11"/>
      <c r="I206" s="26" t="str">
        <f t="shared" si="3"/>
        <v/>
      </c>
      <c r="J206" s="26" t="str">
        <f>IFERROR(INDEX(Cablage!$A:$A,MATCH($I206,Cablage!$F:$F,0)),"")</f>
        <v/>
      </c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</row>
    <row r="207" spans="1:50" ht="15" customHeight="1" x14ac:dyDescent="0.25">
      <c r="A207" s="25"/>
      <c r="B207" s="25"/>
      <c r="C207" s="11"/>
      <c r="D207" s="11"/>
      <c r="E207" s="11"/>
      <c r="F207" s="26" t="str">
        <f>IFERROR(IF(OR($B207="",$C207=""),"",INDEX('Cartes API'!$J:$J,MATCH($B207,'Cartes API'!$A:$A,0))&amp;INDEX('Cartes API'!$B:$B,MATCH($B207,'Cartes API'!$A:$A,0))&amp;"."&amp;INDEX('Cartes API'!$C:$C,MATCH($B207,'Cartes API'!$A:$A,0))&amp;"."&amp;$C207),"")</f>
        <v/>
      </c>
      <c r="G207" s="26" t="str">
        <f>IFERROR(IF($B207="","",INDEX('Cartes API'!$H:$H,MATCH($B207,'Cartes API'!$A:$A,0))),"")</f>
        <v/>
      </c>
      <c r="H207" s="11"/>
      <c r="I207" s="26" t="str">
        <f t="shared" si="3"/>
        <v/>
      </c>
      <c r="J207" s="26" t="str">
        <f>IFERROR(INDEX(Cablage!$A:$A,MATCH($I207,Cablage!$F:$F,0)),"")</f>
        <v/>
      </c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</row>
    <row r="208" spans="1:50" ht="15" customHeight="1" x14ac:dyDescent="0.25">
      <c r="A208" s="25"/>
      <c r="B208" s="25"/>
      <c r="C208" s="11"/>
      <c r="D208" s="11"/>
      <c r="E208" s="11"/>
      <c r="F208" s="26" t="str">
        <f>IFERROR(IF(OR($B208="",$C208=""),"",INDEX('Cartes API'!$J:$J,MATCH($B208,'Cartes API'!$A:$A,0))&amp;INDEX('Cartes API'!$B:$B,MATCH($B208,'Cartes API'!$A:$A,0))&amp;"."&amp;INDEX('Cartes API'!$C:$C,MATCH($B208,'Cartes API'!$A:$A,0))&amp;"."&amp;$C208),"")</f>
        <v/>
      </c>
      <c r="G208" s="26" t="str">
        <f>IFERROR(IF($B208="","",INDEX('Cartes API'!$H:$H,MATCH($B208,'Cartes API'!$A:$A,0))),"")</f>
        <v/>
      </c>
      <c r="H208" s="11"/>
      <c r="I208" s="26" t="str">
        <f t="shared" si="3"/>
        <v/>
      </c>
      <c r="J208" s="26" t="str">
        <f>IFERROR(INDEX(Cablage!$A:$A,MATCH($I208,Cablage!$F:$F,0)),"")</f>
        <v/>
      </c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</row>
    <row r="209" spans="1:50" ht="15" customHeight="1" x14ac:dyDescent="0.25">
      <c r="A209" s="25"/>
      <c r="B209" s="25"/>
      <c r="C209" s="11"/>
      <c r="D209" s="11"/>
      <c r="E209" s="11"/>
      <c r="F209" s="26" t="str">
        <f>IFERROR(IF(OR($B209="",$C209=""),"",INDEX('Cartes API'!$J:$J,MATCH($B209,'Cartes API'!$A:$A,0))&amp;INDEX('Cartes API'!$B:$B,MATCH($B209,'Cartes API'!$A:$A,0))&amp;"."&amp;INDEX('Cartes API'!$C:$C,MATCH($B209,'Cartes API'!$A:$A,0))&amp;"."&amp;$C209),"")</f>
        <v/>
      </c>
      <c r="G209" s="26" t="str">
        <f>IFERROR(IF($B209="","",INDEX('Cartes API'!$H:$H,MATCH($B209,'Cartes API'!$A:$A,0))),"")</f>
        <v/>
      </c>
      <c r="H209" s="11"/>
      <c r="I209" s="26" t="str">
        <f t="shared" si="3"/>
        <v/>
      </c>
      <c r="J209" s="26" t="str">
        <f>IFERROR(INDEX(Cablage!$A:$A,MATCH($I209,Cablage!$F:$F,0)),"")</f>
        <v/>
      </c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</row>
    <row r="210" spans="1:50" ht="15" customHeight="1" x14ac:dyDescent="0.25">
      <c r="A210" s="25"/>
      <c r="B210" s="25"/>
      <c r="C210" s="11"/>
      <c r="D210" s="11"/>
      <c r="E210" s="11"/>
      <c r="F210" s="26" t="str">
        <f>IFERROR(IF(OR($B210="",$C210=""),"",INDEX('Cartes API'!$J:$J,MATCH($B210,'Cartes API'!$A:$A,0))&amp;INDEX('Cartes API'!$B:$B,MATCH($B210,'Cartes API'!$A:$A,0))&amp;"."&amp;INDEX('Cartes API'!$C:$C,MATCH($B210,'Cartes API'!$A:$A,0))&amp;"."&amp;$C210),"")</f>
        <v/>
      </c>
      <c r="G210" s="26" t="str">
        <f>IFERROR(IF($B210="","",INDEX('Cartes API'!$H:$H,MATCH($B210,'Cartes API'!$A:$A,0))),"")</f>
        <v/>
      </c>
      <c r="H210" s="11"/>
      <c r="I210" s="26" t="str">
        <f t="shared" si="3"/>
        <v/>
      </c>
      <c r="J210" s="26" t="str">
        <f>IFERROR(INDEX(Cablage!$A:$A,MATCH($I210,Cablage!$F:$F,0)),"")</f>
        <v/>
      </c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</row>
    <row r="211" spans="1:50" ht="15" customHeight="1" x14ac:dyDescent="0.25">
      <c r="A211" s="25"/>
      <c r="B211" s="25"/>
      <c r="C211" s="11"/>
      <c r="D211" s="11"/>
      <c r="E211" s="11"/>
      <c r="F211" s="26" t="str">
        <f>IFERROR(IF(OR($B211="",$C211=""),"",INDEX('Cartes API'!$J:$J,MATCH($B211,'Cartes API'!$A:$A,0))&amp;INDEX('Cartes API'!$B:$B,MATCH($B211,'Cartes API'!$A:$A,0))&amp;"."&amp;INDEX('Cartes API'!$C:$C,MATCH($B211,'Cartes API'!$A:$A,0))&amp;"."&amp;$C211),"")</f>
        <v/>
      </c>
      <c r="G211" s="26" t="str">
        <f>IFERROR(IF($B211="","",INDEX('Cartes API'!$H:$H,MATCH($B211,'Cartes API'!$A:$A,0))),"")</f>
        <v/>
      </c>
      <c r="H211" s="11"/>
      <c r="I211" s="26" t="str">
        <f t="shared" si="3"/>
        <v/>
      </c>
      <c r="J211" s="26" t="str">
        <f>IFERROR(INDEX(Cablage!$A:$A,MATCH($I211,Cablage!$F:$F,0)),"")</f>
        <v/>
      </c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</row>
    <row r="212" spans="1:50" ht="15" customHeight="1" x14ac:dyDescent="0.25">
      <c r="A212" s="25"/>
      <c r="B212" s="25"/>
      <c r="C212" s="11"/>
      <c r="D212" s="11"/>
      <c r="E212" s="11"/>
      <c r="F212" s="26" t="str">
        <f>IFERROR(IF(OR($B212="",$C212=""),"",INDEX('Cartes API'!$J:$J,MATCH($B212,'Cartes API'!$A:$A,0))&amp;INDEX('Cartes API'!$B:$B,MATCH($B212,'Cartes API'!$A:$A,0))&amp;"."&amp;INDEX('Cartes API'!$C:$C,MATCH($B212,'Cartes API'!$A:$A,0))&amp;"."&amp;$C212),"")</f>
        <v/>
      </c>
      <c r="G212" s="26" t="str">
        <f>IFERROR(IF($B212="","",INDEX('Cartes API'!$H:$H,MATCH($B212,'Cartes API'!$A:$A,0))),"")</f>
        <v/>
      </c>
      <c r="H212" s="11"/>
      <c r="I212" s="26" t="str">
        <f t="shared" si="3"/>
        <v/>
      </c>
      <c r="J212" s="26" t="str">
        <f>IFERROR(INDEX(Cablage!$A:$A,MATCH($I212,Cablage!$F:$F,0)),"")</f>
        <v/>
      </c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</row>
    <row r="213" spans="1:50" ht="15" customHeight="1" x14ac:dyDescent="0.25">
      <c r="A213" s="25"/>
      <c r="B213" s="25"/>
      <c r="C213" s="11"/>
      <c r="D213" s="11"/>
      <c r="E213" s="11"/>
      <c r="F213" s="26" t="str">
        <f>IFERROR(IF(OR($B213="",$C213=""),"",INDEX('Cartes API'!$J:$J,MATCH($B213,'Cartes API'!$A:$A,0))&amp;INDEX('Cartes API'!$B:$B,MATCH($B213,'Cartes API'!$A:$A,0))&amp;"."&amp;INDEX('Cartes API'!$C:$C,MATCH($B213,'Cartes API'!$A:$A,0))&amp;"."&amp;$C213),"")</f>
        <v/>
      </c>
      <c r="G213" s="26" t="str">
        <f>IFERROR(IF($B213="","",INDEX('Cartes API'!$H:$H,MATCH($B213,'Cartes API'!$A:$A,0))),"")</f>
        <v/>
      </c>
      <c r="H213" s="11"/>
      <c r="I213" s="26" t="str">
        <f t="shared" si="3"/>
        <v/>
      </c>
      <c r="J213" s="26" t="str">
        <f>IFERROR(INDEX(Cablage!$A:$A,MATCH($I213,Cablage!$F:$F,0)),"")</f>
        <v/>
      </c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</row>
    <row r="214" spans="1:50" ht="15" customHeight="1" x14ac:dyDescent="0.25">
      <c r="A214" s="25"/>
      <c r="B214" s="25"/>
      <c r="C214" s="11"/>
      <c r="D214" s="11"/>
      <c r="E214" s="11"/>
      <c r="F214" s="26" t="str">
        <f>IFERROR(IF(OR($B214="",$C214=""),"",INDEX('Cartes API'!$J:$J,MATCH($B214,'Cartes API'!$A:$A,0))&amp;INDEX('Cartes API'!$B:$B,MATCH($B214,'Cartes API'!$A:$A,0))&amp;"."&amp;INDEX('Cartes API'!$C:$C,MATCH($B214,'Cartes API'!$A:$A,0))&amp;"."&amp;$C214),"")</f>
        <v/>
      </c>
      <c r="G214" s="26" t="str">
        <f>IFERROR(IF($B214="","",INDEX('Cartes API'!$H:$H,MATCH($B214,'Cartes API'!$A:$A,0))),"")</f>
        <v/>
      </c>
      <c r="H214" s="11"/>
      <c r="I214" s="26" t="str">
        <f t="shared" si="3"/>
        <v/>
      </c>
      <c r="J214" s="26" t="str">
        <f>IFERROR(INDEX(Cablage!$A:$A,MATCH($I214,Cablage!$F:$F,0)),"")</f>
        <v/>
      </c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</row>
    <row r="215" spans="1:50" ht="15" customHeight="1" x14ac:dyDescent="0.25">
      <c r="A215" s="25"/>
      <c r="B215" s="25"/>
      <c r="C215" s="11"/>
      <c r="D215" s="11"/>
      <c r="E215" s="11"/>
      <c r="F215" s="26" t="str">
        <f>IFERROR(IF(OR($B215="",$C215=""),"",INDEX('Cartes API'!$J:$J,MATCH($B215,'Cartes API'!$A:$A,0))&amp;INDEX('Cartes API'!$B:$B,MATCH($B215,'Cartes API'!$A:$A,0))&amp;"."&amp;INDEX('Cartes API'!$C:$C,MATCH($B215,'Cartes API'!$A:$A,0))&amp;"."&amp;$C215),"")</f>
        <v/>
      </c>
      <c r="G215" s="26" t="str">
        <f>IFERROR(IF($B215="","",INDEX('Cartes API'!$H:$H,MATCH($B215,'Cartes API'!$A:$A,0))),"")</f>
        <v/>
      </c>
      <c r="H215" s="11"/>
      <c r="I215" s="26" t="str">
        <f t="shared" si="3"/>
        <v/>
      </c>
      <c r="J215" s="26" t="str">
        <f>IFERROR(INDEX(Cablage!$A:$A,MATCH($I215,Cablage!$F:$F,0)),"")</f>
        <v/>
      </c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</row>
    <row r="216" spans="1:50" ht="15" customHeight="1" x14ac:dyDescent="0.25">
      <c r="A216" s="25"/>
      <c r="B216" s="25"/>
      <c r="C216" s="11"/>
      <c r="D216" s="11"/>
      <c r="E216" s="11"/>
      <c r="F216" s="26" t="str">
        <f>IFERROR(IF(OR($B216="",$C216=""),"",INDEX('Cartes API'!$J:$J,MATCH($B216,'Cartes API'!$A:$A,0))&amp;INDEX('Cartes API'!$B:$B,MATCH($B216,'Cartes API'!$A:$A,0))&amp;"."&amp;INDEX('Cartes API'!$C:$C,MATCH($B216,'Cartes API'!$A:$A,0))&amp;"."&amp;$C216),"")</f>
        <v/>
      </c>
      <c r="G216" s="26" t="str">
        <f>IFERROR(IF($B216="","",INDEX('Cartes API'!$H:$H,MATCH($B216,'Cartes API'!$A:$A,0))),"")</f>
        <v/>
      </c>
      <c r="H216" s="11"/>
      <c r="I216" s="26" t="str">
        <f t="shared" si="3"/>
        <v/>
      </c>
      <c r="J216" s="26" t="str">
        <f>IFERROR(INDEX(Cablage!$A:$A,MATCH($I216,Cablage!$F:$F,0)),"")</f>
        <v/>
      </c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</row>
    <row r="217" spans="1:50" ht="15" customHeight="1" x14ac:dyDescent="0.25">
      <c r="A217" s="25"/>
      <c r="B217" s="25"/>
      <c r="C217" s="11"/>
      <c r="D217" s="11"/>
      <c r="E217" s="11"/>
      <c r="F217" s="26" t="str">
        <f>IFERROR(IF(OR($B217="",$C217=""),"",INDEX('Cartes API'!$J:$J,MATCH($B217,'Cartes API'!$A:$A,0))&amp;INDEX('Cartes API'!$B:$B,MATCH($B217,'Cartes API'!$A:$A,0))&amp;"."&amp;INDEX('Cartes API'!$C:$C,MATCH($B217,'Cartes API'!$A:$A,0))&amp;"."&amp;$C217),"")</f>
        <v/>
      </c>
      <c r="G217" s="26" t="str">
        <f>IFERROR(IF($B217="","",INDEX('Cartes API'!$H:$H,MATCH($B217,'Cartes API'!$A:$A,0))),"")</f>
        <v/>
      </c>
      <c r="H217" s="11"/>
      <c r="I217" s="26" t="str">
        <f t="shared" si="3"/>
        <v/>
      </c>
      <c r="J217" s="26" t="str">
        <f>IFERROR(INDEX(Cablage!$A:$A,MATCH($I217,Cablage!$F:$F,0)),"")</f>
        <v/>
      </c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</row>
    <row r="218" spans="1:50" ht="15" customHeight="1" x14ac:dyDescent="0.25">
      <c r="A218" s="25"/>
      <c r="B218" s="25"/>
      <c r="C218" s="11"/>
      <c r="D218" s="11"/>
      <c r="E218" s="11"/>
      <c r="F218" s="26" t="str">
        <f>IFERROR(IF(OR($B218="",$C218=""),"",INDEX('Cartes API'!$J:$J,MATCH($B218,'Cartes API'!$A:$A,0))&amp;INDEX('Cartes API'!$B:$B,MATCH($B218,'Cartes API'!$A:$A,0))&amp;"."&amp;INDEX('Cartes API'!$C:$C,MATCH($B218,'Cartes API'!$A:$A,0))&amp;"."&amp;$C218),"")</f>
        <v/>
      </c>
      <c r="G218" s="26" t="str">
        <f>IFERROR(IF($B218="","",INDEX('Cartes API'!$H:$H,MATCH($B218,'Cartes API'!$A:$A,0))),"")</f>
        <v/>
      </c>
      <c r="H218" s="11"/>
      <c r="I218" s="26" t="str">
        <f t="shared" si="3"/>
        <v/>
      </c>
      <c r="J218" s="26" t="str">
        <f>IFERROR(INDEX(Cablage!$A:$A,MATCH($I218,Cablage!$F:$F,0)),"")</f>
        <v/>
      </c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</row>
    <row r="219" spans="1:50" ht="15" customHeight="1" x14ac:dyDescent="0.25">
      <c r="A219" s="25"/>
      <c r="B219" s="25"/>
      <c r="C219" s="11"/>
      <c r="D219" s="11"/>
      <c r="E219" s="11"/>
      <c r="F219" s="26" t="str">
        <f>IFERROR(IF(OR($B219="",$C219=""),"",INDEX('Cartes API'!$J:$J,MATCH($B219,'Cartes API'!$A:$A,0))&amp;INDEX('Cartes API'!$B:$B,MATCH($B219,'Cartes API'!$A:$A,0))&amp;"."&amp;INDEX('Cartes API'!$C:$C,MATCH($B219,'Cartes API'!$A:$A,0))&amp;"."&amp;$C219),"")</f>
        <v/>
      </c>
      <c r="G219" s="26" t="str">
        <f>IFERROR(IF($B219="","",INDEX('Cartes API'!$H:$H,MATCH($B219,'Cartes API'!$A:$A,0))),"")</f>
        <v/>
      </c>
      <c r="H219" s="11"/>
      <c r="I219" s="26" t="str">
        <f t="shared" si="3"/>
        <v/>
      </c>
      <c r="J219" s="26" t="str">
        <f>IFERROR(INDEX(Cablage!$A:$A,MATCH($I219,Cablage!$F:$F,0)),"")</f>
        <v/>
      </c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</row>
    <row r="220" spans="1:50" ht="15" customHeight="1" x14ac:dyDescent="0.25">
      <c r="A220" s="25"/>
      <c r="B220" s="25"/>
      <c r="C220" s="11"/>
      <c r="D220" s="11"/>
      <c r="E220" s="11"/>
      <c r="F220" s="26" t="str">
        <f>IFERROR(IF(OR($B220="",$C220=""),"",INDEX('Cartes API'!$J:$J,MATCH($B220,'Cartes API'!$A:$A,0))&amp;INDEX('Cartes API'!$B:$B,MATCH($B220,'Cartes API'!$A:$A,0))&amp;"."&amp;INDEX('Cartes API'!$C:$C,MATCH($B220,'Cartes API'!$A:$A,0))&amp;"."&amp;$C220),"")</f>
        <v/>
      </c>
      <c r="G220" s="26" t="str">
        <f>IFERROR(IF($B220="","",INDEX('Cartes API'!$H:$H,MATCH($B220,'Cartes API'!$A:$A,0))),"")</f>
        <v/>
      </c>
      <c r="H220" s="11"/>
      <c r="I220" s="26" t="str">
        <f t="shared" si="3"/>
        <v/>
      </c>
      <c r="J220" s="26" t="str">
        <f>IFERROR(INDEX(Cablage!$A:$A,MATCH($I220,Cablage!$F:$F,0)),"")</f>
        <v/>
      </c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</row>
    <row r="221" spans="1:50" ht="15" customHeight="1" x14ac:dyDescent="0.25">
      <c r="A221" s="25"/>
      <c r="B221" s="25"/>
      <c r="C221" s="11"/>
      <c r="D221" s="11"/>
      <c r="E221" s="11"/>
      <c r="F221" s="26" t="str">
        <f>IFERROR(IF(OR($B221="",$C221=""),"",INDEX('Cartes API'!$J:$J,MATCH($B221,'Cartes API'!$A:$A,0))&amp;INDEX('Cartes API'!$B:$B,MATCH($B221,'Cartes API'!$A:$A,0))&amp;"."&amp;INDEX('Cartes API'!$C:$C,MATCH($B221,'Cartes API'!$A:$A,0))&amp;"."&amp;$C221),"")</f>
        <v/>
      </c>
      <c r="G221" s="26" t="str">
        <f>IFERROR(IF($B221="","",INDEX('Cartes API'!$H:$H,MATCH($B221,'Cartes API'!$A:$A,0))),"")</f>
        <v/>
      </c>
      <c r="H221" s="11"/>
      <c r="I221" s="26" t="str">
        <f t="shared" si="3"/>
        <v/>
      </c>
      <c r="J221" s="26" t="str">
        <f>IFERROR(INDEX(Cablage!$A:$A,MATCH($I221,Cablage!$F:$F,0)),"")</f>
        <v/>
      </c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</row>
    <row r="222" spans="1:50" ht="15" customHeight="1" x14ac:dyDescent="0.25">
      <c r="A222" s="25"/>
      <c r="B222" s="25"/>
      <c r="C222" s="11"/>
      <c r="D222" s="11"/>
      <c r="E222" s="11"/>
      <c r="F222" s="26" t="str">
        <f>IFERROR(IF(OR($B222="",$C222=""),"",INDEX('Cartes API'!$J:$J,MATCH($B222,'Cartes API'!$A:$A,0))&amp;INDEX('Cartes API'!$B:$B,MATCH($B222,'Cartes API'!$A:$A,0))&amp;"."&amp;INDEX('Cartes API'!$C:$C,MATCH($B222,'Cartes API'!$A:$A,0))&amp;"."&amp;$C222),"")</f>
        <v/>
      </c>
      <c r="G222" s="26" t="str">
        <f>IFERROR(IF($B222="","",INDEX('Cartes API'!$H:$H,MATCH($B222,'Cartes API'!$A:$A,0))),"")</f>
        <v/>
      </c>
      <c r="H222" s="11"/>
      <c r="I222" s="26" t="str">
        <f t="shared" si="3"/>
        <v/>
      </c>
      <c r="J222" s="26" t="str">
        <f>IFERROR(INDEX(Cablage!$A:$A,MATCH($I222,Cablage!$F:$F,0)),"")</f>
        <v/>
      </c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</row>
    <row r="223" spans="1:50" ht="15" customHeight="1" x14ac:dyDescent="0.25">
      <c r="A223" s="25"/>
      <c r="B223" s="25"/>
      <c r="C223" s="11"/>
      <c r="D223" s="11"/>
      <c r="E223" s="11"/>
      <c r="F223" s="26" t="str">
        <f>IFERROR(IF(OR($B223="",$C223=""),"",INDEX('Cartes API'!$J:$J,MATCH($B223,'Cartes API'!$A:$A,0))&amp;INDEX('Cartes API'!$B:$B,MATCH($B223,'Cartes API'!$A:$A,0))&amp;"."&amp;INDEX('Cartes API'!$C:$C,MATCH($B223,'Cartes API'!$A:$A,0))&amp;"."&amp;$C223),"")</f>
        <v/>
      </c>
      <c r="G223" s="26" t="str">
        <f>IFERROR(IF($B223="","",INDEX('Cartes API'!$H:$H,MATCH($B223,'Cartes API'!$A:$A,0))),"")</f>
        <v/>
      </c>
      <c r="H223" s="11"/>
      <c r="I223" s="26" t="str">
        <f t="shared" si="3"/>
        <v/>
      </c>
      <c r="J223" s="26" t="str">
        <f>IFERROR(INDEX(Cablage!$A:$A,MATCH($I223,Cablage!$F:$F,0)),"")</f>
        <v/>
      </c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</row>
    <row r="224" spans="1:50" ht="15" customHeight="1" x14ac:dyDescent="0.25">
      <c r="A224" s="25"/>
      <c r="B224" s="25"/>
      <c r="C224" s="11"/>
      <c r="D224" s="11"/>
      <c r="E224" s="11"/>
      <c r="F224" s="26" t="str">
        <f>IFERROR(IF(OR($B224="",$C224=""),"",INDEX('Cartes API'!$J:$J,MATCH($B224,'Cartes API'!$A:$A,0))&amp;INDEX('Cartes API'!$B:$B,MATCH($B224,'Cartes API'!$A:$A,0))&amp;"."&amp;INDEX('Cartes API'!$C:$C,MATCH($B224,'Cartes API'!$A:$A,0))&amp;"."&amp;$C224),"")</f>
        <v/>
      </c>
      <c r="G224" s="26" t="str">
        <f>IFERROR(IF($B224="","",INDEX('Cartes API'!$H:$H,MATCH($B224,'Cartes API'!$A:$A,0))),"")</f>
        <v/>
      </c>
      <c r="H224" s="11"/>
      <c r="I224" s="26" t="str">
        <f t="shared" si="3"/>
        <v/>
      </c>
      <c r="J224" s="26" t="str">
        <f>IFERROR(INDEX(Cablage!$A:$A,MATCH($I224,Cablage!$F:$F,0)),"")</f>
        <v/>
      </c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</row>
    <row r="225" spans="1:50" ht="15" customHeight="1" x14ac:dyDescent="0.25">
      <c r="A225" s="25"/>
      <c r="B225" s="25"/>
      <c r="C225" s="11"/>
      <c r="D225" s="11"/>
      <c r="E225" s="11"/>
      <c r="F225" s="26" t="str">
        <f>IFERROR(IF(OR($B225="",$C225=""),"",INDEX('Cartes API'!$J:$J,MATCH($B225,'Cartes API'!$A:$A,0))&amp;INDEX('Cartes API'!$B:$B,MATCH($B225,'Cartes API'!$A:$A,0))&amp;"."&amp;INDEX('Cartes API'!$C:$C,MATCH($B225,'Cartes API'!$A:$A,0))&amp;"."&amp;$C225),"")</f>
        <v/>
      </c>
      <c r="G225" s="26" t="str">
        <f>IFERROR(IF($B225="","",INDEX('Cartes API'!$H:$H,MATCH($B225,'Cartes API'!$A:$A,0))),"")</f>
        <v/>
      </c>
      <c r="H225" s="11"/>
      <c r="I225" s="26" t="str">
        <f t="shared" si="3"/>
        <v/>
      </c>
      <c r="J225" s="26" t="str">
        <f>IFERROR(INDEX(Cablage!$A:$A,MATCH($I225,Cablage!$F:$F,0)),"")</f>
        <v/>
      </c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</row>
    <row r="226" spans="1:50" ht="15" customHeight="1" x14ac:dyDescent="0.25">
      <c r="A226" s="25"/>
      <c r="B226" s="25"/>
      <c r="C226" s="11"/>
      <c r="D226" s="11"/>
      <c r="E226" s="11"/>
      <c r="F226" s="26" t="str">
        <f>IFERROR(IF(OR($B226="",$C226=""),"",INDEX('Cartes API'!$J:$J,MATCH($B226,'Cartes API'!$A:$A,0))&amp;INDEX('Cartes API'!$B:$B,MATCH($B226,'Cartes API'!$A:$A,0))&amp;"."&amp;INDEX('Cartes API'!$C:$C,MATCH($B226,'Cartes API'!$A:$A,0))&amp;"."&amp;$C226),"")</f>
        <v/>
      </c>
      <c r="G226" s="26" t="str">
        <f>IFERROR(IF($B226="","",INDEX('Cartes API'!$H:$H,MATCH($B226,'Cartes API'!$A:$A,0))),"")</f>
        <v/>
      </c>
      <c r="H226" s="11"/>
      <c r="I226" s="26" t="str">
        <f t="shared" si="3"/>
        <v/>
      </c>
      <c r="J226" s="26" t="str">
        <f>IFERROR(INDEX(Cablage!$A:$A,MATCH($I226,Cablage!$F:$F,0)),"")</f>
        <v/>
      </c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</row>
    <row r="227" spans="1:50" ht="15" customHeight="1" x14ac:dyDescent="0.25">
      <c r="A227" s="25"/>
      <c r="B227" s="25"/>
      <c r="C227" s="11"/>
      <c r="D227" s="11"/>
      <c r="E227" s="11"/>
      <c r="F227" s="26" t="str">
        <f>IFERROR(IF(OR($B227="",$C227=""),"",INDEX('Cartes API'!$J:$J,MATCH($B227,'Cartes API'!$A:$A,0))&amp;INDEX('Cartes API'!$B:$B,MATCH($B227,'Cartes API'!$A:$A,0))&amp;"."&amp;INDEX('Cartes API'!$C:$C,MATCH($B227,'Cartes API'!$A:$A,0))&amp;"."&amp;$C227),"")</f>
        <v/>
      </c>
      <c r="G227" s="26" t="str">
        <f>IFERROR(IF($B227="","",INDEX('Cartes API'!$H:$H,MATCH($B227,'Cartes API'!$A:$A,0))),"")</f>
        <v/>
      </c>
      <c r="H227" s="11"/>
      <c r="I227" s="26" t="str">
        <f t="shared" si="3"/>
        <v/>
      </c>
      <c r="J227" s="26" t="str">
        <f>IFERROR(INDEX(Cablage!$A:$A,MATCH($I227,Cablage!$F:$F,0)),"")</f>
        <v/>
      </c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</row>
    <row r="228" spans="1:50" ht="15" customHeight="1" x14ac:dyDescent="0.25">
      <c r="A228" s="25"/>
      <c r="B228" s="25"/>
      <c r="C228" s="11"/>
      <c r="D228" s="11"/>
      <c r="E228" s="11"/>
      <c r="F228" s="26" t="str">
        <f>IFERROR(IF(OR($B228="",$C228=""),"",INDEX('Cartes API'!$J:$J,MATCH($B228,'Cartes API'!$A:$A,0))&amp;INDEX('Cartes API'!$B:$B,MATCH($B228,'Cartes API'!$A:$A,0))&amp;"."&amp;INDEX('Cartes API'!$C:$C,MATCH($B228,'Cartes API'!$A:$A,0))&amp;"."&amp;$C228),"")</f>
        <v/>
      </c>
      <c r="G228" s="26" t="str">
        <f>IFERROR(IF($B228="","",INDEX('Cartes API'!$H:$H,MATCH($B228,'Cartes API'!$A:$A,0))),"")</f>
        <v/>
      </c>
      <c r="H228" s="11"/>
      <c r="I228" s="26" t="str">
        <f t="shared" si="3"/>
        <v/>
      </c>
      <c r="J228" s="26" t="str">
        <f>IFERROR(INDEX(Cablage!$A:$A,MATCH($I228,Cablage!$F:$F,0)),"")</f>
        <v/>
      </c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</row>
    <row r="229" spans="1:50" ht="15" customHeight="1" x14ac:dyDescent="0.25">
      <c r="A229" s="25"/>
      <c r="B229" s="25"/>
      <c r="C229" s="11"/>
      <c r="D229" s="11"/>
      <c r="E229" s="11"/>
      <c r="F229" s="26" t="str">
        <f>IFERROR(IF(OR($B229="",$C229=""),"",INDEX('Cartes API'!$J:$J,MATCH($B229,'Cartes API'!$A:$A,0))&amp;INDEX('Cartes API'!$B:$B,MATCH($B229,'Cartes API'!$A:$A,0))&amp;"."&amp;INDEX('Cartes API'!$C:$C,MATCH($B229,'Cartes API'!$A:$A,0))&amp;"."&amp;$C229),"")</f>
        <v/>
      </c>
      <c r="G229" s="26" t="str">
        <f>IFERROR(IF($B229="","",INDEX('Cartes API'!$H:$H,MATCH($B229,'Cartes API'!$A:$A,0))),"")</f>
        <v/>
      </c>
      <c r="H229" s="11"/>
      <c r="I229" s="26" t="str">
        <f t="shared" si="3"/>
        <v/>
      </c>
      <c r="J229" s="26" t="str">
        <f>IFERROR(INDEX(Cablage!$A:$A,MATCH($I229,Cablage!$F:$F,0)),"")</f>
        <v/>
      </c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</row>
    <row r="230" spans="1:50" ht="15" customHeight="1" x14ac:dyDescent="0.25">
      <c r="A230" s="25"/>
      <c r="B230" s="25"/>
      <c r="C230" s="11"/>
      <c r="D230" s="11"/>
      <c r="E230" s="11"/>
      <c r="F230" s="26" t="str">
        <f>IFERROR(IF(OR($B230="",$C230=""),"",INDEX('Cartes API'!$J:$J,MATCH($B230,'Cartes API'!$A:$A,0))&amp;INDEX('Cartes API'!$B:$B,MATCH($B230,'Cartes API'!$A:$A,0))&amp;"."&amp;INDEX('Cartes API'!$C:$C,MATCH($B230,'Cartes API'!$A:$A,0))&amp;"."&amp;$C230),"")</f>
        <v/>
      </c>
      <c r="G230" s="26" t="str">
        <f>IFERROR(IF($B230="","",INDEX('Cartes API'!$H:$H,MATCH($B230,'Cartes API'!$A:$A,0))),"")</f>
        <v/>
      </c>
      <c r="H230" s="11"/>
      <c r="I230" s="26" t="str">
        <f t="shared" si="3"/>
        <v/>
      </c>
      <c r="J230" s="26" t="str">
        <f>IFERROR(INDEX(Cablage!$A:$A,MATCH($I230,Cablage!$F:$F,0)),"")</f>
        <v/>
      </c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</row>
    <row r="231" spans="1:50" ht="15" customHeight="1" x14ac:dyDescent="0.25">
      <c r="A231" s="25"/>
      <c r="B231" s="25"/>
      <c r="C231" s="11"/>
      <c r="D231" s="11"/>
      <c r="E231" s="11"/>
      <c r="F231" s="26" t="str">
        <f>IFERROR(IF(OR($B231="",$C231=""),"",INDEX('Cartes API'!$J:$J,MATCH($B231,'Cartes API'!$A:$A,0))&amp;INDEX('Cartes API'!$B:$B,MATCH($B231,'Cartes API'!$A:$A,0))&amp;"."&amp;INDEX('Cartes API'!$C:$C,MATCH($B231,'Cartes API'!$A:$A,0))&amp;"."&amp;$C231),"")</f>
        <v/>
      </c>
      <c r="G231" s="26" t="str">
        <f>IFERROR(IF($B231="","",INDEX('Cartes API'!$H:$H,MATCH($B231,'Cartes API'!$A:$A,0))),"")</f>
        <v/>
      </c>
      <c r="H231" s="11"/>
      <c r="I231" s="26" t="str">
        <f t="shared" si="3"/>
        <v/>
      </c>
      <c r="J231" s="26" t="str">
        <f>IFERROR(INDEX(Cablage!$A:$A,MATCH($I231,Cablage!$F:$F,0)),"")</f>
        <v/>
      </c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</row>
    <row r="232" spans="1:50" ht="15" customHeight="1" x14ac:dyDescent="0.25">
      <c r="A232" s="25"/>
      <c r="B232" s="25"/>
      <c r="C232" s="11"/>
      <c r="D232" s="11"/>
      <c r="E232" s="11"/>
      <c r="F232" s="26" t="str">
        <f>IFERROR(IF(OR($B232="",$C232=""),"",INDEX('Cartes API'!$J:$J,MATCH($B232,'Cartes API'!$A:$A,0))&amp;INDEX('Cartes API'!$B:$B,MATCH($B232,'Cartes API'!$A:$A,0))&amp;"."&amp;INDEX('Cartes API'!$C:$C,MATCH($B232,'Cartes API'!$A:$A,0))&amp;"."&amp;$C232),"")</f>
        <v/>
      </c>
      <c r="G232" s="26" t="str">
        <f>IFERROR(IF($B232="","",INDEX('Cartes API'!$H:$H,MATCH($B232,'Cartes API'!$A:$A,0))),"")</f>
        <v/>
      </c>
      <c r="H232" s="11"/>
      <c r="I232" s="26" t="str">
        <f t="shared" si="3"/>
        <v/>
      </c>
      <c r="J232" s="26" t="str">
        <f>IFERROR(INDEX(Cablage!$A:$A,MATCH($I232,Cablage!$F:$F,0)),"")</f>
        <v/>
      </c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</row>
    <row r="233" spans="1:50" ht="15" customHeight="1" x14ac:dyDescent="0.25">
      <c r="A233" s="25"/>
      <c r="B233" s="25"/>
      <c r="C233" s="11"/>
      <c r="D233" s="11"/>
      <c r="E233" s="11"/>
      <c r="F233" s="26" t="str">
        <f>IFERROR(IF(OR($B233="",$C233=""),"",INDEX('Cartes API'!$J:$J,MATCH($B233,'Cartes API'!$A:$A,0))&amp;INDEX('Cartes API'!$B:$B,MATCH($B233,'Cartes API'!$A:$A,0))&amp;"."&amp;INDEX('Cartes API'!$C:$C,MATCH($B233,'Cartes API'!$A:$A,0))&amp;"."&amp;$C233),"")</f>
        <v/>
      </c>
      <c r="G233" s="26" t="str">
        <f>IFERROR(IF($B233="","",INDEX('Cartes API'!$H:$H,MATCH($B233,'Cartes API'!$A:$A,0))),"")</f>
        <v/>
      </c>
      <c r="H233" s="11"/>
      <c r="I233" s="26" t="str">
        <f t="shared" si="3"/>
        <v/>
      </c>
      <c r="J233" s="26" t="str">
        <f>IFERROR(INDEX(Cablage!$A:$A,MATCH($I233,Cablage!$F:$F,0)),"")</f>
        <v/>
      </c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</row>
    <row r="234" spans="1:50" ht="15" customHeight="1" x14ac:dyDescent="0.25">
      <c r="A234" s="25"/>
      <c r="B234" s="25"/>
      <c r="C234" s="11"/>
      <c r="D234" s="11"/>
      <c r="E234" s="11"/>
      <c r="F234" s="26" t="str">
        <f>IFERROR(IF(OR($B234="",$C234=""),"",INDEX('Cartes API'!$J:$J,MATCH($B234,'Cartes API'!$A:$A,0))&amp;INDEX('Cartes API'!$B:$B,MATCH($B234,'Cartes API'!$A:$A,0))&amp;"."&amp;INDEX('Cartes API'!$C:$C,MATCH($B234,'Cartes API'!$A:$A,0))&amp;"."&amp;$C234),"")</f>
        <v/>
      </c>
      <c r="G234" s="26" t="str">
        <f>IFERROR(IF($B234="","",INDEX('Cartes API'!$H:$H,MATCH($B234,'Cartes API'!$A:$A,0))),"")</f>
        <v/>
      </c>
      <c r="H234" s="11"/>
      <c r="I234" s="26" t="str">
        <f t="shared" si="3"/>
        <v/>
      </c>
      <c r="J234" s="26" t="str">
        <f>IFERROR(INDEX(Cablage!$A:$A,MATCH($I234,Cablage!$F:$F,0)),"")</f>
        <v/>
      </c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</row>
    <row r="235" spans="1:50" ht="15" customHeight="1" x14ac:dyDescent="0.25">
      <c r="A235" s="25"/>
      <c r="B235" s="25"/>
      <c r="C235" s="11"/>
      <c r="D235" s="11"/>
      <c r="E235" s="11"/>
      <c r="F235" s="26" t="str">
        <f>IFERROR(IF(OR($B235="",$C235=""),"",INDEX('Cartes API'!$J:$J,MATCH($B235,'Cartes API'!$A:$A,0))&amp;INDEX('Cartes API'!$B:$B,MATCH($B235,'Cartes API'!$A:$A,0))&amp;"."&amp;INDEX('Cartes API'!$C:$C,MATCH($B235,'Cartes API'!$A:$A,0))&amp;"."&amp;$C235),"")</f>
        <v/>
      </c>
      <c r="G235" s="26" t="str">
        <f>IFERROR(IF($B235="","",INDEX('Cartes API'!$H:$H,MATCH($B235,'Cartes API'!$A:$A,0))),"")</f>
        <v/>
      </c>
      <c r="H235" s="11"/>
      <c r="I235" s="26" t="str">
        <f t="shared" si="3"/>
        <v/>
      </c>
      <c r="J235" s="26" t="str">
        <f>IFERROR(INDEX(Cablage!$A:$A,MATCH($I235,Cablage!$F:$F,0)),"")</f>
        <v/>
      </c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</row>
    <row r="236" spans="1:50" ht="15" customHeight="1" x14ac:dyDescent="0.25">
      <c r="A236" s="25"/>
      <c r="B236" s="25"/>
      <c r="C236" s="11"/>
      <c r="D236" s="11"/>
      <c r="E236" s="11"/>
      <c r="F236" s="26" t="str">
        <f>IFERROR(IF(OR($B236="",$C236=""),"",INDEX('Cartes API'!$J:$J,MATCH($B236,'Cartes API'!$A:$A,0))&amp;INDEX('Cartes API'!$B:$B,MATCH($B236,'Cartes API'!$A:$A,0))&amp;"."&amp;INDEX('Cartes API'!$C:$C,MATCH($B236,'Cartes API'!$A:$A,0))&amp;"."&amp;$C236),"")</f>
        <v/>
      </c>
      <c r="G236" s="26" t="str">
        <f>IFERROR(IF($B236="","",INDEX('Cartes API'!$H:$H,MATCH($B236,'Cartes API'!$A:$A,0))),"")</f>
        <v/>
      </c>
      <c r="H236" s="11"/>
      <c r="I236" s="26" t="str">
        <f t="shared" si="3"/>
        <v/>
      </c>
      <c r="J236" s="26" t="str">
        <f>IFERROR(INDEX(Cablage!$A:$A,MATCH($I236,Cablage!$F:$F,0)),"")</f>
        <v/>
      </c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</row>
    <row r="237" spans="1:50" ht="15" customHeight="1" x14ac:dyDescent="0.25">
      <c r="A237" s="25"/>
      <c r="B237" s="25"/>
      <c r="C237" s="11"/>
      <c r="D237" s="11"/>
      <c r="E237" s="11"/>
      <c r="F237" s="26" t="str">
        <f>IFERROR(IF(OR($B237="",$C237=""),"",INDEX('Cartes API'!$J:$J,MATCH($B237,'Cartes API'!$A:$A,0))&amp;INDEX('Cartes API'!$B:$B,MATCH($B237,'Cartes API'!$A:$A,0))&amp;"."&amp;INDEX('Cartes API'!$C:$C,MATCH($B237,'Cartes API'!$A:$A,0))&amp;"."&amp;$C237),"")</f>
        <v/>
      </c>
      <c r="G237" s="26" t="str">
        <f>IFERROR(IF($B237="","",INDEX('Cartes API'!$H:$H,MATCH($B237,'Cartes API'!$A:$A,0))),"")</f>
        <v/>
      </c>
      <c r="H237" s="11"/>
      <c r="I237" s="26" t="str">
        <f t="shared" si="3"/>
        <v/>
      </c>
      <c r="J237" s="26" t="str">
        <f>IFERROR(INDEX(Cablage!$A:$A,MATCH($I237,Cablage!$F:$F,0)),"")</f>
        <v/>
      </c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</row>
    <row r="238" spans="1:50" ht="15" customHeight="1" x14ac:dyDescent="0.25">
      <c r="A238" s="25"/>
      <c r="B238" s="25"/>
      <c r="C238" s="11"/>
      <c r="D238" s="11"/>
      <c r="E238" s="11"/>
      <c r="F238" s="26" t="str">
        <f>IFERROR(IF(OR($B238="",$C238=""),"",INDEX('Cartes API'!$J:$J,MATCH($B238,'Cartes API'!$A:$A,0))&amp;INDEX('Cartes API'!$B:$B,MATCH($B238,'Cartes API'!$A:$A,0))&amp;"."&amp;INDEX('Cartes API'!$C:$C,MATCH($B238,'Cartes API'!$A:$A,0))&amp;"."&amp;$C238),"")</f>
        <v/>
      </c>
      <c r="G238" s="26" t="str">
        <f>IFERROR(IF($B238="","",INDEX('Cartes API'!$H:$H,MATCH($B238,'Cartes API'!$A:$A,0))),"")</f>
        <v/>
      </c>
      <c r="H238" s="11"/>
      <c r="I238" s="26" t="str">
        <f t="shared" si="3"/>
        <v/>
      </c>
      <c r="J238" s="26" t="str">
        <f>IFERROR(INDEX(Cablage!$A:$A,MATCH($I238,Cablage!$F:$F,0)),"")</f>
        <v/>
      </c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</row>
    <row r="239" spans="1:50" ht="15" customHeight="1" x14ac:dyDescent="0.25">
      <c r="A239" s="25"/>
      <c r="B239" s="25"/>
      <c r="C239" s="11"/>
      <c r="D239" s="11"/>
      <c r="E239" s="11"/>
      <c r="F239" s="26" t="str">
        <f>IFERROR(IF(OR($B239="",$C239=""),"",INDEX('Cartes API'!$J:$J,MATCH($B239,'Cartes API'!$A:$A,0))&amp;INDEX('Cartes API'!$B:$B,MATCH($B239,'Cartes API'!$A:$A,0))&amp;"."&amp;INDEX('Cartes API'!$C:$C,MATCH($B239,'Cartes API'!$A:$A,0))&amp;"."&amp;$C239),"")</f>
        <v/>
      </c>
      <c r="G239" s="26" t="str">
        <f>IFERROR(IF($B239="","",INDEX('Cartes API'!$H:$H,MATCH($B239,'Cartes API'!$A:$A,0))),"")</f>
        <v/>
      </c>
      <c r="H239" s="11"/>
      <c r="I239" s="26" t="str">
        <f t="shared" si="3"/>
        <v/>
      </c>
      <c r="J239" s="26" t="str">
        <f>IFERROR(INDEX(Cablage!$A:$A,MATCH($I239,Cablage!$F:$F,0)),"")</f>
        <v/>
      </c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</row>
    <row r="240" spans="1:50" ht="15" customHeight="1" x14ac:dyDescent="0.25">
      <c r="A240" s="25"/>
      <c r="B240" s="25"/>
      <c r="C240" s="11"/>
      <c r="D240" s="11"/>
      <c r="E240" s="11"/>
      <c r="F240" s="26" t="str">
        <f>IFERROR(IF(OR($B240="",$C240=""),"",INDEX('Cartes API'!$J:$J,MATCH($B240,'Cartes API'!$A:$A,0))&amp;INDEX('Cartes API'!$B:$B,MATCH($B240,'Cartes API'!$A:$A,0))&amp;"."&amp;INDEX('Cartes API'!$C:$C,MATCH($B240,'Cartes API'!$A:$A,0))&amp;"."&amp;$C240),"")</f>
        <v/>
      </c>
      <c r="G240" s="26" t="str">
        <f>IFERROR(IF($B240="","",INDEX('Cartes API'!$H:$H,MATCH($B240,'Cartes API'!$A:$A,0))),"")</f>
        <v/>
      </c>
      <c r="H240" s="11"/>
      <c r="I240" s="26" t="str">
        <f t="shared" si="3"/>
        <v/>
      </c>
      <c r="J240" s="26" t="str">
        <f>IFERROR(INDEX(Cablage!$A:$A,MATCH($I240,Cablage!$F:$F,0)),"")</f>
        <v/>
      </c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</row>
    <row r="241" spans="1:50" ht="15" customHeight="1" x14ac:dyDescent="0.25">
      <c r="A241" s="25"/>
      <c r="B241" s="25"/>
      <c r="C241" s="11"/>
      <c r="D241" s="11"/>
      <c r="E241" s="11"/>
      <c r="F241" s="26" t="str">
        <f>IFERROR(IF(OR($B241="",$C241=""),"",INDEX('Cartes API'!$J:$J,MATCH($B241,'Cartes API'!$A:$A,0))&amp;INDEX('Cartes API'!$B:$B,MATCH($B241,'Cartes API'!$A:$A,0))&amp;"."&amp;INDEX('Cartes API'!$C:$C,MATCH($B241,'Cartes API'!$A:$A,0))&amp;"."&amp;$C241),"")</f>
        <v/>
      </c>
      <c r="G241" s="26" t="str">
        <f>IFERROR(IF($B241="","",INDEX('Cartes API'!$H:$H,MATCH($B241,'Cartes API'!$A:$A,0))),"")</f>
        <v/>
      </c>
      <c r="H241" s="11"/>
      <c r="I241" s="26" t="str">
        <f t="shared" si="3"/>
        <v/>
      </c>
      <c r="J241" s="26" t="str">
        <f>IFERROR(INDEX(Cablage!$A:$A,MATCH($I241,Cablage!$F:$F,0)),"")</f>
        <v/>
      </c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</row>
    <row r="242" spans="1:50" ht="15" customHeight="1" x14ac:dyDescent="0.25">
      <c r="A242" s="25"/>
      <c r="B242" s="25"/>
      <c r="C242" s="11"/>
      <c r="D242" s="11"/>
      <c r="E242" s="11"/>
      <c r="F242" s="26" t="str">
        <f>IFERROR(IF(OR($B242="",$C242=""),"",INDEX('Cartes API'!$J:$J,MATCH($B242,'Cartes API'!$A:$A,0))&amp;INDEX('Cartes API'!$B:$B,MATCH($B242,'Cartes API'!$A:$A,0))&amp;"."&amp;INDEX('Cartes API'!$C:$C,MATCH($B242,'Cartes API'!$A:$A,0))&amp;"."&amp;$C242),"")</f>
        <v/>
      </c>
      <c r="G242" s="26" t="str">
        <f>IFERROR(IF($B242="","",INDEX('Cartes API'!$H:$H,MATCH($B242,'Cartes API'!$A:$A,0))),"")</f>
        <v/>
      </c>
      <c r="H242" s="11"/>
      <c r="I242" s="26" t="str">
        <f t="shared" si="3"/>
        <v/>
      </c>
      <c r="J242" s="26" t="str">
        <f>IFERROR(INDEX(Cablage!$A:$A,MATCH($I242,Cablage!$F:$F,0)),"")</f>
        <v/>
      </c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</row>
    <row r="243" spans="1:50" ht="15" customHeight="1" x14ac:dyDescent="0.25">
      <c r="A243" s="25"/>
      <c r="B243" s="25"/>
      <c r="C243" s="11"/>
      <c r="D243" s="11"/>
      <c r="E243" s="11"/>
      <c r="F243" s="26" t="str">
        <f>IFERROR(IF(OR($B243="",$C243=""),"",INDEX('Cartes API'!$J:$J,MATCH($B243,'Cartes API'!$A:$A,0))&amp;INDEX('Cartes API'!$B:$B,MATCH($B243,'Cartes API'!$A:$A,0))&amp;"."&amp;INDEX('Cartes API'!$C:$C,MATCH($B243,'Cartes API'!$A:$A,0))&amp;"."&amp;$C243),"")</f>
        <v/>
      </c>
      <c r="G243" s="26" t="str">
        <f>IFERROR(IF($B243="","",INDEX('Cartes API'!$H:$H,MATCH($B243,'Cartes API'!$A:$A,0))),"")</f>
        <v/>
      </c>
      <c r="H243" s="11"/>
      <c r="I243" s="26" t="str">
        <f t="shared" si="3"/>
        <v/>
      </c>
      <c r="J243" s="26" t="str">
        <f>IFERROR(INDEX(Cablage!$A:$A,MATCH($I243,Cablage!$F:$F,0)),"")</f>
        <v/>
      </c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</row>
    <row r="244" spans="1:50" ht="15" customHeight="1" x14ac:dyDescent="0.25">
      <c r="A244" s="25"/>
      <c r="B244" s="25"/>
      <c r="C244" s="11"/>
      <c r="D244" s="11"/>
      <c r="E244" s="11"/>
      <c r="F244" s="26" t="str">
        <f>IFERROR(IF(OR($B244="",$C244=""),"",INDEX('Cartes API'!$J:$J,MATCH($B244,'Cartes API'!$A:$A,0))&amp;INDEX('Cartes API'!$B:$B,MATCH($B244,'Cartes API'!$A:$A,0))&amp;"."&amp;INDEX('Cartes API'!$C:$C,MATCH($B244,'Cartes API'!$A:$A,0))&amp;"."&amp;$C244),"")</f>
        <v/>
      </c>
      <c r="G244" s="26" t="str">
        <f>IFERROR(IF($B244="","",INDEX('Cartes API'!$H:$H,MATCH($B244,'Cartes API'!$A:$A,0))),"")</f>
        <v/>
      </c>
      <c r="H244" s="11"/>
      <c r="I244" s="26" t="str">
        <f t="shared" si="3"/>
        <v/>
      </c>
      <c r="J244" s="26" t="str">
        <f>IFERROR(INDEX(Cablage!$A:$A,MATCH($I244,Cablage!$F:$F,0)),"")</f>
        <v/>
      </c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</row>
    <row r="245" spans="1:50" ht="15" customHeight="1" x14ac:dyDescent="0.25">
      <c r="A245" s="25"/>
      <c r="B245" s="25"/>
      <c r="C245" s="11"/>
      <c r="D245" s="11"/>
      <c r="E245" s="11"/>
      <c r="F245" s="26" t="str">
        <f>IFERROR(IF(OR($B245="",$C245=""),"",INDEX('Cartes API'!$J:$J,MATCH($B245,'Cartes API'!$A:$A,0))&amp;INDEX('Cartes API'!$B:$B,MATCH($B245,'Cartes API'!$A:$A,0))&amp;"."&amp;INDEX('Cartes API'!$C:$C,MATCH($B245,'Cartes API'!$A:$A,0))&amp;"."&amp;$C245),"")</f>
        <v/>
      </c>
      <c r="G245" s="26" t="str">
        <f>IFERROR(IF($B245="","",INDEX('Cartes API'!$H:$H,MATCH($B245,'Cartes API'!$A:$A,0))),"")</f>
        <v/>
      </c>
      <c r="H245" s="11"/>
      <c r="I245" s="26" t="str">
        <f t="shared" si="3"/>
        <v/>
      </c>
      <c r="J245" s="26" t="str">
        <f>IFERROR(INDEX(Cablage!$A:$A,MATCH($I245,Cablage!$F:$F,0)),"")</f>
        <v/>
      </c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</row>
    <row r="246" spans="1:50" ht="15" customHeight="1" x14ac:dyDescent="0.25">
      <c r="A246" s="25"/>
      <c r="B246" s="25"/>
      <c r="C246" s="11"/>
      <c r="D246" s="11"/>
      <c r="E246" s="11"/>
      <c r="F246" s="26" t="str">
        <f>IFERROR(IF(OR($B246="",$C246=""),"",INDEX('Cartes API'!$J:$J,MATCH($B246,'Cartes API'!$A:$A,0))&amp;INDEX('Cartes API'!$B:$B,MATCH($B246,'Cartes API'!$A:$A,0))&amp;"."&amp;INDEX('Cartes API'!$C:$C,MATCH($B246,'Cartes API'!$A:$A,0))&amp;"."&amp;$C246),"")</f>
        <v/>
      </c>
      <c r="G246" s="26" t="str">
        <f>IFERROR(IF($B246="","",INDEX('Cartes API'!$H:$H,MATCH($B246,'Cartes API'!$A:$A,0))),"")</f>
        <v/>
      </c>
      <c r="H246" s="11"/>
      <c r="I246" s="26" t="str">
        <f t="shared" si="3"/>
        <v/>
      </c>
      <c r="J246" s="26" t="str">
        <f>IFERROR(INDEX(Cablage!$A:$A,MATCH($I246,Cablage!$F:$F,0)),"")</f>
        <v/>
      </c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</row>
    <row r="247" spans="1:50" ht="15" customHeight="1" x14ac:dyDescent="0.25">
      <c r="A247" s="25"/>
      <c r="B247" s="25"/>
      <c r="C247" s="11"/>
      <c r="D247" s="11"/>
      <c r="E247" s="11"/>
      <c r="F247" s="26" t="str">
        <f>IFERROR(IF(OR($B247="",$C247=""),"",INDEX('Cartes API'!$J:$J,MATCH($B247,'Cartes API'!$A:$A,0))&amp;INDEX('Cartes API'!$B:$B,MATCH($B247,'Cartes API'!$A:$A,0))&amp;"."&amp;INDEX('Cartes API'!$C:$C,MATCH($B247,'Cartes API'!$A:$A,0))&amp;"."&amp;$C247),"")</f>
        <v/>
      </c>
      <c r="G247" s="26" t="str">
        <f>IFERROR(IF($B247="","",INDEX('Cartes API'!$H:$H,MATCH($B247,'Cartes API'!$A:$A,0))),"")</f>
        <v/>
      </c>
      <c r="H247" s="11"/>
      <c r="I247" s="26" t="str">
        <f t="shared" si="3"/>
        <v/>
      </c>
      <c r="J247" s="26" t="str">
        <f>IFERROR(INDEX(Cablage!$A:$A,MATCH($I247,Cablage!$F:$F,0)),"")</f>
        <v/>
      </c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</row>
    <row r="248" spans="1:50" ht="15" customHeight="1" x14ac:dyDescent="0.25">
      <c r="A248" s="25"/>
      <c r="B248" s="25"/>
      <c r="C248" s="11"/>
      <c r="D248" s="11"/>
      <c r="E248" s="11"/>
      <c r="F248" s="26" t="str">
        <f>IFERROR(IF(OR($B248="",$C248=""),"",INDEX('Cartes API'!$J:$J,MATCH($B248,'Cartes API'!$A:$A,0))&amp;INDEX('Cartes API'!$B:$B,MATCH($B248,'Cartes API'!$A:$A,0))&amp;"."&amp;INDEX('Cartes API'!$C:$C,MATCH($B248,'Cartes API'!$A:$A,0))&amp;"."&amp;$C248),"")</f>
        <v/>
      </c>
      <c r="G248" s="26" t="str">
        <f>IFERROR(IF($B248="","",INDEX('Cartes API'!$H:$H,MATCH($B248,'Cartes API'!$A:$A,0))),"")</f>
        <v/>
      </c>
      <c r="H248" s="11"/>
      <c r="I248" s="26" t="str">
        <f t="shared" si="3"/>
        <v/>
      </c>
      <c r="J248" s="26" t="str">
        <f>IFERROR(INDEX(Cablage!$A:$A,MATCH($I248,Cablage!$F:$F,0)),"")</f>
        <v/>
      </c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</row>
    <row r="249" spans="1:50" ht="15" customHeight="1" x14ac:dyDescent="0.25">
      <c r="A249" s="25"/>
      <c r="B249" s="25"/>
      <c r="C249" s="11"/>
      <c r="D249" s="11"/>
      <c r="E249" s="11"/>
      <c r="F249" s="26" t="str">
        <f>IFERROR(IF(OR($B249="",$C249=""),"",INDEX('Cartes API'!$J:$J,MATCH($B249,'Cartes API'!$A:$A,0))&amp;INDEX('Cartes API'!$B:$B,MATCH($B249,'Cartes API'!$A:$A,0))&amp;"."&amp;INDEX('Cartes API'!$C:$C,MATCH($B249,'Cartes API'!$A:$A,0))&amp;"."&amp;$C249),"")</f>
        <v/>
      </c>
      <c r="G249" s="26" t="str">
        <f>IFERROR(IF($B249="","",INDEX('Cartes API'!$H:$H,MATCH($B249,'Cartes API'!$A:$A,0))),"")</f>
        <v/>
      </c>
      <c r="H249" s="11"/>
      <c r="I249" s="26" t="str">
        <f t="shared" si="3"/>
        <v/>
      </c>
      <c r="J249" s="26" t="str">
        <f>IFERROR(INDEX(Cablage!$A:$A,MATCH($I249,Cablage!$F:$F,0)),"")</f>
        <v/>
      </c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</row>
    <row r="250" spans="1:50" ht="15" customHeight="1" x14ac:dyDescent="0.25">
      <c r="A250" s="25"/>
      <c r="B250" s="25"/>
      <c r="C250" s="11"/>
      <c r="D250" s="11"/>
      <c r="E250" s="11"/>
      <c r="F250" s="26" t="str">
        <f>IFERROR(IF(OR($B250="",$C250=""),"",INDEX('Cartes API'!$J:$J,MATCH($B250,'Cartes API'!$A:$A,0))&amp;INDEX('Cartes API'!$B:$B,MATCH($B250,'Cartes API'!$A:$A,0))&amp;"."&amp;INDEX('Cartes API'!$C:$C,MATCH($B250,'Cartes API'!$A:$A,0))&amp;"."&amp;$C250),"")</f>
        <v/>
      </c>
      <c r="G250" s="26" t="str">
        <f>IFERROR(IF($B250="","",INDEX('Cartes API'!$H:$H,MATCH($B250,'Cartes API'!$A:$A,0))),"")</f>
        <v/>
      </c>
      <c r="H250" s="11"/>
      <c r="I250" s="26" t="str">
        <f t="shared" si="3"/>
        <v/>
      </c>
      <c r="J250" s="26" t="str">
        <f>IFERROR(INDEX(Cablage!$A:$A,MATCH($I250,Cablage!$F:$F,0)),"")</f>
        <v/>
      </c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</row>
    <row r="251" spans="1:50" ht="15" customHeight="1" x14ac:dyDescent="0.25">
      <c r="A251" s="25"/>
      <c r="B251" s="25"/>
      <c r="C251" s="11"/>
      <c r="D251" s="11"/>
      <c r="E251" s="11"/>
      <c r="F251" s="26" t="str">
        <f>IFERROR(IF(OR($B251="",$C251=""),"",INDEX('Cartes API'!$J:$J,MATCH($B251,'Cartes API'!$A:$A,0))&amp;INDEX('Cartes API'!$B:$B,MATCH($B251,'Cartes API'!$A:$A,0))&amp;"."&amp;INDEX('Cartes API'!$C:$C,MATCH($B251,'Cartes API'!$A:$A,0))&amp;"."&amp;$C251),"")</f>
        <v/>
      </c>
      <c r="G251" s="26" t="str">
        <f>IFERROR(IF($B251="","",INDEX('Cartes API'!$H:$H,MATCH($B251,'Cartes API'!$A:$A,0))),"")</f>
        <v/>
      </c>
      <c r="H251" s="11"/>
      <c r="I251" s="26" t="str">
        <f t="shared" si="3"/>
        <v/>
      </c>
      <c r="J251" s="26" t="str">
        <f>IFERROR(INDEX(Cablage!$A:$A,MATCH($I251,Cablage!$F:$F,0)),"")</f>
        <v/>
      </c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</row>
    <row r="252" spans="1:50" ht="15" customHeight="1" x14ac:dyDescent="0.25">
      <c r="A252" s="25"/>
      <c r="B252" s="25"/>
      <c r="C252" s="11"/>
      <c r="D252" s="11"/>
      <c r="E252" s="11"/>
      <c r="F252" s="26" t="str">
        <f>IFERROR(IF(OR($B252="",$C252=""),"",INDEX('Cartes API'!$J:$J,MATCH($B252,'Cartes API'!$A:$A,0))&amp;INDEX('Cartes API'!$B:$B,MATCH($B252,'Cartes API'!$A:$A,0))&amp;"."&amp;INDEX('Cartes API'!$C:$C,MATCH($B252,'Cartes API'!$A:$A,0))&amp;"."&amp;$C252),"")</f>
        <v/>
      </c>
      <c r="G252" s="26" t="str">
        <f>IFERROR(IF($B252="","",INDEX('Cartes API'!$H:$H,MATCH($B252,'Cartes API'!$A:$A,0))),"")</f>
        <v/>
      </c>
      <c r="H252" s="11"/>
      <c r="I252" s="26" t="str">
        <f t="shared" si="3"/>
        <v/>
      </c>
      <c r="J252" s="26" t="str">
        <f>IFERROR(INDEX(Cablage!$A:$A,MATCH($I252,Cablage!$F:$F,0)),"")</f>
        <v/>
      </c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</row>
    <row r="253" spans="1:50" ht="15" customHeight="1" x14ac:dyDescent="0.25">
      <c r="A253" s="25"/>
      <c r="B253" s="25"/>
      <c r="C253" s="11"/>
      <c r="D253" s="11"/>
      <c r="E253" s="11"/>
      <c r="F253" s="26" t="str">
        <f>IFERROR(IF(OR($B253="",$C253=""),"",INDEX('Cartes API'!$J:$J,MATCH($B253,'Cartes API'!$A:$A,0))&amp;INDEX('Cartes API'!$B:$B,MATCH($B253,'Cartes API'!$A:$A,0))&amp;"."&amp;INDEX('Cartes API'!$C:$C,MATCH($B253,'Cartes API'!$A:$A,0))&amp;"."&amp;$C253),"")</f>
        <v/>
      </c>
      <c r="G253" s="26" t="str">
        <f>IFERROR(IF($B253="","",INDEX('Cartes API'!$H:$H,MATCH($B253,'Cartes API'!$A:$A,0))),"")</f>
        <v/>
      </c>
      <c r="H253" s="11"/>
      <c r="I253" s="26" t="str">
        <f t="shared" si="3"/>
        <v/>
      </c>
      <c r="J253" s="26" t="str">
        <f>IFERROR(INDEX(Cablage!$A:$A,MATCH($I253,Cablage!$F:$F,0)),"")</f>
        <v/>
      </c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</row>
    <row r="254" spans="1:50" ht="15" customHeight="1" x14ac:dyDescent="0.25">
      <c r="A254" s="25"/>
      <c r="B254" s="25"/>
      <c r="C254" s="11"/>
      <c r="D254" s="11"/>
      <c r="E254" s="11"/>
      <c r="F254" s="26" t="str">
        <f>IFERROR(IF(OR($B254="",$C254=""),"",INDEX('Cartes API'!$J:$J,MATCH($B254,'Cartes API'!$A:$A,0))&amp;INDEX('Cartes API'!$B:$B,MATCH($B254,'Cartes API'!$A:$A,0))&amp;"."&amp;INDEX('Cartes API'!$C:$C,MATCH($B254,'Cartes API'!$A:$A,0))&amp;"."&amp;$C254),"")</f>
        <v/>
      </c>
      <c r="G254" s="26" t="str">
        <f>IFERROR(IF($B254="","",INDEX('Cartes API'!$H:$H,MATCH($B254,'Cartes API'!$A:$A,0))),"")</f>
        <v/>
      </c>
      <c r="H254" s="11"/>
      <c r="I254" s="26" t="str">
        <f t="shared" si="3"/>
        <v/>
      </c>
      <c r="J254" s="26" t="str">
        <f>IFERROR(INDEX(Cablage!$A:$A,MATCH($I254,Cablage!$F:$F,0)),"")</f>
        <v/>
      </c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</row>
    <row r="255" spans="1:50" ht="15" customHeight="1" x14ac:dyDescent="0.25">
      <c r="A255" s="25"/>
      <c r="B255" s="25"/>
      <c r="C255" s="11"/>
      <c r="D255" s="11"/>
      <c r="E255" s="11"/>
      <c r="F255" s="26" t="str">
        <f>IFERROR(IF(OR($B255="",$C255=""),"",INDEX('Cartes API'!$J:$J,MATCH($B255,'Cartes API'!$A:$A,0))&amp;INDEX('Cartes API'!$B:$B,MATCH($B255,'Cartes API'!$A:$A,0))&amp;"."&amp;INDEX('Cartes API'!$C:$C,MATCH($B255,'Cartes API'!$A:$A,0))&amp;"."&amp;$C255),"")</f>
        <v/>
      </c>
      <c r="G255" s="26" t="str">
        <f>IFERROR(IF($B255="","",INDEX('Cartes API'!$H:$H,MATCH($B255,'Cartes API'!$A:$A,0))),"")</f>
        <v/>
      </c>
      <c r="H255" s="11"/>
      <c r="I255" s="26" t="str">
        <f t="shared" si="3"/>
        <v/>
      </c>
      <c r="J255" s="26" t="str">
        <f>IFERROR(INDEX(Cablage!$A:$A,MATCH($I255,Cablage!$F:$F,0)),"")</f>
        <v/>
      </c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</row>
    <row r="256" spans="1:50" ht="15" customHeight="1" x14ac:dyDescent="0.25">
      <c r="A256" s="25"/>
      <c r="B256" s="25"/>
      <c r="C256" s="11"/>
      <c r="D256" s="11"/>
      <c r="E256" s="11"/>
      <c r="F256" s="26" t="str">
        <f>IFERROR(IF(OR($B256="",$C256=""),"",INDEX('Cartes API'!$J:$J,MATCH($B256,'Cartes API'!$A:$A,0))&amp;INDEX('Cartes API'!$B:$B,MATCH($B256,'Cartes API'!$A:$A,0))&amp;"."&amp;INDEX('Cartes API'!$C:$C,MATCH($B256,'Cartes API'!$A:$A,0))&amp;"."&amp;$C256),"")</f>
        <v/>
      </c>
      <c r="G256" s="26" t="str">
        <f>IFERROR(IF($B256="","",INDEX('Cartes API'!$H:$H,MATCH($B256,'Cartes API'!$A:$A,0))),"")</f>
        <v/>
      </c>
      <c r="H256" s="11"/>
      <c r="I256" s="26" t="str">
        <f t="shared" si="3"/>
        <v/>
      </c>
      <c r="J256" s="26" t="str">
        <f>IFERROR(INDEX(Cablage!$A:$A,MATCH($I256,Cablage!$F:$F,0)),"")</f>
        <v/>
      </c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</row>
    <row r="257" spans="1:50" ht="15" customHeight="1" x14ac:dyDescent="0.25">
      <c r="A257" s="25"/>
      <c r="B257" s="25"/>
      <c r="C257" s="11"/>
      <c r="D257" s="11"/>
      <c r="E257" s="11"/>
      <c r="F257" s="26" t="str">
        <f>IFERROR(IF(OR($B257="",$C257=""),"",INDEX('Cartes API'!$J:$J,MATCH($B257,'Cartes API'!$A:$A,0))&amp;INDEX('Cartes API'!$B:$B,MATCH($B257,'Cartes API'!$A:$A,0))&amp;"."&amp;INDEX('Cartes API'!$C:$C,MATCH($B257,'Cartes API'!$A:$A,0))&amp;"."&amp;$C257),"")</f>
        <v/>
      </c>
      <c r="G257" s="26" t="str">
        <f>IFERROR(IF($B257="","",INDEX('Cartes API'!$H:$H,MATCH($B257,'Cartes API'!$A:$A,0))),"")</f>
        <v/>
      </c>
      <c r="H257" s="11"/>
      <c r="I257" s="26" t="str">
        <f t="shared" si="3"/>
        <v/>
      </c>
      <c r="J257" s="26" t="str">
        <f>IFERROR(INDEX(Cablage!$A:$A,MATCH($I257,Cablage!$F:$F,0)),"")</f>
        <v/>
      </c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</row>
    <row r="258" spans="1:50" ht="15" customHeight="1" x14ac:dyDescent="0.25">
      <c r="A258" s="25"/>
      <c r="B258" s="25"/>
      <c r="C258" s="11"/>
      <c r="D258" s="11"/>
      <c r="E258" s="11"/>
      <c r="F258" s="26" t="str">
        <f>IFERROR(IF(OR($B258="",$C258=""),"",INDEX('Cartes API'!$J:$J,MATCH($B258,'Cartes API'!$A:$A,0))&amp;INDEX('Cartes API'!$B:$B,MATCH($B258,'Cartes API'!$A:$A,0))&amp;"."&amp;INDEX('Cartes API'!$C:$C,MATCH($B258,'Cartes API'!$A:$A,0))&amp;"."&amp;$C258),"")</f>
        <v/>
      </c>
      <c r="G258" s="26" t="str">
        <f>IFERROR(IF($B258="","",INDEX('Cartes API'!$H:$H,MATCH($B258,'Cartes API'!$A:$A,0))),"")</f>
        <v/>
      </c>
      <c r="H258" s="11"/>
      <c r="I258" s="26" t="str">
        <f t="shared" si="3"/>
        <v/>
      </c>
      <c r="J258" s="26" t="str">
        <f>IFERROR(INDEX(Cablage!$A:$A,MATCH($I258,Cablage!$F:$F,0)),"")</f>
        <v/>
      </c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</row>
    <row r="259" spans="1:50" ht="15" customHeight="1" x14ac:dyDescent="0.25">
      <c r="A259" s="25"/>
      <c r="B259" s="25"/>
      <c r="C259" s="11"/>
      <c r="D259" s="11"/>
      <c r="E259" s="11"/>
      <c r="F259" s="26" t="str">
        <f>IFERROR(IF(OR($B259="",$C259=""),"",INDEX('Cartes API'!$J:$J,MATCH($B259,'Cartes API'!$A:$A,0))&amp;INDEX('Cartes API'!$B:$B,MATCH($B259,'Cartes API'!$A:$A,0))&amp;"."&amp;INDEX('Cartes API'!$C:$C,MATCH($B259,'Cartes API'!$A:$A,0))&amp;"."&amp;$C259),"")</f>
        <v/>
      </c>
      <c r="G259" s="26" t="str">
        <f>IFERROR(IF($B259="","",INDEX('Cartes API'!$H:$H,MATCH($B259,'Cartes API'!$A:$A,0))),"")</f>
        <v/>
      </c>
      <c r="H259" s="11"/>
      <c r="I259" s="26" t="str">
        <f t="shared" si="3"/>
        <v/>
      </c>
      <c r="J259" s="26" t="str">
        <f>IFERROR(INDEX(Cablage!$A:$A,MATCH($I259,Cablage!$F:$F,0)),"")</f>
        <v/>
      </c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</row>
    <row r="260" spans="1:50" ht="15" customHeight="1" x14ac:dyDescent="0.25">
      <c r="A260" s="25"/>
      <c r="B260" s="25"/>
      <c r="C260" s="11"/>
      <c r="D260" s="11"/>
      <c r="E260" s="11"/>
      <c r="F260" s="26" t="str">
        <f>IFERROR(IF(OR($B260="",$C260=""),"",INDEX('Cartes API'!$J:$J,MATCH($B260,'Cartes API'!$A:$A,0))&amp;INDEX('Cartes API'!$B:$B,MATCH($B260,'Cartes API'!$A:$A,0))&amp;"."&amp;INDEX('Cartes API'!$C:$C,MATCH($B260,'Cartes API'!$A:$A,0))&amp;"."&amp;$C260),"")</f>
        <v/>
      </c>
      <c r="G260" s="26" t="str">
        <f>IFERROR(IF($B260="","",INDEX('Cartes API'!$H:$H,MATCH($B260,'Cartes API'!$A:$A,0))),"")</f>
        <v/>
      </c>
      <c r="H260" s="11"/>
      <c r="I260" s="26" t="str">
        <f t="shared" si="3"/>
        <v/>
      </c>
      <c r="J260" s="26" t="str">
        <f>IFERROR(INDEX(Cablage!$A:$A,MATCH($I260,Cablage!$F:$F,0)),"")</f>
        <v/>
      </c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</row>
    <row r="261" spans="1:50" ht="15" customHeight="1" x14ac:dyDescent="0.25">
      <c r="A261" s="25"/>
      <c r="B261" s="25"/>
      <c r="C261" s="11"/>
      <c r="D261" s="11"/>
      <c r="E261" s="11"/>
      <c r="F261" s="26" t="str">
        <f>IFERROR(IF(OR($B261="",$C261=""),"",INDEX('Cartes API'!$J:$J,MATCH($B261,'Cartes API'!$A:$A,0))&amp;INDEX('Cartes API'!$B:$B,MATCH($B261,'Cartes API'!$A:$A,0))&amp;"."&amp;INDEX('Cartes API'!$C:$C,MATCH($B261,'Cartes API'!$A:$A,0))&amp;"."&amp;$C261),"")</f>
        <v/>
      </c>
      <c r="G261" s="26" t="str">
        <f>IFERROR(IF($B261="","",INDEX('Cartes API'!$H:$H,MATCH($B261,'Cartes API'!$A:$A,0))),"")</f>
        <v/>
      </c>
      <c r="H261" s="11"/>
      <c r="I261" s="26" t="str">
        <f t="shared" si="3"/>
        <v/>
      </c>
      <c r="J261" s="26" t="str">
        <f>IFERROR(INDEX(Cablage!$A:$A,MATCH($I261,Cablage!$F:$F,0)),"")</f>
        <v/>
      </c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</row>
    <row r="262" spans="1:50" ht="15" customHeight="1" x14ac:dyDescent="0.25">
      <c r="A262" s="25"/>
      <c r="B262" s="25"/>
      <c r="C262" s="11"/>
      <c r="D262" s="11"/>
      <c r="E262" s="11"/>
      <c r="F262" s="26" t="str">
        <f>IFERROR(IF(OR($B262="",$C262=""),"",INDEX('Cartes API'!$J:$J,MATCH($B262,'Cartes API'!$A:$A,0))&amp;INDEX('Cartes API'!$B:$B,MATCH($B262,'Cartes API'!$A:$A,0))&amp;"."&amp;INDEX('Cartes API'!$C:$C,MATCH($B262,'Cartes API'!$A:$A,0))&amp;"."&amp;$C262),"")</f>
        <v/>
      </c>
      <c r="G262" s="26" t="str">
        <f>IFERROR(IF($B262="","",INDEX('Cartes API'!$H:$H,MATCH($B262,'Cartes API'!$A:$A,0))),"")</f>
        <v/>
      </c>
      <c r="H262" s="11"/>
      <c r="I262" s="26" t="str">
        <f t="shared" si="3"/>
        <v/>
      </c>
      <c r="J262" s="26" t="str">
        <f>IFERROR(INDEX(Cablage!$A:$A,MATCH($I262,Cablage!$F:$F,0)),"")</f>
        <v/>
      </c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</row>
    <row r="263" spans="1:50" ht="15" customHeight="1" x14ac:dyDescent="0.25">
      <c r="A263" s="25"/>
      <c r="B263" s="25"/>
      <c r="C263" s="11"/>
      <c r="D263" s="11"/>
      <c r="E263" s="11"/>
      <c r="F263" s="26" t="str">
        <f>IFERROR(IF(OR($B263="",$C263=""),"",INDEX('Cartes API'!$J:$J,MATCH($B263,'Cartes API'!$A:$A,0))&amp;INDEX('Cartes API'!$B:$B,MATCH($B263,'Cartes API'!$A:$A,0))&amp;"."&amp;INDEX('Cartes API'!$C:$C,MATCH($B263,'Cartes API'!$A:$A,0))&amp;"."&amp;$C263),"")</f>
        <v/>
      </c>
      <c r="G263" s="26" t="str">
        <f>IFERROR(IF($B263="","",INDEX('Cartes API'!$H:$H,MATCH($B263,'Cartes API'!$A:$A,0))),"")</f>
        <v/>
      </c>
      <c r="H263" s="11"/>
      <c r="I263" s="26" t="str">
        <f t="shared" si="3"/>
        <v/>
      </c>
      <c r="J263" s="26" t="str">
        <f>IFERROR(INDEX(Cablage!$A:$A,MATCH($I263,Cablage!$F:$F,0)),"")</f>
        <v/>
      </c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</row>
    <row r="264" spans="1:50" ht="15" customHeight="1" x14ac:dyDescent="0.25">
      <c r="A264" s="25"/>
      <c r="B264" s="25"/>
      <c r="C264" s="11"/>
      <c r="D264" s="11"/>
      <c r="E264" s="11"/>
      <c r="F264" s="26" t="str">
        <f>IFERROR(IF(OR($B264="",$C264=""),"",INDEX('Cartes API'!$J:$J,MATCH($B264,'Cartes API'!$A:$A,0))&amp;INDEX('Cartes API'!$B:$B,MATCH($B264,'Cartes API'!$A:$A,0))&amp;"."&amp;INDEX('Cartes API'!$C:$C,MATCH($B264,'Cartes API'!$A:$A,0))&amp;"."&amp;$C264),"")</f>
        <v/>
      </c>
      <c r="G264" s="26" t="str">
        <f>IFERROR(IF($B264="","",INDEX('Cartes API'!$H:$H,MATCH($B264,'Cartes API'!$A:$A,0))),"")</f>
        <v/>
      </c>
      <c r="H264" s="11"/>
      <c r="I264" s="26" t="str">
        <f t="shared" si="3"/>
        <v/>
      </c>
      <c r="J264" s="26" t="str">
        <f>IFERROR(INDEX(Cablage!$A:$A,MATCH($I264,Cablage!$F:$F,0)),"")</f>
        <v/>
      </c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</row>
    <row r="265" spans="1:50" ht="15" customHeight="1" x14ac:dyDescent="0.25">
      <c r="A265" s="25"/>
      <c r="B265" s="25"/>
      <c r="C265" s="11"/>
      <c r="D265" s="11"/>
      <c r="E265" s="11"/>
      <c r="F265" s="26" t="str">
        <f>IFERROR(IF(OR($B265="",$C265=""),"",INDEX('Cartes API'!$J:$J,MATCH($B265,'Cartes API'!$A:$A,0))&amp;INDEX('Cartes API'!$B:$B,MATCH($B265,'Cartes API'!$A:$A,0))&amp;"."&amp;INDEX('Cartes API'!$C:$C,MATCH($B265,'Cartes API'!$A:$A,0))&amp;"."&amp;$C265),"")</f>
        <v/>
      </c>
      <c r="G265" s="26" t="str">
        <f>IFERROR(IF($B265="","",INDEX('Cartes API'!$H:$H,MATCH($B265,'Cartes API'!$A:$A,0))),"")</f>
        <v/>
      </c>
      <c r="H265" s="11"/>
      <c r="I265" s="26" t="str">
        <f t="shared" ref="I265:I328" si="4">IF(OR($G265="",$H265=""),"",$G265&amp;"["&amp;$H265&amp;"]")</f>
        <v/>
      </c>
      <c r="J265" s="26" t="str">
        <f>IFERROR(INDEX(Cablage!$A:$A,MATCH($I265,Cablage!$F:$F,0)),"")</f>
        <v/>
      </c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</row>
    <row r="266" spans="1:50" ht="15" customHeight="1" x14ac:dyDescent="0.25">
      <c r="A266" s="25"/>
      <c r="B266" s="25"/>
      <c r="C266" s="11"/>
      <c r="D266" s="11"/>
      <c r="E266" s="11"/>
      <c r="F266" s="26" t="str">
        <f>IFERROR(IF(OR($B266="",$C266=""),"",INDEX('Cartes API'!$J:$J,MATCH($B266,'Cartes API'!$A:$A,0))&amp;INDEX('Cartes API'!$B:$B,MATCH($B266,'Cartes API'!$A:$A,0))&amp;"."&amp;INDEX('Cartes API'!$C:$C,MATCH($B266,'Cartes API'!$A:$A,0))&amp;"."&amp;$C266),"")</f>
        <v/>
      </c>
      <c r="G266" s="26" t="str">
        <f>IFERROR(IF($B266="","",INDEX('Cartes API'!$H:$H,MATCH($B266,'Cartes API'!$A:$A,0))),"")</f>
        <v/>
      </c>
      <c r="H266" s="11"/>
      <c r="I266" s="26" t="str">
        <f t="shared" si="4"/>
        <v/>
      </c>
      <c r="J266" s="26" t="str">
        <f>IFERROR(INDEX(Cablage!$A:$A,MATCH($I266,Cablage!$F:$F,0)),"")</f>
        <v/>
      </c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</row>
    <row r="267" spans="1:50" ht="15" customHeight="1" x14ac:dyDescent="0.25">
      <c r="A267" s="25"/>
      <c r="B267" s="25"/>
      <c r="C267" s="11"/>
      <c r="D267" s="11"/>
      <c r="E267" s="11"/>
      <c r="F267" s="26" t="str">
        <f>IFERROR(IF(OR($B267="",$C267=""),"",INDEX('Cartes API'!$J:$J,MATCH($B267,'Cartes API'!$A:$A,0))&amp;INDEX('Cartes API'!$B:$B,MATCH($B267,'Cartes API'!$A:$A,0))&amp;"."&amp;INDEX('Cartes API'!$C:$C,MATCH($B267,'Cartes API'!$A:$A,0))&amp;"."&amp;$C267),"")</f>
        <v/>
      </c>
      <c r="G267" s="26" t="str">
        <f>IFERROR(IF($B267="","",INDEX('Cartes API'!$H:$H,MATCH($B267,'Cartes API'!$A:$A,0))),"")</f>
        <v/>
      </c>
      <c r="H267" s="11"/>
      <c r="I267" s="26" t="str">
        <f t="shared" si="4"/>
        <v/>
      </c>
      <c r="J267" s="26" t="str">
        <f>IFERROR(INDEX(Cablage!$A:$A,MATCH($I267,Cablage!$F:$F,0)),"")</f>
        <v/>
      </c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</row>
    <row r="268" spans="1:50" ht="15" customHeight="1" x14ac:dyDescent="0.25">
      <c r="A268" s="25"/>
      <c r="B268" s="25"/>
      <c r="C268" s="11"/>
      <c r="D268" s="11"/>
      <c r="E268" s="11"/>
      <c r="F268" s="26" t="str">
        <f>IFERROR(IF(OR($B268="",$C268=""),"",INDEX('Cartes API'!$J:$J,MATCH($B268,'Cartes API'!$A:$A,0))&amp;INDEX('Cartes API'!$B:$B,MATCH($B268,'Cartes API'!$A:$A,0))&amp;"."&amp;INDEX('Cartes API'!$C:$C,MATCH($B268,'Cartes API'!$A:$A,0))&amp;"."&amp;$C268),"")</f>
        <v/>
      </c>
      <c r="G268" s="26" t="str">
        <f>IFERROR(IF($B268="","",INDEX('Cartes API'!$H:$H,MATCH($B268,'Cartes API'!$A:$A,0))),"")</f>
        <v/>
      </c>
      <c r="H268" s="11"/>
      <c r="I268" s="26" t="str">
        <f t="shared" si="4"/>
        <v/>
      </c>
      <c r="J268" s="26" t="str">
        <f>IFERROR(INDEX(Cablage!$A:$A,MATCH($I268,Cablage!$F:$F,0)),"")</f>
        <v/>
      </c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</row>
    <row r="269" spans="1:50" ht="15" customHeight="1" x14ac:dyDescent="0.25">
      <c r="A269" s="25"/>
      <c r="B269" s="25"/>
      <c r="C269" s="11"/>
      <c r="D269" s="11"/>
      <c r="E269" s="11"/>
      <c r="F269" s="26" t="str">
        <f>IFERROR(IF(OR($B269="",$C269=""),"",INDEX('Cartes API'!$J:$J,MATCH($B269,'Cartes API'!$A:$A,0))&amp;INDEX('Cartes API'!$B:$B,MATCH($B269,'Cartes API'!$A:$A,0))&amp;"."&amp;INDEX('Cartes API'!$C:$C,MATCH($B269,'Cartes API'!$A:$A,0))&amp;"."&amp;$C269),"")</f>
        <v/>
      </c>
      <c r="G269" s="26" t="str">
        <f>IFERROR(IF($B269="","",INDEX('Cartes API'!$H:$H,MATCH($B269,'Cartes API'!$A:$A,0))),"")</f>
        <v/>
      </c>
      <c r="H269" s="11"/>
      <c r="I269" s="26" t="str">
        <f t="shared" si="4"/>
        <v/>
      </c>
      <c r="J269" s="26" t="str">
        <f>IFERROR(INDEX(Cablage!$A:$A,MATCH($I269,Cablage!$F:$F,0)),"")</f>
        <v/>
      </c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</row>
    <row r="270" spans="1:50" ht="15" customHeight="1" x14ac:dyDescent="0.25">
      <c r="A270" s="25"/>
      <c r="B270" s="25"/>
      <c r="C270" s="11"/>
      <c r="D270" s="11"/>
      <c r="E270" s="11"/>
      <c r="F270" s="26" t="str">
        <f>IFERROR(IF(OR($B270="",$C270=""),"",INDEX('Cartes API'!$J:$J,MATCH($B270,'Cartes API'!$A:$A,0))&amp;INDEX('Cartes API'!$B:$B,MATCH($B270,'Cartes API'!$A:$A,0))&amp;"."&amp;INDEX('Cartes API'!$C:$C,MATCH($B270,'Cartes API'!$A:$A,0))&amp;"."&amp;$C270),"")</f>
        <v/>
      </c>
      <c r="G270" s="26" t="str">
        <f>IFERROR(IF($B270="","",INDEX('Cartes API'!$H:$H,MATCH($B270,'Cartes API'!$A:$A,0))),"")</f>
        <v/>
      </c>
      <c r="H270" s="11"/>
      <c r="I270" s="26" t="str">
        <f t="shared" si="4"/>
        <v/>
      </c>
      <c r="J270" s="26" t="str">
        <f>IFERROR(INDEX(Cablage!$A:$A,MATCH($I270,Cablage!$F:$F,0)),"")</f>
        <v/>
      </c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</row>
    <row r="271" spans="1:50" ht="15" customHeight="1" x14ac:dyDescent="0.25">
      <c r="A271" s="25"/>
      <c r="B271" s="25"/>
      <c r="C271" s="11"/>
      <c r="D271" s="11"/>
      <c r="E271" s="11"/>
      <c r="F271" s="26" t="str">
        <f>IFERROR(IF(OR($B271="",$C271=""),"",INDEX('Cartes API'!$J:$J,MATCH($B271,'Cartes API'!$A:$A,0))&amp;INDEX('Cartes API'!$B:$B,MATCH($B271,'Cartes API'!$A:$A,0))&amp;"."&amp;INDEX('Cartes API'!$C:$C,MATCH($B271,'Cartes API'!$A:$A,0))&amp;"."&amp;$C271),"")</f>
        <v/>
      </c>
      <c r="G271" s="26" t="str">
        <f>IFERROR(IF($B271="","",INDEX('Cartes API'!$H:$H,MATCH($B271,'Cartes API'!$A:$A,0))),"")</f>
        <v/>
      </c>
      <c r="H271" s="11"/>
      <c r="I271" s="26" t="str">
        <f t="shared" si="4"/>
        <v/>
      </c>
      <c r="J271" s="26" t="str">
        <f>IFERROR(INDEX(Cablage!$A:$A,MATCH($I271,Cablage!$F:$F,0)),"")</f>
        <v/>
      </c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</row>
    <row r="272" spans="1:50" ht="15" customHeight="1" x14ac:dyDescent="0.25">
      <c r="A272" s="25"/>
      <c r="B272" s="25"/>
      <c r="C272" s="11"/>
      <c r="D272" s="11"/>
      <c r="E272" s="11"/>
      <c r="F272" s="26" t="str">
        <f>IFERROR(IF(OR($B272="",$C272=""),"",INDEX('Cartes API'!$J:$J,MATCH($B272,'Cartes API'!$A:$A,0))&amp;INDEX('Cartes API'!$B:$B,MATCH($B272,'Cartes API'!$A:$A,0))&amp;"."&amp;INDEX('Cartes API'!$C:$C,MATCH($B272,'Cartes API'!$A:$A,0))&amp;"."&amp;$C272),"")</f>
        <v/>
      </c>
      <c r="G272" s="26" t="str">
        <f>IFERROR(IF($B272="","",INDEX('Cartes API'!$H:$H,MATCH($B272,'Cartes API'!$A:$A,0))),"")</f>
        <v/>
      </c>
      <c r="H272" s="11"/>
      <c r="I272" s="26" t="str">
        <f t="shared" si="4"/>
        <v/>
      </c>
      <c r="J272" s="26" t="str">
        <f>IFERROR(INDEX(Cablage!$A:$A,MATCH($I272,Cablage!$F:$F,0)),"")</f>
        <v/>
      </c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</row>
    <row r="273" spans="1:50" ht="15" customHeight="1" x14ac:dyDescent="0.25">
      <c r="A273" s="25"/>
      <c r="B273" s="25"/>
      <c r="C273" s="11"/>
      <c r="D273" s="11"/>
      <c r="E273" s="11"/>
      <c r="F273" s="26" t="str">
        <f>IFERROR(IF(OR($B273="",$C273=""),"",INDEX('Cartes API'!$J:$J,MATCH($B273,'Cartes API'!$A:$A,0))&amp;INDEX('Cartes API'!$B:$B,MATCH($B273,'Cartes API'!$A:$A,0))&amp;"."&amp;INDEX('Cartes API'!$C:$C,MATCH($B273,'Cartes API'!$A:$A,0))&amp;"."&amp;$C273),"")</f>
        <v/>
      </c>
      <c r="G273" s="26" t="str">
        <f>IFERROR(IF($B273="","",INDEX('Cartes API'!$H:$H,MATCH($B273,'Cartes API'!$A:$A,0))),"")</f>
        <v/>
      </c>
      <c r="H273" s="11"/>
      <c r="I273" s="26" t="str">
        <f t="shared" si="4"/>
        <v/>
      </c>
      <c r="J273" s="26" t="str">
        <f>IFERROR(INDEX(Cablage!$A:$A,MATCH($I273,Cablage!$F:$F,0)),"")</f>
        <v/>
      </c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</row>
    <row r="274" spans="1:50" ht="15" customHeight="1" x14ac:dyDescent="0.25">
      <c r="A274" s="25"/>
      <c r="B274" s="25"/>
      <c r="C274" s="11"/>
      <c r="D274" s="11"/>
      <c r="E274" s="11"/>
      <c r="F274" s="26" t="str">
        <f>IFERROR(IF(OR($B274="",$C274=""),"",INDEX('Cartes API'!$J:$J,MATCH($B274,'Cartes API'!$A:$A,0))&amp;INDEX('Cartes API'!$B:$B,MATCH($B274,'Cartes API'!$A:$A,0))&amp;"."&amp;INDEX('Cartes API'!$C:$C,MATCH($B274,'Cartes API'!$A:$A,0))&amp;"."&amp;$C274),"")</f>
        <v/>
      </c>
      <c r="G274" s="26" t="str">
        <f>IFERROR(IF($B274="","",INDEX('Cartes API'!$H:$H,MATCH($B274,'Cartes API'!$A:$A,0))),"")</f>
        <v/>
      </c>
      <c r="H274" s="11"/>
      <c r="I274" s="26" t="str">
        <f t="shared" si="4"/>
        <v/>
      </c>
      <c r="J274" s="26" t="str">
        <f>IFERROR(INDEX(Cablage!$A:$A,MATCH($I274,Cablage!$F:$F,0)),"")</f>
        <v/>
      </c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</row>
    <row r="275" spans="1:50" ht="15" customHeight="1" x14ac:dyDescent="0.25">
      <c r="A275" s="25"/>
      <c r="B275" s="25"/>
      <c r="C275" s="11"/>
      <c r="D275" s="11"/>
      <c r="E275" s="11"/>
      <c r="F275" s="26" t="str">
        <f>IFERROR(IF(OR($B275="",$C275=""),"",INDEX('Cartes API'!$J:$J,MATCH($B275,'Cartes API'!$A:$A,0))&amp;INDEX('Cartes API'!$B:$B,MATCH($B275,'Cartes API'!$A:$A,0))&amp;"."&amp;INDEX('Cartes API'!$C:$C,MATCH($B275,'Cartes API'!$A:$A,0))&amp;"."&amp;$C275),"")</f>
        <v/>
      </c>
      <c r="G275" s="26" t="str">
        <f>IFERROR(IF($B275="","",INDEX('Cartes API'!$H:$H,MATCH($B275,'Cartes API'!$A:$A,0))),"")</f>
        <v/>
      </c>
      <c r="H275" s="11"/>
      <c r="I275" s="26" t="str">
        <f t="shared" si="4"/>
        <v/>
      </c>
      <c r="J275" s="26" t="str">
        <f>IFERROR(INDEX(Cablage!$A:$A,MATCH($I275,Cablage!$F:$F,0)),"")</f>
        <v/>
      </c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</row>
    <row r="276" spans="1:50" ht="15" customHeight="1" x14ac:dyDescent="0.25">
      <c r="A276" s="25"/>
      <c r="B276" s="25"/>
      <c r="C276" s="11"/>
      <c r="D276" s="11"/>
      <c r="E276" s="11"/>
      <c r="F276" s="26" t="str">
        <f>IFERROR(IF(OR($B276="",$C276=""),"",INDEX('Cartes API'!$J:$J,MATCH($B276,'Cartes API'!$A:$A,0))&amp;INDEX('Cartes API'!$B:$B,MATCH($B276,'Cartes API'!$A:$A,0))&amp;"."&amp;INDEX('Cartes API'!$C:$C,MATCH($B276,'Cartes API'!$A:$A,0))&amp;"."&amp;$C276),"")</f>
        <v/>
      </c>
      <c r="G276" s="26" t="str">
        <f>IFERROR(IF($B276="","",INDEX('Cartes API'!$H:$H,MATCH($B276,'Cartes API'!$A:$A,0))),"")</f>
        <v/>
      </c>
      <c r="H276" s="11"/>
      <c r="I276" s="26" t="str">
        <f t="shared" si="4"/>
        <v/>
      </c>
      <c r="J276" s="26" t="str">
        <f>IFERROR(INDEX(Cablage!$A:$A,MATCH($I276,Cablage!$F:$F,0)),"")</f>
        <v/>
      </c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</row>
    <row r="277" spans="1:50" ht="15" customHeight="1" x14ac:dyDescent="0.25">
      <c r="A277" s="25"/>
      <c r="B277" s="25"/>
      <c r="C277" s="11"/>
      <c r="D277" s="11"/>
      <c r="E277" s="11"/>
      <c r="F277" s="26" t="str">
        <f>IFERROR(IF(OR($B277="",$C277=""),"",INDEX('Cartes API'!$J:$J,MATCH($B277,'Cartes API'!$A:$A,0))&amp;INDEX('Cartes API'!$B:$B,MATCH($B277,'Cartes API'!$A:$A,0))&amp;"."&amp;INDEX('Cartes API'!$C:$C,MATCH($B277,'Cartes API'!$A:$A,0))&amp;"."&amp;$C277),"")</f>
        <v/>
      </c>
      <c r="G277" s="26" t="str">
        <f>IFERROR(IF($B277="","",INDEX('Cartes API'!$H:$H,MATCH($B277,'Cartes API'!$A:$A,0))),"")</f>
        <v/>
      </c>
      <c r="H277" s="11"/>
      <c r="I277" s="26" t="str">
        <f t="shared" si="4"/>
        <v/>
      </c>
      <c r="J277" s="26" t="str">
        <f>IFERROR(INDEX(Cablage!$A:$A,MATCH($I277,Cablage!$F:$F,0)),"")</f>
        <v/>
      </c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</row>
    <row r="278" spans="1:50" ht="15" customHeight="1" x14ac:dyDescent="0.25">
      <c r="A278" s="25"/>
      <c r="B278" s="25"/>
      <c r="C278" s="11"/>
      <c r="D278" s="11"/>
      <c r="E278" s="11"/>
      <c r="F278" s="26" t="str">
        <f>IFERROR(IF(OR($B278="",$C278=""),"",INDEX('Cartes API'!$J:$J,MATCH($B278,'Cartes API'!$A:$A,0))&amp;INDEX('Cartes API'!$B:$B,MATCH($B278,'Cartes API'!$A:$A,0))&amp;"."&amp;INDEX('Cartes API'!$C:$C,MATCH($B278,'Cartes API'!$A:$A,0))&amp;"."&amp;$C278),"")</f>
        <v/>
      </c>
      <c r="G278" s="26" t="str">
        <f>IFERROR(IF($B278="","",INDEX('Cartes API'!$H:$H,MATCH($B278,'Cartes API'!$A:$A,0))),"")</f>
        <v/>
      </c>
      <c r="H278" s="11"/>
      <c r="I278" s="26" t="str">
        <f t="shared" si="4"/>
        <v/>
      </c>
      <c r="J278" s="26" t="str">
        <f>IFERROR(INDEX(Cablage!$A:$A,MATCH($I278,Cablage!$F:$F,0)),"")</f>
        <v/>
      </c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</row>
    <row r="279" spans="1:50" ht="15" customHeight="1" x14ac:dyDescent="0.25">
      <c r="A279" s="25"/>
      <c r="B279" s="25"/>
      <c r="C279" s="11"/>
      <c r="D279" s="11"/>
      <c r="E279" s="11"/>
      <c r="F279" s="26" t="str">
        <f>IFERROR(IF(OR($B279="",$C279=""),"",INDEX('Cartes API'!$J:$J,MATCH($B279,'Cartes API'!$A:$A,0))&amp;INDEX('Cartes API'!$B:$B,MATCH($B279,'Cartes API'!$A:$A,0))&amp;"."&amp;INDEX('Cartes API'!$C:$C,MATCH($B279,'Cartes API'!$A:$A,0))&amp;"."&amp;$C279),"")</f>
        <v/>
      </c>
      <c r="G279" s="26" t="str">
        <f>IFERROR(IF($B279="","",INDEX('Cartes API'!$H:$H,MATCH($B279,'Cartes API'!$A:$A,0))),"")</f>
        <v/>
      </c>
      <c r="H279" s="11"/>
      <c r="I279" s="26" t="str">
        <f t="shared" si="4"/>
        <v/>
      </c>
      <c r="J279" s="26" t="str">
        <f>IFERROR(INDEX(Cablage!$A:$A,MATCH($I279,Cablage!$F:$F,0)),"")</f>
        <v/>
      </c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</row>
    <row r="280" spans="1:50" ht="15" customHeight="1" x14ac:dyDescent="0.25">
      <c r="A280" s="25"/>
      <c r="B280" s="25"/>
      <c r="C280" s="11"/>
      <c r="D280" s="11"/>
      <c r="E280" s="11"/>
      <c r="F280" s="26" t="str">
        <f>IFERROR(IF(OR($B280="",$C280=""),"",INDEX('Cartes API'!$J:$J,MATCH($B280,'Cartes API'!$A:$A,0))&amp;INDEX('Cartes API'!$B:$B,MATCH($B280,'Cartes API'!$A:$A,0))&amp;"."&amp;INDEX('Cartes API'!$C:$C,MATCH($B280,'Cartes API'!$A:$A,0))&amp;"."&amp;$C280),"")</f>
        <v/>
      </c>
      <c r="G280" s="26" t="str">
        <f>IFERROR(IF($B280="","",INDEX('Cartes API'!$H:$H,MATCH($B280,'Cartes API'!$A:$A,0))),"")</f>
        <v/>
      </c>
      <c r="H280" s="11"/>
      <c r="I280" s="26" t="str">
        <f t="shared" si="4"/>
        <v/>
      </c>
      <c r="J280" s="26" t="str">
        <f>IFERROR(INDEX(Cablage!$A:$A,MATCH($I280,Cablage!$F:$F,0)),"")</f>
        <v/>
      </c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</row>
    <row r="281" spans="1:50" ht="15" customHeight="1" x14ac:dyDescent="0.25">
      <c r="A281" s="25"/>
      <c r="B281" s="25"/>
      <c r="C281" s="11"/>
      <c r="D281" s="11"/>
      <c r="E281" s="11"/>
      <c r="F281" s="26" t="str">
        <f>IFERROR(IF(OR($B281="",$C281=""),"",INDEX('Cartes API'!$J:$J,MATCH($B281,'Cartes API'!$A:$A,0))&amp;INDEX('Cartes API'!$B:$B,MATCH($B281,'Cartes API'!$A:$A,0))&amp;"."&amp;INDEX('Cartes API'!$C:$C,MATCH($B281,'Cartes API'!$A:$A,0))&amp;"."&amp;$C281),"")</f>
        <v/>
      </c>
      <c r="G281" s="26" t="str">
        <f>IFERROR(IF($B281="","",INDEX('Cartes API'!$H:$H,MATCH($B281,'Cartes API'!$A:$A,0))),"")</f>
        <v/>
      </c>
      <c r="H281" s="11"/>
      <c r="I281" s="26" t="str">
        <f t="shared" si="4"/>
        <v/>
      </c>
      <c r="J281" s="26" t="str">
        <f>IFERROR(INDEX(Cablage!$A:$A,MATCH($I281,Cablage!$F:$F,0)),"")</f>
        <v/>
      </c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</row>
    <row r="282" spans="1:50" ht="15" customHeight="1" x14ac:dyDescent="0.25">
      <c r="A282" s="25"/>
      <c r="B282" s="25"/>
      <c r="C282" s="11"/>
      <c r="D282" s="11"/>
      <c r="E282" s="11"/>
      <c r="F282" s="26" t="str">
        <f>IFERROR(IF(OR($B282="",$C282=""),"",INDEX('Cartes API'!$J:$J,MATCH($B282,'Cartes API'!$A:$A,0))&amp;INDEX('Cartes API'!$B:$B,MATCH($B282,'Cartes API'!$A:$A,0))&amp;"."&amp;INDEX('Cartes API'!$C:$C,MATCH($B282,'Cartes API'!$A:$A,0))&amp;"."&amp;$C282),"")</f>
        <v/>
      </c>
      <c r="G282" s="26" t="str">
        <f>IFERROR(IF($B282="","",INDEX('Cartes API'!$H:$H,MATCH($B282,'Cartes API'!$A:$A,0))),"")</f>
        <v/>
      </c>
      <c r="H282" s="11"/>
      <c r="I282" s="26" t="str">
        <f t="shared" si="4"/>
        <v/>
      </c>
      <c r="J282" s="26" t="str">
        <f>IFERROR(INDEX(Cablage!$A:$A,MATCH($I282,Cablage!$F:$F,0)),"")</f>
        <v/>
      </c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</row>
    <row r="283" spans="1:50" ht="15" customHeight="1" x14ac:dyDescent="0.25">
      <c r="A283" s="25"/>
      <c r="B283" s="25"/>
      <c r="C283" s="11"/>
      <c r="D283" s="11"/>
      <c r="E283" s="11"/>
      <c r="F283" s="26" t="str">
        <f>IFERROR(IF(OR($B283="",$C283=""),"",INDEX('Cartes API'!$J:$J,MATCH($B283,'Cartes API'!$A:$A,0))&amp;INDEX('Cartes API'!$B:$B,MATCH($B283,'Cartes API'!$A:$A,0))&amp;"."&amp;INDEX('Cartes API'!$C:$C,MATCH($B283,'Cartes API'!$A:$A,0))&amp;"."&amp;$C283),"")</f>
        <v/>
      </c>
      <c r="G283" s="26" t="str">
        <f>IFERROR(IF($B283="","",INDEX('Cartes API'!$H:$H,MATCH($B283,'Cartes API'!$A:$A,0))),"")</f>
        <v/>
      </c>
      <c r="H283" s="11"/>
      <c r="I283" s="26" t="str">
        <f t="shared" si="4"/>
        <v/>
      </c>
      <c r="J283" s="26" t="str">
        <f>IFERROR(INDEX(Cablage!$A:$A,MATCH($I283,Cablage!$F:$F,0)),"")</f>
        <v/>
      </c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</row>
    <row r="284" spans="1:50" ht="15" customHeight="1" x14ac:dyDescent="0.25">
      <c r="A284" s="25"/>
      <c r="B284" s="25"/>
      <c r="C284" s="11"/>
      <c r="D284" s="11"/>
      <c r="E284" s="11"/>
      <c r="F284" s="26" t="str">
        <f>IFERROR(IF(OR($B284="",$C284=""),"",INDEX('Cartes API'!$J:$J,MATCH($B284,'Cartes API'!$A:$A,0))&amp;INDEX('Cartes API'!$B:$B,MATCH($B284,'Cartes API'!$A:$A,0))&amp;"."&amp;INDEX('Cartes API'!$C:$C,MATCH($B284,'Cartes API'!$A:$A,0))&amp;"."&amp;$C284),"")</f>
        <v/>
      </c>
      <c r="G284" s="26" t="str">
        <f>IFERROR(IF($B284="","",INDEX('Cartes API'!$H:$H,MATCH($B284,'Cartes API'!$A:$A,0))),"")</f>
        <v/>
      </c>
      <c r="H284" s="11"/>
      <c r="I284" s="26" t="str">
        <f t="shared" si="4"/>
        <v/>
      </c>
      <c r="J284" s="26" t="str">
        <f>IFERROR(INDEX(Cablage!$A:$A,MATCH($I284,Cablage!$F:$F,0)),"")</f>
        <v/>
      </c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</row>
    <row r="285" spans="1:50" ht="15" customHeight="1" x14ac:dyDescent="0.25">
      <c r="A285" s="25"/>
      <c r="B285" s="25"/>
      <c r="C285" s="11"/>
      <c r="D285" s="11"/>
      <c r="E285" s="11"/>
      <c r="F285" s="26" t="str">
        <f>IFERROR(IF(OR($B285="",$C285=""),"",INDEX('Cartes API'!$J:$J,MATCH($B285,'Cartes API'!$A:$A,0))&amp;INDEX('Cartes API'!$B:$B,MATCH($B285,'Cartes API'!$A:$A,0))&amp;"."&amp;INDEX('Cartes API'!$C:$C,MATCH($B285,'Cartes API'!$A:$A,0))&amp;"."&amp;$C285),"")</f>
        <v/>
      </c>
      <c r="G285" s="26" t="str">
        <f>IFERROR(IF($B285="","",INDEX('Cartes API'!$H:$H,MATCH($B285,'Cartes API'!$A:$A,0))),"")</f>
        <v/>
      </c>
      <c r="H285" s="11"/>
      <c r="I285" s="26" t="str">
        <f t="shared" si="4"/>
        <v/>
      </c>
      <c r="J285" s="26" t="str">
        <f>IFERROR(INDEX(Cablage!$A:$A,MATCH($I285,Cablage!$F:$F,0)),"")</f>
        <v/>
      </c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</row>
    <row r="286" spans="1:50" ht="15" customHeight="1" x14ac:dyDescent="0.25">
      <c r="A286" s="25"/>
      <c r="B286" s="25"/>
      <c r="C286" s="11"/>
      <c r="D286" s="11"/>
      <c r="E286" s="11"/>
      <c r="F286" s="26" t="str">
        <f>IFERROR(IF(OR($B286="",$C286=""),"",INDEX('Cartes API'!$J:$J,MATCH($B286,'Cartes API'!$A:$A,0))&amp;INDEX('Cartes API'!$B:$B,MATCH($B286,'Cartes API'!$A:$A,0))&amp;"."&amp;INDEX('Cartes API'!$C:$C,MATCH($B286,'Cartes API'!$A:$A,0))&amp;"."&amp;$C286),"")</f>
        <v/>
      </c>
      <c r="G286" s="26" t="str">
        <f>IFERROR(IF($B286="","",INDEX('Cartes API'!$H:$H,MATCH($B286,'Cartes API'!$A:$A,0))),"")</f>
        <v/>
      </c>
      <c r="H286" s="11"/>
      <c r="I286" s="26" t="str">
        <f t="shared" si="4"/>
        <v/>
      </c>
      <c r="J286" s="26" t="str">
        <f>IFERROR(INDEX(Cablage!$A:$A,MATCH($I286,Cablage!$F:$F,0)),"")</f>
        <v/>
      </c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</row>
    <row r="287" spans="1:50" ht="15" customHeight="1" x14ac:dyDescent="0.25">
      <c r="A287" s="25"/>
      <c r="B287" s="25"/>
      <c r="C287" s="11"/>
      <c r="D287" s="11"/>
      <c r="E287" s="11"/>
      <c r="F287" s="26" t="str">
        <f>IFERROR(IF(OR($B287="",$C287=""),"",INDEX('Cartes API'!$J:$J,MATCH($B287,'Cartes API'!$A:$A,0))&amp;INDEX('Cartes API'!$B:$B,MATCH($B287,'Cartes API'!$A:$A,0))&amp;"."&amp;INDEX('Cartes API'!$C:$C,MATCH($B287,'Cartes API'!$A:$A,0))&amp;"."&amp;$C287),"")</f>
        <v/>
      </c>
      <c r="G287" s="26" t="str">
        <f>IFERROR(IF($B287="","",INDEX('Cartes API'!$H:$H,MATCH($B287,'Cartes API'!$A:$A,0))),"")</f>
        <v/>
      </c>
      <c r="H287" s="11"/>
      <c r="I287" s="26" t="str">
        <f t="shared" si="4"/>
        <v/>
      </c>
      <c r="J287" s="26" t="str">
        <f>IFERROR(INDEX(Cablage!$A:$A,MATCH($I287,Cablage!$F:$F,0)),"")</f>
        <v/>
      </c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</row>
    <row r="288" spans="1:50" ht="15" customHeight="1" x14ac:dyDescent="0.25">
      <c r="A288" s="25"/>
      <c r="B288" s="25"/>
      <c r="C288" s="11"/>
      <c r="D288" s="11"/>
      <c r="E288" s="11"/>
      <c r="F288" s="26" t="str">
        <f>IFERROR(IF(OR($B288="",$C288=""),"",INDEX('Cartes API'!$J:$J,MATCH($B288,'Cartes API'!$A:$A,0))&amp;INDEX('Cartes API'!$B:$B,MATCH($B288,'Cartes API'!$A:$A,0))&amp;"."&amp;INDEX('Cartes API'!$C:$C,MATCH($B288,'Cartes API'!$A:$A,0))&amp;"."&amp;$C288),"")</f>
        <v/>
      </c>
      <c r="G288" s="26" t="str">
        <f>IFERROR(IF($B288="","",INDEX('Cartes API'!$H:$H,MATCH($B288,'Cartes API'!$A:$A,0))),"")</f>
        <v/>
      </c>
      <c r="H288" s="11"/>
      <c r="I288" s="26" t="str">
        <f t="shared" si="4"/>
        <v/>
      </c>
      <c r="J288" s="26" t="str">
        <f>IFERROR(INDEX(Cablage!$A:$A,MATCH($I288,Cablage!$F:$F,0)),"")</f>
        <v/>
      </c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</row>
    <row r="289" spans="1:50" ht="15" customHeight="1" x14ac:dyDescent="0.25">
      <c r="A289" s="25"/>
      <c r="B289" s="25"/>
      <c r="C289" s="11"/>
      <c r="D289" s="11"/>
      <c r="E289" s="11"/>
      <c r="F289" s="26" t="str">
        <f>IFERROR(IF(OR($B289="",$C289=""),"",INDEX('Cartes API'!$J:$J,MATCH($B289,'Cartes API'!$A:$A,0))&amp;INDEX('Cartes API'!$B:$B,MATCH($B289,'Cartes API'!$A:$A,0))&amp;"."&amp;INDEX('Cartes API'!$C:$C,MATCH($B289,'Cartes API'!$A:$A,0))&amp;"."&amp;$C289),"")</f>
        <v/>
      </c>
      <c r="G289" s="26" t="str">
        <f>IFERROR(IF($B289="","",INDEX('Cartes API'!$H:$H,MATCH($B289,'Cartes API'!$A:$A,0))),"")</f>
        <v/>
      </c>
      <c r="H289" s="11"/>
      <c r="I289" s="26" t="str">
        <f t="shared" si="4"/>
        <v/>
      </c>
      <c r="J289" s="26" t="str">
        <f>IFERROR(INDEX(Cablage!$A:$A,MATCH($I289,Cablage!$F:$F,0)),"")</f>
        <v/>
      </c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</row>
    <row r="290" spans="1:50" ht="15" customHeight="1" x14ac:dyDescent="0.25">
      <c r="A290" s="25"/>
      <c r="B290" s="25"/>
      <c r="C290" s="11"/>
      <c r="D290" s="11"/>
      <c r="E290" s="11"/>
      <c r="F290" s="26" t="str">
        <f>IFERROR(IF(OR($B290="",$C290=""),"",INDEX('Cartes API'!$J:$J,MATCH($B290,'Cartes API'!$A:$A,0))&amp;INDEX('Cartes API'!$B:$B,MATCH($B290,'Cartes API'!$A:$A,0))&amp;"."&amp;INDEX('Cartes API'!$C:$C,MATCH($B290,'Cartes API'!$A:$A,0))&amp;"."&amp;$C290),"")</f>
        <v/>
      </c>
      <c r="G290" s="26" t="str">
        <f>IFERROR(IF($B290="","",INDEX('Cartes API'!$H:$H,MATCH($B290,'Cartes API'!$A:$A,0))),"")</f>
        <v/>
      </c>
      <c r="H290" s="11"/>
      <c r="I290" s="26" t="str">
        <f t="shared" si="4"/>
        <v/>
      </c>
      <c r="J290" s="26" t="str">
        <f>IFERROR(INDEX(Cablage!$A:$A,MATCH($I290,Cablage!$F:$F,0)),"")</f>
        <v/>
      </c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</row>
    <row r="291" spans="1:50" ht="15" customHeight="1" x14ac:dyDescent="0.25">
      <c r="A291" s="25"/>
      <c r="B291" s="25"/>
      <c r="C291" s="11"/>
      <c r="D291" s="11"/>
      <c r="E291" s="11"/>
      <c r="F291" s="26" t="str">
        <f>IFERROR(IF(OR($B291="",$C291=""),"",INDEX('Cartes API'!$J:$J,MATCH($B291,'Cartes API'!$A:$A,0))&amp;INDEX('Cartes API'!$B:$B,MATCH($B291,'Cartes API'!$A:$A,0))&amp;"."&amp;INDEX('Cartes API'!$C:$C,MATCH($B291,'Cartes API'!$A:$A,0))&amp;"."&amp;$C291),"")</f>
        <v/>
      </c>
      <c r="G291" s="26" t="str">
        <f>IFERROR(IF($B291="","",INDEX('Cartes API'!$H:$H,MATCH($B291,'Cartes API'!$A:$A,0))),"")</f>
        <v/>
      </c>
      <c r="H291" s="11"/>
      <c r="I291" s="26" t="str">
        <f t="shared" si="4"/>
        <v/>
      </c>
      <c r="J291" s="26" t="str">
        <f>IFERROR(INDEX(Cablage!$A:$A,MATCH($I291,Cablage!$F:$F,0)),"")</f>
        <v/>
      </c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</row>
    <row r="292" spans="1:50" ht="15" customHeight="1" x14ac:dyDescent="0.25">
      <c r="A292" s="25"/>
      <c r="B292" s="25"/>
      <c r="C292" s="11"/>
      <c r="D292" s="11"/>
      <c r="E292" s="11"/>
      <c r="F292" s="26" t="str">
        <f>IFERROR(IF(OR($B292="",$C292=""),"",INDEX('Cartes API'!$J:$J,MATCH($B292,'Cartes API'!$A:$A,0))&amp;INDEX('Cartes API'!$B:$B,MATCH($B292,'Cartes API'!$A:$A,0))&amp;"."&amp;INDEX('Cartes API'!$C:$C,MATCH($B292,'Cartes API'!$A:$A,0))&amp;"."&amp;$C292),"")</f>
        <v/>
      </c>
      <c r="G292" s="26" t="str">
        <f>IFERROR(IF($B292="","",INDEX('Cartes API'!$H:$H,MATCH($B292,'Cartes API'!$A:$A,0))),"")</f>
        <v/>
      </c>
      <c r="H292" s="11"/>
      <c r="I292" s="26" t="str">
        <f t="shared" si="4"/>
        <v/>
      </c>
      <c r="J292" s="26" t="str">
        <f>IFERROR(INDEX(Cablage!$A:$A,MATCH($I292,Cablage!$F:$F,0)),"")</f>
        <v/>
      </c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</row>
    <row r="293" spans="1:50" ht="15" customHeight="1" x14ac:dyDescent="0.25">
      <c r="A293" s="25"/>
      <c r="B293" s="25"/>
      <c r="C293" s="11"/>
      <c r="D293" s="11"/>
      <c r="E293" s="11"/>
      <c r="F293" s="26" t="str">
        <f>IFERROR(IF(OR($B293="",$C293=""),"",INDEX('Cartes API'!$J:$J,MATCH($B293,'Cartes API'!$A:$A,0))&amp;INDEX('Cartes API'!$B:$B,MATCH($B293,'Cartes API'!$A:$A,0))&amp;"."&amp;INDEX('Cartes API'!$C:$C,MATCH($B293,'Cartes API'!$A:$A,0))&amp;"."&amp;$C293),"")</f>
        <v/>
      </c>
      <c r="G293" s="26" t="str">
        <f>IFERROR(IF($B293="","",INDEX('Cartes API'!$H:$H,MATCH($B293,'Cartes API'!$A:$A,0))),"")</f>
        <v/>
      </c>
      <c r="H293" s="11"/>
      <c r="I293" s="26" t="str">
        <f t="shared" si="4"/>
        <v/>
      </c>
      <c r="J293" s="26" t="str">
        <f>IFERROR(INDEX(Cablage!$A:$A,MATCH($I293,Cablage!$F:$F,0)),"")</f>
        <v/>
      </c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</row>
    <row r="294" spans="1:50" ht="15" customHeight="1" x14ac:dyDescent="0.25">
      <c r="A294" s="25"/>
      <c r="B294" s="25"/>
      <c r="C294" s="11"/>
      <c r="D294" s="11"/>
      <c r="E294" s="11"/>
      <c r="F294" s="26" t="str">
        <f>IFERROR(IF(OR($B294="",$C294=""),"",INDEX('Cartes API'!$J:$J,MATCH($B294,'Cartes API'!$A:$A,0))&amp;INDEX('Cartes API'!$B:$B,MATCH($B294,'Cartes API'!$A:$A,0))&amp;"."&amp;INDEX('Cartes API'!$C:$C,MATCH($B294,'Cartes API'!$A:$A,0))&amp;"."&amp;$C294),"")</f>
        <v/>
      </c>
      <c r="G294" s="26" t="str">
        <f>IFERROR(IF($B294="","",INDEX('Cartes API'!$H:$H,MATCH($B294,'Cartes API'!$A:$A,0))),"")</f>
        <v/>
      </c>
      <c r="H294" s="11"/>
      <c r="I294" s="26" t="str">
        <f t="shared" si="4"/>
        <v/>
      </c>
      <c r="J294" s="26" t="str">
        <f>IFERROR(INDEX(Cablage!$A:$A,MATCH($I294,Cablage!$F:$F,0)),"")</f>
        <v/>
      </c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</row>
    <row r="295" spans="1:50" ht="15" customHeight="1" x14ac:dyDescent="0.25">
      <c r="A295" s="25"/>
      <c r="B295" s="25"/>
      <c r="C295" s="11"/>
      <c r="D295" s="11"/>
      <c r="E295" s="11"/>
      <c r="F295" s="26" t="str">
        <f>IFERROR(IF(OR($B295="",$C295=""),"",INDEX('Cartes API'!$J:$J,MATCH($B295,'Cartes API'!$A:$A,0))&amp;INDEX('Cartes API'!$B:$B,MATCH($B295,'Cartes API'!$A:$A,0))&amp;"."&amp;INDEX('Cartes API'!$C:$C,MATCH($B295,'Cartes API'!$A:$A,0))&amp;"."&amp;$C295),"")</f>
        <v/>
      </c>
      <c r="G295" s="26" t="str">
        <f>IFERROR(IF($B295="","",INDEX('Cartes API'!$H:$H,MATCH($B295,'Cartes API'!$A:$A,0))),"")</f>
        <v/>
      </c>
      <c r="H295" s="11"/>
      <c r="I295" s="26" t="str">
        <f t="shared" si="4"/>
        <v/>
      </c>
      <c r="J295" s="26" t="str">
        <f>IFERROR(INDEX(Cablage!$A:$A,MATCH($I295,Cablage!$F:$F,0)),"")</f>
        <v/>
      </c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</row>
    <row r="296" spans="1:50" ht="15" customHeight="1" x14ac:dyDescent="0.25">
      <c r="A296" s="25"/>
      <c r="B296" s="25"/>
      <c r="C296" s="11"/>
      <c r="D296" s="11"/>
      <c r="E296" s="11"/>
      <c r="F296" s="26" t="str">
        <f>IFERROR(IF(OR($B296="",$C296=""),"",INDEX('Cartes API'!$J:$J,MATCH($B296,'Cartes API'!$A:$A,0))&amp;INDEX('Cartes API'!$B:$B,MATCH($B296,'Cartes API'!$A:$A,0))&amp;"."&amp;INDEX('Cartes API'!$C:$C,MATCH($B296,'Cartes API'!$A:$A,0))&amp;"."&amp;$C296),"")</f>
        <v/>
      </c>
      <c r="G296" s="26" t="str">
        <f>IFERROR(IF($B296="","",INDEX('Cartes API'!$H:$H,MATCH($B296,'Cartes API'!$A:$A,0))),"")</f>
        <v/>
      </c>
      <c r="H296" s="11"/>
      <c r="I296" s="26" t="str">
        <f t="shared" si="4"/>
        <v/>
      </c>
      <c r="J296" s="26" t="str">
        <f>IFERROR(INDEX(Cablage!$A:$A,MATCH($I296,Cablage!$F:$F,0)),"")</f>
        <v/>
      </c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</row>
    <row r="297" spans="1:50" ht="15" customHeight="1" x14ac:dyDescent="0.25">
      <c r="A297" s="25"/>
      <c r="B297" s="25"/>
      <c r="C297" s="11"/>
      <c r="D297" s="11"/>
      <c r="E297" s="11"/>
      <c r="F297" s="26" t="str">
        <f>IFERROR(IF(OR($B297="",$C297=""),"",INDEX('Cartes API'!$J:$J,MATCH($B297,'Cartes API'!$A:$A,0))&amp;INDEX('Cartes API'!$B:$B,MATCH($B297,'Cartes API'!$A:$A,0))&amp;"."&amp;INDEX('Cartes API'!$C:$C,MATCH($B297,'Cartes API'!$A:$A,0))&amp;"."&amp;$C297),"")</f>
        <v/>
      </c>
      <c r="G297" s="26" t="str">
        <f>IFERROR(IF($B297="","",INDEX('Cartes API'!$H:$H,MATCH($B297,'Cartes API'!$A:$A,0))),"")</f>
        <v/>
      </c>
      <c r="H297" s="11"/>
      <c r="I297" s="26" t="str">
        <f t="shared" si="4"/>
        <v/>
      </c>
      <c r="J297" s="26" t="str">
        <f>IFERROR(INDEX(Cablage!$A:$A,MATCH($I297,Cablage!$F:$F,0)),"")</f>
        <v/>
      </c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</row>
    <row r="298" spans="1:50" ht="15" customHeight="1" x14ac:dyDescent="0.25">
      <c r="A298" s="25"/>
      <c r="B298" s="25"/>
      <c r="C298" s="11"/>
      <c r="D298" s="11"/>
      <c r="E298" s="11"/>
      <c r="F298" s="26" t="str">
        <f>IFERROR(IF(OR($B298="",$C298=""),"",INDEX('Cartes API'!$J:$J,MATCH($B298,'Cartes API'!$A:$A,0))&amp;INDEX('Cartes API'!$B:$B,MATCH($B298,'Cartes API'!$A:$A,0))&amp;"."&amp;INDEX('Cartes API'!$C:$C,MATCH($B298,'Cartes API'!$A:$A,0))&amp;"."&amp;$C298),"")</f>
        <v/>
      </c>
      <c r="G298" s="26" t="str">
        <f>IFERROR(IF($B298="","",INDEX('Cartes API'!$H:$H,MATCH($B298,'Cartes API'!$A:$A,0))),"")</f>
        <v/>
      </c>
      <c r="H298" s="11"/>
      <c r="I298" s="26" t="str">
        <f t="shared" si="4"/>
        <v/>
      </c>
      <c r="J298" s="26" t="str">
        <f>IFERROR(INDEX(Cablage!$A:$A,MATCH($I298,Cablage!$F:$F,0)),"")</f>
        <v/>
      </c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</row>
    <row r="299" spans="1:50" ht="15" customHeight="1" x14ac:dyDescent="0.25">
      <c r="A299" s="25"/>
      <c r="B299" s="25"/>
      <c r="C299" s="11"/>
      <c r="D299" s="11"/>
      <c r="E299" s="11"/>
      <c r="F299" s="26" t="str">
        <f>IFERROR(IF(OR($B299="",$C299=""),"",INDEX('Cartes API'!$J:$J,MATCH($B299,'Cartes API'!$A:$A,0))&amp;INDEX('Cartes API'!$B:$B,MATCH($B299,'Cartes API'!$A:$A,0))&amp;"."&amp;INDEX('Cartes API'!$C:$C,MATCH($B299,'Cartes API'!$A:$A,0))&amp;"."&amp;$C299),"")</f>
        <v/>
      </c>
      <c r="G299" s="26" t="str">
        <f>IFERROR(IF($B299="","",INDEX('Cartes API'!$H:$H,MATCH($B299,'Cartes API'!$A:$A,0))),"")</f>
        <v/>
      </c>
      <c r="H299" s="11"/>
      <c r="I299" s="26" t="str">
        <f t="shared" si="4"/>
        <v/>
      </c>
      <c r="J299" s="26" t="str">
        <f>IFERROR(INDEX(Cablage!$A:$A,MATCH($I299,Cablage!$F:$F,0)),"")</f>
        <v/>
      </c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</row>
    <row r="300" spans="1:50" ht="15" customHeight="1" x14ac:dyDescent="0.25">
      <c r="A300" s="25"/>
      <c r="B300" s="25"/>
      <c r="C300" s="11"/>
      <c r="D300" s="11"/>
      <c r="E300" s="11"/>
      <c r="F300" s="26" t="str">
        <f>IFERROR(IF(OR($B300="",$C300=""),"",INDEX('Cartes API'!$J:$J,MATCH($B300,'Cartes API'!$A:$A,0))&amp;INDEX('Cartes API'!$B:$B,MATCH($B300,'Cartes API'!$A:$A,0))&amp;"."&amp;INDEX('Cartes API'!$C:$C,MATCH($B300,'Cartes API'!$A:$A,0))&amp;"."&amp;$C300),"")</f>
        <v/>
      </c>
      <c r="G300" s="26" t="str">
        <f>IFERROR(IF($B300="","",INDEX('Cartes API'!$H:$H,MATCH($B300,'Cartes API'!$A:$A,0))),"")</f>
        <v/>
      </c>
      <c r="H300" s="11"/>
      <c r="I300" s="26" t="str">
        <f t="shared" si="4"/>
        <v/>
      </c>
      <c r="J300" s="26" t="str">
        <f>IFERROR(INDEX(Cablage!$A:$A,MATCH($I300,Cablage!$F:$F,0)),"")</f>
        <v/>
      </c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</row>
    <row r="301" spans="1:50" ht="15" customHeight="1" x14ac:dyDescent="0.25">
      <c r="A301" s="25"/>
      <c r="B301" s="25"/>
      <c r="C301" s="11"/>
      <c r="D301" s="11"/>
      <c r="E301" s="11"/>
      <c r="F301" s="26" t="str">
        <f>IFERROR(IF(OR($B301="",$C301=""),"",INDEX('Cartes API'!$J:$J,MATCH($B301,'Cartes API'!$A:$A,0))&amp;INDEX('Cartes API'!$B:$B,MATCH($B301,'Cartes API'!$A:$A,0))&amp;"."&amp;INDEX('Cartes API'!$C:$C,MATCH($B301,'Cartes API'!$A:$A,0))&amp;"."&amp;$C301),"")</f>
        <v/>
      </c>
      <c r="G301" s="26" t="str">
        <f>IFERROR(IF($B301="","",INDEX('Cartes API'!$H:$H,MATCH($B301,'Cartes API'!$A:$A,0))),"")</f>
        <v/>
      </c>
      <c r="H301" s="11"/>
      <c r="I301" s="26" t="str">
        <f t="shared" si="4"/>
        <v/>
      </c>
      <c r="J301" s="26" t="str">
        <f>IFERROR(INDEX(Cablage!$A:$A,MATCH($I301,Cablage!$F:$F,0)),"")</f>
        <v/>
      </c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</row>
    <row r="302" spans="1:50" ht="15" customHeight="1" x14ac:dyDescent="0.25">
      <c r="A302" s="25"/>
      <c r="B302" s="25"/>
      <c r="C302" s="11"/>
      <c r="D302" s="11"/>
      <c r="E302" s="11"/>
      <c r="F302" s="26" t="str">
        <f>IFERROR(IF(OR($B302="",$C302=""),"",INDEX('Cartes API'!$J:$J,MATCH($B302,'Cartes API'!$A:$A,0))&amp;INDEX('Cartes API'!$B:$B,MATCH($B302,'Cartes API'!$A:$A,0))&amp;"."&amp;INDEX('Cartes API'!$C:$C,MATCH($B302,'Cartes API'!$A:$A,0))&amp;"."&amp;$C302),"")</f>
        <v/>
      </c>
      <c r="G302" s="26" t="str">
        <f>IFERROR(IF($B302="","",INDEX('Cartes API'!$H:$H,MATCH($B302,'Cartes API'!$A:$A,0))),"")</f>
        <v/>
      </c>
      <c r="H302" s="11"/>
      <c r="I302" s="26" t="str">
        <f t="shared" si="4"/>
        <v/>
      </c>
      <c r="J302" s="26" t="str">
        <f>IFERROR(INDEX(Cablage!$A:$A,MATCH($I302,Cablage!$F:$F,0)),"")</f>
        <v/>
      </c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</row>
    <row r="303" spans="1:50" ht="15" customHeight="1" x14ac:dyDescent="0.25">
      <c r="A303" s="25"/>
      <c r="B303" s="25"/>
      <c r="C303" s="11"/>
      <c r="D303" s="11"/>
      <c r="E303" s="11"/>
      <c r="F303" s="26" t="str">
        <f>IFERROR(IF(OR($B303="",$C303=""),"",INDEX('Cartes API'!$J:$J,MATCH($B303,'Cartes API'!$A:$A,0))&amp;INDEX('Cartes API'!$B:$B,MATCH($B303,'Cartes API'!$A:$A,0))&amp;"."&amp;INDEX('Cartes API'!$C:$C,MATCH($B303,'Cartes API'!$A:$A,0))&amp;"."&amp;$C303),"")</f>
        <v/>
      </c>
      <c r="G303" s="26" t="str">
        <f>IFERROR(IF($B303="","",INDEX('Cartes API'!$H:$H,MATCH($B303,'Cartes API'!$A:$A,0))),"")</f>
        <v/>
      </c>
      <c r="H303" s="11"/>
      <c r="I303" s="26" t="str">
        <f t="shared" si="4"/>
        <v/>
      </c>
      <c r="J303" s="26" t="str">
        <f>IFERROR(INDEX(Cablage!$A:$A,MATCH($I303,Cablage!$F:$F,0)),"")</f>
        <v/>
      </c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</row>
    <row r="304" spans="1:50" ht="15" customHeight="1" x14ac:dyDescent="0.25">
      <c r="A304" s="25"/>
      <c r="B304" s="25"/>
      <c r="C304" s="11"/>
      <c r="D304" s="11"/>
      <c r="E304" s="11"/>
      <c r="F304" s="26" t="str">
        <f>IFERROR(IF(OR($B304="",$C304=""),"",INDEX('Cartes API'!$J:$J,MATCH($B304,'Cartes API'!$A:$A,0))&amp;INDEX('Cartes API'!$B:$B,MATCH($B304,'Cartes API'!$A:$A,0))&amp;"."&amp;INDEX('Cartes API'!$C:$C,MATCH($B304,'Cartes API'!$A:$A,0))&amp;"."&amp;$C304),"")</f>
        <v/>
      </c>
      <c r="G304" s="26" t="str">
        <f>IFERROR(IF($B304="","",INDEX('Cartes API'!$H:$H,MATCH($B304,'Cartes API'!$A:$A,0))),"")</f>
        <v/>
      </c>
      <c r="H304" s="11"/>
      <c r="I304" s="26" t="str">
        <f t="shared" si="4"/>
        <v/>
      </c>
      <c r="J304" s="26" t="str">
        <f>IFERROR(INDEX(Cablage!$A:$A,MATCH($I304,Cablage!$F:$F,0)),"")</f>
        <v/>
      </c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</row>
    <row r="305" spans="1:50" ht="15" customHeight="1" x14ac:dyDescent="0.25">
      <c r="A305" s="25"/>
      <c r="B305" s="25"/>
      <c r="C305" s="11"/>
      <c r="D305" s="11"/>
      <c r="E305" s="11"/>
      <c r="F305" s="26" t="str">
        <f>IFERROR(IF(OR($B305="",$C305=""),"",INDEX('Cartes API'!$J:$J,MATCH($B305,'Cartes API'!$A:$A,0))&amp;INDEX('Cartes API'!$B:$B,MATCH($B305,'Cartes API'!$A:$A,0))&amp;"."&amp;INDEX('Cartes API'!$C:$C,MATCH($B305,'Cartes API'!$A:$A,0))&amp;"."&amp;$C305),"")</f>
        <v/>
      </c>
      <c r="G305" s="26" t="str">
        <f>IFERROR(IF($B305="","",INDEX('Cartes API'!$H:$H,MATCH($B305,'Cartes API'!$A:$A,0))),"")</f>
        <v/>
      </c>
      <c r="H305" s="11"/>
      <c r="I305" s="26" t="str">
        <f t="shared" si="4"/>
        <v/>
      </c>
      <c r="J305" s="26" t="str">
        <f>IFERROR(INDEX(Cablage!$A:$A,MATCH($I305,Cablage!$F:$F,0)),"")</f>
        <v/>
      </c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</row>
    <row r="306" spans="1:50" ht="15" customHeight="1" x14ac:dyDescent="0.25">
      <c r="A306" s="25"/>
      <c r="B306" s="25"/>
      <c r="C306" s="11"/>
      <c r="D306" s="11"/>
      <c r="E306" s="11"/>
      <c r="F306" s="26" t="str">
        <f>IFERROR(IF(OR($B306="",$C306=""),"",INDEX('Cartes API'!$J:$J,MATCH($B306,'Cartes API'!$A:$A,0))&amp;INDEX('Cartes API'!$B:$B,MATCH($B306,'Cartes API'!$A:$A,0))&amp;"."&amp;INDEX('Cartes API'!$C:$C,MATCH($B306,'Cartes API'!$A:$A,0))&amp;"."&amp;$C306),"")</f>
        <v/>
      </c>
      <c r="G306" s="26" t="str">
        <f>IFERROR(IF($B306="","",INDEX('Cartes API'!$H:$H,MATCH($B306,'Cartes API'!$A:$A,0))),"")</f>
        <v/>
      </c>
      <c r="H306" s="11"/>
      <c r="I306" s="26" t="str">
        <f t="shared" si="4"/>
        <v/>
      </c>
      <c r="J306" s="26" t="str">
        <f>IFERROR(INDEX(Cablage!$A:$A,MATCH($I306,Cablage!$F:$F,0)),"")</f>
        <v/>
      </c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</row>
    <row r="307" spans="1:50" ht="15" customHeight="1" x14ac:dyDescent="0.25">
      <c r="A307" s="25"/>
      <c r="B307" s="25"/>
      <c r="C307" s="11"/>
      <c r="D307" s="11"/>
      <c r="E307" s="11"/>
      <c r="F307" s="26" t="str">
        <f>IFERROR(IF(OR($B307="",$C307=""),"",INDEX('Cartes API'!$J:$J,MATCH($B307,'Cartes API'!$A:$A,0))&amp;INDEX('Cartes API'!$B:$B,MATCH($B307,'Cartes API'!$A:$A,0))&amp;"."&amp;INDEX('Cartes API'!$C:$C,MATCH($B307,'Cartes API'!$A:$A,0))&amp;"."&amp;$C307),"")</f>
        <v/>
      </c>
      <c r="G307" s="26" t="str">
        <f>IFERROR(IF($B307="","",INDEX('Cartes API'!$H:$H,MATCH($B307,'Cartes API'!$A:$A,0))),"")</f>
        <v/>
      </c>
      <c r="H307" s="11"/>
      <c r="I307" s="26" t="str">
        <f t="shared" si="4"/>
        <v/>
      </c>
      <c r="J307" s="26" t="str">
        <f>IFERROR(INDEX(Cablage!$A:$A,MATCH($I307,Cablage!$F:$F,0)),"")</f>
        <v/>
      </c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</row>
    <row r="308" spans="1:50" ht="15" customHeight="1" x14ac:dyDescent="0.25">
      <c r="A308" s="25"/>
      <c r="B308" s="25"/>
      <c r="C308" s="11"/>
      <c r="D308" s="11"/>
      <c r="E308" s="11"/>
      <c r="F308" s="26" t="str">
        <f>IFERROR(IF(OR($B308="",$C308=""),"",INDEX('Cartes API'!$J:$J,MATCH($B308,'Cartes API'!$A:$A,0))&amp;INDEX('Cartes API'!$B:$B,MATCH($B308,'Cartes API'!$A:$A,0))&amp;"."&amp;INDEX('Cartes API'!$C:$C,MATCH($B308,'Cartes API'!$A:$A,0))&amp;"."&amp;$C308),"")</f>
        <v/>
      </c>
      <c r="G308" s="26" t="str">
        <f>IFERROR(IF($B308="","",INDEX('Cartes API'!$H:$H,MATCH($B308,'Cartes API'!$A:$A,0))),"")</f>
        <v/>
      </c>
      <c r="H308" s="11"/>
      <c r="I308" s="26" t="str">
        <f t="shared" si="4"/>
        <v/>
      </c>
      <c r="J308" s="26" t="str">
        <f>IFERROR(INDEX(Cablage!$A:$A,MATCH($I308,Cablage!$F:$F,0)),"")</f>
        <v/>
      </c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</row>
    <row r="309" spans="1:50" ht="15" customHeight="1" x14ac:dyDescent="0.25">
      <c r="A309" s="25"/>
      <c r="B309" s="25"/>
      <c r="C309" s="11"/>
      <c r="D309" s="11"/>
      <c r="E309" s="11"/>
      <c r="F309" s="26" t="str">
        <f>IFERROR(IF(OR($B309="",$C309=""),"",INDEX('Cartes API'!$J:$J,MATCH($B309,'Cartes API'!$A:$A,0))&amp;INDEX('Cartes API'!$B:$B,MATCH($B309,'Cartes API'!$A:$A,0))&amp;"."&amp;INDEX('Cartes API'!$C:$C,MATCH($B309,'Cartes API'!$A:$A,0))&amp;"."&amp;$C309),"")</f>
        <v/>
      </c>
      <c r="G309" s="26" t="str">
        <f>IFERROR(IF($B309="","",INDEX('Cartes API'!$H:$H,MATCH($B309,'Cartes API'!$A:$A,0))),"")</f>
        <v/>
      </c>
      <c r="H309" s="11"/>
      <c r="I309" s="26" t="str">
        <f t="shared" si="4"/>
        <v/>
      </c>
      <c r="J309" s="26" t="str">
        <f>IFERROR(INDEX(Cablage!$A:$A,MATCH($I309,Cablage!$F:$F,0)),"")</f>
        <v/>
      </c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</row>
    <row r="310" spans="1:50" ht="15" customHeight="1" x14ac:dyDescent="0.25">
      <c r="A310" s="25"/>
      <c r="B310" s="25"/>
      <c r="C310" s="11"/>
      <c r="D310" s="11"/>
      <c r="E310" s="11"/>
      <c r="F310" s="26" t="str">
        <f>IFERROR(IF(OR($B310="",$C310=""),"",INDEX('Cartes API'!$J:$J,MATCH($B310,'Cartes API'!$A:$A,0))&amp;INDEX('Cartes API'!$B:$B,MATCH($B310,'Cartes API'!$A:$A,0))&amp;"."&amp;INDEX('Cartes API'!$C:$C,MATCH($B310,'Cartes API'!$A:$A,0))&amp;"."&amp;$C310),"")</f>
        <v/>
      </c>
      <c r="G310" s="26" t="str">
        <f>IFERROR(IF($B310="","",INDEX('Cartes API'!$H:$H,MATCH($B310,'Cartes API'!$A:$A,0))),"")</f>
        <v/>
      </c>
      <c r="H310" s="11"/>
      <c r="I310" s="26" t="str">
        <f t="shared" si="4"/>
        <v/>
      </c>
      <c r="J310" s="26" t="str">
        <f>IFERROR(INDEX(Cablage!$A:$A,MATCH($I310,Cablage!$F:$F,0)),"")</f>
        <v/>
      </c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</row>
    <row r="311" spans="1:50" ht="15" customHeight="1" x14ac:dyDescent="0.25">
      <c r="A311" s="25"/>
      <c r="B311" s="25"/>
      <c r="C311" s="11"/>
      <c r="D311" s="11"/>
      <c r="E311" s="11"/>
      <c r="F311" s="26" t="str">
        <f>IFERROR(IF(OR($B311="",$C311=""),"",INDEX('Cartes API'!$J:$J,MATCH($B311,'Cartes API'!$A:$A,0))&amp;INDEX('Cartes API'!$B:$B,MATCH($B311,'Cartes API'!$A:$A,0))&amp;"."&amp;INDEX('Cartes API'!$C:$C,MATCH($B311,'Cartes API'!$A:$A,0))&amp;"."&amp;$C311),"")</f>
        <v/>
      </c>
      <c r="G311" s="26" t="str">
        <f>IFERROR(IF($B311="","",INDEX('Cartes API'!$H:$H,MATCH($B311,'Cartes API'!$A:$A,0))),"")</f>
        <v/>
      </c>
      <c r="H311" s="11"/>
      <c r="I311" s="26" t="str">
        <f t="shared" si="4"/>
        <v/>
      </c>
      <c r="J311" s="26" t="str">
        <f>IFERROR(INDEX(Cablage!$A:$A,MATCH($I311,Cablage!$F:$F,0)),"")</f>
        <v/>
      </c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</row>
    <row r="312" spans="1:50" ht="15" customHeight="1" x14ac:dyDescent="0.25">
      <c r="A312" s="25"/>
      <c r="B312" s="25"/>
      <c r="C312" s="11"/>
      <c r="D312" s="11"/>
      <c r="E312" s="11"/>
      <c r="F312" s="26" t="str">
        <f>IFERROR(IF(OR($B312="",$C312=""),"",INDEX('Cartes API'!$J:$J,MATCH($B312,'Cartes API'!$A:$A,0))&amp;INDEX('Cartes API'!$B:$B,MATCH($B312,'Cartes API'!$A:$A,0))&amp;"."&amp;INDEX('Cartes API'!$C:$C,MATCH($B312,'Cartes API'!$A:$A,0))&amp;"."&amp;$C312),"")</f>
        <v/>
      </c>
      <c r="G312" s="26" t="str">
        <f>IFERROR(IF($B312="","",INDEX('Cartes API'!$H:$H,MATCH($B312,'Cartes API'!$A:$A,0))),"")</f>
        <v/>
      </c>
      <c r="H312" s="11"/>
      <c r="I312" s="26" t="str">
        <f t="shared" si="4"/>
        <v/>
      </c>
      <c r="J312" s="26" t="str">
        <f>IFERROR(INDEX(Cablage!$A:$A,MATCH($I312,Cablage!$F:$F,0)),"")</f>
        <v/>
      </c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</row>
    <row r="313" spans="1:50" ht="15" customHeight="1" x14ac:dyDescent="0.25">
      <c r="A313" s="25"/>
      <c r="B313" s="25"/>
      <c r="C313" s="11"/>
      <c r="D313" s="11"/>
      <c r="E313" s="11"/>
      <c r="F313" s="26" t="str">
        <f>IFERROR(IF(OR($B313="",$C313=""),"",INDEX('Cartes API'!$J:$J,MATCH($B313,'Cartes API'!$A:$A,0))&amp;INDEX('Cartes API'!$B:$B,MATCH($B313,'Cartes API'!$A:$A,0))&amp;"."&amp;INDEX('Cartes API'!$C:$C,MATCH($B313,'Cartes API'!$A:$A,0))&amp;"."&amp;$C313),"")</f>
        <v/>
      </c>
      <c r="G313" s="26" t="str">
        <f>IFERROR(IF($B313="","",INDEX('Cartes API'!$H:$H,MATCH($B313,'Cartes API'!$A:$A,0))),"")</f>
        <v/>
      </c>
      <c r="H313" s="11"/>
      <c r="I313" s="26" t="str">
        <f t="shared" si="4"/>
        <v/>
      </c>
      <c r="J313" s="26" t="str">
        <f>IFERROR(INDEX(Cablage!$A:$A,MATCH($I313,Cablage!$F:$F,0)),"")</f>
        <v/>
      </c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</row>
    <row r="314" spans="1:50" ht="15" customHeight="1" x14ac:dyDescent="0.25">
      <c r="A314" s="25"/>
      <c r="B314" s="25"/>
      <c r="C314" s="11"/>
      <c r="D314" s="11"/>
      <c r="E314" s="11"/>
      <c r="F314" s="26" t="str">
        <f>IFERROR(IF(OR($B314="",$C314=""),"",INDEX('Cartes API'!$J:$J,MATCH($B314,'Cartes API'!$A:$A,0))&amp;INDEX('Cartes API'!$B:$B,MATCH($B314,'Cartes API'!$A:$A,0))&amp;"."&amp;INDEX('Cartes API'!$C:$C,MATCH($B314,'Cartes API'!$A:$A,0))&amp;"."&amp;$C314),"")</f>
        <v/>
      </c>
      <c r="G314" s="26" t="str">
        <f>IFERROR(IF($B314="","",INDEX('Cartes API'!$H:$H,MATCH($B314,'Cartes API'!$A:$A,0))),"")</f>
        <v/>
      </c>
      <c r="H314" s="11"/>
      <c r="I314" s="26" t="str">
        <f t="shared" si="4"/>
        <v/>
      </c>
      <c r="J314" s="26" t="str">
        <f>IFERROR(INDEX(Cablage!$A:$A,MATCH($I314,Cablage!$F:$F,0)),"")</f>
        <v/>
      </c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</row>
    <row r="315" spans="1:50" ht="15" customHeight="1" x14ac:dyDescent="0.25">
      <c r="A315" s="25"/>
      <c r="B315" s="25"/>
      <c r="C315" s="11"/>
      <c r="D315" s="11"/>
      <c r="E315" s="11"/>
      <c r="F315" s="26" t="str">
        <f>IFERROR(IF(OR($B315="",$C315=""),"",INDEX('Cartes API'!$J:$J,MATCH($B315,'Cartes API'!$A:$A,0))&amp;INDEX('Cartes API'!$B:$B,MATCH($B315,'Cartes API'!$A:$A,0))&amp;"."&amp;INDEX('Cartes API'!$C:$C,MATCH($B315,'Cartes API'!$A:$A,0))&amp;"."&amp;$C315),"")</f>
        <v/>
      </c>
      <c r="G315" s="26" t="str">
        <f>IFERROR(IF($B315="","",INDEX('Cartes API'!$H:$H,MATCH($B315,'Cartes API'!$A:$A,0))),"")</f>
        <v/>
      </c>
      <c r="H315" s="11"/>
      <c r="I315" s="26" t="str">
        <f t="shared" si="4"/>
        <v/>
      </c>
      <c r="J315" s="26" t="str">
        <f>IFERROR(INDEX(Cablage!$A:$A,MATCH($I315,Cablage!$F:$F,0)),"")</f>
        <v/>
      </c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</row>
    <row r="316" spans="1:50" ht="15" customHeight="1" x14ac:dyDescent="0.25">
      <c r="A316" s="25"/>
      <c r="B316" s="25"/>
      <c r="C316" s="11"/>
      <c r="D316" s="11"/>
      <c r="E316" s="11"/>
      <c r="F316" s="26" t="str">
        <f>IFERROR(IF(OR($B316="",$C316=""),"",INDEX('Cartes API'!$J:$J,MATCH($B316,'Cartes API'!$A:$A,0))&amp;INDEX('Cartes API'!$B:$B,MATCH($B316,'Cartes API'!$A:$A,0))&amp;"."&amp;INDEX('Cartes API'!$C:$C,MATCH($B316,'Cartes API'!$A:$A,0))&amp;"."&amp;$C316),"")</f>
        <v/>
      </c>
      <c r="G316" s="26" t="str">
        <f>IFERROR(IF($B316="","",INDEX('Cartes API'!$H:$H,MATCH($B316,'Cartes API'!$A:$A,0))),"")</f>
        <v/>
      </c>
      <c r="H316" s="11"/>
      <c r="I316" s="26" t="str">
        <f t="shared" si="4"/>
        <v/>
      </c>
      <c r="J316" s="26" t="str">
        <f>IFERROR(INDEX(Cablage!$A:$A,MATCH($I316,Cablage!$F:$F,0)),"")</f>
        <v/>
      </c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</row>
    <row r="317" spans="1:50" ht="15" customHeight="1" x14ac:dyDescent="0.25">
      <c r="A317" s="25"/>
      <c r="B317" s="25"/>
      <c r="C317" s="11"/>
      <c r="D317" s="11"/>
      <c r="E317" s="11"/>
      <c r="F317" s="26" t="str">
        <f>IFERROR(IF(OR($B317="",$C317=""),"",INDEX('Cartes API'!$J:$J,MATCH($B317,'Cartes API'!$A:$A,0))&amp;INDEX('Cartes API'!$B:$B,MATCH($B317,'Cartes API'!$A:$A,0))&amp;"."&amp;INDEX('Cartes API'!$C:$C,MATCH($B317,'Cartes API'!$A:$A,0))&amp;"."&amp;$C317),"")</f>
        <v/>
      </c>
      <c r="G317" s="26" t="str">
        <f>IFERROR(IF($B317="","",INDEX('Cartes API'!$H:$H,MATCH($B317,'Cartes API'!$A:$A,0))),"")</f>
        <v/>
      </c>
      <c r="H317" s="11"/>
      <c r="I317" s="26" t="str">
        <f t="shared" si="4"/>
        <v/>
      </c>
      <c r="J317" s="26" t="str">
        <f>IFERROR(INDEX(Cablage!$A:$A,MATCH($I317,Cablage!$F:$F,0)),"")</f>
        <v/>
      </c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</row>
    <row r="318" spans="1:50" ht="15" customHeight="1" x14ac:dyDescent="0.25">
      <c r="A318" s="25"/>
      <c r="B318" s="25"/>
      <c r="C318" s="11"/>
      <c r="D318" s="11"/>
      <c r="E318" s="11"/>
      <c r="F318" s="26" t="str">
        <f>IFERROR(IF(OR($B318="",$C318=""),"",INDEX('Cartes API'!$J:$J,MATCH($B318,'Cartes API'!$A:$A,0))&amp;INDEX('Cartes API'!$B:$B,MATCH($B318,'Cartes API'!$A:$A,0))&amp;"."&amp;INDEX('Cartes API'!$C:$C,MATCH($B318,'Cartes API'!$A:$A,0))&amp;"."&amp;$C318),"")</f>
        <v/>
      </c>
      <c r="G318" s="26" t="str">
        <f>IFERROR(IF($B318="","",INDEX('Cartes API'!$H:$H,MATCH($B318,'Cartes API'!$A:$A,0))),"")</f>
        <v/>
      </c>
      <c r="H318" s="11"/>
      <c r="I318" s="26" t="str">
        <f t="shared" si="4"/>
        <v/>
      </c>
      <c r="J318" s="26" t="str">
        <f>IFERROR(INDEX(Cablage!$A:$A,MATCH($I318,Cablage!$F:$F,0)),"")</f>
        <v/>
      </c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</row>
    <row r="319" spans="1:50" ht="15" customHeight="1" x14ac:dyDescent="0.25">
      <c r="A319" s="25"/>
      <c r="B319" s="25"/>
      <c r="C319" s="11"/>
      <c r="D319" s="11"/>
      <c r="E319" s="11"/>
      <c r="F319" s="26" t="str">
        <f>IFERROR(IF(OR($B319="",$C319=""),"",INDEX('Cartes API'!$J:$J,MATCH($B319,'Cartes API'!$A:$A,0))&amp;INDEX('Cartes API'!$B:$B,MATCH($B319,'Cartes API'!$A:$A,0))&amp;"."&amp;INDEX('Cartes API'!$C:$C,MATCH($B319,'Cartes API'!$A:$A,0))&amp;"."&amp;$C319),"")</f>
        <v/>
      </c>
      <c r="G319" s="26" t="str">
        <f>IFERROR(IF($B319="","",INDEX('Cartes API'!$H:$H,MATCH($B319,'Cartes API'!$A:$A,0))),"")</f>
        <v/>
      </c>
      <c r="H319" s="11"/>
      <c r="I319" s="26" t="str">
        <f t="shared" si="4"/>
        <v/>
      </c>
      <c r="J319" s="26" t="str">
        <f>IFERROR(INDEX(Cablage!$A:$A,MATCH($I319,Cablage!$F:$F,0)),"")</f>
        <v/>
      </c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</row>
    <row r="320" spans="1:50" ht="15" customHeight="1" x14ac:dyDescent="0.25">
      <c r="A320" s="25"/>
      <c r="B320" s="25"/>
      <c r="C320" s="11"/>
      <c r="D320" s="11"/>
      <c r="E320" s="11"/>
      <c r="F320" s="26" t="str">
        <f>IFERROR(IF(OR($B320="",$C320=""),"",INDEX('Cartes API'!$J:$J,MATCH($B320,'Cartes API'!$A:$A,0))&amp;INDEX('Cartes API'!$B:$B,MATCH($B320,'Cartes API'!$A:$A,0))&amp;"."&amp;INDEX('Cartes API'!$C:$C,MATCH($B320,'Cartes API'!$A:$A,0))&amp;"."&amp;$C320),"")</f>
        <v/>
      </c>
      <c r="G320" s="26" t="str">
        <f>IFERROR(IF($B320="","",INDEX('Cartes API'!$H:$H,MATCH($B320,'Cartes API'!$A:$A,0))),"")</f>
        <v/>
      </c>
      <c r="H320" s="11"/>
      <c r="I320" s="26" t="str">
        <f t="shared" si="4"/>
        <v/>
      </c>
      <c r="J320" s="26" t="str">
        <f>IFERROR(INDEX(Cablage!$A:$A,MATCH($I320,Cablage!$F:$F,0)),"")</f>
        <v/>
      </c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</row>
    <row r="321" spans="1:50" ht="15" customHeight="1" x14ac:dyDescent="0.25">
      <c r="A321" s="25"/>
      <c r="B321" s="25"/>
      <c r="C321" s="11"/>
      <c r="D321" s="11"/>
      <c r="E321" s="11"/>
      <c r="F321" s="26" t="str">
        <f>IFERROR(IF(OR($B321="",$C321=""),"",INDEX('Cartes API'!$J:$J,MATCH($B321,'Cartes API'!$A:$A,0))&amp;INDEX('Cartes API'!$B:$B,MATCH($B321,'Cartes API'!$A:$A,0))&amp;"."&amp;INDEX('Cartes API'!$C:$C,MATCH($B321,'Cartes API'!$A:$A,0))&amp;"."&amp;$C321),"")</f>
        <v/>
      </c>
      <c r="G321" s="26" t="str">
        <f>IFERROR(IF($B321="","",INDEX('Cartes API'!$H:$H,MATCH($B321,'Cartes API'!$A:$A,0))),"")</f>
        <v/>
      </c>
      <c r="H321" s="11"/>
      <c r="I321" s="26" t="str">
        <f t="shared" si="4"/>
        <v/>
      </c>
      <c r="J321" s="26" t="str">
        <f>IFERROR(INDEX(Cablage!$A:$A,MATCH($I321,Cablage!$F:$F,0)),"")</f>
        <v/>
      </c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</row>
    <row r="322" spans="1:50" ht="15" customHeight="1" x14ac:dyDescent="0.25">
      <c r="A322" s="25"/>
      <c r="B322" s="25"/>
      <c r="C322" s="11"/>
      <c r="D322" s="11"/>
      <c r="E322" s="11"/>
      <c r="F322" s="26" t="str">
        <f>IFERROR(IF(OR($B322="",$C322=""),"",INDEX('Cartes API'!$J:$J,MATCH($B322,'Cartes API'!$A:$A,0))&amp;INDEX('Cartes API'!$B:$B,MATCH($B322,'Cartes API'!$A:$A,0))&amp;"."&amp;INDEX('Cartes API'!$C:$C,MATCH($B322,'Cartes API'!$A:$A,0))&amp;"."&amp;$C322),"")</f>
        <v/>
      </c>
      <c r="G322" s="26" t="str">
        <f>IFERROR(IF($B322="","",INDEX('Cartes API'!$H:$H,MATCH($B322,'Cartes API'!$A:$A,0))),"")</f>
        <v/>
      </c>
      <c r="H322" s="11"/>
      <c r="I322" s="26" t="str">
        <f t="shared" si="4"/>
        <v/>
      </c>
      <c r="J322" s="26" t="str">
        <f>IFERROR(INDEX(Cablage!$A:$A,MATCH($I322,Cablage!$F:$F,0)),"")</f>
        <v/>
      </c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</row>
    <row r="323" spans="1:50" ht="15" customHeight="1" x14ac:dyDescent="0.25">
      <c r="A323" s="25"/>
      <c r="B323" s="25"/>
      <c r="C323" s="11"/>
      <c r="D323" s="11"/>
      <c r="E323" s="11"/>
      <c r="F323" s="26" t="str">
        <f>IFERROR(IF(OR($B323="",$C323=""),"",INDEX('Cartes API'!$J:$J,MATCH($B323,'Cartes API'!$A:$A,0))&amp;INDEX('Cartes API'!$B:$B,MATCH($B323,'Cartes API'!$A:$A,0))&amp;"."&amp;INDEX('Cartes API'!$C:$C,MATCH($B323,'Cartes API'!$A:$A,0))&amp;"."&amp;$C323),"")</f>
        <v/>
      </c>
      <c r="G323" s="26" t="str">
        <f>IFERROR(IF($B323="","",INDEX('Cartes API'!$H:$H,MATCH($B323,'Cartes API'!$A:$A,0))),"")</f>
        <v/>
      </c>
      <c r="H323" s="11"/>
      <c r="I323" s="26" t="str">
        <f t="shared" si="4"/>
        <v/>
      </c>
      <c r="J323" s="26" t="str">
        <f>IFERROR(INDEX(Cablage!$A:$A,MATCH($I323,Cablage!$F:$F,0)),"")</f>
        <v/>
      </c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</row>
    <row r="324" spans="1:50" ht="15" customHeight="1" x14ac:dyDescent="0.25">
      <c r="A324" s="25"/>
      <c r="B324" s="25"/>
      <c r="C324" s="11"/>
      <c r="D324" s="11"/>
      <c r="E324" s="11"/>
      <c r="F324" s="26" t="str">
        <f>IFERROR(IF(OR($B324="",$C324=""),"",INDEX('Cartes API'!$J:$J,MATCH($B324,'Cartes API'!$A:$A,0))&amp;INDEX('Cartes API'!$B:$B,MATCH($B324,'Cartes API'!$A:$A,0))&amp;"."&amp;INDEX('Cartes API'!$C:$C,MATCH($B324,'Cartes API'!$A:$A,0))&amp;"."&amp;$C324),"")</f>
        <v/>
      </c>
      <c r="G324" s="26" t="str">
        <f>IFERROR(IF($B324="","",INDEX('Cartes API'!$H:$H,MATCH($B324,'Cartes API'!$A:$A,0))),"")</f>
        <v/>
      </c>
      <c r="H324" s="11"/>
      <c r="I324" s="26" t="str">
        <f t="shared" si="4"/>
        <v/>
      </c>
      <c r="J324" s="26" t="str">
        <f>IFERROR(INDEX(Cablage!$A:$A,MATCH($I324,Cablage!$F:$F,0)),"")</f>
        <v/>
      </c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</row>
    <row r="325" spans="1:50" ht="15" customHeight="1" x14ac:dyDescent="0.25">
      <c r="A325" s="25"/>
      <c r="B325" s="25"/>
      <c r="C325" s="11"/>
      <c r="D325" s="11"/>
      <c r="E325" s="11"/>
      <c r="F325" s="26" t="str">
        <f>IFERROR(IF(OR($B325="",$C325=""),"",INDEX('Cartes API'!$J:$J,MATCH($B325,'Cartes API'!$A:$A,0))&amp;INDEX('Cartes API'!$B:$B,MATCH($B325,'Cartes API'!$A:$A,0))&amp;"."&amp;INDEX('Cartes API'!$C:$C,MATCH($B325,'Cartes API'!$A:$A,0))&amp;"."&amp;$C325),"")</f>
        <v/>
      </c>
      <c r="G325" s="26" t="str">
        <f>IFERROR(IF($B325="","",INDEX('Cartes API'!$H:$H,MATCH($B325,'Cartes API'!$A:$A,0))),"")</f>
        <v/>
      </c>
      <c r="H325" s="11"/>
      <c r="I325" s="26" t="str">
        <f t="shared" si="4"/>
        <v/>
      </c>
      <c r="J325" s="26" t="str">
        <f>IFERROR(INDEX(Cablage!$A:$A,MATCH($I325,Cablage!$F:$F,0)),"")</f>
        <v/>
      </c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</row>
    <row r="326" spans="1:50" ht="15" customHeight="1" x14ac:dyDescent="0.25">
      <c r="A326" s="25"/>
      <c r="B326" s="25"/>
      <c r="C326" s="11"/>
      <c r="D326" s="11"/>
      <c r="E326" s="11"/>
      <c r="F326" s="26" t="str">
        <f>IFERROR(IF(OR($B326="",$C326=""),"",INDEX('Cartes API'!$J:$J,MATCH($B326,'Cartes API'!$A:$A,0))&amp;INDEX('Cartes API'!$B:$B,MATCH($B326,'Cartes API'!$A:$A,0))&amp;"."&amp;INDEX('Cartes API'!$C:$C,MATCH($B326,'Cartes API'!$A:$A,0))&amp;"."&amp;$C326),"")</f>
        <v/>
      </c>
      <c r="G326" s="26" t="str">
        <f>IFERROR(IF($B326="","",INDEX('Cartes API'!$H:$H,MATCH($B326,'Cartes API'!$A:$A,0))),"")</f>
        <v/>
      </c>
      <c r="H326" s="11"/>
      <c r="I326" s="26" t="str">
        <f t="shared" si="4"/>
        <v/>
      </c>
      <c r="J326" s="26" t="str">
        <f>IFERROR(INDEX(Cablage!$A:$A,MATCH($I326,Cablage!$F:$F,0)),"")</f>
        <v/>
      </c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</row>
    <row r="327" spans="1:50" ht="15" customHeight="1" x14ac:dyDescent="0.25">
      <c r="A327" s="25"/>
      <c r="B327" s="25"/>
      <c r="C327" s="11"/>
      <c r="D327" s="11"/>
      <c r="E327" s="11"/>
      <c r="F327" s="26" t="str">
        <f>IFERROR(IF(OR($B327="",$C327=""),"",INDEX('Cartes API'!$J:$J,MATCH($B327,'Cartes API'!$A:$A,0))&amp;INDEX('Cartes API'!$B:$B,MATCH($B327,'Cartes API'!$A:$A,0))&amp;"."&amp;INDEX('Cartes API'!$C:$C,MATCH($B327,'Cartes API'!$A:$A,0))&amp;"."&amp;$C327),"")</f>
        <v/>
      </c>
      <c r="G327" s="26" t="str">
        <f>IFERROR(IF($B327="","",INDEX('Cartes API'!$H:$H,MATCH($B327,'Cartes API'!$A:$A,0))),"")</f>
        <v/>
      </c>
      <c r="H327" s="11"/>
      <c r="I327" s="26" t="str">
        <f t="shared" si="4"/>
        <v/>
      </c>
      <c r="J327" s="26" t="str">
        <f>IFERROR(INDEX(Cablage!$A:$A,MATCH($I327,Cablage!$F:$F,0)),"")</f>
        <v/>
      </c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</row>
    <row r="328" spans="1:50" ht="15" customHeight="1" x14ac:dyDescent="0.25">
      <c r="A328" s="25"/>
      <c r="B328" s="25"/>
      <c r="C328" s="11"/>
      <c r="D328" s="11"/>
      <c r="E328" s="11"/>
      <c r="F328" s="26" t="str">
        <f>IFERROR(IF(OR($B328="",$C328=""),"",INDEX('Cartes API'!$J:$J,MATCH($B328,'Cartes API'!$A:$A,0))&amp;INDEX('Cartes API'!$B:$B,MATCH($B328,'Cartes API'!$A:$A,0))&amp;"."&amp;INDEX('Cartes API'!$C:$C,MATCH($B328,'Cartes API'!$A:$A,0))&amp;"."&amp;$C328),"")</f>
        <v/>
      </c>
      <c r="G328" s="26" t="str">
        <f>IFERROR(IF($B328="","",INDEX('Cartes API'!$H:$H,MATCH($B328,'Cartes API'!$A:$A,0))),"")</f>
        <v/>
      </c>
      <c r="H328" s="11"/>
      <c r="I328" s="26" t="str">
        <f t="shared" si="4"/>
        <v/>
      </c>
      <c r="J328" s="26" t="str">
        <f>IFERROR(INDEX(Cablage!$A:$A,MATCH($I328,Cablage!$F:$F,0)),"")</f>
        <v/>
      </c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</row>
    <row r="329" spans="1:50" ht="15" customHeight="1" x14ac:dyDescent="0.25">
      <c r="A329" s="25"/>
      <c r="B329" s="25"/>
      <c r="C329" s="11"/>
      <c r="D329" s="11"/>
      <c r="E329" s="11"/>
      <c r="F329" s="26" t="str">
        <f>IFERROR(IF(OR($B329="",$C329=""),"",INDEX('Cartes API'!$J:$J,MATCH($B329,'Cartes API'!$A:$A,0))&amp;INDEX('Cartes API'!$B:$B,MATCH($B329,'Cartes API'!$A:$A,0))&amp;"."&amp;INDEX('Cartes API'!$C:$C,MATCH($B329,'Cartes API'!$A:$A,0))&amp;"."&amp;$C329),"")</f>
        <v/>
      </c>
      <c r="G329" s="26" t="str">
        <f>IFERROR(IF($B329="","",INDEX('Cartes API'!$H:$H,MATCH($B329,'Cartes API'!$A:$A,0))),"")</f>
        <v/>
      </c>
      <c r="H329" s="11"/>
      <c r="I329" s="26" t="str">
        <f t="shared" ref="I329:I392" si="5">IF(OR($G329="",$H329=""),"",$G329&amp;"["&amp;$H329&amp;"]")</f>
        <v/>
      </c>
      <c r="J329" s="26" t="str">
        <f>IFERROR(INDEX(Cablage!$A:$A,MATCH($I329,Cablage!$F:$F,0)),"")</f>
        <v/>
      </c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</row>
    <row r="330" spans="1:50" ht="15" customHeight="1" x14ac:dyDescent="0.25">
      <c r="A330" s="25"/>
      <c r="B330" s="25"/>
      <c r="C330" s="11"/>
      <c r="D330" s="11"/>
      <c r="E330" s="11"/>
      <c r="F330" s="26" t="str">
        <f>IFERROR(IF(OR($B330="",$C330=""),"",INDEX('Cartes API'!$J:$J,MATCH($B330,'Cartes API'!$A:$A,0))&amp;INDEX('Cartes API'!$B:$B,MATCH($B330,'Cartes API'!$A:$A,0))&amp;"."&amp;INDEX('Cartes API'!$C:$C,MATCH($B330,'Cartes API'!$A:$A,0))&amp;"."&amp;$C330),"")</f>
        <v/>
      </c>
      <c r="G330" s="26" t="str">
        <f>IFERROR(IF($B330="","",INDEX('Cartes API'!$H:$H,MATCH($B330,'Cartes API'!$A:$A,0))),"")</f>
        <v/>
      </c>
      <c r="H330" s="11"/>
      <c r="I330" s="26" t="str">
        <f t="shared" si="5"/>
        <v/>
      </c>
      <c r="J330" s="26" t="str">
        <f>IFERROR(INDEX(Cablage!$A:$A,MATCH($I330,Cablage!$F:$F,0)),"")</f>
        <v/>
      </c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</row>
    <row r="331" spans="1:50" ht="15" customHeight="1" x14ac:dyDescent="0.25">
      <c r="A331" s="25"/>
      <c r="B331" s="25"/>
      <c r="C331" s="11"/>
      <c r="D331" s="11"/>
      <c r="E331" s="11"/>
      <c r="F331" s="26" t="str">
        <f>IFERROR(IF(OR($B331="",$C331=""),"",INDEX('Cartes API'!$J:$J,MATCH($B331,'Cartes API'!$A:$A,0))&amp;INDEX('Cartes API'!$B:$B,MATCH($B331,'Cartes API'!$A:$A,0))&amp;"."&amp;INDEX('Cartes API'!$C:$C,MATCH($B331,'Cartes API'!$A:$A,0))&amp;"."&amp;$C331),"")</f>
        <v/>
      </c>
      <c r="G331" s="26" t="str">
        <f>IFERROR(IF($B331="","",INDEX('Cartes API'!$H:$H,MATCH($B331,'Cartes API'!$A:$A,0))),"")</f>
        <v/>
      </c>
      <c r="H331" s="11"/>
      <c r="I331" s="26" t="str">
        <f t="shared" si="5"/>
        <v/>
      </c>
      <c r="J331" s="26" t="str">
        <f>IFERROR(INDEX(Cablage!$A:$A,MATCH($I331,Cablage!$F:$F,0)),"")</f>
        <v/>
      </c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</row>
    <row r="332" spans="1:50" ht="15" customHeight="1" x14ac:dyDescent="0.25">
      <c r="A332" s="25"/>
      <c r="B332" s="25"/>
      <c r="C332" s="11"/>
      <c r="D332" s="11"/>
      <c r="E332" s="11"/>
      <c r="F332" s="26" t="str">
        <f>IFERROR(IF(OR($B332="",$C332=""),"",INDEX('Cartes API'!$J:$J,MATCH($B332,'Cartes API'!$A:$A,0))&amp;INDEX('Cartes API'!$B:$B,MATCH($B332,'Cartes API'!$A:$A,0))&amp;"."&amp;INDEX('Cartes API'!$C:$C,MATCH($B332,'Cartes API'!$A:$A,0))&amp;"."&amp;$C332),"")</f>
        <v/>
      </c>
      <c r="G332" s="26" t="str">
        <f>IFERROR(IF($B332="","",INDEX('Cartes API'!$H:$H,MATCH($B332,'Cartes API'!$A:$A,0))),"")</f>
        <v/>
      </c>
      <c r="H332" s="11"/>
      <c r="I332" s="26" t="str">
        <f t="shared" si="5"/>
        <v/>
      </c>
      <c r="J332" s="26" t="str">
        <f>IFERROR(INDEX(Cablage!$A:$A,MATCH($I332,Cablage!$F:$F,0)),"")</f>
        <v/>
      </c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</row>
    <row r="333" spans="1:50" ht="15" customHeight="1" x14ac:dyDescent="0.25">
      <c r="A333" s="25"/>
      <c r="B333" s="25"/>
      <c r="C333" s="11"/>
      <c r="D333" s="11"/>
      <c r="E333" s="11"/>
      <c r="F333" s="26" t="str">
        <f>IFERROR(IF(OR($B333="",$C333=""),"",INDEX('Cartes API'!$J:$J,MATCH($B333,'Cartes API'!$A:$A,0))&amp;INDEX('Cartes API'!$B:$B,MATCH($B333,'Cartes API'!$A:$A,0))&amp;"."&amp;INDEX('Cartes API'!$C:$C,MATCH($B333,'Cartes API'!$A:$A,0))&amp;"."&amp;$C333),"")</f>
        <v/>
      </c>
      <c r="G333" s="26" t="str">
        <f>IFERROR(IF($B333="","",INDEX('Cartes API'!$H:$H,MATCH($B333,'Cartes API'!$A:$A,0))),"")</f>
        <v/>
      </c>
      <c r="H333" s="11"/>
      <c r="I333" s="26" t="str">
        <f t="shared" si="5"/>
        <v/>
      </c>
      <c r="J333" s="26" t="str">
        <f>IFERROR(INDEX(Cablage!$A:$A,MATCH($I333,Cablage!$F:$F,0)),"")</f>
        <v/>
      </c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</row>
    <row r="334" spans="1:50" ht="15" customHeight="1" x14ac:dyDescent="0.25">
      <c r="A334" s="25"/>
      <c r="B334" s="25"/>
      <c r="C334" s="11"/>
      <c r="D334" s="11"/>
      <c r="E334" s="11"/>
      <c r="F334" s="26" t="str">
        <f>IFERROR(IF(OR($B334="",$C334=""),"",INDEX('Cartes API'!$J:$J,MATCH($B334,'Cartes API'!$A:$A,0))&amp;INDEX('Cartes API'!$B:$B,MATCH($B334,'Cartes API'!$A:$A,0))&amp;"."&amp;INDEX('Cartes API'!$C:$C,MATCH($B334,'Cartes API'!$A:$A,0))&amp;"."&amp;$C334),"")</f>
        <v/>
      </c>
      <c r="G334" s="26" t="str">
        <f>IFERROR(IF($B334="","",INDEX('Cartes API'!$H:$H,MATCH($B334,'Cartes API'!$A:$A,0))),"")</f>
        <v/>
      </c>
      <c r="H334" s="11"/>
      <c r="I334" s="26" t="str">
        <f t="shared" si="5"/>
        <v/>
      </c>
      <c r="J334" s="26" t="str">
        <f>IFERROR(INDEX(Cablage!$A:$A,MATCH($I334,Cablage!$F:$F,0)),"")</f>
        <v/>
      </c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</row>
    <row r="335" spans="1:50" ht="15" customHeight="1" x14ac:dyDescent="0.25">
      <c r="A335" s="25"/>
      <c r="B335" s="25"/>
      <c r="C335" s="11"/>
      <c r="D335" s="11"/>
      <c r="E335" s="11"/>
      <c r="F335" s="26" t="str">
        <f>IFERROR(IF(OR($B335="",$C335=""),"",INDEX('Cartes API'!$J:$J,MATCH($B335,'Cartes API'!$A:$A,0))&amp;INDEX('Cartes API'!$B:$B,MATCH($B335,'Cartes API'!$A:$A,0))&amp;"."&amp;INDEX('Cartes API'!$C:$C,MATCH($B335,'Cartes API'!$A:$A,0))&amp;"."&amp;$C335),"")</f>
        <v/>
      </c>
      <c r="G335" s="26" t="str">
        <f>IFERROR(IF($B335="","",INDEX('Cartes API'!$H:$H,MATCH($B335,'Cartes API'!$A:$A,0))),"")</f>
        <v/>
      </c>
      <c r="H335" s="11"/>
      <c r="I335" s="26" t="str">
        <f t="shared" si="5"/>
        <v/>
      </c>
      <c r="J335" s="26" t="str">
        <f>IFERROR(INDEX(Cablage!$A:$A,MATCH($I335,Cablage!$F:$F,0)),"")</f>
        <v/>
      </c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</row>
    <row r="336" spans="1:50" ht="15" customHeight="1" x14ac:dyDescent="0.25">
      <c r="A336" s="25"/>
      <c r="B336" s="25"/>
      <c r="C336" s="11"/>
      <c r="D336" s="11"/>
      <c r="E336" s="11"/>
      <c r="F336" s="26" t="str">
        <f>IFERROR(IF(OR($B336="",$C336=""),"",INDEX('Cartes API'!$J:$J,MATCH($B336,'Cartes API'!$A:$A,0))&amp;INDEX('Cartes API'!$B:$B,MATCH($B336,'Cartes API'!$A:$A,0))&amp;"."&amp;INDEX('Cartes API'!$C:$C,MATCH($B336,'Cartes API'!$A:$A,0))&amp;"."&amp;$C336),"")</f>
        <v/>
      </c>
      <c r="G336" s="26" t="str">
        <f>IFERROR(IF($B336="","",INDEX('Cartes API'!$H:$H,MATCH($B336,'Cartes API'!$A:$A,0))),"")</f>
        <v/>
      </c>
      <c r="H336" s="11"/>
      <c r="I336" s="26" t="str">
        <f t="shared" si="5"/>
        <v/>
      </c>
      <c r="J336" s="26" t="str">
        <f>IFERROR(INDEX(Cablage!$A:$A,MATCH($I336,Cablage!$F:$F,0)),"")</f>
        <v/>
      </c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</row>
    <row r="337" spans="1:50" ht="15" customHeight="1" x14ac:dyDescent="0.25">
      <c r="A337" s="25"/>
      <c r="B337" s="25"/>
      <c r="C337" s="11"/>
      <c r="D337" s="11"/>
      <c r="E337" s="11"/>
      <c r="F337" s="26" t="str">
        <f>IFERROR(IF(OR($B337="",$C337=""),"",INDEX('Cartes API'!$J:$J,MATCH($B337,'Cartes API'!$A:$A,0))&amp;INDEX('Cartes API'!$B:$B,MATCH($B337,'Cartes API'!$A:$A,0))&amp;"."&amp;INDEX('Cartes API'!$C:$C,MATCH($B337,'Cartes API'!$A:$A,0))&amp;"."&amp;$C337),"")</f>
        <v/>
      </c>
      <c r="G337" s="26" t="str">
        <f>IFERROR(IF($B337="","",INDEX('Cartes API'!$H:$H,MATCH($B337,'Cartes API'!$A:$A,0))),"")</f>
        <v/>
      </c>
      <c r="H337" s="11"/>
      <c r="I337" s="26" t="str">
        <f t="shared" si="5"/>
        <v/>
      </c>
      <c r="J337" s="26" t="str">
        <f>IFERROR(INDEX(Cablage!$A:$A,MATCH($I337,Cablage!$F:$F,0)),"")</f>
        <v/>
      </c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</row>
    <row r="338" spans="1:50" ht="15" customHeight="1" x14ac:dyDescent="0.25">
      <c r="A338" s="25"/>
      <c r="B338" s="25"/>
      <c r="C338" s="11"/>
      <c r="D338" s="11"/>
      <c r="E338" s="11"/>
      <c r="F338" s="26" t="str">
        <f>IFERROR(IF(OR($B338="",$C338=""),"",INDEX('Cartes API'!$J:$J,MATCH($B338,'Cartes API'!$A:$A,0))&amp;INDEX('Cartes API'!$B:$B,MATCH($B338,'Cartes API'!$A:$A,0))&amp;"."&amp;INDEX('Cartes API'!$C:$C,MATCH($B338,'Cartes API'!$A:$A,0))&amp;"."&amp;$C338),"")</f>
        <v/>
      </c>
      <c r="G338" s="26" t="str">
        <f>IFERROR(IF($B338="","",INDEX('Cartes API'!$H:$H,MATCH($B338,'Cartes API'!$A:$A,0))),"")</f>
        <v/>
      </c>
      <c r="H338" s="11"/>
      <c r="I338" s="26" t="str">
        <f t="shared" si="5"/>
        <v/>
      </c>
      <c r="J338" s="26" t="str">
        <f>IFERROR(INDEX(Cablage!$A:$A,MATCH($I338,Cablage!$F:$F,0)),"")</f>
        <v/>
      </c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</row>
    <row r="339" spans="1:50" ht="15" customHeight="1" x14ac:dyDescent="0.25">
      <c r="A339" s="25"/>
      <c r="B339" s="25"/>
      <c r="C339" s="11"/>
      <c r="D339" s="11"/>
      <c r="E339" s="11"/>
      <c r="F339" s="26" t="str">
        <f>IFERROR(IF(OR($B339="",$C339=""),"",INDEX('Cartes API'!$J:$J,MATCH($B339,'Cartes API'!$A:$A,0))&amp;INDEX('Cartes API'!$B:$B,MATCH($B339,'Cartes API'!$A:$A,0))&amp;"."&amp;INDEX('Cartes API'!$C:$C,MATCH($B339,'Cartes API'!$A:$A,0))&amp;"."&amp;$C339),"")</f>
        <v/>
      </c>
      <c r="G339" s="26" t="str">
        <f>IFERROR(IF($B339="","",INDEX('Cartes API'!$H:$H,MATCH($B339,'Cartes API'!$A:$A,0))),"")</f>
        <v/>
      </c>
      <c r="H339" s="11"/>
      <c r="I339" s="26" t="str">
        <f t="shared" si="5"/>
        <v/>
      </c>
      <c r="J339" s="26" t="str">
        <f>IFERROR(INDEX(Cablage!$A:$A,MATCH($I339,Cablage!$F:$F,0)),"")</f>
        <v/>
      </c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</row>
    <row r="340" spans="1:50" ht="15" customHeight="1" x14ac:dyDescent="0.25">
      <c r="A340" s="25"/>
      <c r="B340" s="25"/>
      <c r="C340" s="11"/>
      <c r="D340" s="11"/>
      <c r="E340" s="11"/>
      <c r="F340" s="26" t="str">
        <f>IFERROR(IF(OR($B340="",$C340=""),"",INDEX('Cartes API'!$J:$J,MATCH($B340,'Cartes API'!$A:$A,0))&amp;INDEX('Cartes API'!$B:$B,MATCH($B340,'Cartes API'!$A:$A,0))&amp;"."&amp;INDEX('Cartes API'!$C:$C,MATCH($B340,'Cartes API'!$A:$A,0))&amp;"."&amp;$C340),"")</f>
        <v/>
      </c>
      <c r="G340" s="26" t="str">
        <f>IFERROR(IF($B340="","",INDEX('Cartes API'!$H:$H,MATCH($B340,'Cartes API'!$A:$A,0))),"")</f>
        <v/>
      </c>
      <c r="H340" s="11"/>
      <c r="I340" s="26" t="str">
        <f t="shared" si="5"/>
        <v/>
      </c>
      <c r="J340" s="26" t="str">
        <f>IFERROR(INDEX(Cablage!$A:$A,MATCH($I340,Cablage!$F:$F,0)),"")</f>
        <v/>
      </c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</row>
    <row r="341" spans="1:50" ht="15" customHeight="1" x14ac:dyDescent="0.25">
      <c r="A341" s="25"/>
      <c r="B341" s="25"/>
      <c r="C341" s="11"/>
      <c r="D341" s="11"/>
      <c r="E341" s="11"/>
      <c r="F341" s="26" t="str">
        <f>IFERROR(IF(OR($B341="",$C341=""),"",INDEX('Cartes API'!$J:$J,MATCH($B341,'Cartes API'!$A:$A,0))&amp;INDEX('Cartes API'!$B:$B,MATCH($B341,'Cartes API'!$A:$A,0))&amp;"."&amp;INDEX('Cartes API'!$C:$C,MATCH($B341,'Cartes API'!$A:$A,0))&amp;"."&amp;$C341),"")</f>
        <v/>
      </c>
      <c r="G341" s="26" t="str">
        <f>IFERROR(IF($B341="","",INDEX('Cartes API'!$H:$H,MATCH($B341,'Cartes API'!$A:$A,0))),"")</f>
        <v/>
      </c>
      <c r="H341" s="11"/>
      <c r="I341" s="26" t="str">
        <f t="shared" si="5"/>
        <v/>
      </c>
      <c r="J341" s="26" t="str">
        <f>IFERROR(INDEX(Cablage!$A:$A,MATCH($I341,Cablage!$F:$F,0)),"")</f>
        <v/>
      </c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</row>
    <row r="342" spans="1:50" ht="15" customHeight="1" x14ac:dyDescent="0.25">
      <c r="A342" s="25"/>
      <c r="B342" s="25"/>
      <c r="C342" s="11"/>
      <c r="D342" s="11"/>
      <c r="E342" s="11"/>
      <c r="F342" s="26" t="str">
        <f>IFERROR(IF(OR($B342="",$C342=""),"",INDEX('Cartes API'!$J:$J,MATCH($B342,'Cartes API'!$A:$A,0))&amp;INDEX('Cartes API'!$B:$B,MATCH($B342,'Cartes API'!$A:$A,0))&amp;"."&amp;INDEX('Cartes API'!$C:$C,MATCH($B342,'Cartes API'!$A:$A,0))&amp;"."&amp;$C342),"")</f>
        <v/>
      </c>
      <c r="G342" s="26" t="str">
        <f>IFERROR(IF($B342="","",INDEX('Cartes API'!$H:$H,MATCH($B342,'Cartes API'!$A:$A,0))),"")</f>
        <v/>
      </c>
      <c r="H342" s="11"/>
      <c r="I342" s="26" t="str">
        <f t="shared" si="5"/>
        <v/>
      </c>
      <c r="J342" s="26" t="str">
        <f>IFERROR(INDEX(Cablage!$A:$A,MATCH($I342,Cablage!$F:$F,0)),"")</f>
        <v/>
      </c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</row>
    <row r="343" spans="1:50" ht="15" customHeight="1" x14ac:dyDescent="0.25">
      <c r="A343" s="25"/>
      <c r="B343" s="25"/>
      <c r="C343" s="11"/>
      <c r="D343" s="11"/>
      <c r="E343" s="11"/>
      <c r="F343" s="26" t="str">
        <f>IFERROR(IF(OR($B343="",$C343=""),"",INDEX('Cartes API'!$J:$J,MATCH($B343,'Cartes API'!$A:$A,0))&amp;INDEX('Cartes API'!$B:$B,MATCH($B343,'Cartes API'!$A:$A,0))&amp;"."&amp;INDEX('Cartes API'!$C:$C,MATCH($B343,'Cartes API'!$A:$A,0))&amp;"."&amp;$C343),"")</f>
        <v/>
      </c>
      <c r="G343" s="26" t="str">
        <f>IFERROR(IF($B343="","",INDEX('Cartes API'!$H:$H,MATCH($B343,'Cartes API'!$A:$A,0))),"")</f>
        <v/>
      </c>
      <c r="H343" s="11"/>
      <c r="I343" s="26" t="str">
        <f t="shared" si="5"/>
        <v/>
      </c>
      <c r="J343" s="26" t="str">
        <f>IFERROR(INDEX(Cablage!$A:$A,MATCH($I343,Cablage!$F:$F,0)),"")</f>
        <v/>
      </c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</row>
    <row r="344" spans="1:50" ht="15" customHeight="1" x14ac:dyDescent="0.25">
      <c r="A344" s="25"/>
      <c r="B344" s="25"/>
      <c r="C344" s="11"/>
      <c r="D344" s="11"/>
      <c r="E344" s="11"/>
      <c r="F344" s="26" t="str">
        <f>IFERROR(IF(OR($B344="",$C344=""),"",INDEX('Cartes API'!$J:$J,MATCH($B344,'Cartes API'!$A:$A,0))&amp;INDEX('Cartes API'!$B:$B,MATCH($B344,'Cartes API'!$A:$A,0))&amp;"."&amp;INDEX('Cartes API'!$C:$C,MATCH($B344,'Cartes API'!$A:$A,0))&amp;"."&amp;$C344),"")</f>
        <v/>
      </c>
      <c r="G344" s="26" t="str">
        <f>IFERROR(IF($B344="","",INDEX('Cartes API'!$H:$H,MATCH($B344,'Cartes API'!$A:$A,0))),"")</f>
        <v/>
      </c>
      <c r="H344" s="11"/>
      <c r="I344" s="26" t="str">
        <f t="shared" si="5"/>
        <v/>
      </c>
      <c r="J344" s="26" t="str">
        <f>IFERROR(INDEX(Cablage!$A:$A,MATCH($I344,Cablage!$F:$F,0)),"")</f>
        <v/>
      </c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</row>
    <row r="345" spans="1:50" ht="15" customHeight="1" x14ac:dyDescent="0.25">
      <c r="A345" s="25"/>
      <c r="B345" s="25"/>
      <c r="C345" s="11"/>
      <c r="D345" s="11"/>
      <c r="E345" s="11"/>
      <c r="F345" s="26" t="str">
        <f>IFERROR(IF(OR($B345="",$C345=""),"",INDEX('Cartes API'!$J:$J,MATCH($B345,'Cartes API'!$A:$A,0))&amp;INDEX('Cartes API'!$B:$B,MATCH($B345,'Cartes API'!$A:$A,0))&amp;"."&amp;INDEX('Cartes API'!$C:$C,MATCH($B345,'Cartes API'!$A:$A,0))&amp;"."&amp;$C345),"")</f>
        <v/>
      </c>
      <c r="G345" s="26" t="str">
        <f>IFERROR(IF($B345="","",INDEX('Cartes API'!$H:$H,MATCH($B345,'Cartes API'!$A:$A,0))),"")</f>
        <v/>
      </c>
      <c r="H345" s="11"/>
      <c r="I345" s="26" t="str">
        <f t="shared" si="5"/>
        <v/>
      </c>
      <c r="J345" s="26" t="str">
        <f>IFERROR(INDEX(Cablage!$A:$A,MATCH($I345,Cablage!$F:$F,0)),"")</f>
        <v/>
      </c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</row>
    <row r="346" spans="1:50" ht="15" customHeight="1" x14ac:dyDescent="0.25">
      <c r="A346" s="25"/>
      <c r="B346" s="25"/>
      <c r="C346" s="11"/>
      <c r="D346" s="11"/>
      <c r="E346" s="11"/>
      <c r="F346" s="26" t="str">
        <f>IFERROR(IF(OR($B346="",$C346=""),"",INDEX('Cartes API'!$J:$J,MATCH($B346,'Cartes API'!$A:$A,0))&amp;INDEX('Cartes API'!$B:$B,MATCH($B346,'Cartes API'!$A:$A,0))&amp;"."&amp;INDEX('Cartes API'!$C:$C,MATCH($B346,'Cartes API'!$A:$A,0))&amp;"."&amp;$C346),"")</f>
        <v/>
      </c>
      <c r="G346" s="26" t="str">
        <f>IFERROR(IF($B346="","",INDEX('Cartes API'!$H:$H,MATCH($B346,'Cartes API'!$A:$A,0))),"")</f>
        <v/>
      </c>
      <c r="H346" s="11"/>
      <c r="I346" s="26" t="str">
        <f t="shared" si="5"/>
        <v/>
      </c>
      <c r="J346" s="26" t="str">
        <f>IFERROR(INDEX(Cablage!$A:$A,MATCH($I346,Cablage!$F:$F,0)),"")</f>
        <v/>
      </c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</row>
    <row r="347" spans="1:50" ht="15" customHeight="1" x14ac:dyDescent="0.25">
      <c r="A347" s="25"/>
      <c r="B347" s="25"/>
      <c r="C347" s="11"/>
      <c r="D347" s="11"/>
      <c r="E347" s="11"/>
      <c r="F347" s="26" t="str">
        <f>IFERROR(IF(OR($B347="",$C347=""),"",INDEX('Cartes API'!$J:$J,MATCH($B347,'Cartes API'!$A:$A,0))&amp;INDEX('Cartes API'!$B:$B,MATCH($B347,'Cartes API'!$A:$A,0))&amp;"."&amp;INDEX('Cartes API'!$C:$C,MATCH($B347,'Cartes API'!$A:$A,0))&amp;"."&amp;$C347),"")</f>
        <v/>
      </c>
      <c r="G347" s="26" t="str">
        <f>IFERROR(IF($B347="","",INDEX('Cartes API'!$H:$H,MATCH($B347,'Cartes API'!$A:$A,0))),"")</f>
        <v/>
      </c>
      <c r="H347" s="11"/>
      <c r="I347" s="26" t="str">
        <f t="shared" si="5"/>
        <v/>
      </c>
      <c r="J347" s="26" t="str">
        <f>IFERROR(INDEX(Cablage!$A:$A,MATCH($I347,Cablage!$F:$F,0)),"")</f>
        <v/>
      </c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</row>
    <row r="348" spans="1:50" ht="15" customHeight="1" x14ac:dyDescent="0.25">
      <c r="A348" s="25"/>
      <c r="B348" s="25"/>
      <c r="C348" s="11"/>
      <c r="D348" s="11"/>
      <c r="E348" s="11"/>
      <c r="F348" s="26" t="str">
        <f>IFERROR(IF(OR($B348="",$C348=""),"",INDEX('Cartes API'!$J:$J,MATCH($B348,'Cartes API'!$A:$A,0))&amp;INDEX('Cartes API'!$B:$B,MATCH($B348,'Cartes API'!$A:$A,0))&amp;"."&amp;INDEX('Cartes API'!$C:$C,MATCH($B348,'Cartes API'!$A:$A,0))&amp;"."&amp;$C348),"")</f>
        <v/>
      </c>
      <c r="G348" s="26" t="str">
        <f>IFERROR(IF($B348="","",INDEX('Cartes API'!$H:$H,MATCH($B348,'Cartes API'!$A:$A,0))),"")</f>
        <v/>
      </c>
      <c r="H348" s="11"/>
      <c r="I348" s="26" t="str">
        <f t="shared" si="5"/>
        <v/>
      </c>
      <c r="J348" s="26" t="str">
        <f>IFERROR(INDEX(Cablage!$A:$A,MATCH($I348,Cablage!$F:$F,0)),"")</f>
        <v/>
      </c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</row>
    <row r="349" spans="1:50" ht="15" customHeight="1" x14ac:dyDescent="0.25">
      <c r="A349" s="25"/>
      <c r="B349" s="25"/>
      <c r="C349" s="11"/>
      <c r="D349" s="11"/>
      <c r="E349" s="11"/>
      <c r="F349" s="26" t="str">
        <f>IFERROR(IF(OR($B349="",$C349=""),"",INDEX('Cartes API'!$J:$J,MATCH($B349,'Cartes API'!$A:$A,0))&amp;INDEX('Cartes API'!$B:$B,MATCH($B349,'Cartes API'!$A:$A,0))&amp;"."&amp;INDEX('Cartes API'!$C:$C,MATCH($B349,'Cartes API'!$A:$A,0))&amp;"."&amp;$C349),"")</f>
        <v/>
      </c>
      <c r="G349" s="26" t="str">
        <f>IFERROR(IF($B349="","",INDEX('Cartes API'!$H:$H,MATCH($B349,'Cartes API'!$A:$A,0))),"")</f>
        <v/>
      </c>
      <c r="H349" s="11"/>
      <c r="I349" s="26" t="str">
        <f t="shared" si="5"/>
        <v/>
      </c>
      <c r="J349" s="26" t="str">
        <f>IFERROR(INDEX(Cablage!$A:$A,MATCH($I349,Cablage!$F:$F,0)),"")</f>
        <v/>
      </c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</row>
    <row r="350" spans="1:50" ht="15" customHeight="1" x14ac:dyDescent="0.25">
      <c r="A350" s="25"/>
      <c r="B350" s="25"/>
      <c r="C350" s="11"/>
      <c r="D350" s="11"/>
      <c r="E350" s="11"/>
      <c r="F350" s="26" t="str">
        <f>IFERROR(IF(OR($B350="",$C350=""),"",INDEX('Cartes API'!$J:$J,MATCH($B350,'Cartes API'!$A:$A,0))&amp;INDEX('Cartes API'!$B:$B,MATCH($B350,'Cartes API'!$A:$A,0))&amp;"."&amp;INDEX('Cartes API'!$C:$C,MATCH($B350,'Cartes API'!$A:$A,0))&amp;"."&amp;$C350),"")</f>
        <v/>
      </c>
      <c r="G350" s="26" t="str">
        <f>IFERROR(IF($B350="","",INDEX('Cartes API'!$H:$H,MATCH($B350,'Cartes API'!$A:$A,0))),"")</f>
        <v/>
      </c>
      <c r="H350" s="11"/>
      <c r="I350" s="26" t="str">
        <f t="shared" si="5"/>
        <v/>
      </c>
      <c r="J350" s="26" t="str">
        <f>IFERROR(INDEX(Cablage!$A:$A,MATCH($I350,Cablage!$F:$F,0)),"")</f>
        <v/>
      </c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</row>
    <row r="351" spans="1:50" ht="15" customHeight="1" x14ac:dyDescent="0.25">
      <c r="A351" s="25"/>
      <c r="B351" s="25"/>
      <c r="C351" s="11"/>
      <c r="D351" s="11"/>
      <c r="E351" s="11"/>
      <c r="F351" s="26" t="str">
        <f>IFERROR(IF(OR($B351="",$C351=""),"",INDEX('Cartes API'!$J:$J,MATCH($B351,'Cartes API'!$A:$A,0))&amp;INDEX('Cartes API'!$B:$B,MATCH($B351,'Cartes API'!$A:$A,0))&amp;"."&amp;INDEX('Cartes API'!$C:$C,MATCH($B351,'Cartes API'!$A:$A,0))&amp;"."&amp;$C351),"")</f>
        <v/>
      </c>
      <c r="G351" s="26" t="str">
        <f>IFERROR(IF($B351="","",INDEX('Cartes API'!$H:$H,MATCH($B351,'Cartes API'!$A:$A,0))),"")</f>
        <v/>
      </c>
      <c r="H351" s="11"/>
      <c r="I351" s="26" t="str">
        <f t="shared" si="5"/>
        <v/>
      </c>
      <c r="J351" s="26" t="str">
        <f>IFERROR(INDEX(Cablage!$A:$A,MATCH($I351,Cablage!$F:$F,0)),"")</f>
        <v/>
      </c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</row>
    <row r="352" spans="1:50" ht="15" customHeight="1" x14ac:dyDescent="0.25">
      <c r="A352" s="25"/>
      <c r="B352" s="25"/>
      <c r="C352" s="11"/>
      <c r="D352" s="11"/>
      <c r="E352" s="11"/>
      <c r="F352" s="26" t="str">
        <f>IFERROR(IF(OR($B352="",$C352=""),"",INDEX('Cartes API'!$J:$J,MATCH($B352,'Cartes API'!$A:$A,0))&amp;INDEX('Cartes API'!$B:$B,MATCH($B352,'Cartes API'!$A:$A,0))&amp;"."&amp;INDEX('Cartes API'!$C:$C,MATCH($B352,'Cartes API'!$A:$A,0))&amp;"."&amp;$C352),"")</f>
        <v/>
      </c>
      <c r="G352" s="26" t="str">
        <f>IFERROR(IF($B352="","",INDEX('Cartes API'!$H:$H,MATCH($B352,'Cartes API'!$A:$A,0))),"")</f>
        <v/>
      </c>
      <c r="H352" s="11"/>
      <c r="I352" s="26" t="str">
        <f t="shared" si="5"/>
        <v/>
      </c>
      <c r="J352" s="26" t="str">
        <f>IFERROR(INDEX(Cablage!$A:$A,MATCH($I352,Cablage!$F:$F,0)),"")</f>
        <v/>
      </c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</row>
    <row r="353" spans="1:50" ht="15" customHeight="1" x14ac:dyDescent="0.25">
      <c r="A353" s="25"/>
      <c r="B353" s="25"/>
      <c r="C353" s="11"/>
      <c r="D353" s="11"/>
      <c r="E353" s="11"/>
      <c r="F353" s="26" t="str">
        <f>IFERROR(IF(OR($B353="",$C353=""),"",INDEX('Cartes API'!$J:$J,MATCH($B353,'Cartes API'!$A:$A,0))&amp;INDEX('Cartes API'!$B:$B,MATCH($B353,'Cartes API'!$A:$A,0))&amp;"."&amp;INDEX('Cartes API'!$C:$C,MATCH($B353,'Cartes API'!$A:$A,0))&amp;"."&amp;$C353),"")</f>
        <v/>
      </c>
      <c r="G353" s="26" t="str">
        <f>IFERROR(IF($B353="","",INDEX('Cartes API'!$H:$H,MATCH($B353,'Cartes API'!$A:$A,0))),"")</f>
        <v/>
      </c>
      <c r="H353" s="11"/>
      <c r="I353" s="26" t="str">
        <f t="shared" si="5"/>
        <v/>
      </c>
      <c r="J353" s="26" t="str">
        <f>IFERROR(INDEX(Cablage!$A:$A,MATCH($I353,Cablage!$F:$F,0)),"")</f>
        <v/>
      </c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</row>
    <row r="354" spans="1:50" ht="15" customHeight="1" x14ac:dyDescent="0.25">
      <c r="A354" s="25"/>
      <c r="B354" s="25"/>
      <c r="C354" s="11"/>
      <c r="D354" s="11"/>
      <c r="E354" s="11"/>
      <c r="F354" s="26" t="str">
        <f>IFERROR(IF(OR($B354="",$C354=""),"",INDEX('Cartes API'!$J:$J,MATCH($B354,'Cartes API'!$A:$A,0))&amp;INDEX('Cartes API'!$B:$B,MATCH($B354,'Cartes API'!$A:$A,0))&amp;"."&amp;INDEX('Cartes API'!$C:$C,MATCH($B354,'Cartes API'!$A:$A,0))&amp;"."&amp;$C354),"")</f>
        <v/>
      </c>
      <c r="G354" s="26" t="str">
        <f>IFERROR(IF($B354="","",INDEX('Cartes API'!$H:$H,MATCH($B354,'Cartes API'!$A:$A,0))),"")</f>
        <v/>
      </c>
      <c r="H354" s="11"/>
      <c r="I354" s="26" t="str">
        <f t="shared" si="5"/>
        <v/>
      </c>
      <c r="J354" s="26" t="str">
        <f>IFERROR(INDEX(Cablage!$A:$A,MATCH($I354,Cablage!$F:$F,0)),"")</f>
        <v/>
      </c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</row>
    <row r="355" spans="1:50" ht="15" customHeight="1" x14ac:dyDescent="0.25">
      <c r="A355" s="25"/>
      <c r="B355" s="25"/>
      <c r="C355" s="11"/>
      <c r="D355" s="11"/>
      <c r="E355" s="11"/>
      <c r="F355" s="26" t="str">
        <f>IFERROR(IF(OR($B355="",$C355=""),"",INDEX('Cartes API'!$J:$J,MATCH($B355,'Cartes API'!$A:$A,0))&amp;INDEX('Cartes API'!$B:$B,MATCH($B355,'Cartes API'!$A:$A,0))&amp;"."&amp;INDEX('Cartes API'!$C:$C,MATCH($B355,'Cartes API'!$A:$A,0))&amp;"."&amp;$C355),"")</f>
        <v/>
      </c>
      <c r="G355" s="26" t="str">
        <f>IFERROR(IF($B355="","",INDEX('Cartes API'!$H:$H,MATCH($B355,'Cartes API'!$A:$A,0))),"")</f>
        <v/>
      </c>
      <c r="H355" s="11"/>
      <c r="I355" s="26" t="str">
        <f t="shared" si="5"/>
        <v/>
      </c>
      <c r="J355" s="26" t="str">
        <f>IFERROR(INDEX(Cablage!$A:$A,MATCH($I355,Cablage!$F:$F,0)),"")</f>
        <v/>
      </c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</row>
    <row r="356" spans="1:50" ht="15" customHeight="1" x14ac:dyDescent="0.25">
      <c r="A356" s="25"/>
      <c r="B356" s="25"/>
      <c r="C356" s="11"/>
      <c r="D356" s="11"/>
      <c r="E356" s="11"/>
      <c r="F356" s="26" t="str">
        <f>IFERROR(IF(OR($B356="",$C356=""),"",INDEX('Cartes API'!$J:$J,MATCH($B356,'Cartes API'!$A:$A,0))&amp;INDEX('Cartes API'!$B:$B,MATCH($B356,'Cartes API'!$A:$A,0))&amp;"."&amp;INDEX('Cartes API'!$C:$C,MATCH($B356,'Cartes API'!$A:$A,0))&amp;"."&amp;$C356),"")</f>
        <v/>
      </c>
      <c r="G356" s="26" t="str">
        <f>IFERROR(IF($B356="","",INDEX('Cartes API'!$H:$H,MATCH($B356,'Cartes API'!$A:$A,0))),"")</f>
        <v/>
      </c>
      <c r="H356" s="11"/>
      <c r="I356" s="26" t="str">
        <f t="shared" si="5"/>
        <v/>
      </c>
      <c r="J356" s="26" t="str">
        <f>IFERROR(INDEX(Cablage!$A:$A,MATCH($I356,Cablage!$F:$F,0)),"")</f>
        <v/>
      </c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</row>
    <row r="357" spans="1:50" ht="15" customHeight="1" x14ac:dyDescent="0.25">
      <c r="A357" s="25"/>
      <c r="B357" s="25"/>
      <c r="C357" s="11"/>
      <c r="D357" s="11"/>
      <c r="E357" s="11"/>
      <c r="F357" s="26" t="str">
        <f>IFERROR(IF(OR($B357="",$C357=""),"",INDEX('Cartes API'!$J:$J,MATCH($B357,'Cartes API'!$A:$A,0))&amp;INDEX('Cartes API'!$B:$B,MATCH($B357,'Cartes API'!$A:$A,0))&amp;"."&amp;INDEX('Cartes API'!$C:$C,MATCH($B357,'Cartes API'!$A:$A,0))&amp;"."&amp;$C357),"")</f>
        <v/>
      </c>
      <c r="G357" s="26" t="str">
        <f>IFERROR(IF($B357="","",INDEX('Cartes API'!$H:$H,MATCH($B357,'Cartes API'!$A:$A,0))),"")</f>
        <v/>
      </c>
      <c r="H357" s="11"/>
      <c r="I357" s="26" t="str">
        <f t="shared" si="5"/>
        <v/>
      </c>
      <c r="J357" s="26" t="str">
        <f>IFERROR(INDEX(Cablage!$A:$A,MATCH($I357,Cablage!$F:$F,0)),"")</f>
        <v/>
      </c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</row>
    <row r="358" spans="1:50" ht="15" customHeight="1" x14ac:dyDescent="0.25">
      <c r="A358" s="25"/>
      <c r="B358" s="25"/>
      <c r="C358" s="11"/>
      <c r="D358" s="11"/>
      <c r="E358" s="11"/>
      <c r="F358" s="26" t="str">
        <f>IFERROR(IF(OR($B358="",$C358=""),"",INDEX('Cartes API'!$J:$J,MATCH($B358,'Cartes API'!$A:$A,0))&amp;INDEX('Cartes API'!$B:$B,MATCH($B358,'Cartes API'!$A:$A,0))&amp;"."&amp;INDEX('Cartes API'!$C:$C,MATCH($B358,'Cartes API'!$A:$A,0))&amp;"."&amp;$C358),"")</f>
        <v/>
      </c>
      <c r="G358" s="26" t="str">
        <f>IFERROR(IF($B358="","",INDEX('Cartes API'!$H:$H,MATCH($B358,'Cartes API'!$A:$A,0))),"")</f>
        <v/>
      </c>
      <c r="H358" s="11"/>
      <c r="I358" s="26" t="str">
        <f t="shared" si="5"/>
        <v/>
      </c>
      <c r="J358" s="26" t="str">
        <f>IFERROR(INDEX(Cablage!$A:$A,MATCH($I358,Cablage!$F:$F,0)),"")</f>
        <v/>
      </c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</row>
    <row r="359" spans="1:50" ht="15" customHeight="1" x14ac:dyDescent="0.25">
      <c r="A359" s="25"/>
      <c r="B359" s="25"/>
      <c r="C359" s="11"/>
      <c r="D359" s="11"/>
      <c r="E359" s="11"/>
      <c r="F359" s="26" t="str">
        <f>IFERROR(IF(OR($B359="",$C359=""),"",INDEX('Cartes API'!$J:$J,MATCH($B359,'Cartes API'!$A:$A,0))&amp;INDEX('Cartes API'!$B:$B,MATCH($B359,'Cartes API'!$A:$A,0))&amp;"."&amp;INDEX('Cartes API'!$C:$C,MATCH($B359,'Cartes API'!$A:$A,0))&amp;"."&amp;$C359),"")</f>
        <v/>
      </c>
      <c r="G359" s="26" t="str">
        <f>IFERROR(IF($B359="","",INDEX('Cartes API'!$H:$H,MATCH($B359,'Cartes API'!$A:$A,0))),"")</f>
        <v/>
      </c>
      <c r="H359" s="11"/>
      <c r="I359" s="26" t="str">
        <f t="shared" si="5"/>
        <v/>
      </c>
      <c r="J359" s="26" t="str">
        <f>IFERROR(INDEX(Cablage!$A:$A,MATCH($I359,Cablage!$F:$F,0)),"")</f>
        <v/>
      </c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</row>
    <row r="360" spans="1:50" ht="15" customHeight="1" x14ac:dyDescent="0.25">
      <c r="A360" s="25"/>
      <c r="B360" s="25"/>
      <c r="C360" s="11"/>
      <c r="D360" s="11"/>
      <c r="E360" s="11"/>
      <c r="F360" s="26" t="str">
        <f>IFERROR(IF(OR($B360="",$C360=""),"",INDEX('Cartes API'!$J:$J,MATCH($B360,'Cartes API'!$A:$A,0))&amp;INDEX('Cartes API'!$B:$B,MATCH($B360,'Cartes API'!$A:$A,0))&amp;"."&amp;INDEX('Cartes API'!$C:$C,MATCH($B360,'Cartes API'!$A:$A,0))&amp;"."&amp;$C360),"")</f>
        <v/>
      </c>
      <c r="G360" s="26" t="str">
        <f>IFERROR(IF($B360="","",INDEX('Cartes API'!$H:$H,MATCH($B360,'Cartes API'!$A:$A,0))),"")</f>
        <v/>
      </c>
      <c r="H360" s="11"/>
      <c r="I360" s="26" t="str">
        <f t="shared" si="5"/>
        <v/>
      </c>
      <c r="J360" s="26" t="str">
        <f>IFERROR(INDEX(Cablage!$A:$A,MATCH($I360,Cablage!$F:$F,0)),"")</f>
        <v/>
      </c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</row>
    <row r="361" spans="1:50" ht="15" customHeight="1" x14ac:dyDescent="0.25">
      <c r="A361" s="25"/>
      <c r="B361" s="25"/>
      <c r="C361" s="11"/>
      <c r="D361" s="11"/>
      <c r="E361" s="11"/>
      <c r="F361" s="26" t="str">
        <f>IFERROR(IF(OR($B361="",$C361=""),"",INDEX('Cartes API'!$J:$J,MATCH($B361,'Cartes API'!$A:$A,0))&amp;INDEX('Cartes API'!$B:$B,MATCH($B361,'Cartes API'!$A:$A,0))&amp;"."&amp;INDEX('Cartes API'!$C:$C,MATCH($B361,'Cartes API'!$A:$A,0))&amp;"."&amp;$C361),"")</f>
        <v/>
      </c>
      <c r="G361" s="26" t="str">
        <f>IFERROR(IF($B361="","",INDEX('Cartes API'!$H:$H,MATCH($B361,'Cartes API'!$A:$A,0))),"")</f>
        <v/>
      </c>
      <c r="H361" s="11"/>
      <c r="I361" s="26" t="str">
        <f t="shared" si="5"/>
        <v/>
      </c>
      <c r="J361" s="26" t="str">
        <f>IFERROR(INDEX(Cablage!$A:$A,MATCH($I361,Cablage!$F:$F,0)),"")</f>
        <v/>
      </c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</row>
    <row r="362" spans="1:50" ht="15" customHeight="1" x14ac:dyDescent="0.25">
      <c r="A362" s="25"/>
      <c r="B362" s="25"/>
      <c r="C362" s="11"/>
      <c r="D362" s="11"/>
      <c r="E362" s="11"/>
      <c r="F362" s="26" t="str">
        <f>IFERROR(IF(OR($B362="",$C362=""),"",INDEX('Cartes API'!$J:$J,MATCH($B362,'Cartes API'!$A:$A,0))&amp;INDEX('Cartes API'!$B:$B,MATCH($B362,'Cartes API'!$A:$A,0))&amp;"."&amp;INDEX('Cartes API'!$C:$C,MATCH($B362,'Cartes API'!$A:$A,0))&amp;"."&amp;$C362),"")</f>
        <v/>
      </c>
      <c r="G362" s="26" t="str">
        <f>IFERROR(IF($B362="","",INDEX('Cartes API'!$H:$H,MATCH($B362,'Cartes API'!$A:$A,0))),"")</f>
        <v/>
      </c>
      <c r="H362" s="11"/>
      <c r="I362" s="26" t="str">
        <f t="shared" si="5"/>
        <v/>
      </c>
      <c r="J362" s="26" t="str">
        <f>IFERROR(INDEX(Cablage!$A:$A,MATCH($I362,Cablage!$F:$F,0)),"")</f>
        <v/>
      </c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</row>
    <row r="363" spans="1:50" ht="15" customHeight="1" x14ac:dyDescent="0.25">
      <c r="A363" s="25"/>
      <c r="B363" s="25"/>
      <c r="C363" s="11"/>
      <c r="D363" s="11"/>
      <c r="E363" s="11"/>
      <c r="F363" s="26" t="str">
        <f>IFERROR(IF(OR($B363="",$C363=""),"",INDEX('Cartes API'!$J:$J,MATCH($B363,'Cartes API'!$A:$A,0))&amp;INDEX('Cartes API'!$B:$B,MATCH($B363,'Cartes API'!$A:$A,0))&amp;"."&amp;INDEX('Cartes API'!$C:$C,MATCH($B363,'Cartes API'!$A:$A,0))&amp;"."&amp;$C363),"")</f>
        <v/>
      </c>
      <c r="G363" s="26" t="str">
        <f>IFERROR(IF($B363="","",INDEX('Cartes API'!$H:$H,MATCH($B363,'Cartes API'!$A:$A,0))),"")</f>
        <v/>
      </c>
      <c r="H363" s="11"/>
      <c r="I363" s="26" t="str">
        <f t="shared" si="5"/>
        <v/>
      </c>
      <c r="J363" s="26" t="str">
        <f>IFERROR(INDEX(Cablage!$A:$A,MATCH($I363,Cablage!$F:$F,0)),"")</f>
        <v/>
      </c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</row>
    <row r="364" spans="1:50" ht="15" customHeight="1" x14ac:dyDescent="0.25">
      <c r="A364" s="25"/>
      <c r="B364" s="25"/>
      <c r="C364" s="11"/>
      <c r="D364" s="11"/>
      <c r="E364" s="11"/>
      <c r="F364" s="26" t="str">
        <f>IFERROR(IF(OR($B364="",$C364=""),"",INDEX('Cartes API'!$J:$J,MATCH($B364,'Cartes API'!$A:$A,0))&amp;INDEX('Cartes API'!$B:$B,MATCH($B364,'Cartes API'!$A:$A,0))&amp;"."&amp;INDEX('Cartes API'!$C:$C,MATCH($B364,'Cartes API'!$A:$A,0))&amp;"."&amp;$C364),"")</f>
        <v/>
      </c>
      <c r="G364" s="26" t="str">
        <f>IFERROR(IF($B364="","",INDEX('Cartes API'!$H:$H,MATCH($B364,'Cartes API'!$A:$A,0))),"")</f>
        <v/>
      </c>
      <c r="H364" s="11"/>
      <c r="I364" s="26" t="str">
        <f t="shared" si="5"/>
        <v/>
      </c>
      <c r="J364" s="26" t="str">
        <f>IFERROR(INDEX(Cablage!$A:$A,MATCH($I364,Cablage!$F:$F,0)),"")</f>
        <v/>
      </c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</row>
    <row r="365" spans="1:50" ht="15" customHeight="1" x14ac:dyDescent="0.25">
      <c r="A365" s="25"/>
      <c r="B365" s="25"/>
      <c r="C365" s="11"/>
      <c r="D365" s="11"/>
      <c r="E365" s="11"/>
      <c r="F365" s="26" t="str">
        <f>IFERROR(IF(OR($B365="",$C365=""),"",INDEX('Cartes API'!$J:$J,MATCH($B365,'Cartes API'!$A:$A,0))&amp;INDEX('Cartes API'!$B:$B,MATCH($B365,'Cartes API'!$A:$A,0))&amp;"."&amp;INDEX('Cartes API'!$C:$C,MATCH($B365,'Cartes API'!$A:$A,0))&amp;"."&amp;$C365),"")</f>
        <v/>
      </c>
      <c r="G365" s="26" t="str">
        <f>IFERROR(IF($B365="","",INDEX('Cartes API'!$H:$H,MATCH($B365,'Cartes API'!$A:$A,0))),"")</f>
        <v/>
      </c>
      <c r="H365" s="11"/>
      <c r="I365" s="26" t="str">
        <f t="shared" si="5"/>
        <v/>
      </c>
      <c r="J365" s="26" t="str">
        <f>IFERROR(INDEX(Cablage!$A:$A,MATCH($I365,Cablage!$F:$F,0)),"")</f>
        <v/>
      </c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</row>
    <row r="366" spans="1:50" ht="15" customHeight="1" x14ac:dyDescent="0.25">
      <c r="A366" s="25"/>
      <c r="B366" s="25"/>
      <c r="C366" s="11"/>
      <c r="D366" s="11"/>
      <c r="E366" s="11"/>
      <c r="F366" s="26" t="str">
        <f>IFERROR(IF(OR($B366="",$C366=""),"",INDEX('Cartes API'!$J:$J,MATCH($B366,'Cartes API'!$A:$A,0))&amp;INDEX('Cartes API'!$B:$B,MATCH($B366,'Cartes API'!$A:$A,0))&amp;"."&amp;INDEX('Cartes API'!$C:$C,MATCH($B366,'Cartes API'!$A:$A,0))&amp;"."&amp;$C366),"")</f>
        <v/>
      </c>
      <c r="G366" s="26" t="str">
        <f>IFERROR(IF($B366="","",INDEX('Cartes API'!$H:$H,MATCH($B366,'Cartes API'!$A:$A,0))),"")</f>
        <v/>
      </c>
      <c r="H366" s="11"/>
      <c r="I366" s="26" t="str">
        <f t="shared" si="5"/>
        <v/>
      </c>
      <c r="J366" s="26" t="str">
        <f>IFERROR(INDEX(Cablage!$A:$A,MATCH($I366,Cablage!$F:$F,0)),"")</f>
        <v/>
      </c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</row>
    <row r="367" spans="1:50" ht="15" customHeight="1" x14ac:dyDescent="0.25">
      <c r="A367" s="25"/>
      <c r="B367" s="25"/>
      <c r="C367" s="11"/>
      <c r="D367" s="11"/>
      <c r="E367" s="11"/>
      <c r="F367" s="26" t="str">
        <f>IFERROR(IF(OR($B367="",$C367=""),"",INDEX('Cartes API'!$J:$J,MATCH($B367,'Cartes API'!$A:$A,0))&amp;INDEX('Cartes API'!$B:$B,MATCH($B367,'Cartes API'!$A:$A,0))&amp;"."&amp;INDEX('Cartes API'!$C:$C,MATCH($B367,'Cartes API'!$A:$A,0))&amp;"."&amp;$C367),"")</f>
        <v/>
      </c>
      <c r="G367" s="26" t="str">
        <f>IFERROR(IF($B367="","",INDEX('Cartes API'!$H:$H,MATCH($B367,'Cartes API'!$A:$A,0))),"")</f>
        <v/>
      </c>
      <c r="H367" s="11"/>
      <c r="I367" s="26" t="str">
        <f t="shared" si="5"/>
        <v/>
      </c>
      <c r="J367" s="26" t="str">
        <f>IFERROR(INDEX(Cablage!$A:$A,MATCH($I367,Cablage!$F:$F,0)),"")</f>
        <v/>
      </c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</row>
    <row r="368" spans="1:50" ht="15" customHeight="1" x14ac:dyDescent="0.25">
      <c r="A368" s="25"/>
      <c r="B368" s="25"/>
      <c r="C368" s="11"/>
      <c r="D368" s="11"/>
      <c r="E368" s="11"/>
      <c r="F368" s="26" t="str">
        <f>IFERROR(IF(OR($B368="",$C368=""),"",INDEX('Cartes API'!$J:$J,MATCH($B368,'Cartes API'!$A:$A,0))&amp;INDEX('Cartes API'!$B:$B,MATCH($B368,'Cartes API'!$A:$A,0))&amp;"."&amp;INDEX('Cartes API'!$C:$C,MATCH($B368,'Cartes API'!$A:$A,0))&amp;"."&amp;$C368),"")</f>
        <v/>
      </c>
      <c r="G368" s="26" t="str">
        <f>IFERROR(IF($B368="","",INDEX('Cartes API'!$H:$H,MATCH($B368,'Cartes API'!$A:$A,0))),"")</f>
        <v/>
      </c>
      <c r="H368" s="11"/>
      <c r="I368" s="26" t="str">
        <f t="shared" si="5"/>
        <v/>
      </c>
      <c r="J368" s="26" t="str">
        <f>IFERROR(INDEX(Cablage!$A:$A,MATCH($I368,Cablage!$F:$F,0)),"")</f>
        <v/>
      </c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</row>
    <row r="369" spans="1:50" ht="15" customHeight="1" x14ac:dyDescent="0.25">
      <c r="A369" s="25"/>
      <c r="B369" s="25"/>
      <c r="C369" s="11"/>
      <c r="D369" s="11"/>
      <c r="E369" s="11"/>
      <c r="F369" s="26" t="str">
        <f>IFERROR(IF(OR($B369="",$C369=""),"",INDEX('Cartes API'!$J:$J,MATCH($B369,'Cartes API'!$A:$A,0))&amp;INDEX('Cartes API'!$B:$B,MATCH($B369,'Cartes API'!$A:$A,0))&amp;"."&amp;INDEX('Cartes API'!$C:$C,MATCH($B369,'Cartes API'!$A:$A,0))&amp;"."&amp;$C369),"")</f>
        <v/>
      </c>
      <c r="G369" s="26" t="str">
        <f>IFERROR(IF($B369="","",INDEX('Cartes API'!$H:$H,MATCH($B369,'Cartes API'!$A:$A,0))),"")</f>
        <v/>
      </c>
      <c r="H369" s="11"/>
      <c r="I369" s="26" t="str">
        <f t="shared" si="5"/>
        <v/>
      </c>
      <c r="J369" s="26" t="str">
        <f>IFERROR(INDEX(Cablage!$A:$A,MATCH($I369,Cablage!$F:$F,0)),"")</f>
        <v/>
      </c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</row>
    <row r="370" spans="1:50" ht="15" customHeight="1" x14ac:dyDescent="0.25">
      <c r="A370" s="25"/>
      <c r="B370" s="25"/>
      <c r="C370" s="11"/>
      <c r="D370" s="11"/>
      <c r="E370" s="11"/>
      <c r="F370" s="26" t="str">
        <f>IFERROR(IF(OR($B370="",$C370=""),"",INDEX('Cartes API'!$J:$J,MATCH($B370,'Cartes API'!$A:$A,0))&amp;INDEX('Cartes API'!$B:$B,MATCH($B370,'Cartes API'!$A:$A,0))&amp;"."&amp;INDEX('Cartes API'!$C:$C,MATCH($B370,'Cartes API'!$A:$A,0))&amp;"."&amp;$C370),"")</f>
        <v/>
      </c>
      <c r="G370" s="26" t="str">
        <f>IFERROR(IF($B370="","",INDEX('Cartes API'!$H:$H,MATCH($B370,'Cartes API'!$A:$A,0))),"")</f>
        <v/>
      </c>
      <c r="H370" s="11"/>
      <c r="I370" s="26" t="str">
        <f t="shared" si="5"/>
        <v/>
      </c>
      <c r="J370" s="26" t="str">
        <f>IFERROR(INDEX(Cablage!$A:$A,MATCH($I370,Cablage!$F:$F,0)),"")</f>
        <v/>
      </c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</row>
    <row r="371" spans="1:50" ht="15" customHeight="1" x14ac:dyDescent="0.25">
      <c r="A371" s="25"/>
      <c r="B371" s="25"/>
      <c r="C371" s="11"/>
      <c r="D371" s="11"/>
      <c r="E371" s="11"/>
      <c r="F371" s="26" t="str">
        <f>IFERROR(IF(OR($B371="",$C371=""),"",INDEX('Cartes API'!$J:$J,MATCH($B371,'Cartes API'!$A:$A,0))&amp;INDEX('Cartes API'!$B:$B,MATCH($B371,'Cartes API'!$A:$A,0))&amp;"."&amp;INDEX('Cartes API'!$C:$C,MATCH($B371,'Cartes API'!$A:$A,0))&amp;"."&amp;$C371),"")</f>
        <v/>
      </c>
      <c r="G371" s="26" t="str">
        <f>IFERROR(IF($B371="","",INDEX('Cartes API'!$H:$H,MATCH($B371,'Cartes API'!$A:$A,0))),"")</f>
        <v/>
      </c>
      <c r="H371" s="11"/>
      <c r="I371" s="26" t="str">
        <f t="shared" si="5"/>
        <v/>
      </c>
      <c r="J371" s="26" t="str">
        <f>IFERROR(INDEX(Cablage!$A:$A,MATCH($I371,Cablage!$F:$F,0)),"")</f>
        <v/>
      </c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</row>
    <row r="372" spans="1:50" ht="15" customHeight="1" x14ac:dyDescent="0.25">
      <c r="A372" s="25"/>
      <c r="B372" s="25"/>
      <c r="C372" s="11"/>
      <c r="D372" s="11"/>
      <c r="E372" s="11"/>
      <c r="F372" s="26" t="str">
        <f>IFERROR(IF(OR($B372="",$C372=""),"",INDEX('Cartes API'!$J:$J,MATCH($B372,'Cartes API'!$A:$A,0))&amp;INDEX('Cartes API'!$B:$B,MATCH($B372,'Cartes API'!$A:$A,0))&amp;"."&amp;INDEX('Cartes API'!$C:$C,MATCH($B372,'Cartes API'!$A:$A,0))&amp;"."&amp;$C372),"")</f>
        <v/>
      </c>
      <c r="G372" s="26" t="str">
        <f>IFERROR(IF($B372="","",INDEX('Cartes API'!$H:$H,MATCH($B372,'Cartes API'!$A:$A,0))),"")</f>
        <v/>
      </c>
      <c r="H372" s="11"/>
      <c r="I372" s="26" t="str">
        <f t="shared" si="5"/>
        <v/>
      </c>
      <c r="J372" s="26" t="str">
        <f>IFERROR(INDEX(Cablage!$A:$A,MATCH($I372,Cablage!$F:$F,0)),"")</f>
        <v/>
      </c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</row>
    <row r="373" spans="1:50" ht="15" customHeight="1" x14ac:dyDescent="0.25">
      <c r="A373" s="25"/>
      <c r="B373" s="25"/>
      <c r="C373" s="11"/>
      <c r="D373" s="11"/>
      <c r="E373" s="11"/>
      <c r="F373" s="26" t="str">
        <f>IFERROR(IF(OR($B373="",$C373=""),"",INDEX('Cartes API'!$J:$J,MATCH($B373,'Cartes API'!$A:$A,0))&amp;INDEX('Cartes API'!$B:$B,MATCH($B373,'Cartes API'!$A:$A,0))&amp;"."&amp;INDEX('Cartes API'!$C:$C,MATCH($B373,'Cartes API'!$A:$A,0))&amp;"."&amp;$C373),"")</f>
        <v/>
      </c>
      <c r="G373" s="26" t="str">
        <f>IFERROR(IF($B373="","",INDEX('Cartes API'!$H:$H,MATCH($B373,'Cartes API'!$A:$A,0))),"")</f>
        <v/>
      </c>
      <c r="H373" s="11"/>
      <c r="I373" s="26" t="str">
        <f t="shared" si="5"/>
        <v/>
      </c>
      <c r="J373" s="26" t="str">
        <f>IFERROR(INDEX(Cablage!$A:$A,MATCH($I373,Cablage!$F:$F,0)),"")</f>
        <v/>
      </c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</row>
    <row r="374" spans="1:50" ht="15" customHeight="1" x14ac:dyDescent="0.25">
      <c r="A374" s="25"/>
      <c r="B374" s="25"/>
      <c r="C374" s="11"/>
      <c r="D374" s="11"/>
      <c r="E374" s="11"/>
      <c r="F374" s="26" t="str">
        <f>IFERROR(IF(OR($B374="",$C374=""),"",INDEX('Cartes API'!$J:$J,MATCH($B374,'Cartes API'!$A:$A,0))&amp;INDEX('Cartes API'!$B:$B,MATCH($B374,'Cartes API'!$A:$A,0))&amp;"."&amp;INDEX('Cartes API'!$C:$C,MATCH($B374,'Cartes API'!$A:$A,0))&amp;"."&amp;$C374),"")</f>
        <v/>
      </c>
      <c r="G374" s="26" t="str">
        <f>IFERROR(IF($B374="","",INDEX('Cartes API'!$H:$H,MATCH($B374,'Cartes API'!$A:$A,0))),"")</f>
        <v/>
      </c>
      <c r="H374" s="11"/>
      <c r="I374" s="26" t="str">
        <f t="shared" si="5"/>
        <v/>
      </c>
      <c r="J374" s="26" t="str">
        <f>IFERROR(INDEX(Cablage!$A:$A,MATCH($I374,Cablage!$F:$F,0)),"")</f>
        <v/>
      </c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</row>
    <row r="375" spans="1:50" ht="15" customHeight="1" x14ac:dyDescent="0.25">
      <c r="A375" s="25"/>
      <c r="B375" s="25"/>
      <c r="C375" s="11"/>
      <c r="D375" s="11"/>
      <c r="E375" s="11"/>
      <c r="F375" s="26" t="str">
        <f>IFERROR(IF(OR($B375="",$C375=""),"",INDEX('Cartes API'!$J:$J,MATCH($B375,'Cartes API'!$A:$A,0))&amp;INDEX('Cartes API'!$B:$B,MATCH($B375,'Cartes API'!$A:$A,0))&amp;"."&amp;INDEX('Cartes API'!$C:$C,MATCH($B375,'Cartes API'!$A:$A,0))&amp;"."&amp;$C375),"")</f>
        <v/>
      </c>
      <c r="G375" s="26" t="str">
        <f>IFERROR(IF($B375="","",INDEX('Cartes API'!$H:$H,MATCH($B375,'Cartes API'!$A:$A,0))),"")</f>
        <v/>
      </c>
      <c r="H375" s="11"/>
      <c r="I375" s="26" t="str">
        <f t="shared" si="5"/>
        <v/>
      </c>
      <c r="J375" s="26" t="str">
        <f>IFERROR(INDEX(Cablage!$A:$A,MATCH($I375,Cablage!$F:$F,0)),"")</f>
        <v/>
      </c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</row>
    <row r="376" spans="1:50" ht="15" customHeight="1" x14ac:dyDescent="0.25">
      <c r="A376" s="25"/>
      <c r="B376" s="25"/>
      <c r="C376" s="11"/>
      <c r="D376" s="11"/>
      <c r="E376" s="11"/>
      <c r="F376" s="26" t="str">
        <f>IFERROR(IF(OR($B376="",$C376=""),"",INDEX('Cartes API'!$J:$J,MATCH($B376,'Cartes API'!$A:$A,0))&amp;INDEX('Cartes API'!$B:$B,MATCH($B376,'Cartes API'!$A:$A,0))&amp;"."&amp;INDEX('Cartes API'!$C:$C,MATCH($B376,'Cartes API'!$A:$A,0))&amp;"."&amp;$C376),"")</f>
        <v/>
      </c>
      <c r="G376" s="26" t="str">
        <f>IFERROR(IF($B376="","",INDEX('Cartes API'!$H:$H,MATCH($B376,'Cartes API'!$A:$A,0))),"")</f>
        <v/>
      </c>
      <c r="H376" s="11"/>
      <c r="I376" s="26" t="str">
        <f t="shared" si="5"/>
        <v/>
      </c>
      <c r="J376" s="26" t="str">
        <f>IFERROR(INDEX(Cablage!$A:$A,MATCH($I376,Cablage!$F:$F,0)),"")</f>
        <v/>
      </c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</row>
    <row r="377" spans="1:50" ht="15" customHeight="1" x14ac:dyDescent="0.25">
      <c r="A377" s="25"/>
      <c r="B377" s="25"/>
      <c r="C377" s="11"/>
      <c r="D377" s="11"/>
      <c r="E377" s="11"/>
      <c r="F377" s="26" t="str">
        <f>IFERROR(IF(OR($B377="",$C377=""),"",INDEX('Cartes API'!$J:$J,MATCH($B377,'Cartes API'!$A:$A,0))&amp;INDEX('Cartes API'!$B:$B,MATCH($B377,'Cartes API'!$A:$A,0))&amp;"."&amp;INDEX('Cartes API'!$C:$C,MATCH($B377,'Cartes API'!$A:$A,0))&amp;"."&amp;$C377),"")</f>
        <v/>
      </c>
      <c r="G377" s="26" t="str">
        <f>IFERROR(IF($B377="","",INDEX('Cartes API'!$H:$H,MATCH($B377,'Cartes API'!$A:$A,0))),"")</f>
        <v/>
      </c>
      <c r="H377" s="11"/>
      <c r="I377" s="26" t="str">
        <f t="shared" si="5"/>
        <v/>
      </c>
      <c r="J377" s="26" t="str">
        <f>IFERROR(INDEX(Cablage!$A:$A,MATCH($I377,Cablage!$F:$F,0)),"")</f>
        <v/>
      </c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</row>
    <row r="378" spans="1:50" ht="15" customHeight="1" x14ac:dyDescent="0.25">
      <c r="A378" s="25"/>
      <c r="B378" s="25"/>
      <c r="C378" s="11"/>
      <c r="D378" s="11"/>
      <c r="E378" s="11"/>
      <c r="F378" s="26" t="str">
        <f>IFERROR(IF(OR($B378="",$C378=""),"",INDEX('Cartes API'!$J:$J,MATCH($B378,'Cartes API'!$A:$A,0))&amp;INDEX('Cartes API'!$B:$B,MATCH($B378,'Cartes API'!$A:$A,0))&amp;"."&amp;INDEX('Cartes API'!$C:$C,MATCH($B378,'Cartes API'!$A:$A,0))&amp;"."&amp;$C378),"")</f>
        <v/>
      </c>
      <c r="G378" s="26" t="str">
        <f>IFERROR(IF($B378="","",INDEX('Cartes API'!$H:$H,MATCH($B378,'Cartes API'!$A:$A,0))),"")</f>
        <v/>
      </c>
      <c r="H378" s="11"/>
      <c r="I378" s="26" t="str">
        <f t="shared" si="5"/>
        <v/>
      </c>
      <c r="J378" s="26" t="str">
        <f>IFERROR(INDEX(Cablage!$A:$A,MATCH($I378,Cablage!$F:$F,0)),"")</f>
        <v/>
      </c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</row>
    <row r="379" spans="1:50" ht="15" customHeight="1" x14ac:dyDescent="0.25">
      <c r="A379" s="25"/>
      <c r="B379" s="25"/>
      <c r="C379" s="11"/>
      <c r="D379" s="11"/>
      <c r="E379" s="11"/>
      <c r="F379" s="26" t="str">
        <f>IFERROR(IF(OR($B379="",$C379=""),"",INDEX('Cartes API'!$J:$J,MATCH($B379,'Cartes API'!$A:$A,0))&amp;INDEX('Cartes API'!$B:$B,MATCH($B379,'Cartes API'!$A:$A,0))&amp;"."&amp;INDEX('Cartes API'!$C:$C,MATCH($B379,'Cartes API'!$A:$A,0))&amp;"."&amp;$C379),"")</f>
        <v/>
      </c>
      <c r="G379" s="26" t="str">
        <f>IFERROR(IF($B379="","",INDEX('Cartes API'!$H:$H,MATCH($B379,'Cartes API'!$A:$A,0))),"")</f>
        <v/>
      </c>
      <c r="H379" s="11"/>
      <c r="I379" s="26" t="str">
        <f t="shared" si="5"/>
        <v/>
      </c>
      <c r="J379" s="26" t="str">
        <f>IFERROR(INDEX(Cablage!$A:$A,MATCH($I379,Cablage!$F:$F,0)),"")</f>
        <v/>
      </c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</row>
    <row r="380" spans="1:50" ht="15" customHeight="1" x14ac:dyDescent="0.25">
      <c r="A380" s="25"/>
      <c r="B380" s="25"/>
      <c r="C380" s="11"/>
      <c r="D380" s="11"/>
      <c r="E380" s="11"/>
      <c r="F380" s="26" t="str">
        <f>IFERROR(IF(OR($B380="",$C380=""),"",INDEX('Cartes API'!$J:$J,MATCH($B380,'Cartes API'!$A:$A,0))&amp;INDEX('Cartes API'!$B:$B,MATCH($B380,'Cartes API'!$A:$A,0))&amp;"."&amp;INDEX('Cartes API'!$C:$C,MATCH($B380,'Cartes API'!$A:$A,0))&amp;"."&amp;$C380),"")</f>
        <v/>
      </c>
      <c r="G380" s="26" t="str">
        <f>IFERROR(IF($B380="","",INDEX('Cartes API'!$H:$H,MATCH($B380,'Cartes API'!$A:$A,0))),"")</f>
        <v/>
      </c>
      <c r="H380" s="11"/>
      <c r="I380" s="26" t="str">
        <f t="shared" si="5"/>
        <v/>
      </c>
      <c r="J380" s="26" t="str">
        <f>IFERROR(INDEX(Cablage!$A:$A,MATCH($I380,Cablage!$F:$F,0)),"")</f>
        <v/>
      </c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</row>
    <row r="381" spans="1:50" ht="15" customHeight="1" x14ac:dyDescent="0.25">
      <c r="A381" s="25"/>
      <c r="B381" s="25"/>
      <c r="C381" s="11"/>
      <c r="D381" s="11"/>
      <c r="E381" s="11"/>
      <c r="F381" s="26" t="str">
        <f>IFERROR(IF(OR($B381="",$C381=""),"",INDEX('Cartes API'!$J:$J,MATCH($B381,'Cartes API'!$A:$A,0))&amp;INDEX('Cartes API'!$B:$B,MATCH($B381,'Cartes API'!$A:$A,0))&amp;"."&amp;INDEX('Cartes API'!$C:$C,MATCH($B381,'Cartes API'!$A:$A,0))&amp;"."&amp;$C381),"")</f>
        <v/>
      </c>
      <c r="G381" s="26" t="str">
        <f>IFERROR(IF($B381="","",INDEX('Cartes API'!$H:$H,MATCH($B381,'Cartes API'!$A:$A,0))),"")</f>
        <v/>
      </c>
      <c r="H381" s="11"/>
      <c r="I381" s="26" t="str">
        <f t="shared" si="5"/>
        <v/>
      </c>
      <c r="J381" s="26" t="str">
        <f>IFERROR(INDEX(Cablage!$A:$A,MATCH($I381,Cablage!$F:$F,0)),"")</f>
        <v/>
      </c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</row>
    <row r="382" spans="1:50" ht="15" customHeight="1" x14ac:dyDescent="0.25">
      <c r="A382" s="25"/>
      <c r="B382" s="25"/>
      <c r="C382" s="11"/>
      <c r="D382" s="11"/>
      <c r="E382" s="11"/>
      <c r="F382" s="26" t="str">
        <f>IFERROR(IF(OR($B382="",$C382=""),"",INDEX('Cartes API'!$J:$J,MATCH($B382,'Cartes API'!$A:$A,0))&amp;INDEX('Cartes API'!$B:$B,MATCH($B382,'Cartes API'!$A:$A,0))&amp;"."&amp;INDEX('Cartes API'!$C:$C,MATCH($B382,'Cartes API'!$A:$A,0))&amp;"."&amp;$C382),"")</f>
        <v/>
      </c>
      <c r="G382" s="26" t="str">
        <f>IFERROR(IF($B382="","",INDEX('Cartes API'!$H:$H,MATCH($B382,'Cartes API'!$A:$A,0))),"")</f>
        <v/>
      </c>
      <c r="H382" s="11"/>
      <c r="I382" s="26" t="str">
        <f t="shared" si="5"/>
        <v/>
      </c>
      <c r="J382" s="26" t="str">
        <f>IFERROR(INDEX(Cablage!$A:$A,MATCH($I382,Cablage!$F:$F,0)),"")</f>
        <v/>
      </c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</row>
    <row r="383" spans="1:50" ht="15" customHeight="1" x14ac:dyDescent="0.25">
      <c r="A383" s="25"/>
      <c r="B383" s="25"/>
      <c r="C383" s="11"/>
      <c r="D383" s="11"/>
      <c r="E383" s="11"/>
      <c r="F383" s="26" t="str">
        <f>IFERROR(IF(OR($B383="",$C383=""),"",INDEX('Cartes API'!$J:$J,MATCH($B383,'Cartes API'!$A:$A,0))&amp;INDEX('Cartes API'!$B:$B,MATCH($B383,'Cartes API'!$A:$A,0))&amp;"."&amp;INDEX('Cartes API'!$C:$C,MATCH($B383,'Cartes API'!$A:$A,0))&amp;"."&amp;$C383),"")</f>
        <v/>
      </c>
      <c r="G383" s="26" t="str">
        <f>IFERROR(IF($B383="","",INDEX('Cartes API'!$H:$H,MATCH($B383,'Cartes API'!$A:$A,0))),"")</f>
        <v/>
      </c>
      <c r="H383" s="11"/>
      <c r="I383" s="26" t="str">
        <f t="shared" si="5"/>
        <v/>
      </c>
      <c r="J383" s="26" t="str">
        <f>IFERROR(INDEX(Cablage!$A:$A,MATCH($I383,Cablage!$F:$F,0)),"")</f>
        <v/>
      </c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</row>
    <row r="384" spans="1:50" ht="15" customHeight="1" x14ac:dyDescent="0.25">
      <c r="A384" s="25"/>
      <c r="B384" s="25"/>
      <c r="C384" s="11"/>
      <c r="D384" s="11"/>
      <c r="E384" s="11"/>
      <c r="F384" s="26" t="str">
        <f>IFERROR(IF(OR($B384="",$C384=""),"",INDEX('Cartes API'!$J:$J,MATCH($B384,'Cartes API'!$A:$A,0))&amp;INDEX('Cartes API'!$B:$B,MATCH($B384,'Cartes API'!$A:$A,0))&amp;"."&amp;INDEX('Cartes API'!$C:$C,MATCH($B384,'Cartes API'!$A:$A,0))&amp;"."&amp;$C384),"")</f>
        <v/>
      </c>
      <c r="G384" s="26" t="str">
        <f>IFERROR(IF($B384="","",INDEX('Cartes API'!$H:$H,MATCH($B384,'Cartes API'!$A:$A,0))),"")</f>
        <v/>
      </c>
      <c r="H384" s="11"/>
      <c r="I384" s="26" t="str">
        <f t="shared" si="5"/>
        <v/>
      </c>
      <c r="J384" s="26" t="str">
        <f>IFERROR(INDEX(Cablage!$A:$A,MATCH($I384,Cablage!$F:$F,0)),"")</f>
        <v/>
      </c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</row>
    <row r="385" spans="1:50" ht="15" customHeight="1" x14ac:dyDescent="0.25">
      <c r="A385" s="25"/>
      <c r="B385" s="25"/>
      <c r="C385" s="11"/>
      <c r="D385" s="11"/>
      <c r="E385" s="11"/>
      <c r="F385" s="26" t="str">
        <f>IFERROR(IF(OR($B385="",$C385=""),"",INDEX('Cartes API'!$J:$J,MATCH($B385,'Cartes API'!$A:$A,0))&amp;INDEX('Cartes API'!$B:$B,MATCH($B385,'Cartes API'!$A:$A,0))&amp;"."&amp;INDEX('Cartes API'!$C:$C,MATCH($B385,'Cartes API'!$A:$A,0))&amp;"."&amp;$C385),"")</f>
        <v/>
      </c>
      <c r="G385" s="26" t="str">
        <f>IFERROR(IF($B385="","",INDEX('Cartes API'!$H:$H,MATCH($B385,'Cartes API'!$A:$A,0))),"")</f>
        <v/>
      </c>
      <c r="H385" s="11"/>
      <c r="I385" s="26" t="str">
        <f t="shared" si="5"/>
        <v/>
      </c>
      <c r="J385" s="26" t="str">
        <f>IFERROR(INDEX(Cablage!$A:$A,MATCH($I385,Cablage!$F:$F,0)),"")</f>
        <v/>
      </c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</row>
    <row r="386" spans="1:50" ht="15" customHeight="1" x14ac:dyDescent="0.25">
      <c r="A386" s="25"/>
      <c r="B386" s="25"/>
      <c r="C386" s="11"/>
      <c r="D386" s="11"/>
      <c r="E386" s="11"/>
      <c r="F386" s="26" t="str">
        <f>IFERROR(IF(OR($B386="",$C386=""),"",INDEX('Cartes API'!$J:$J,MATCH($B386,'Cartes API'!$A:$A,0))&amp;INDEX('Cartes API'!$B:$B,MATCH($B386,'Cartes API'!$A:$A,0))&amp;"."&amp;INDEX('Cartes API'!$C:$C,MATCH($B386,'Cartes API'!$A:$A,0))&amp;"."&amp;$C386),"")</f>
        <v/>
      </c>
      <c r="G386" s="26" t="str">
        <f>IFERROR(IF($B386="","",INDEX('Cartes API'!$H:$H,MATCH($B386,'Cartes API'!$A:$A,0))),"")</f>
        <v/>
      </c>
      <c r="H386" s="11"/>
      <c r="I386" s="26" t="str">
        <f t="shared" si="5"/>
        <v/>
      </c>
      <c r="J386" s="26" t="str">
        <f>IFERROR(INDEX(Cablage!$A:$A,MATCH($I386,Cablage!$F:$F,0)),"")</f>
        <v/>
      </c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</row>
    <row r="387" spans="1:50" ht="15" customHeight="1" x14ac:dyDescent="0.25">
      <c r="A387" s="25"/>
      <c r="B387" s="25"/>
      <c r="C387" s="11"/>
      <c r="D387" s="11"/>
      <c r="E387" s="11"/>
      <c r="F387" s="26" t="str">
        <f>IFERROR(IF(OR($B387="",$C387=""),"",INDEX('Cartes API'!$J:$J,MATCH($B387,'Cartes API'!$A:$A,0))&amp;INDEX('Cartes API'!$B:$B,MATCH($B387,'Cartes API'!$A:$A,0))&amp;"."&amp;INDEX('Cartes API'!$C:$C,MATCH($B387,'Cartes API'!$A:$A,0))&amp;"."&amp;$C387),"")</f>
        <v/>
      </c>
      <c r="G387" s="26" t="str">
        <f>IFERROR(IF($B387="","",INDEX('Cartes API'!$H:$H,MATCH($B387,'Cartes API'!$A:$A,0))),"")</f>
        <v/>
      </c>
      <c r="H387" s="11"/>
      <c r="I387" s="26" t="str">
        <f t="shared" si="5"/>
        <v/>
      </c>
      <c r="J387" s="26" t="str">
        <f>IFERROR(INDEX(Cablage!$A:$A,MATCH($I387,Cablage!$F:$F,0)),"")</f>
        <v/>
      </c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</row>
    <row r="388" spans="1:50" ht="15" customHeight="1" x14ac:dyDescent="0.25">
      <c r="A388" s="25"/>
      <c r="B388" s="25"/>
      <c r="C388" s="11"/>
      <c r="D388" s="11"/>
      <c r="E388" s="11"/>
      <c r="F388" s="26" t="str">
        <f>IFERROR(IF(OR($B388="",$C388=""),"",INDEX('Cartes API'!$J:$J,MATCH($B388,'Cartes API'!$A:$A,0))&amp;INDEX('Cartes API'!$B:$B,MATCH($B388,'Cartes API'!$A:$A,0))&amp;"."&amp;INDEX('Cartes API'!$C:$C,MATCH($B388,'Cartes API'!$A:$A,0))&amp;"."&amp;$C388),"")</f>
        <v/>
      </c>
      <c r="G388" s="26" t="str">
        <f>IFERROR(IF($B388="","",INDEX('Cartes API'!$H:$H,MATCH($B388,'Cartes API'!$A:$A,0))),"")</f>
        <v/>
      </c>
      <c r="H388" s="11"/>
      <c r="I388" s="26" t="str">
        <f t="shared" si="5"/>
        <v/>
      </c>
      <c r="J388" s="26" t="str">
        <f>IFERROR(INDEX(Cablage!$A:$A,MATCH($I388,Cablage!$F:$F,0)),"")</f>
        <v/>
      </c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</row>
    <row r="389" spans="1:50" ht="15" customHeight="1" x14ac:dyDescent="0.25">
      <c r="A389" s="25"/>
      <c r="B389" s="25"/>
      <c r="C389" s="11"/>
      <c r="D389" s="11"/>
      <c r="E389" s="11"/>
      <c r="F389" s="26" t="str">
        <f>IFERROR(IF(OR($B389="",$C389=""),"",INDEX('Cartes API'!$J:$J,MATCH($B389,'Cartes API'!$A:$A,0))&amp;INDEX('Cartes API'!$B:$B,MATCH($B389,'Cartes API'!$A:$A,0))&amp;"."&amp;INDEX('Cartes API'!$C:$C,MATCH($B389,'Cartes API'!$A:$A,0))&amp;"."&amp;$C389),"")</f>
        <v/>
      </c>
      <c r="G389" s="26" t="str">
        <f>IFERROR(IF($B389="","",INDEX('Cartes API'!$H:$H,MATCH($B389,'Cartes API'!$A:$A,0))),"")</f>
        <v/>
      </c>
      <c r="H389" s="11"/>
      <c r="I389" s="26" t="str">
        <f t="shared" si="5"/>
        <v/>
      </c>
      <c r="J389" s="26" t="str">
        <f>IFERROR(INDEX(Cablage!$A:$A,MATCH($I389,Cablage!$F:$F,0)),"")</f>
        <v/>
      </c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</row>
    <row r="390" spans="1:50" ht="15" customHeight="1" x14ac:dyDescent="0.25">
      <c r="A390" s="25"/>
      <c r="B390" s="25"/>
      <c r="C390" s="11"/>
      <c r="D390" s="11"/>
      <c r="E390" s="11"/>
      <c r="F390" s="26" t="str">
        <f>IFERROR(IF(OR($B390="",$C390=""),"",INDEX('Cartes API'!$J:$J,MATCH($B390,'Cartes API'!$A:$A,0))&amp;INDEX('Cartes API'!$B:$B,MATCH($B390,'Cartes API'!$A:$A,0))&amp;"."&amp;INDEX('Cartes API'!$C:$C,MATCH($B390,'Cartes API'!$A:$A,0))&amp;"."&amp;$C390),"")</f>
        <v/>
      </c>
      <c r="G390" s="26" t="str">
        <f>IFERROR(IF($B390="","",INDEX('Cartes API'!$H:$H,MATCH($B390,'Cartes API'!$A:$A,0))),"")</f>
        <v/>
      </c>
      <c r="H390" s="11"/>
      <c r="I390" s="26" t="str">
        <f t="shared" si="5"/>
        <v/>
      </c>
      <c r="J390" s="26" t="str">
        <f>IFERROR(INDEX(Cablage!$A:$A,MATCH($I390,Cablage!$F:$F,0)),"")</f>
        <v/>
      </c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</row>
    <row r="391" spans="1:50" ht="15" customHeight="1" x14ac:dyDescent="0.25">
      <c r="A391" s="25"/>
      <c r="B391" s="25"/>
      <c r="C391" s="11"/>
      <c r="D391" s="11"/>
      <c r="E391" s="11"/>
      <c r="F391" s="26" t="str">
        <f>IFERROR(IF(OR($B391="",$C391=""),"",INDEX('Cartes API'!$J:$J,MATCH($B391,'Cartes API'!$A:$A,0))&amp;INDEX('Cartes API'!$B:$B,MATCH($B391,'Cartes API'!$A:$A,0))&amp;"."&amp;INDEX('Cartes API'!$C:$C,MATCH($B391,'Cartes API'!$A:$A,0))&amp;"."&amp;$C391),"")</f>
        <v/>
      </c>
      <c r="G391" s="26" t="str">
        <f>IFERROR(IF($B391="","",INDEX('Cartes API'!$H:$H,MATCH($B391,'Cartes API'!$A:$A,0))),"")</f>
        <v/>
      </c>
      <c r="H391" s="11"/>
      <c r="I391" s="26" t="str">
        <f t="shared" si="5"/>
        <v/>
      </c>
      <c r="J391" s="26" t="str">
        <f>IFERROR(INDEX(Cablage!$A:$A,MATCH($I391,Cablage!$F:$F,0)),"")</f>
        <v/>
      </c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</row>
    <row r="392" spans="1:50" ht="15" customHeight="1" x14ac:dyDescent="0.25">
      <c r="A392" s="25"/>
      <c r="B392" s="25"/>
      <c r="C392" s="11"/>
      <c r="D392" s="11"/>
      <c r="E392" s="11"/>
      <c r="F392" s="26" t="str">
        <f>IFERROR(IF(OR($B392="",$C392=""),"",INDEX('Cartes API'!$J:$J,MATCH($B392,'Cartes API'!$A:$A,0))&amp;INDEX('Cartes API'!$B:$B,MATCH($B392,'Cartes API'!$A:$A,0))&amp;"."&amp;INDEX('Cartes API'!$C:$C,MATCH($B392,'Cartes API'!$A:$A,0))&amp;"."&amp;$C392),"")</f>
        <v/>
      </c>
      <c r="G392" s="26" t="str">
        <f>IFERROR(IF($B392="","",INDEX('Cartes API'!$H:$H,MATCH($B392,'Cartes API'!$A:$A,0))),"")</f>
        <v/>
      </c>
      <c r="H392" s="11"/>
      <c r="I392" s="26" t="str">
        <f t="shared" si="5"/>
        <v/>
      </c>
      <c r="J392" s="26" t="str">
        <f>IFERROR(INDEX(Cablage!$A:$A,MATCH($I392,Cablage!$F:$F,0)),"")</f>
        <v/>
      </c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</row>
    <row r="393" spans="1:50" ht="15" customHeight="1" x14ac:dyDescent="0.25">
      <c r="A393" s="25"/>
      <c r="B393" s="25"/>
      <c r="C393" s="11"/>
      <c r="D393" s="11"/>
      <c r="E393" s="11"/>
      <c r="F393" s="26" t="str">
        <f>IFERROR(IF(OR($B393="",$C393=""),"",INDEX('Cartes API'!$J:$J,MATCH($B393,'Cartes API'!$A:$A,0))&amp;INDEX('Cartes API'!$B:$B,MATCH($B393,'Cartes API'!$A:$A,0))&amp;"."&amp;INDEX('Cartes API'!$C:$C,MATCH($B393,'Cartes API'!$A:$A,0))&amp;"."&amp;$C393),"")</f>
        <v/>
      </c>
      <c r="G393" s="26" t="str">
        <f>IFERROR(IF($B393="","",INDEX('Cartes API'!$H:$H,MATCH($B393,'Cartes API'!$A:$A,0))),"")</f>
        <v/>
      </c>
      <c r="H393" s="11"/>
      <c r="I393" s="26" t="str">
        <f t="shared" ref="I393:I456" si="6">IF(OR($G393="",$H393=""),"",$G393&amp;"["&amp;$H393&amp;"]")</f>
        <v/>
      </c>
      <c r="J393" s="26" t="str">
        <f>IFERROR(INDEX(Cablage!$A:$A,MATCH($I393,Cablage!$F:$F,0)),"")</f>
        <v/>
      </c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</row>
    <row r="394" spans="1:50" ht="15" customHeight="1" x14ac:dyDescent="0.25">
      <c r="A394" s="25"/>
      <c r="B394" s="25"/>
      <c r="C394" s="11"/>
      <c r="D394" s="11"/>
      <c r="E394" s="11"/>
      <c r="F394" s="26" t="str">
        <f>IFERROR(IF(OR($B394="",$C394=""),"",INDEX('Cartes API'!$J:$J,MATCH($B394,'Cartes API'!$A:$A,0))&amp;INDEX('Cartes API'!$B:$B,MATCH($B394,'Cartes API'!$A:$A,0))&amp;"."&amp;INDEX('Cartes API'!$C:$C,MATCH($B394,'Cartes API'!$A:$A,0))&amp;"."&amp;$C394),"")</f>
        <v/>
      </c>
      <c r="G394" s="26" t="str">
        <f>IFERROR(IF($B394="","",INDEX('Cartes API'!$H:$H,MATCH($B394,'Cartes API'!$A:$A,0))),"")</f>
        <v/>
      </c>
      <c r="H394" s="11"/>
      <c r="I394" s="26" t="str">
        <f t="shared" si="6"/>
        <v/>
      </c>
      <c r="J394" s="26" t="str">
        <f>IFERROR(INDEX(Cablage!$A:$A,MATCH($I394,Cablage!$F:$F,0)),"")</f>
        <v/>
      </c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</row>
    <row r="395" spans="1:50" ht="15" customHeight="1" x14ac:dyDescent="0.25">
      <c r="A395" s="25"/>
      <c r="B395" s="25"/>
      <c r="C395" s="11"/>
      <c r="D395" s="11"/>
      <c r="E395" s="11"/>
      <c r="F395" s="26" t="str">
        <f>IFERROR(IF(OR($B395="",$C395=""),"",INDEX('Cartes API'!$J:$J,MATCH($B395,'Cartes API'!$A:$A,0))&amp;INDEX('Cartes API'!$B:$B,MATCH($B395,'Cartes API'!$A:$A,0))&amp;"."&amp;INDEX('Cartes API'!$C:$C,MATCH($B395,'Cartes API'!$A:$A,0))&amp;"."&amp;$C395),"")</f>
        <v/>
      </c>
      <c r="G395" s="26" t="str">
        <f>IFERROR(IF($B395="","",INDEX('Cartes API'!$H:$H,MATCH($B395,'Cartes API'!$A:$A,0))),"")</f>
        <v/>
      </c>
      <c r="H395" s="11"/>
      <c r="I395" s="26" t="str">
        <f t="shared" si="6"/>
        <v/>
      </c>
      <c r="J395" s="26" t="str">
        <f>IFERROR(INDEX(Cablage!$A:$A,MATCH($I395,Cablage!$F:$F,0)),"")</f>
        <v/>
      </c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</row>
    <row r="396" spans="1:50" ht="15" customHeight="1" x14ac:dyDescent="0.25">
      <c r="A396" s="25"/>
      <c r="B396" s="25"/>
      <c r="C396" s="11"/>
      <c r="D396" s="11"/>
      <c r="E396" s="11"/>
      <c r="F396" s="26" t="str">
        <f>IFERROR(IF(OR($B396="",$C396=""),"",INDEX('Cartes API'!$J:$J,MATCH($B396,'Cartes API'!$A:$A,0))&amp;INDEX('Cartes API'!$B:$B,MATCH($B396,'Cartes API'!$A:$A,0))&amp;"."&amp;INDEX('Cartes API'!$C:$C,MATCH($B396,'Cartes API'!$A:$A,0))&amp;"."&amp;$C396),"")</f>
        <v/>
      </c>
      <c r="G396" s="26" t="str">
        <f>IFERROR(IF($B396="","",INDEX('Cartes API'!$H:$H,MATCH($B396,'Cartes API'!$A:$A,0))),"")</f>
        <v/>
      </c>
      <c r="H396" s="11"/>
      <c r="I396" s="26" t="str">
        <f t="shared" si="6"/>
        <v/>
      </c>
      <c r="J396" s="26" t="str">
        <f>IFERROR(INDEX(Cablage!$A:$A,MATCH($I396,Cablage!$F:$F,0)),"")</f>
        <v/>
      </c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</row>
    <row r="397" spans="1:50" ht="15" customHeight="1" x14ac:dyDescent="0.25">
      <c r="A397" s="25"/>
      <c r="B397" s="25"/>
      <c r="C397" s="11"/>
      <c r="D397" s="11"/>
      <c r="E397" s="11"/>
      <c r="F397" s="26" t="str">
        <f>IFERROR(IF(OR($B397="",$C397=""),"",INDEX('Cartes API'!$J:$J,MATCH($B397,'Cartes API'!$A:$A,0))&amp;INDEX('Cartes API'!$B:$B,MATCH($B397,'Cartes API'!$A:$A,0))&amp;"."&amp;INDEX('Cartes API'!$C:$C,MATCH($B397,'Cartes API'!$A:$A,0))&amp;"."&amp;$C397),"")</f>
        <v/>
      </c>
      <c r="G397" s="26" t="str">
        <f>IFERROR(IF($B397="","",INDEX('Cartes API'!$H:$H,MATCH($B397,'Cartes API'!$A:$A,0))),"")</f>
        <v/>
      </c>
      <c r="H397" s="11"/>
      <c r="I397" s="26" t="str">
        <f t="shared" si="6"/>
        <v/>
      </c>
      <c r="J397" s="26" t="str">
        <f>IFERROR(INDEX(Cablage!$A:$A,MATCH($I397,Cablage!$F:$F,0)),"")</f>
        <v/>
      </c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</row>
    <row r="398" spans="1:50" ht="15" customHeight="1" x14ac:dyDescent="0.25">
      <c r="A398" s="25"/>
      <c r="B398" s="25"/>
      <c r="C398" s="11"/>
      <c r="D398" s="11"/>
      <c r="E398" s="11"/>
      <c r="F398" s="26" t="str">
        <f>IFERROR(IF(OR($B398="",$C398=""),"",INDEX('Cartes API'!$J:$J,MATCH($B398,'Cartes API'!$A:$A,0))&amp;INDEX('Cartes API'!$B:$B,MATCH($B398,'Cartes API'!$A:$A,0))&amp;"."&amp;INDEX('Cartes API'!$C:$C,MATCH($B398,'Cartes API'!$A:$A,0))&amp;"."&amp;$C398),"")</f>
        <v/>
      </c>
      <c r="G398" s="26" t="str">
        <f>IFERROR(IF($B398="","",INDEX('Cartes API'!$H:$H,MATCH($B398,'Cartes API'!$A:$A,0))),"")</f>
        <v/>
      </c>
      <c r="H398" s="11"/>
      <c r="I398" s="26" t="str">
        <f t="shared" si="6"/>
        <v/>
      </c>
      <c r="J398" s="26" t="str">
        <f>IFERROR(INDEX(Cablage!$A:$A,MATCH($I398,Cablage!$F:$F,0)),"")</f>
        <v/>
      </c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</row>
    <row r="399" spans="1:50" ht="15" customHeight="1" x14ac:dyDescent="0.25">
      <c r="A399" s="25"/>
      <c r="B399" s="25"/>
      <c r="C399" s="11"/>
      <c r="D399" s="11"/>
      <c r="E399" s="11"/>
      <c r="F399" s="26" t="str">
        <f>IFERROR(IF(OR($B399="",$C399=""),"",INDEX('Cartes API'!$J:$J,MATCH($B399,'Cartes API'!$A:$A,0))&amp;INDEX('Cartes API'!$B:$B,MATCH($B399,'Cartes API'!$A:$A,0))&amp;"."&amp;INDEX('Cartes API'!$C:$C,MATCH($B399,'Cartes API'!$A:$A,0))&amp;"."&amp;$C399),"")</f>
        <v/>
      </c>
      <c r="G399" s="26" t="str">
        <f>IFERROR(IF($B399="","",INDEX('Cartes API'!$H:$H,MATCH($B399,'Cartes API'!$A:$A,0))),"")</f>
        <v/>
      </c>
      <c r="H399" s="11"/>
      <c r="I399" s="26" t="str">
        <f t="shared" si="6"/>
        <v/>
      </c>
      <c r="J399" s="26" t="str">
        <f>IFERROR(INDEX(Cablage!$A:$A,MATCH($I399,Cablage!$F:$F,0)),"")</f>
        <v/>
      </c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</row>
    <row r="400" spans="1:50" ht="15" customHeight="1" x14ac:dyDescent="0.25">
      <c r="A400" s="25"/>
      <c r="B400" s="25"/>
      <c r="C400" s="11"/>
      <c r="D400" s="11"/>
      <c r="E400" s="11"/>
      <c r="F400" s="26" t="str">
        <f>IFERROR(IF(OR($B400="",$C400=""),"",INDEX('Cartes API'!$J:$J,MATCH($B400,'Cartes API'!$A:$A,0))&amp;INDEX('Cartes API'!$B:$B,MATCH($B400,'Cartes API'!$A:$A,0))&amp;"."&amp;INDEX('Cartes API'!$C:$C,MATCH($B400,'Cartes API'!$A:$A,0))&amp;"."&amp;$C400),"")</f>
        <v/>
      </c>
      <c r="G400" s="26" t="str">
        <f>IFERROR(IF($B400="","",INDEX('Cartes API'!$H:$H,MATCH($B400,'Cartes API'!$A:$A,0))),"")</f>
        <v/>
      </c>
      <c r="H400" s="11"/>
      <c r="I400" s="26" t="str">
        <f t="shared" si="6"/>
        <v/>
      </c>
      <c r="J400" s="26" t="str">
        <f>IFERROR(INDEX(Cablage!$A:$A,MATCH($I400,Cablage!$F:$F,0)),"")</f>
        <v/>
      </c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</row>
    <row r="401" spans="1:50" ht="15" customHeight="1" x14ac:dyDescent="0.25">
      <c r="A401" s="25"/>
      <c r="B401" s="25"/>
      <c r="C401" s="11"/>
      <c r="D401" s="11"/>
      <c r="E401" s="11"/>
      <c r="F401" s="26" t="str">
        <f>IFERROR(IF(OR($B401="",$C401=""),"",INDEX('Cartes API'!$J:$J,MATCH($B401,'Cartes API'!$A:$A,0))&amp;INDEX('Cartes API'!$B:$B,MATCH($B401,'Cartes API'!$A:$A,0))&amp;"."&amp;INDEX('Cartes API'!$C:$C,MATCH($B401,'Cartes API'!$A:$A,0))&amp;"."&amp;$C401),"")</f>
        <v/>
      </c>
      <c r="G401" s="26" t="str">
        <f>IFERROR(IF($B401="","",INDEX('Cartes API'!$H:$H,MATCH($B401,'Cartes API'!$A:$A,0))),"")</f>
        <v/>
      </c>
      <c r="H401" s="11"/>
      <c r="I401" s="26" t="str">
        <f t="shared" si="6"/>
        <v/>
      </c>
      <c r="J401" s="26" t="str">
        <f>IFERROR(INDEX(Cablage!$A:$A,MATCH($I401,Cablage!$F:$F,0)),"")</f>
        <v/>
      </c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</row>
    <row r="402" spans="1:50" ht="15" customHeight="1" x14ac:dyDescent="0.25">
      <c r="A402" s="25"/>
      <c r="B402" s="25"/>
      <c r="C402" s="11"/>
      <c r="D402" s="11"/>
      <c r="E402" s="11"/>
      <c r="F402" s="26" t="str">
        <f>IFERROR(IF(OR($B402="",$C402=""),"",INDEX('Cartes API'!$J:$J,MATCH($B402,'Cartes API'!$A:$A,0))&amp;INDEX('Cartes API'!$B:$B,MATCH($B402,'Cartes API'!$A:$A,0))&amp;"."&amp;INDEX('Cartes API'!$C:$C,MATCH($B402,'Cartes API'!$A:$A,0))&amp;"."&amp;$C402),"")</f>
        <v/>
      </c>
      <c r="G402" s="26" t="str">
        <f>IFERROR(IF($B402="","",INDEX('Cartes API'!$H:$H,MATCH($B402,'Cartes API'!$A:$A,0))),"")</f>
        <v/>
      </c>
      <c r="H402" s="11"/>
      <c r="I402" s="26" t="str">
        <f t="shared" si="6"/>
        <v/>
      </c>
      <c r="J402" s="26" t="str">
        <f>IFERROR(INDEX(Cablage!$A:$A,MATCH($I402,Cablage!$F:$F,0)),"")</f>
        <v/>
      </c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</row>
    <row r="403" spans="1:50" ht="15" customHeight="1" x14ac:dyDescent="0.25">
      <c r="A403" s="25"/>
      <c r="B403" s="25"/>
      <c r="C403" s="11"/>
      <c r="D403" s="11"/>
      <c r="E403" s="11"/>
      <c r="F403" s="26" t="str">
        <f>IFERROR(IF(OR($B403="",$C403=""),"",INDEX('Cartes API'!$J:$J,MATCH($B403,'Cartes API'!$A:$A,0))&amp;INDEX('Cartes API'!$B:$B,MATCH($B403,'Cartes API'!$A:$A,0))&amp;"."&amp;INDEX('Cartes API'!$C:$C,MATCH($B403,'Cartes API'!$A:$A,0))&amp;"."&amp;$C403),"")</f>
        <v/>
      </c>
      <c r="G403" s="26" t="str">
        <f>IFERROR(IF($B403="","",INDEX('Cartes API'!$H:$H,MATCH($B403,'Cartes API'!$A:$A,0))),"")</f>
        <v/>
      </c>
      <c r="H403" s="11"/>
      <c r="I403" s="26" t="str">
        <f t="shared" si="6"/>
        <v/>
      </c>
      <c r="J403" s="26" t="str">
        <f>IFERROR(INDEX(Cablage!$A:$A,MATCH($I403,Cablage!$F:$F,0)),"")</f>
        <v/>
      </c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</row>
    <row r="404" spans="1:50" ht="15" customHeight="1" x14ac:dyDescent="0.25">
      <c r="A404" s="25"/>
      <c r="B404" s="25"/>
      <c r="C404" s="11"/>
      <c r="D404" s="11"/>
      <c r="E404" s="11"/>
      <c r="F404" s="26" t="str">
        <f>IFERROR(IF(OR($B404="",$C404=""),"",INDEX('Cartes API'!$J:$J,MATCH($B404,'Cartes API'!$A:$A,0))&amp;INDEX('Cartes API'!$B:$B,MATCH($B404,'Cartes API'!$A:$A,0))&amp;"."&amp;INDEX('Cartes API'!$C:$C,MATCH($B404,'Cartes API'!$A:$A,0))&amp;"."&amp;$C404),"")</f>
        <v/>
      </c>
      <c r="G404" s="26" t="str">
        <f>IFERROR(IF($B404="","",INDEX('Cartes API'!$H:$H,MATCH($B404,'Cartes API'!$A:$A,0))),"")</f>
        <v/>
      </c>
      <c r="H404" s="11"/>
      <c r="I404" s="26" t="str">
        <f t="shared" si="6"/>
        <v/>
      </c>
      <c r="J404" s="26" t="str">
        <f>IFERROR(INDEX(Cablage!$A:$A,MATCH($I404,Cablage!$F:$F,0)),"")</f>
        <v/>
      </c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</row>
    <row r="405" spans="1:50" ht="15" customHeight="1" x14ac:dyDescent="0.25">
      <c r="A405" s="25"/>
      <c r="B405" s="25"/>
      <c r="C405" s="11"/>
      <c r="D405" s="11"/>
      <c r="E405" s="11"/>
      <c r="F405" s="26" t="str">
        <f>IFERROR(IF(OR($B405="",$C405=""),"",INDEX('Cartes API'!$J:$J,MATCH($B405,'Cartes API'!$A:$A,0))&amp;INDEX('Cartes API'!$B:$B,MATCH($B405,'Cartes API'!$A:$A,0))&amp;"."&amp;INDEX('Cartes API'!$C:$C,MATCH($B405,'Cartes API'!$A:$A,0))&amp;"."&amp;$C405),"")</f>
        <v/>
      </c>
      <c r="G405" s="26" t="str">
        <f>IFERROR(IF($B405="","",INDEX('Cartes API'!$H:$H,MATCH($B405,'Cartes API'!$A:$A,0))),"")</f>
        <v/>
      </c>
      <c r="H405" s="11"/>
      <c r="I405" s="26" t="str">
        <f t="shared" si="6"/>
        <v/>
      </c>
      <c r="J405" s="26" t="str">
        <f>IFERROR(INDEX(Cablage!$A:$A,MATCH($I405,Cablage!$F:$F,0)),"")</f>
        <v/>
      </c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</row>
    <row r="406" spans="1:50" ht="15" customHeight="1" x14ac:dyDescent="0.25">
      <c r="A406" s="25"/>
      <c r="B406" s="25"/>
      <c r="C406" s="11"/>
      <c r="D406" s="11"/>
      <c r="E406" s="11"/>
      <c r="F406" s="26" t="str">
        <f>IFERROR(IF(OR($B406="",$C406=""),"",INDEX('Cartes API'!$J:$J,MATCH($B406,'Cartes API'!$A:$A,0))&amp;INDEX('Cartes API'!$B:$B,MATCH($B406,'Cartes API'!$A:$A,0))&amp;"."&amp;INDEX('Cartes API'!$C:$C,MATCH($B406,'Cartes API'!$A:$A,0))&amp;"."&amp;$C406),"")</f>
        <v/>
      </c>
      <c r="G406" s="26" t="str">
        <f>IFERROR(IF($B406="","",INDEX('Cartes API'!$H:$H,MATCH($B406,'Cartes API'!$A:$A,0))),"")</f>
        <v/>
      </c>
      <c r="H406" s="11"/>
      <c r="I406" s="26" t="str">
        <f t="shared" si="6"/>
        <v/>
      </c>
      <c r="J406" s="26" t="str">
        <f>IFERROR(INDEX(Cablage!$A:$A,MATCH($I406,Cablage!$F:$F,0)),"")</f>
        <v/>
      </c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</row>
    <row r="407" spans="1:50" ht="15" customHeight="1" x14ac:dyDescent="0.25">
      <c r="A407" s="25"/>
      <c r="B407" s="25"/>
      <c r="C407" s="11"/>
      <c r="D407" s="11"/>
      <c r="E407" s="11"/>
      <c r="F407" s="26" t="str">
        <f>IFERROR(IF(OR($B407="",$C407=""),"",INDEX('Cartes API'!$J:$J,MATCH($B407,'Cartes API'!$A:$A,0))&amp;INDEX('Cartes API'!$B:$B,MATCH($B407,'Cartes API'!$A:$A,0))&amp;"."&amp;INDEX('Cartes API'!$C:$C,MATCH($B407,'Cartes API'!$A:$A,0))&amp;"."&amp;$C407),"")</f>
        <v/>
      </c>
      <c r="G407" s="26" t="str">
        <f>IFERROR(IF($B407="","",INDEX('Cartes API'!$H:$H,MATCH($B407,'Cartes API'!$A:$A,0))),"")</f>
        <v/>
      </c>
      <c r="H407" s="11"/>
      <c r="I407" s="26" t="str">
        <f t="shared" si="6"/>
        <v/>
      </c>
      <c r="J407" s="26" t="str">
        <f>IFERROR(INDEX(Cablage!$A:$A,MATCH($I407,Cablage!$F:$F,0)),"")</f>
        <v/>
      </c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</row>
    <row r="408" spans="1:50" ht="15" customHeight="1" x14ac:dyDescent="0.25">
      <c r="A408" s="25"/>
      <c r="B408" s="25"/>
      <c r="C408" s="11"/>
      <c r="D408" s="11"/>
      <c r="E408" s="11"/>
      <c r="F408" s="26" t="str">
        <f>IFERROR(IF(OR($B408="",$C408=""),"",INDEX('Cartes API'!$J:$J,MATCH($B408,'Cartes API'!$A:$A,0))&amp;INDEX('Cartes API'!$B:$B,MATCH($B408,'Cartes API'!$A:$A,0))&amp;"."&amp;INDEX('Cartes API'!$C:$C,MATCH($B408,'Cartes API'!$A:$A,0))&amp;"."&amp;$C408),"")</f>
        <v/>
      </c>
      <c r="G408" s="26" t="str">
        <f>IFERROR(IF($B408="","",INDEX('Cartes API'!$H:$H,MATCH($B408,'Cartes API'!$A:$A,0))),"")</f>
        <v/>
      </c>
      <c r="H408" s="11"/>
      <c r="I408" s="26" t="str">
        <f t="shared" si="6"/>
        <v/>
      </c>
      <c r="J408" s="26" t="str">
        <f>IFERROR(INDEX(Cablage!$A:$A,MATCH($I408,Cablage!$F:$F,0)),"")</f>
        <v/>
      </c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</row>
    <row r="409" spans="1:50" ht="15" customHeight="1" x14ac:dyDescent="0.25">
      <c r="A409" s="25"/>
      <c r="B409" s="25"/>
      <c r="C409" s="11"/>
      <c r="D409" s="11"/>
      <c r="E409" s="11"/>
      <c r="F409" s="26" t="str">
        <f>IFERROR(IF(OR($B409="",$C409=""),"",INDEX('Cartes API'!$J:$J,MATCH($B409,'Cartes API'!$A:$A,0))&amp;INDEX('Cartes API'!$B:$B,MATCH($B409,'Cartes API'!$A:$A,0))&amp;"."&amp;INDEX('Cartes API'!$C:$C,MATCH($B409,'Cartes API'!$A:$A,0))&amp;"."&amp;$C409),"")</f>
        <v/>
      </c>
      <c r="G409" s="26" t="str">
        <f>IFERROR(IF($B409="","",INDEX('Cartes API'!$H:$H,MATCH($B409,'Cartes API'!$A:$A,0))),"")</f>
        <v/>
      </c>
      <c r="H409" s="11"/>
      <c r="I409" s="26" t="str">
        <f t="shared" si="6"/>
        <v/>
      </c>
      <c r="J409" s="26" t="str">
        <f>IFERROR(INDEX(Cablage!$A:$A,MATCH($I409,Cablage!$F:$F,0)),"")</f>
        <v/>
      </c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</row>
    <row r="410" spans="1:50" ht="15" customHeight="1" x14ac:dyDescent="0.25">
      <c r="A410" s="25"/>
      <c r="B410" s="25"/>
      <c r="C410" s="11"/>
      <c r="D410" s="11"/>
      <c r="E410" s="11"/>
      <c r="F410" s="26" t="str">
        <f>IFERROR(IF(OR($B410="",$C410=""),"",INDEX('Cartes API'!$J:$J,MATCH($B410,'Cartes API'!$A:$A,0))&amp;INDEX('Cartes API'!$B:$B,MATCH($B410,'Cartes API'!$A:$A,0))&amp;"."&amp;INDEX('Cartes API'!$C:$C,MATCH($B410,'Cartes API'!$A:$A,0))&amp;"."&amp;$C410),"")</f>
        <v/>
      </c>
      <c r="G410" s="26" t="str">
        <f>IFERROR(IF($B410="","",INDEX('Cartes API'!$H:$H,MATCH($B410,'Cartes API'!$A:$A,0))),"")</f>
        <v/>
      </c>
      <c r="H410" s="11"/>
      <c r="I410" s="26" t="str">
        <f t="shared" si="6"/>
        <v/>
      </c>
      <c r="J410" s="26" t="str">
        <f>IFERROR(INDEX(Cablage!$A:$A,MATCH($I410,Cablage!$F:$F,0)),"")</f>
        <v/>
      </c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</row>
    <row r="411" spans="1:50" ht="15" customHeight="1" x14ac:dyDescent="0.25">
      <c r="A411" s="25"/>
      <c r="B411" s="25"/>
      <c r="C411" s="11"/>
      <c r="D411" s="11"/>
      <c r="E411" s="11"/>
      <c r="F411" s="26" t="str">
        <f>IFERROR(IF(OR($B411="",$C411=""),"",INDEX('Cartes API'!$J:$J,MATCH($B411,'Cartes API'!$A:$A,0))&amp;INDEX('Cartes API'!$B:$B,MATCH($B411,'Cartes API'!$A:$A,0))&amp;"."&amp;INDEX('Cartes API'!$C:$C,MATCH($B411,'Cartes API'!$A:$A,0))&amp;"."&amp;$C411),"")</f>
        <v/>
      </c>
      <c r="G411" s="26" t="str">
        <f>IFERROR(IF($B411="","",INDEX('Cartes API'!$H:$H,MATCH($B411,'Cartes API'!$A:$A,0))),"")</f>
        <v/>
      </c>
      <c r="H411" s="11"/>
      <c r="I411" s="26" t="str">
        <f t="shared" si="6"/>
        <v/>
      </c>
      <c r="J411" s="26" t="str">
        <f>IFERROR(INDEX(Cablage!$A:$A,MATCH($I411,Cablage!$F:$F,0)),"")</f>
        <v/>
      </c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</row>
    <row r="412" spans="1:50" ht="15" customHeight="1" x14ac:dyDescent="0.25">
      <c r="A412" s="25"/>
      <c r="B412" s="25"/>
      <c r="C412" s="11"/>
      <c r="D412" s="11"/>
      <c r="E412" s="11"/>
      <c r="F412" s="26" t="str">
        <f>IFERROR(IF(OR($B412="",$C412=""),"",INDEX('Cartes API'!$J:$J,MATCH($B412,'Cartes API'!$A:$A,0))&amp;INDEX('Cartes API'!$B:$B,MATCH($B412,'Cartes API'!$A:$A,0))&amp;"."&amp;INDEX('Cartes API'!$C:$C,MATCH($B412,'Cartes API'!$A:$A,0))&amp;"."&amp;$C412),"")</f>
        <v/>
      </c>
      <c r="G412" s="26" t="str">
        <f>IFERROR(IF($B412="","",INDEX('Cartes API'!$H:$H,MATCH($B412,'Cartes API'!$A:$A,0))),"")</f>
        <v/>
      </c>
      <c r="H412" s="11"/>
      <c r="I412" s="26" t="str">
        <f t="shared" si="6"/>
        <v/>
      </c>
      <c r="J412" s="26" t="str">
        <f>IFERROR(INDEX(Cablage!$A:$A,MATCH($I412,Cablage!$F:$F,0)),"")</f>
        <v/>
      </c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</row>
    <row r="413" spans="1:50" ht="15" customHeight="1" x14ac:dyDescent="0.25">
      <c r="A413" s="25"/>
      <c r="B413" s="25"/>
      <c r="C413" s="11"/>
      <c r="D413" s="11"/>
      <c r="E413" s="11"/>
      <c r="F413" s="26" t="str">
        <f>IFERROR(IF(OR($B413="",$C413=""),"",INDEX('Cartes API'!$J:$J,MATCH($B413,'Cartes API'!$A:$A,0))&amp;INDEX('Cartes API'!$B:$B,MATCH($B413,'Cartes API'!$A:$A,0))&amp;"."&amp;INDEX('Cartes API'!$C:$C,MATCH($B413,'Cartes API'!$A:$A,0))&amp;"."&amp;$C413),"")</f>
        <v/>
      </c>
      <c r="G413" s="26" t="str">
        <f>IFERROR(IF($B413="","",INDEX('Cartes API'!$H:$H,MATCH($B413,'Cartes API'!$A:$A,0))),"")</f>
        <v/>
      </c>
      <c r="H413" s="11"/>
      <c r="I413" s="26" t="str">
        <f t="shared" si="6"/>
        <v/>
      </c>
      <c r="J413" s="26" t="str">
        <f>IFERROR(INDEX(Cablage!$A:$A,MATCH($I413,Cablage!$F:$F,0)),"")</f>
        <v/>
      </c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</row>
    <row r="414" spans="1:50" ht="15" customHeight="1" x14ac:dyDescent="0.25">
      <c r="A414" s="25"/>
      <c r="B414" s="25"/>
      <c r="C414" s="11"/>
      <c r="D414" s="11"/>
      <c r="E414" s="11"/>
      <c r="F414" s="26" t="str">
        <f>IFERROR(IF(OR($B414="",$C414=""),"",INDEX('Cartes API'!$J:$J,MATCH($B414,'Cartes API'!$A:$A,0))&amp;INDEX('Cartes API'!$B:$B,MATCH($B414,'Cartes API'!$A:$A,0))&amp;"."&amp;INDEX('Cartes API'!$C:$C,MATCH($B414,'Cartes API'!$A:$A,0))&amp;"."&amp;$C414),"")</f>
        <v/>
      </c>
      <c r="G414" s="26" t="str">
        <f>IFERROR(IF($B414="","",INDEX('Cartes API'!$H:$H,MATCH($B414,'Cartes API'!$A:$A,0))),"")</f>
        <v/>
      </c>
      <c r="H414" s="11"/>
      <c r="I414" s="26" t="str">
        <f t="shared" si="6"/>
        <v/>
      </c>
      <c r="J414" s="26" t="str">
        <f>IFERROR(INDEX(Cablage!$A:$A,MATCH($I414,Cablage!$F:$F,0)),"")</f>
        <v/>
      </c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</row>
    <row r="415" spans="1:50" ht="15" customHeight="1" x14ac:dyDescent="0.25">
      <c r="A415" s="25"/>
      <c r="B415" s="25"/>
      <c r="C415" s="11"/>
      <c r="D415" s="11"/>
      <c r="E415" s="11"/>
      <c r="F415" s="26" t="str">
        <f>IFERROR(IF(OR($B415="",$C415=""),"",INDEX('Cartes API'!$J:$J,MATCH($B415,'Cartes API'!$A:$A,0))&amp;INDEX('Cartes API'!$B:$B,MATCH($B415,'Cartes API'!$A:$A,0))&amp;"."&amp;INDEX('Cartes API'!$C:$C,MATCH($B415,'Cartes API'!$A:$A,0))&amp;"."&amp;$C415),"")</f>
        <v/>
      </c>
      <c r="G415" s="26" t="str">
        <f>IFERROR(IF($B415="","",INDEX('Cartes API'!$H:$H,MATCH($B415,'Cartes API'!$A:$A,0))),"")</f>
        <v/>
      </c>
      <c r="H415" s="11"/>
      <c r="I415" s="26" t="str">
        <f t="shared" si="6"/>
        <v/>
      </c>
      <c r="J415" s="26" t="str">
        <f>IFERROR(INDEX(Cablage!$A:$A,MATCH($I415,Cablage!$F:$F,0)),"")</f>
        <v/>
      </c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</row>
    <row r="416" spans="1:50" ht="15" customHeight="1" x14ac:dyDescent="0.25">
      <c r="A416" s="25"/>
      <c r="B416" s="25"/>
      <c r="C416" s="11"/>
      <c r="D416" s="11"/>
      <c r="E416" s="11"/>
      <c r="F416" s="26" t="str">
        <f>IFERROR(IF(OR($B416="",$C416=""),"",INDEX('Cartes API'!$J:$J,MATCH($B416,'Cartes API'!$A:$A,0))&amp;INDEX('Cartes API'!$B:$B,MATCH($B416,'Cartes API'!$A:$A,0))&amp;"."&amp;INDEX('Cartes API'!$C:$C,MATCH($B416,'Cartes API'!$A:$A,0))&amp;"."&amp;$C416),"")</f>
        <v/>
      </c>
      <c r="G416" s="26" t="str">
        <f>IFERROR(IF($B416="","",INDEX('Cartes API'!$H:$H,MATCH($B416,'Cartes API'!$A:$A,0))),"")</f>
        <v/>
      </c>
      <c r="H416" s="11"/>
      <c r="I416" s="26" t="str">
        <f t="shared" si="6"/>
        <v/>
      </c>
      <c r="J416" s="26" t="str">
        <f>IFERROR(INDEX(Cablage!$A:$A,MATCH($I416,Cablage!$F:$F,0)),"")</f>
        <v/>
      </c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</row>
    <row r="417" spans="1:50" ht="15" customHeight="1" x14ac:dyDescent="0.25">
      <c r="A417" s="25"/>
      <c r="B417" s="25"/>
      <c r="C417" s="11"/>
      <c r="D417" s="11"/>
      <c r="E417" s="11"/>
      <c r="F417" s="26" t="str">
        <f>IFERROR(IF(OR($B417="",$C417=""),"",INDEX('Cartes API'!$J:$J,MATCH($B417,'Cartes API'!$A:$A,0))&amp;INDEX('Cartes API'!$B:$B,MATCH($B417,'Cartes API'!$A:$A,0))&amp;"."&amp;INDEX('Cartes API'!$C:$C,MATCH($B417,'Cartes API'!$A:$A,0))&amp;"."&amp;$C417),"")</f>
        <v/>
      </c>
      <c r="G417" s="26" t="str">
        <f>IFERROR(IF($B417="","",INDEX('Cartes API'!$H:$H,MATCH($B417,'Cartes API'!$A:$A,0))),"")</f>
        <v/>
      </c>
      <c r="H417" s="11"/>
      <c r="I417" s="26" t="str">
        <f t="shared" si="6"/>
        <v/>
      </c>
      <c r="J417" s="26" t="str">
        <f>IFERROR(INDEX(Cablage!$A:$A,MATCH($I417,Cablage!$F:$F,0)),"")</f>
        <v/>
      </c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</row>
    <row r="418" spans="1:50" ht="15" customHeight="1" x14ac:dyDescent="0.25">
      <c r="A418" s="25"/>
      <c r="B418" s="25"/>
      <c r="C418" s="11"/>
      <c r="D418" s="11"/>
      <c r="E418" s="11"/>
      <c r="F418" s="26" t="str">
        <f>IFERROR(IF(OR($B418="",$C418=""),"",INDEX('Cartes API'!$J:$J,MATCH($B418,'Cartes API'!$A:$A,0))&amp;INDEX('Cartes API'!$B:$B,MATCH($B418,'Cartes API'!$A:$A,0))&amp;"."&amp;INDEX('Cartes API'!$C:$C,MATCH($B418,'Cartes API'!$A:$A,0))&amp;"."&amp;$C418),"")</f>
        <v/>
      </c>
      <c r="G418" s="26" t="str">
        <f>IFERROR(IF($B418="","",INDEX('Cartes API'!$H:$H,MATCH($B418,'Cartes API'!$A:$A,0))),"")</f>
        <v/>
      </c>
      <c r="H418" s="11"/>
      <c r="I418" s="26" t="str">
        <f t="shared" si="6"/>
        <v/>
      </c>
      <c r="J418" s="26" t="str">
        <f>IFERROR(INDEX(Cablage!$A:$A,MATCH($I418,Cablage!$F:$F,0)),"")</f>
        <v/>
      </c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</row>
    <row r="419" spans="1:50" ht="15" customHeight="1" x14ac:dyDescent="0.25">
      <c r="A419" s="25"/>
      <c r="B419" s="25"/>
      <c r="C419" s="11"/>
      <c r="D419" s="11"/>
      <c r="E419" s="11"/>
      <c r="F419" s="26" t="str">
        <f>IFERROR(IF(OR($B419="",$C419=""),"",INDEX('Cartes API'!$J:$J,MATCH($B419,'Cartes API'!$A:$A,0))&amp;INDEX('Cartes API'!$B:$B,MATCH($B419,'Cartes API'!$A:$A,0))&amp;"."&amp;INDEX('Cartes API'!$C:$C,MATCH($B419,'Cartes API'!$A:$A,0))&amp;"."&amp;$C419),"")</f>
        <v/>
      </c>
      <c r="G419" s="26" t="str">
        <f>IFERROR(IF($B419="","",INDEX('Cartes API'!$H:$H,MATCH($B419,'Cartes API'!$A:$A,0))),"")</f>
        <v/>
      </c>
      <c r="H419" s="11"/>
      <c r="I419" s="26" t="str">
        <f t="shared" si="6"/>
        <v/>
      </c>
      <c r="J419" s="26" t="str">
        <f>IFERROR(INDEX(Cablage!$A:$A,MATCH($I419,Cablage!$F:$F,0)),"")</f>
        <v/>
      </c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</row>
    <row r="420" spans="1:50" ht="15" customHeight="1" x14ac:dyDescent="0.25">
      <c r="A420" s="25"/>
      <c r="B420" s="25"/>
      <c r="C420" s="11"/>
      <c r="D420" s="11"/>
      <c r="E420" s="11"/>
      <c r="F420" s="26" t="str">
        <f>IFERROR(IF(OR($B420="",$C420=""),"",INDEX('Cartes API'!$J:$J,MATCH($B420,'Cartes API'!$A:$A,0))&amp;INDEX('Cartes API'!$B:$B,MATCH($B420,'Cartes API'!$A:$A,0))&amp;"."&amp;INDEX('Cartes API'!$C:$C,MATCH($B420,'Cartes API'!$A:$A,0))&amp;"."&amp;$C420),"")</f>
        <v/>
      </c>
      <c r="G420" s="26" t="str">
        <f>IFERROR(IF($B420="","",INDEX('Cartes API'!$H:$H,MATCH($B420,'Cartes API'!$A:$A,0))),"")</f>
        <v/>
      </c>
      <c r="H420" s="11"/>
      <c r="I420" s="26" t="str">
        <f t="shared" si="6"/>
        <v/>
      </c>
      <c r="J420" s="26" t="str">
        <f>IFERROR(INDEX(Cablage!$A:$A,MATCH($I420,Cablage!$F:$F,0)),"")</f>
        <v/>
      </c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</row>
    <row r="421" spans="1:50" ht="15" customHeight="1" x14ac:dyDescent="0.25">
      <c r="A421" s="25"/>
      <c r="B421" s="25"/>
      <c r="C421" s="11"/>
      <c r="D421" s="11"/>
      <c r="E421" s="11"/>
      <c r="F421" s="26" t="str">
        <f>IFERROR(IF(OR($B421="",$C421=""),"",INDEX('Cartes API'!$J:$J,MATCH($B421,'Cartes API'!$A:$A,0))&amp;INDEX('Cartes API'!$B:$B,MATCH($B421,'Cartes API'!$A:$A,0))&amp;"."&amp;INDEX('Cartes API'!$C:$C,MATCH($B421,'Cartes API'!$A:$A,0))&amp;"."&amp;$C421),"")</f>
        <v/>
      </c>
      <c r="G421" s="26" t="str">
        <f>IFERROR(IF($B421="","",INDEX('Cartes API'!$H:$H,MATCH($B421,'Cartes API'!$A:$A,0))),"")</f>
        <v/>
      </c>
      <c r="H421" s="11"/>
      <c r="I421" s="26" t="str">
        <f t="shared" si="6"/>
        <v/>
      </c>
      <c r="J421" s="26" t="str">
        <f>IFERROR(INDEX(Cablage!$A:$A,MATCH($I421,Cablage!$F:$F,0)),"")</f>
        <v/>
      </c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</row>
    <row r="422" spans="1:50" ht="15" customHeight="1" x14ac:dyDescent="0.25">
      <c r="A422" s="25"/>
      <c r="B422" s="25"/>
      <c r="C422" s="11"/>
      <c r="D422" s="11"/>
      <c r="E422" s="11"/>
      <c r="F422" s="26" t="str">
        <f>IFERROR(IF(OR($B422="",$C422=""),"",INDEX('Cartes API'!$J:$J,MATCH($B422,'Cartes API'!$A:$A,0))&amp;INDEX('Cartes API'!$B:$B,MATCH($B422,'Cartes API'!$A:$A,0))&amp;"."&amp;INDEX('Cartes API'!$C:$C,MATCH($B422,'Cartes API'!$A:$A,0))&amp;"."&amp;$C422),"")</f>
        <v/>
      </c>
      <c r="G422" s="26" t="str">
        <f>IFERROR(IF($B422="","",INDEX('Cartes API'!$H:$H,MATCH($B422,'Cartes API'!$A:$A,0))),"")</f>
        <v/>
      </c>
      <c r="H422" s="11"/>
      <c r="I422" s="26" t="str">
        <f t="shared" si="6"/>
        <v/>
      </c>
      <c r="J422" s="26" t="str">
        <f>IFERROR(INDEX(Cablage!$A:$A,MATCH($I422,Cablage!$F:$F,0)),"")</f>
        <v/>
      </c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</row>
    <row r="423" spans="1:50" ht="15" customHeight="1" x14ac:dyDescent="0.25">
      <c r="A423" s="25"/>
      <c r="B423" s="25"/>
      <c r="C423" s="11"/>
      <c r="D423" s="11"/>
      <c r="E423" s="11"/>
      <c r="F423" s="26" t="str">
        <f>IFERROR(IF(OR($B423="",$C423=""),"",INDEX('Cartes API'!$J:$J,MATCH($B423,'Cartes API'!$A:$A,0))&amp;INDEX('Cartes API'!$B:$B,MATCH($B423,'Cartes API'!$A:$A,0))&amp;"."&amp;INDEX('Cartes API'!$C:$C,MATCH($B423,'Cartes API'!$A:$A,0))&amp;"."&amp;$C423),"")</f>
        <v/>
      </c>
      <c r="G423" s="26" t="str">
        <f>IFERROR(IF($B423="","",INDEX('Cartes API'!$H:$H,MATCH($B423,'Cartes API'!$A:$A,0))),"")</f>
        <v/>
      </c>
      <c r="H423" s="11"/>
      <c r="I423" s="26" t="str">
        <f t="shared" si="6"/>
        <v/>
      </c>
      <c r="J423" s="26" t="str">
        <f>IFERROR(INDEX(Cablage!$A:$A,MATCH($I423,Cablage!$F:$F,0)),"")</f>
        <v/>
      </c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</row>
    <row r="424" spans="1:50" ht="15" customHeight="1" x14ac:dyDescent="0.25">
      <c r="A424" s="25"/>
      <c r="B424" s="25"/>
      <c r="C424" s="11"/>
      <c r="D424" s="11"/>
      <c r="E424" s="11"/>
      <c r="F424" s="26" t="str">
        <f>IFERROR(IF(OR($B424="",$C424=""),"",INDEX('Cartes API'!$J:$J,MATCH($B424,'Cartes API'!$A:$A,0))&amp;INDEX('Cartes API'!$B:$B,MATCH($B424,'Cartes API'!$A:$A,0))&amp;"."&amp;INDEX('Cartes API'!$C:$C,MATCH($B424,'Cartes API'!$A:$A,0))&amp;"."&amp;$C424),"")</f>
        <v/>
      </c>
      <c r="G424" s="26" t="str">
        <f>IFERROR(IF($B424="","",INDEX('Cartes API'!$H:$H,MATCH($B424,'Cartes API'!$A:$A,0))),"")</f>
        <v/>
      </c>
      <c r="H424" s="11"/>
      <c r="I424" s="26" t="str">
        <f t="shared" si="6"/>
        <v/>
      </c>
      <c r="J424" s="26" t="str">
        <f>IFERROR(INDEX(Cablage!$A:$A,MATCH($I424,Cablage!$F:$F,0)),"")</f>
        <v/>
      </c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</row>
    <row r="425" spans="1:50" ht="15" customHeight="1" x14ac:dyDescent="0.25">
      <c r="A425" s="25"/>
      <c r="B425" s="25"/>
      <c r="C425" s="11"/>
      <c r="D425" s="11"/>
      <c r="E425" s="11"/>
      <c r="F425" s="26" t="str">
        <f>IFERROR(IF(OR($B425="",$C425=""),"",INDEX('Cartes API'!$J:$J,MATCH($B425,'Cartes API'!$A:$A,0))&amp;INDEX('Cartes API'!$B:$B,MATCH($B425,'Cartes API'!$A:$A,0))&amp;"."&amp;INDEX('Cartes API'!$C:$C,MATCH($B425,'Cartes API'!$A:$A,0))&amp;"."&amp;$C425),"")</f>
        <v/>
      </c>
      <c r="G425" s="26" t="str">
        <f>IFERROR(IF($B425="","",INDEX('Cartes API'!$H:$H,MATCH($B425,'Cartes API'!$A:$A,0))),"")</f>
        <v/>
      </c>
      <c r="H425" s="11"/>
      <c r="I425" s="26" t="str">
        <f t="shared" si="6"/>
        <v/>
      </c>
      <c r="J425" s="26" t="str">
        <f>IFERROR(INDEX(Cablage!$A:$A,MATCH($I425,Cablage!$F:$F,0)),"")</f>
        <v/>
      </c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</row>
    <row r="426" spans="1:50" ht="15" customHeight="1" x14ac:dyDescent="0.25">
      <c r="A426" s="25"/>
      <c r="B426" s="25"/>
      <c r="C426" s="11"/>
      <c r="D426" s="11"/>
      <c r="E426" s="11"/>
      <c r="F426" s="26" t="str">
        <f>IFERROR(IF(OR($B426="",$C426=""),"",INDEX('Cartes API'!$J:$J,MATCH($B426,'Cartes API'!$A:$A,0))&amp;INDEX('Cartes API'!$B:$B,MATCH($B426,'Cartes API'!$A:$A,0))&amp;"."&amp;INDEX('Cartes API'!$C:$C,MATCH($B426,'Cartes API'!$A:$A,0))&amp;"."&amp;$C426),"")</f>
        <v/>
      </c>
      <c r="G426" s="26" t="str">
        <f>IFERROR(IF($B426="","",INDEX('Cartes API'!$H:$H,MATCH($B426,'Cartes API'!$A:$A,0))),"")</f>
        <v/>
      </c>
      <c r="H426" s="11"/>
      <c r="I426" s="26" t="str">
        <f t="shared" si="6"/>
        <v/>
      </c>
      <c r="J426" s="26" t="str">
        <f>IFERROR(INDEX(Cablage!$A:$A,MATCH($I426,Cablage!$F:$F,0)),"")</f>
        <v/>
      </c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</row>
    <row r="427" spans="1:50" ht="15" customHeight="1" x14ac:dyDescent="0.25">
      <c r="A427" s="25"/>
      <c r="B427" s="25"/>
      <c r="C427" s="11"/>
      <c r="D427" s="11"/>
      <c r="E427" s="11"/>
      <c r="F427" s="26" t="str">
        <f>IFERROR(IF(OR($B427="",$C427=""),"",INDEX('Cartes API'!$J:$J,MATCH($B427,'Cartes API'!$A:$A,0))&amp;INDEX('Cartes API'!$B:$B,MATCH($B427,'Cartes API'!$A:$A,0))&amp;"."&amp;INDEX('Cartes API'!$C:$C,MATCH($B427,'Cartes API'!$A:$A,0))&amp;"."&amp;$C427),"")</f>
        <v/>
      </c>
      <c r="G427" s="26" t="str">
        <f>IFERROR(IF($B427="","",INDEX('Cartes API'!$H:$H,MATCH($B427,'Cartes API'!$A:$A,0))),"")</f>
        <v/>
      </c>
      <c r="H427" s="11"/>
      <c r="I427" s="26" t="str">
        <f t="shared" si="6"/>
        <v/>
      </c>
      <c r="J427" s="26" t="str">
        <f>IFERROR(INDEX(Cablage!$A:$A,MATCH($I427,Cablage!$F:$F,0)),"")</f>
        <v/>
      </c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</row>
    <row r="428" spans="1:50" ht="15" customHeight="1" x14ac:dyDescent="0.25">
      <c r="A428" s="25"/>
      <c r="B428" s="25"/>
      <c r="C428" s="11"/>
      <c r="D428" s="11"/>
      <c r="E428" s="11"/>
      <c r="F428" s="26" t="str">
        <f>IFERROR(IF(OR($B428="",$C428=""),"",INDEX('Cartes API'!$J:$J,MATCH($B428,'Cartes API'!$A:$A,0))&amp;INDEX('Cartes API'!$B:$B,MATCH($B428,'Cartes API'!$A:$A,0))&amp;"."&amp;INDEX('Cartes API'!$C:$C,MATCH($B428,'Cartes API'!$A:$A,0))&amp;"."&amp;$C428),"")</f>
        <v/>
      </c>
      <c r="G428" s="26" t="str">
        <f>IFERROR(IF($B428="","",INDEX('Cartes API'!$H:$H,MATCH($B428,'Cartes API'!$A:$A,0))),"")</f>
        <v/>
      </c>
      <c r="H428" s="11"/>
      <c r="I428" s="26" t="str">
        <f t="shared" si="6"/>
        <v/>
      </c>
      <c r="J428" s="26" t="str">
        <f>IFERROR(INDEX(Cablage!$A:$A,MATCH($I428,Cablage!$F:$F,0)),"")</f>
        <v/>
      </c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</row>
    <row r="429" spans="1:50" ht="15" customHeight="1" x14ac:dyDescent="0.25">
      <c r="A429" s="25"/>
      <c r="B429" s="25"/>
      <c r="C429" s="11"/>
      <c r="D429" s="11"/>
      <c r="E429" s="11"/>
      <c r="F429" s="26" t="str">
        <f>IFERROR(IF(OR($B429="",$C429=""),"",INDEX('Cartes API'!$J:$J,MATCH($B429,'Cartes API'!$A:$A,0))&amp;INDEX('Cartes API'!$B:$B,MATCH($B429,'Cartes API'!$A:$A,0))&amp;"."&amp;INDEX('Cartes API'!$C:$C,MATCH($B429,'Cartes API'!$A:$A,0))&amp;"."&amp;$C429),"")</f>
        <v/>
      </c>
      <c r="G429" s="26" t="str">
        <f>IFERROR(IF($B429="","",INDEX('Cartes API'!$H:$H,MATCH($B429,'Cartes API'!$A:$A,0))),"")</f>
        <v/>
      </c>
      <c r="H429" s="11"/>
      <c r="I429" s="26" t="str">
        <f t="shared" si="6"/>
        <v/>
      </c>
      <c r="J429" s="26" t="str">
        <f>IFERROR(INDEX(Cablage!$A:$A,MATCH($I429,Cablage!$F:$F,0)),"")</f>
        <v/>
      </c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</row>
    <row r="430" spans="1:50" ht="15" customHeight="1" x14ac:dyDescent="0.25">
      <c r="A430" s="25"/>
      <c r="B430" s="25"/>
      <c r="C430" s="11"/>
      <c r="D430" s="11"/>
      <c r="E430" s="11"/>
      <c r="F430" s="26" t="str">
        <f>IFERROR(IF(OR($B430="",$C430=""),"",INDEX('Cartes API'!$J:$J,MATCH($B430,'Cartes API'!$A:$A,0))&amp;INDEX('Cartes API'!$B:$B,MATCH($B430,'Cartes API'!$A:$A,0))&amp;"."&amp;INDEX('Cartes API'!$C:$C,MATCH($B430,'Cartes API'!$A:$A,0))&amp;"."&amp;$C430),"")</f>
        <v/>
      </c>
      <c r="G430" s="26" t="str">
        <f>IFERROR(IF($B430="","",INDEX('Cartes API'!$H:$H,MATCH($B430,'Cartes API'!$A:$A,0))),"")</f>
        <v/>
      </c>
      <c r="H430" s="11"/>
      <c r="I430" s="26" t="str">
        <f t="shared" si="6"/>
        <v/>
      </c>
      <c r="J430" s="26" t="str">
        <f>IFERROR(INDEX(Cablage!$A:$A,MATCH($I430,Cablage!$F:$F,0)),"")</f>
        <v/>
      </c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</row>
    <row r="431" spans="1:50" ht="15" customHeight="1" x14ac:dyDescent="0.25">
      <c r="A431" s="25"/>
      <c r="B431" s="25"/>
      <c r="C431" s="11"/>
      <c r="D431" s="11"/>
      <c r="E431" s="11"/>
      <c r="F431" s="26" t="str">
        <f>IFERROR(IF(OR($B431="",$C431=""),"",INDEX('Cartes API'!$J:$J,MATCH($B431,'Cartes API'!$A:$A,0))&amp;INDEX('Cartes API'!$B:$B,MATCH($B431,'Cartes API'!$A:$A,0))&amp;"."&amp;INDEX('Cartes API'!$C:$C,MATCH($B431,'Cartes API'!$A:$A,0))&amp;"."&amp;$C431),"")</f>
        <v/>
      </c>
      <c r="G431" s="26" t="str">
        <f>IFERROR(IF($B431="","",INDEX('Cartes API'!$H:$H,MATCH($B431,'Cartes API'!$A:$A,0))),"")</f>
        <v/>
      </c>
      <c r="H431" s="11"/>
      <c r="I431" s="26" t="str">
        <f t="shared" si="6"/>
        <v/>
      </c>
      <c r="J431" s="26" t="str">
        <f>IFERROR(INDEX(Cablage!$A:$A,MATCH($I431,Cablage!$F:$F,0)),"")</f>
        <v/>
      </c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</row>
    <row r="432" spans="1:50" ht="15" customHeight="1" x14ac:dyDescent="0.25">
      <c r="A432" s="25"/>
      <c r="B432" s="25"/>
      <c r="C432" s="11"/>
      <c r="D432" s="11"/>
      <c r="E432" s="11"/>
      <c r="F432" s="26" t="str">
        <f>IFERROR(IF(OR($B432="",$C432=""),"",INDEX('Cartes API'!$J:$J,MATCH($B432,'Cartes API'!$A:$A,0))&amp;INDEX('Cartes API'!$B:$B,MATCH($B432,'Cartes API'!$A:$A,0))&amp;"."&amp;INDEX('Cartes API'!$C:$C,MATCH($B432,'Cartes API'!$A:$A,0))&amp;"."&amp;$C432),"")</f>
        <v/>
      </c>
      <c r="G432" s="26" t="str">
        <f>IFERROR(IF($B432="","",INDEX('Cartes API'!$H:$H,MATCH($B432,'Cartes API'!$A:$A,0))),"")</f>
        <v/>
      </c>
      <c r="H432" s="11"/>
      <c r="I432" s="26" t="str">
        <f t="shared" si="6"/>
        <v/>
      </c>
      <c r="J432" s="26" t="str">
        <f>IFERROR(INDEX(Cablage!$A:$A,MATCH($I432,Cablage!$F:$F,0)),"")</f>
        <v/>
      </c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</row>
    <row r="433" spans="1:50" ht="15" customHeight="1" x14ac:dyDescent="0.25">
      <c r="A433" s="25"/>
      <c r="B433" s="25"/>
      <c r="C433" s="11"/>
      <c r="D433" s="11"/>
      <c r="E433" s="11"/>
      <c r="F433" s="26" t="str">
        <f>IFERROR(IF(OR($B433="",$C433=""),"",INDEX('Cartes API'!$J:$J,MATCH($B433,'Cartes API'!$A:$A,0))&amp;INDEX('Cartes API'!$B:$B,MATCH($B433,'Cartes API'!$A:$A,0))&amp;"."&amp;INDEX('Cartes API'!$C:$C,MATCH($B433,'Cartes API'!$A:$A,0))&amp;"."&amp;$C433),"")</f>
        <v/>
      </c>
      <c r="G433" s="26" t="str">
        <f>IFERROR(IF($B433="","",INDEX('Cartes API'!$H:$H,MATCH($B433,'Cartes API'!$A:$A,0))),"")</f>
        <v/>
      </c>
      <c r="H433" s="11"/>
      <c r="I433" s="26" t="str">
        <f t="shared" si="6"/>
        <v/>
      </c>
      <c r="J433" s="26" t="str">
        <f>IFERROR(INDEX(Cablage!$A:$A,MATCH($I433,Cablage!$F:$F,0)),"")</f>
        <v/>
      </c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</row>
    <row r="434" spans="1:50" ht="15" customHeight="1" x14ac:dyDescent="0.25">
      <c r="A434" s="25"/>
      <c r="B434" s="25"/>
      <c r="C434" s="11"/>
      <c r="D434" s="11"/>
      <c r="E434" s="11"/>
      <c r="F434" s="26" t="str">
        <f>IFERROR(IF(OR($B434="",$C434=""),"",INDEX('Cartes API'!$J:$J,MATCH($B434,'Cartes API'!$A:$A,0))&amp;INDEX('Cartes API'!$B:$B,MATCH($B434,'Cartes API'!$A:$A,0))&amp;"."&amp;INDEX('Cartes API'!$C:$C,MATCH($B434,'Cartes API'!$A:$A,0))&amp;"."&amp;$C434),"")</f>
        <v/>
      </c>
      <c r="G434" s="26" t="str">
        <f>IFERROR(IF($B434="","",INDEX('Cartes API'!$H:$H,MATCH($B434,'Cartes API'!$A:$A,0))),"")</f>
        <v/>
      </c>
      <c r="H434" s="11"/>
      <c r="I434" s="26" t="str">
        <f t="shared" si="6"/>
        <v/>
      </c>
      <c r="J434" s="26" t="str">
        <f>IFERROR(INDEX(Cablage!$A:$A,MATCH($I434,Cablage!$F:$F,0)),"")</f>
        <v/>
      </c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</row>
    <row r="435" spans="1:50" ht="15" customHeight="1" x14ac:dyDescent="0.25">
      <c r="A435" s="25"/>
      <c r="B435" s="25"/>
      <c r="C435" s="11"/>
      <c r="D435" s="11"/>
      <c r="E435" s="11"/>
      <c r="F435" s="26" t="str">
        <f>IFERROR(IF(OR($B435="",$C435=""),"",INDEX('Cartes API'!$J:$J,MATCH($B435,'Cartes API'!$A:$A,0))&amp;INDEX('Cartes API'!$B:$B,MATCH($B435,'Cartes API'!$A:$A,0))&amp;"."&amp;INDEX('Cartes API'!$C:$C,MATCH($B435,'Cartes API'!$A:$A,0))&amp;"."&amp;$C435),"")</f>
        <v/>
      </c>
      <c r="G435" s="26" t="str">
        <f>IFERROR(IF($B435="","",INDEX('Cartes API'!$H:$H,MATCH($B435,'Cartes API'!$A:$A,0))),"")</f>
        <v/>
      </c>
      <c r="H435" s="11"/>
      <c r="I435" s="26" t="str">
        <f t="shared" si="6"/>
        <v/>
      </c>
      <c r="J435" s="26" t="str">
        <f>IFERROR(INDEX(Cablage!$A:$A,MATCH($I435,Cablage!$F:$F,0)),"")</f>
        <v/>
      </c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</row>
    <row r="436" spans="1:50" ht="15" customHeight="1" x14ac:dyDescent="0.25">
      <c r="A436" s="25"/>
      <c r="B436" s="25"/>
      <c r="C436" s="11"/>
      <c r="D436" s="11"/>
      <c r="E436" s="11"/>
      <c r="F436" s="26" t="str">
        <f>IFERROR(IF(OR($B436="",$C436=""),"",INDEX('Cartes API'!$J:$J,MATCH($B436,'Cartes API'!$A:$A,0))&amp;INDEX('Cartes API'!$B:$B,MATCH($B436,'Cartes API'!$A:$A,0))&amp;"."&amp;INDEX('Cartes API'!$C:$C,MATCH($B436,'Cartes API'!$A:$A,0))&amp;"."&amp;$C436),"")</f>
        <v/>
      </c>
      <c r="G436" s="26" t="str">
        <f>IFERROR(IF($B436="","",INDEX('Cartes API'!$H:$H,MATCH($B436,'Cartes API'!$A:$A,0))),"")</f>
        <v/>
      </c>
      <c r="H436" s="11"/>
      <c r="I436" s="26" t="str">
        <f t="shared" si="6"/>
        <v/>
      </c>
      <c r="J436" s="26" t="str">
        <f>IFERROR(INDEX(Cablage!$A:$A,MATCH($I436,Cablage!$F:$F,0)),"")</f>
        <v/>
      </c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</row>
    <row r="437" spans="1:50" ht="15" customHeight="1" x14ac:dyDescent="0.25">
      <c r="A437" s="25"/>
      <c r="B437" s="25"/>
      <c r="C437" s="11"/>
      <c r="D437" s="11"/>
      <c r="E437" s="11"/>
      <c r="F437" s="26" t="str">
        <f>IFERROR(IF(OR($B437="",$C437=""),"",INDEX('Cartes API'!$J:$J,MATCH($B437,'Cartes API'!$A:$A,0))&amp;INDEX('Cartes API'!$B:$B,MATCH($B437,'Cartes API'!$A:$A,0))&amp;"."&amp;INDEX('Cartes API'!$C:$C,MATCH($B437,'Cartes API'!$A:$A,0))&amp;"."&amp;$C437),"")</f>
        <v/>
      </c>
      <c r="G437" s="26" t="str">
        <f>IFERROR(IF($B437="","",INDEX('Cartes API'!$H:$H,MATCH($B437,'Cartes API'!$A:$A,0))),"")</f>
        <v/>
      </c>
      <c r="H437" s="11"/>
      <c r="I437" s="26" t="str">
        <f t="shared" si="6"/>
        <v/>
      </c>
      <c r="J437" s="26" t="str">
        <f>IFERROR(INDEX(Cablage!$A:$A,MATCH($I437,Cablage!$F:$F,0)),"")</f>
        <v/>
      </c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</row>
    <row r="438" spans="1:50" ht="15" customHeight="1" x14ac:dyDescent="0.25">
      <c r="A438" s="25"/>
      <c r="B438" s="25"/>
      <c r="C438" s="11"/>
      <c r="D438" s="11"/>
      <c r="E438" s="11"/>
      <c r="F438" s="26" t="str">
        <f>IFERROR(IF(OR($B438="",$C438=""),"",INDEX('Cartes API'!$J:$J,MATCH($B438,'Cartes API'!$A:$A,0))&amp;INDEX('Cartes API'!$B:$B,MATCH($B438,'Cartes API'!$A:$A,0))&amp;"."&amp;INDEX('Cartes API'!$C:$C,MATCH($B438,'Cartes API'!$A:$A,0))&amp;"."&amp;$C438),"")</f>
        <v/>
      </c>
      <c r="G438" s="26" t="str">
        <f>IFERROR(IF($B438="","",INDEX('Cartes API'!$H:$H,MATCH($B438,'Cartes API'!$A:$A,0))),"")</f>
        <v/>
      </c>
      <c r="H438" s="11"/>
      <c r="I438" s="26" t="str">
        <f t="shared" si="6"/>
        <v/>
      </c>
      <c r="J438" s="26" t="str">
        <f>IFERROR(INDEX(Cablage!$A:$A,MATCH($I438,Cablage!$F:$F,0)),"")</f>
        <v/>
      </c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</row>
    <row r="439" spans="1:50" ht="15" customHeight="1" x14ac:dyDescent="0.25">
      <c r="A439" s="25"/>
      <c r="B439" s="25"/>
      <c r="C439" s="11"/>
      <c r="D439" s="11"/>
      <c r="E439" s="11"/>
      <c r="F439" s="26" t="str">
        <f>IFERROR(IF(OR($B439="",$C439=""),"",INDEX('Cartes API'!$J:$J,MATCH($B439,'Cartes API'!$A:$A,0))&amp;INDEX('Cartes API'!$B:$B,MATCH($B439,'Cartes API'!$A:$A,0))&amp;"."&amp;INDEX('Cartes API'!$C:$C,MATCH($B439,'Cartes API'!$A:$A,0))&amp;"."&amp;$C439),"")</f>
        <v/>
      </c>
      <c r="G439" s="26" t="str">
        <f>IFERROR(IF($B439="","",INDEX('Cartes API'!$H:$H,MATCH($B439,'Cartes API'!$A:$A,0))),"")</f>
        <v/>
      </c>
      <c r="H439" s="11"/>
      <c r="I439" s="26" t="str">
        <f t="shared" si="6"/>
        <v/>
      </c>
      <c r="J439" s="26" t="str">
        <f>IFERROR(INDEX(Cablage!$A:$A,MATCH($I439,Cablage!$F:$F,0)),"")</f>
        <v/>
      </c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</row>
    <row r="440" spans="1:50" ht="15" customHeight="1" x14ac:dyDescent="0.25">
      <c r="A440" s="25"/>
      <c r="B440" s="25"/>
      <c r="C440" s="11"/>
      <c r="D440" s="11"/>
      <c r="E440" s="11"/>
      <c r="F440" s="26" t="str">
        <f>IFERROR(IF(OR($B440="",$C440=""),"",INDEX('Cartes API'!$J:$J,MATCH($B440,'Cartes API'!$A:$A,0))&amp;INDEX('Cartes API'!$B:$B,MATCH($B440,'Cartes API'!$A:$A,0))&amp;"."&amp;INDEX('Cartes API'!$C:$C,MATCH($B440,'Cartes API'!$A:$A,0))&amp;"."&amp;$C440),"")</f>
        <v/>
      </c>
      <c r="G440" s="26" t="str">
        <f>IFERROR(IF($B440="","",INDEX('Cartes API'!$H:$H,MATCH($B440,'Cartes API'!$A:$A,0))),"")</f>
        <v/>
      </c>
      <c r="H440" s="11"/>
      <c r="I440" s="26" t="str">
        <f t="shared" si="6"/>
        <v/>
      </c>
      <c r="J440" s="26" t="str">
        <f>IFERROR(INDEX(Cablage!$A:$A,MATCH($I440,Cablage!$F:$F,0)),"")</f>
        <v/>
      </c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</row>
    <row r="441" spans="1:50" ht="15" customHeight="1" x14ac:dyDescent="0.25">
      <c r="A441" s="25"/>
      <c r="B441" s="25"/>
      <c r="C441" s="11"/>
      <c r="D441" s="11"/>
      <c r="E441" s="11"/>
      <c r="F441" s="26" t="str">
        <f>IFERROR(IF(OR($B441="",$C441=""),"",INDEX('Cartes API'!$J:$J,MATCH($B441,'Cartes API'!$A:$A,0))&amp;INDEX('Cartes API'!$B:$B,MATCH($B441,'Cartes API'!$A:$A,0))&amp;"."&amp;INDEX('Cartes API'!$C:$C,MATCH($B441,'Cartes API'!$A:$A,0))&amp;"."&amp;$C441),"")</f>
        <v/>
      </c>
      <c r="G441" s="26" t="str">
        <f>IFERROR(IF($B441="","",INDEX('Cartes API'!$H:$H,MATCH($B441,'Cartes API'!$A:$A,0))),"")</f>
        <v/>
      </c>
      <c r="H441" s="11"/>
      <c r="I441" s="26" t="str">
        <f t="shared" si="6"/>
        <v/>
      </c>
      <c r="J441" s="26" t="str">
        <f>IFERROR(INDEX(Cablage!$A:$A,MATCH($I441,Cablage!$F:$F,0)),"")</f>
        <v/>
      </c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</row>
    <row r="442" spans="1:50" ht="15" customHeight="1" x14ac:dyDescent="0.25">
      <c r="A442" s="25"/>
      <c r="B442" s="25"/>
      <c r="C442" s="11"/>
      <c r="D442" s="11"/>
      <c r="E442" s="11"/>
      <c r="F442" s="26" t="str">
        <f>IFERROR(IF(OR($B442="",$C442=""),"",INDEX('Cartes API'!$J:$J,MATCH($B442,'Cartes API'!$A:$A,0))&amp;INDEX('Cartes API'!$B:$B,MATCH($B442,'Cartes API'!$A:$A,0))&amp;"."&amp;INDEX('Cartes API'!$C:$C,MATCH($B442,'Cartes API'!$A:$A,0))&amp;"."&amp;$C442),"")</f>
        <v/>
      </c>
      <c r="G442" s="26" t="str">
        <f>IFERROR(IF($B442="","",INDEX('Cartes API'!$H:$H,MATCH($B442,'Cartes API'!$A:$A,0))),"")</f>
        <v/>
      </c>
      <c r="H442" s="11"/>
      <c r="I442" s="26" t="str">
        <f t="shared" si="6"/>
        <v/>
      </c>
      <c r="J442" s="26" t="str">
        <f>IFERROR(INDEX(Cablage!$A:$A,MATCH($I442,Cablage!$F:$F,0)),"")</f>
        <v/>
      </c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</row>
    <row r="443" spans="1:50" ht="15" customHeight="1" x14ac:dyDescent="0.25">
      <c r="A443" s="25"/>
      <c r="B443" s="25"/>
      <c r="C443" s="11"/>
      <c r="D443" s="11"/>
      <c r="E443" s="11"/>
      <c r="F443" s="26" t="str">
        <f>IFERROR(IF(OR($B443="",$C443=""),"",INDEX('Cartes API'!$J:$J,MATCH($B443,'Cartes API'!$A:$A,0))&amp;INDEX('Cartes API'!$B:$B,MATCH($B443,'Cartes API'!$A:$A,0))&amp;"."&amp;INDEX('Cartes API'!$C:$C,MATCH($B443,'Cartes API'!$A:$A,0))&amp;"."&amp;$C443),"")</f>
        <v/>
      </c>
      <c r="G443" s="26" t="str">
        <f>IFERROR(IF($B443="","",INDEX('Cartes API'!$H:$H,MATCH($B443,'Cartes API'!$A:$A,0))),"")</f>
        <v/>
      </c>
      <c r="H443" s="11"/>
      <c r="I443" s="26" t="str">
        <f t="shared" si="6"/>
        <v/>
      </c>
      <c r="J443" s="26" t="str">
        <f>IFERROR(INDEX(Cablage!$A:$A,MATCH($I443,Cablage!$F:$F,0)),"")</f>
        <v/>
      </c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</row>
    <row r="444" spans="1:50" ht="15" customHeight="1" x14ac:dyDescent="0.25">
      <c r="A444" s="25"/>
      <c r="B444" s="25"/>
      <c r="C444" s="11"/>
      <c r="D444" s="11"/>
      <c r="E444" s="11"/>
      <c r="F444" s="26" t="str">
        <f>IFERROR(IF(OR($B444="",$C444=""),"",INDEX('Cartes API'!$J:$J,MATCH($B444,'Cartes API'!$A:$A,0))&amp;INDEX('Cartes API'!$B:$B,MATCH($B444,'Cartes API'!$A:$A,0))&amp;"."&amp;INDEX('Cartes API'!$C:$C,MATCH($B444,'Cartes API'!$A:$A,0))&amp;"."&amp;$C444),"")</f>
        <v/>
      </c>
      <c r="G444" s="26" t="str">
        <f>IFERROR(IF($B444="","",INDEX('Cartes API'!$H:$H,MATCH($B444,'Cartes API'!$A:$A,0))),"")</f>
        <v/>
      </c>
      <c r="H444" s="11"/>
      <c r="I444" s="26" t="str">
        <f t="shared" si="6"/>
        <v/>
      </c>
      <c r="J444" s="26" t="str">
        <f>IFERROR(INDEX(Cablage!$A:$A,MATCH($I444,Cablage!$F:$F,0)),"")</f>
        <v/>
      </c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</row>
    <row r="445" spans="1:50" ht="15" customHeight="1" x14ac:dyDescent="0.25">
      <c r="A445" s="25"/>
      <c r="B445" s="25"/>
      <c r="C445" s="11"/>
      <c r="D445" s="11"/>
      <c r="E445" s="11"/>
      <c r="F445" s="26" t="str">
        <f>IFERROR(IF(OR($B445="",$C445=""),"",INDEX('Cartes API'!$J:$J,MATCH($B445,'Cartes API'!$A:$A,0))&amp;INDEX('Cartes API'!$B:$B,MATCH($B445,'Cartes API'!$A:$A,0))&amp;"."&amp;INDEX('Cartes API'!$C:$C,MATCH($B445,'Cartes API'!$A:$A,0))&amp;"."&amp;$C445),"")</f>
        <v/>
      </c>
      <c r="G445" s="26" t="str">
        <f>IFERROR(IF($B445="","",INDEX('Cartes API'!$H:$H,MATCH($B445,'Cartes API'!$A:$A,0))),"")</f>
        <v/>
      </c>
      <c r="H445" s="11"/>
      <c r="I445" s="26" t="str">
        <f t="shared" si="6"/>
        <v/>
      </c>
      <c r="J445" s="26" t="str">
        <f>IFERROR(INDEX(Cablage!$A:$A,MATCH($I445,Cablage!$F:$F,0)),"")</f>
        <v/>
      </c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</row>
    <row r="446" spans="1:50" ht="15" customHeight="1" x14ac:dyDescent="0.25">
      <c r="A446" s="25"/>
      <c r="B446" s="25"/>
      <c r="C446" s="11"/>
      <c r="D446" s="11"/>
      <c r="E446" s="11"/>
      <c r="F446" s="26" t="str">
        <f>IFERROR(IF(OR($B446="",$C446=""),"",INDEX('Cartes API'!$J:$J,MATCH($B446,'Cartes API'!$A:$A,0))&amp;INDEX('Cartes API'!$B:$B,MATCH($B446,'Cartes API'!$A:$A,0))&amp;"."&amp;INDEX('Cartes API'!$C:$C,MATCH($B446,'Cartes API'!$A:$A,0))&amp;"."&amp;$C446),"")</f>
        <v/>
      </c>
      <c r="G446" s="26" t="str">
        <f>IFERROR(IF($B446="","",INDEX('Cartes API'!$H:$H,MATCH($B446,'Cartes API'!$A:$A,0))),"")</f>
        <v/>
      </c>
      <c r="H446" s="11"/>
      <c r="I446" s="26" t="str">
        <f t="shared" si="6"/>
        <v/>
      </c>
      <c r="J446" s="26" t="str">
        <f>IFERROR(INDEX(Cablage!$A:$A,MATCH($I446,Cablage!$F:$F,0)),"")</f>
        <v/>
      </c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</row>
    <row r="447" spans="1:50" ht="15" customHeight="1" x14ac:dyDescent="0.25">
      <c r="A447" s="25"/>
      <c r="B447" s="25"/>
      <c r="C447" s="11"/>
      <c r="D447" s="11"/>
      <c r="E447" s="11"/>
      <c r="F447" s="26" t="str">
        <f>IFERROR(IF(OR($B447="",$C447=""),"",INDEX('Cartes API'!$J:$J,MATCH($B447,'Cartes API'!$A:$A,0))&amp;INDEX('Cartes API'!$B:$B,MATCH($B447,'Cartes API'!$A:$A,0))&amp;"."&amp;INDEX('Cartes API'!$C:$C,MATCH($B447,'Cartes API'!$A:$A,0))&amp;"."&amp;$C447),"")</f>
        <v/>
      </c>
      <c r="G447" s="26" t="str">
        <f>IFERROR(IF($B447="","",INDEX('Cartes API'!$H:$H,MATCH($B447,'Cartes API'!$A:$A,0))),"")</f>
        <v/>
      </c>
      <c r="H447" s="11"/>
      <c r="I447" s="26" t="str">
        <f t="shared" si="6"/>
        <v/>
      </c>
      <c r="J447" s="26" t="str">
        <f>IFERROR(INDEX(Cablage!$A:$A,MATCH($I447,Cablage!$F:$F,0)),"")</f>
        <v/>
      </c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</row>
    <row r="448" spans="1:50" ht="15" customHeight="1" x14ac:dyDescent="0.25">
      <c r="A448" s="25"/>
      <c r="B448" s="25"/>
      <c r="C448" s="11"/>
      <c r="D448" s="11"/>
      <c r="E448" s="11"/>
      <c r="F448" s="26" t="str">
        <f>IFERROR(IF(OR($B448="",$C448=""),"",INDEX('Cartes API'!$J:$J,MATCH($B448,'Cartes API'!$A:$A,0))&amp;INDEX('Cartes API'!$B:$B,MATCH($B448,'Cartes API'!$A:$A,0))&amp;"."&amp;INDEX('Cartes API'!$C:$C,MATCH($B448,'Cartes API'!$A:$A,0))&amp;"."&amp;$C448),"")</f>
        <v/>
      </c>
      <c r="G448" s="26" t="str">
        <f>IFERROR(IF($B448="","",INDEX('Cartes API'!$H:$H,MATCH($B448,'Cartes API'!$A:$A,0))),"")</f>
        <v/>
      </c>
      <c r="H448" s="11"/>
      <c r="I448" s="26" t="str">
        <f t="shared" si="6"/>
        <v/>
      </c>
      <c r="J448" s="26" t="str">
        <f>IFERROR(INDEX(Cablage!$A:$A,MATCH($I448,Cablage!$F:$F,0)),"")</f>
        <v/>
      </c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</row>
    <row r="449" spans="1:50" ht="15" customHeight="1" x14ac:dyDescent="0.25">
      <c r="A449" s="25"/>
      <c r="B449" s="25"/>
      <c r="C449" s="11"/>
      <c r="D449" s="11"/>
      <c r="E449" s="11"/>
      <c r="F449" s="26" t="str">
        <f>IFERROR(IF(OR($B449="",$C449=""),"",INDEX('Cartes API'!$J:$J,MATCH($B449,'Cartes API'!$A:$A,0))&amp;INDEX('Cartes API'!$B:$B,MATCH($B449,'Cartes API'!$A:$A,0))&amp;"."&amp;INDEX('Cartes API'!$C:$C,MATCH($B449,'Cartes API'!$A:$A,0))&amp;"."&amp;$C449),"")</f>
        <v/>
      </c>
      <c r="G449" s="26" t="str">
        <f>IFERROR(IF($B449="","",INDEX('Cartes API'!$H:$H,MATCH($B449,'Cartes API'!$A:$A,0))),"")</f>
        <v/>
      </c>
      <c r="H449" s="11"/>
      <c r="I449" s="26" t="str">
        <f t="shared" si="6"/>
        <v/>
      </c>
      <c r="J449" s="26" t="str">
        <f>IFERROR(INDEX(Cablage!$A:$A,MATCH($I449,Cablage!$F:$F,0)),"")</f>
        <v/>
      </c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</row>
    <row r="450" spans="1:50" ht="15" customHeight="1" x14ac:dyDescent="0.25">
      <c r="A450" s="25"/>
      <c r="B450" s="25"/>
      <c r="C450" s="11"/>
      <c r="D450" s="11"/>
      <c r="E450" s="11"/>
      <c r="F450" s="26" t="str">
        <f>IFERROR(IF(OR($B450="",$C450=""),"",INDEX('Cartes API'!$J:$J,MATCH($B450,'Cartes API'!$A:$A,0))&amp;INDEX('Cartes API'!$B:$B,MATCH($B450,'Cartes API'!$A:$A,0))&amp;"."&amp;INDEX('Cartes API'!$C:$C,MATCH($B450,'Cartes API'!$A:$A,0))&amp;"."&amp;$C450),"")</f>
        <v/>
      </c>
      <c r="G450" s="26" t="str">
        <f>IFERROR(IF($B450="","",INDEX('Cartes API'!$H:$H,MATCH($B450,'Cartes API'!$A:$A,0))),"")</f>
        <v/>
      </c>
      <c r="H450" s="11"/>
      <c r="I450" s="26" t="str">
        <f t="shared" si="6"/>
        <v/>
      </c>
      <c r="J450" s="26" t="str">
        <f>IFERROR(INDEX(Cablage!$A:$A,MATCH($I450,Cablage!$F:$F,0)),"")</f>
        <v/>
      </c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</row>
    <row r="451" spans="1:50" ht="15" customHeight="1" x14ac:dyDescent="0.25">
      <c r="A451" s="25"/>
      <c r="B451" s="25"/>
      <c r="C451" s="11"/>
      <c r="D451" s="11"/>
      <c r="E451" s="11"/>
      <c r="F451" s="26" t="str">
        <f>IFERROR(IF(OR($B451="",$C451=""),"",INDEX('Cartes API'!$J:$J,MATCH($B451,'Cartes API'!$A:$A,0))&amp;INDEX('Cartes API'!$B:$B,MATCH($B451,'Cartes API'!$A:$A,0))&amp;"."&amp;INDEX('Cartes API'!$C:$C,MATCH($B451,'Cartes API'!$A:$A,0))&amp;"."&amp;$C451),"")</f>
        <v/>
      </c>
      <c r="G451" s="26" t="str">
        <f>IFERROR(IF($B451="","",INDEX('Cartes API'!$H:$H,MATCH($B451,'Cartes API'!$A:$A,0))),"")</f>
        <v/>
      </c>
      <c r="H451" s="11"/>
      <c r="I451" s="26" t="str">
        <f t="shared" si="6"/>
        <v/>
      </c>
      <c r="J451" s="26" t="str">
        <f>IFERROR(INDEX(Cablage!$A:$A,MATCH($I451,Cablage!$F:$F,0)),"")</f>
        <v/>
      </c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</row>
    <row r="452" spans="1:50" ht="15" customHeight="1" x14ac:dyDescent="0.25">
      <c r="A452" s="25"/>
      <c r="B452" s="25"/>
      <c r="C452" s="11"/>
      <c r="D452" s="11"/>
      <c r="E452" s="11"/>
      <c r="F452" s="26" t="str">
        <f>IFERROR(IF(OR($B452="",$C452=""),"",INDEX('Cartes API'!$J:$J,MATCH($B452,'Cartes API'!$A:$A,0))&amp;INDEX('Cartes API'!$B:$B,MATCH($B452,'Cartes API'!$A:$A,0))&amp;"."&amp;INDEX('Cartes API'!$C:$C,MATCH($B452,'Cartes API'!$A:$A,0))&amp;"."&amp;$C452),"")</f>
        <v/>
      </c>
      <c r="G452" s="26" t="str">
        <f>IFERROR(IF($B452="","",INDEX('Cartes API'!$H:$H,MATCH($B452,'Cartes API'!$A:$A,0))),"")</f>
        <v/>
      </c>
      <c r="H452" s="11"/>
      <c r="I452" s="26" t="str">
        <f t="shared" si="6"/>
        <v/>
      </c>
      <c r="J452" s="26" t="str">
        <f>IFERROR(INDEX(Cablage!$A:$A,MATCH($I452,Cablage!$F:$F,0)),"")</f>
        <v/>
      </c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</row>
    <row r="453" spans="1:50" ht="15" customHeight="1" x14ac:dyDescent="0.25">
      <c r="A453" s="25"/>
      <c r="B453" s="25"/>
      <c r="C453" s="11"/>
      <c r="D453" s="11"/>
      <c r="E453" s="11"/>
      <c r="F453" s="26" t="str">
        <f>IFERROR(IF(OR($B453="",$C453=""),"",INDEX('Cartes API'!$J:$J,MATCH($B453,'Cartes API'!$A:$A,0))&amp;INDEX('Cartes API'!$B:$B,MATCH($B453,'Cartes API'!$A:$A,0))&amp;"."&amp;INDEX('Cartes API'!$C:$C,MATCH($B453,'Cartes API'!$A:$A,0))&amp;"."&amp;$C453),"")</f>
        <v/>
      </c>
      <c r="G453" s="26" t="str">
        <f>IFERROR(IF($B453="","",INDEX('Cartes API'!$H:$H,MATCH($B453,'Cartes API'!$A:$A,0))),"")</f>
        <v/>
      </c>
      <c r="H453" s="11"/>
      <c r="I453" s="26" t="str">
        <f t="shared" si="6"/>
        <v/>
      </c>
      <c r="J453" s="26" t="str">
        <f>IFERROR(INDEX(Cablage!$A:$A,MATCH($I453,Cablage!$F:$F,0)),"")</f>
        <v/>
      </c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</row>
    <row r="454" spans="1:50" ht="15" customHeight="1" x14ac:dyDescent="0.25">
      <c r="A454" s="25"/>
      <c r="B454" s="25"/>
      <c r="C454" s="11"/>
      <c r="D454" s="11"/>
      <c r="E454" s="11"/>
      <c r="F454" s="26" t="str">
        <f>IFERROR(IF(OR($B454="",$C454=""),"",INDEX('Cartes API'!$J:$J,MATCH($B454,'Cartes API'!$A:$A,0))&amp;INDEX('Cartes API'!$B:$B,MATCH($B454,'Cartes API'!$A:$A,0))&amp;"."&amp;INDEX('Cartes API'!$C:$C,MATCH($B454,'Cartes API'!$A:$A,0))&amp;"."&amp;$C454),"")</f>
        <v/>
      </c>
      <c r="G454" s="26" t="str">
        <f>IFERROR(IF($B454="","",INDEX('Cartes API'!$H:$H,MATCH($B454,'Cartes API'!$A:$A,0))),"")</f>
        <v/>
      </c>
      <c r="H454" s="11"/>
      <c r="I454" s="26" t="str">
        <f t="shared" si="6"/>
        <v/>
      </c>
      <c r="J454" s="26" t="str">
        <f>IFERROR(INDEX(Cablage!$A:$A,MATCH($I454,Cablage!$F:$F,0)),"")</f>
        <v/>
      </c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</row>
    <row r="455" spans="1:50" ht="15" customHeight="1" x14ac:dyDescent="0.25">
      <c r="A455" s="25"/>
      <c r="B455" s="25"/>
      <c r="C455" s="11"/>
      <c r="D455" s="11"/>
      <c r="E455" s="11"/>
      <c r="F455" s="26" t="str">
        <f>IFERROR(IF(OR($B455="",$C455=""),"",INDEX('Cartes API'!$J:$J,MATCH($B455,'Cartes API'!$A:$A,0))&amp;INDEX('Cartes API'!$B:$B,MATCH($B455,'Cartes API'!$A:$A,0))&amp;"."&amp;INDEX('Cartes API'!$C:$C,MATCH($B455,'Cartes API'!$A:$A,0))&amp;"."&amp;$C455),"")</f>
        <v/>
      </c>
      <c r="G455" s="26" t="str">
        <f>IFERROR(IF($B455="","",INDEX('Cartes API'!$H:$H,MATCH($B455,'Cartes API'!$A:$A,0))),"")</f>
        <v/>
      </c>
      <c r="H455" s="11"/>
      <c r="I455" s="26" t="str">
        <f t="shared" si="6"/>
        <v/>
      </c>
      <c r="J455" s="26" t="str">
        <f>IFERROR(INDEX(Cablage!$A:$A,MATCH($I455,Cablage!$F:$F,0)),"")</f>
        <v/>
      </c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</row>
    <row r="456" spans="1:50" ht="15" customHeight="1" x14ac:dyDescent="0.25">
      <c r="A456" s="25"/>
      <c r="B456" s="25"/>
      <c r="C456" s="11"/>
      <c r="D456" s="11"/>
      <c r="E456" s="11"/>
      <c r="F456" s="26" t="str">
        <f>IFERROR(IF(OR($B456="",$C456=""),"",INDEX('Cartes API'!$J:$J,MATCH($B456,'Cartes API'!$A:$A,0))&amp;INDEX('Cartes API'!$B:$B,MATCH($B456,'Cartes API'!$A:$A,0))&amp;"."&amp;INDEX('Cartes API'!$C:$C,MATCH($B456,'Cartes API'!$A:$A,0))&amp;"."&amp;$C456),"")</f>
        <v/>
      </c>
      <c r="G456" s="26" t="str">
        <f>IFERROR(IF($B456="","",INDEX('Cartes API'!$H:$H,MATCH($B456,'Cartes API'!$A:$A,0))),"")</f>
        <v/>
      </c>
      <c r="H456" s="11"/>
      <c r="I456" s="26" t="str">
        <f t="shared" si="6"/>
        <v/>
      </c>
      <c r="J456" s="26" t="str">
        <f>IFERROR(INDEX(Cablage!$A:$A,MATCH($I456,Cablage!$F:$F,0)),"")</f>
        <v/>
      </c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</row>
    <row r="457" spans="1:50" ht="15" customHeight="1" x14ac:dyDescent="0.25">
      <c r="A457" s="25"/>
      <c r="B457" s="25"/>
      <c r="C457" s="11"/>
      <c r="D457" s="11"/>
      <c r="E457" s="11"/>
      <c r="F457" s="26" t="str">
        <f>IFERROR(IF(OR($B457="",$C457=""),"",INDEX('Cartes API'!$J:$J,MATCH($B457,'Cartes API'!$A:$A,0))&amp;INDEX('Cartes API'!$B:$B,MATCH($B457,'Cartes API'!$A:$A,0))&amp;"."&amp;INDEX('Cartes API'!$C:$C,MATCH($B457,'Cartes API'!$A:$A,0))&amp;"."&amp;$C457),"")</f>
        <v/>
      </c>
      <c r="G457" s="26" t="str">
        <f>IFERROR(IF($B457="","",INDEX('Cartes API'!$H:$H,MATCH($B457,'Cartes API'!$A:$A,0))),"")</f>
        <v/>
      </c>
      <c r="H457" s="11"/>
      <c r="I457" s="26" t="str">
        <f t="shared" ref="I457:I520" si="7">IF(OR($G457="",$H457=""),"",$G457&amp;"["&amp;$H457&amp;"]")</f>
        <v/>
      </c>
      <c r="J457" s="26" t="str">
        <f>IFERROR(INDEX(Cablage!$A:$A,MATCH($I457,Cablage!$F:$F,0)),"")</f>
        <v/>
      </c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</row>
    <row r="458" spans="1:50" ht="15" customHeight="1" x14ac:dyDescent="0.25">
      <c r="A458" s="25"/>
      <c r="B458" s="25"/>
      <c r="C458" s="11"/>
      <c r="D458" s="11"/>
      <c r="E458" s="11"/>
      <c r="F458" s="26" t="str">
        <f>IFERROR(IF(OR($B458="",$C458=""),"",INDEX('Cartes API'!$J:$J,MATCH($B458,'Cartes API'!$A:$A,0))&amp;INDEX('Cartes API'!$B:$B,MATCH($B458,'Cartes API'!$A:$A,0))&amp;"."&amp;INDEX('Cartes API'!$C:$C,MATCH($B458,'Cartes API'!$A:$A,0))&amp;"."&amp;$C458),"")</f>
        <v/>
      </c>
      <c r="G458" s="26" t="str">
        <f>IFERROR(IF($B458="","",INDEX('Cartes API'!$H:$H,MATCH($B458,'Cartes API'!$A:$A,0))),"")</f>
        <v/>
      </c>
      <c r="H458" s="11"/>
      <c r="I458" s="26" t="str">
        <f t="shared" si="7"/>
        <v/>
      </c>
      <c r="J458" s="26" t="str">
        <f>IFERROR(INDEX(Cablage!$A:$A,MATCH($I458,Cablage!$F:$F,0)),"")</f>
        <v/>
      </c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</row>
    <row r="459" spans="1:50" ht="15" customHeight="1" x14ac:dyDescent="0.25">
      <c r="A459" s="25"/>
      <c r="B459" s="25"/>
      <c r="C459" s="11"/>
      <c r="D459" s="11"/>
      <c r="E459" s="11"/>
      <c r="F459" s="26" t="str">
        <f>IFERROR(IF(OR($B459="",$C459=""),"",INDEX('Cartes API'!$J:$J,MATCH($B459,'Cartes API'!$A:$A,0))&amp;INDEX('Cartes API'!$B:$B,MATCH($B459,'Cartes API'!$A:$A,0))&amp;"."&amp;INDEX('Cartes API'!$C:$C,MATCH($B459,'Cartes API'!$A:$A,0))&amp;"."&amp;$C459),"")</f>
        <v/>
      </c>
      <c r="G459" s="26" t="str">
        <f>IFERROR(IF($B459="","",INDEX('Cartes API'!$H:$H,MATCH($B459,'Cartes API'!$A:$A,0))),"")</f>
        <v/>
      </c>
      <c r="H459" s="11"/>
      <c r="I459" s="26" t="str">
        <f t="shared" si="7"/>
        <v/>
      </c>
      <c r="J459" s="26" t="str">
        <f>IFERROR(INDEX(Cablage!$A:$A,MATCH($I459,Cablage!$F:$F,0)),"")</f>
        <v/>
      </c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</row>
    <row r="460" spans="1:50" ht="15" customHeight="1" x14ac:dyDescent="0.25">
      <c r="A460" s="25"/>
      <c r="B460" s="25"/>
      <c r="C460" s="11"/>
      <c r="D460" s="11"/>
      <c r="E460" s="11"/>
      <c r="F460" s="26" t="str">
        <f>IFERROR(IF(OR($B460="",$C460=""),"",INDEX('Cartes API'!$J:$J,MATCH($B460,'Cartes API'!$A:$A,0))&amp;INDEX('Cartes API'!$B:$B,MATCH($B460,'Cartes API'!$A:$A,0))&amp;"."&amp;INDEX('Cartes API'!$C:$C,MATCH($B460,'Cartes API'!$A:$A,0))&amp;"."&amp;$C460),"")</f>
        <v/>
      </c>
      <c r="G460" s="26" t="str">
        <f>IFERROR(IF($B460="","",INDEX('Cartes API'!$H:$H,MATCH($B460,'Cartes API'!$A:$A,0))),"")</f>
        <v/>
      </c>
      <c r="H460" s="11"/>
      <c r="I460" s="26" t="str">
        <f t="shared" si="7"/>
        <v/>
      </c>
      <c r="J460" s="26" t="str">
        <f>IFERROR(INDEX(Cablage!$A:$A,MATCH($I460,Cablage!$F:$F,0)),"")</f>
        <v/>
      </c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</row>
    <row r="461" spans="1:50" ht="15" customHeight="1" x14ac:dyDescent="0.25">
      <c r="A461" s="25"/>
      <c r="B461" s="25"/>
      <c r="C461" s="11"/>
      <c r="D461" s="11"/>
      <c r="E461" s="11"/>
      <c r="F461" s="26" t="str">
        <f>IFERROR(IF(OR($B461="",$C461=""),"",INDEX('Cartes API'!$J:$J,MATCH($B461,'Cartes API'!$A:$A,0))&amp;INDEX('Cartes API'!$B:$B,MATCH($B461,'Cartes API'!$A:$A,0))&amp;"."&amp;INDEX('Cartes API'!$C:$C,MATCH($B461,'Cartes API'!$A:$A,0))&amp;"."&amp;$C461),"")</f>
        <v/>
      </c>
      <c r="G461" s="26" t="str">
        <f>IFERROR(IF($B461="","",INDEX('Cartes API'!$H:$H,MATCH($B461,'Cartes API'!$A:$A,0))),"")</f>
        <v/>
      </c>
      <c r="H461" s="11"/>
      <c r="I461" s="26" t="str">
        <f t="shared" si="7"/>
        <v/>
      </c>
      <c r="J461" s="26" t="str">
        <f>IFERROR(INDEX(Cablage!$A:$A,MATCH($I461,Cablage!$F:$F,0)),"")</f>
        <v/>
      </c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</row>
    <row r="462" spans="1:50" ht="15" customHeight="1" x14ac:dyDescent="0.25">
      <c r="A462" s="25"/>
      <c r="B462" s="25"/>
      <c r="C462" s="11"/>
      <c r="D462" s="11"/>
      <c r="E462" s="11"/>
      <c r="F462" s="26" t="str">
        <f>IFERROR(IF(OR($B462="",$C462=""),"",INDEX('Cartes API'!$J:$J,MATCH($B462,'Cartes API'!$A:$A,0))&amp;INDEX('Cartes API'!$B:$B,MATCH($B462,'Cartes API'!$A:$A,0))&amp;"."&amp;INDEX('Cartes API'!$C:$C,MATCH($B462,'Cartes API'!$A:$A,0))&amp;"."&amp;$C462),"")</f>
        <v/>
      </c>
      <c r="G462" s="26" t="str">
        <f>IFERROR(IF($B462="","",INDEX('Cartes API'!$H:$H,MATCH($B462,'Cartes API'!$A:$A,0))),"")</f>
        <v/>
      </c>
      <c r="H462" s="11"/>
      <c r="I462" s="26" t="str">
        <f t="shared" si="7"/>
        <v/>
      </c>
      <c r="J462" s="26" t="str">
        <f>IFERROR(INDEX(Cablage!$A:$A,MATCH($I462,Cablage!$F:$F,0)),"")</f>
        <v/>
      </c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</row>
    <row r="463" spans="1:50" ht="15" customHeight="1" x14ac:dyDescent="0.25">
      <c r="A463" s="25"/>
      <c r="B463" s="25"/>
      <c r="C463" s="11"/>
      <c r="D463" s="11"/>
      <c r="E463" s="11"/>
      <c r="F463" s="26" t="str">
        <f>IFERROR(IF(OR($B463="",$C463=""),"",INDEX('Cartes API'!$J:$J,MATCH($B463,'Cartes API'!$A:$A,0))&amp;INDEX('Cartes API'!$B:$B,MATCH($B463,'Cartes API'!$A:$A,0))&amp;"."&amp;INDEX('Cartes API'!$C:$C,MATCH($B463,'Cartes API'!$A:$A,0))&amp;"."&amp;$C463),"")</f>
        <v/>
      </c>
      <c r="G463" s="26" t="str">
        <f>IFERROR(IF($B463="","",INDEX('Cartes API'!$H:$H,MATCH($B463,'Cartes API'!$A:$A,0))),"")</f>
        <v/>
      </c>
      <c r="H463" s="11"/>
      <c r="I463" s="26" t="str">
        <f t="shared" si="7"/>
        <v/>
      </c>
      <c r="J463" s="26" t="str">
        <f>IFERROR(INDEX(Cablage!$A:$A,MATCH($I463,Cablage!$F:$F,0)),"")</f>
        <v/>
      </c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</row>
    <row r="464" spans="1:50" ht="15" customHeight="1" x14ac:dyDescent="0.25">
      <c r="A464" s="25"/>
      <c r="B464" s="25"/>
      <c r="C464" s="11"/>
      <c r="D464" s="11"/>
      <c r="E464" s="11"/>
      <c r="F464" s="26" t="str">
        <f>IFERROR(IF(OR($B464="",$C464=""),"",INDEX('Cartes API'!$J:$J,MATCH($B464,'Cartes API'!$A:$A,0))&amp;INDEX('Cartes API'!$B:$B,MATCH($B464,'Cartes API'!$A:$A,0))&amp;"."&amp;INDEX('Cartes API'!$C:$C,MATCH($B464,'Cartes API'!$A:$A,0))&amp;"."&amp;$C464),"")</f>
        <v/>
      </c>
      <c r="G464" s="26" t="str">
        <f>IFERROR(IF($B464="","",INDEX('Cartes API'!$H:$H,MATCH($B464,'Cartes API'!$A:$A,0))),"")</f>
        <v/>
      </c>
      <c r="H464" s="11"/>
      <c r="I464" s="26" t="str">
        <f t="shared" si="7"/>
        <v/>
      </c>
      <c r="J464" s="26" t="str">
        <f>IFERROR(INDEX(Cablage!$A:$A,MATCH($I464,Cablage!$F:$F,0)),"")</f>
        <v/>
      </c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</row>
    <row r="465" spans="1:50" ht="15" customHeight="1" x14ac:dyDescent="0.25">
      <c r="A465" s="25"/>
      <c r="B465" s="25"/>
      <c r="C465" s="11"/>
      <c r="D465" s="11"/>
      <c r="E465" s="11"/>
      <c r="F465" s="26" t="str">
        <f>IFERROR(IF(OR($B465="",$C465=""),"",INDEX('Cartes API'!$J:$J,MATCH($B465,'Cartes API'!$A:$A,0))&amp;INDEX('Cartes API'!$B:$B,MATCH($B465,'Cartes API'!$A:$A,0))&amp;"."&amp;INDEX('Cartes API'!$C:$C,MATCH($B465,'Cartes API'!$A:$A,0))&amp;"."&amp;$C465),"")</f>
        <v/>
      </c>
      <c r="G465" s="26" t="str">
        <f>IFERROR(IF($B465="","",INDEX('Cartes API'!$H:$H,MATCH($B465,'Cartes API'!$A:$A,0))),"")</f>
        <v/>
      </c>
      <c r="H465" s="11"/>
      <c r="I465" s="26" t="str">
        <f t="shared" si="7"/>
        <v/>
      </c>
      <c r="J465" s="26" t="str">
        <f>IFERROR(INDEX(Cablage!$A:$A,MATCH($I465,Cablage!$F:$F,0)),"")</f>
        <v/>
      </c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</row>
    <row r="466" spans="1:50" ht="15" customHeight="1" x14ac:dyDescent="0.25">
      <c r="A466" s="25"/>
      <c r="B466" s="25"/>
      <c r="C466" s="11"/>
      <c r="D466" s="11"/>
      <c r="E466" s="11"/>
      <c r="F466" s="26" t="str">
        <f>IFERROR(IF(OR($B466="",$C466=""),"",INDEX('Cartes API'!$J:$J,MATCH($B466,'Cartes API'!$A:$A,0))&amp;INDEX('Cartes API'!$B:$B,MATCH($B466,'Cartes API'!$A:$A,0))&amp;"."&amp;INDEX('Cartes API'!$C:$C,MATCH($B466,'Cartes API'!$A:$A,0))&amp;"."&amp;$C466),"")</f>
        <v/>
      </c>
      <c r="G466" s="26" t="str">
        <f>IFERROR(IF($B466="","",INDEX('Cartes API'!$H:$H,MATCH($B466,'Cartes API'!$A:$A,0))),"")</f>
        <v/>
      </c>
      <c r="H466" s="11"/>
      <c r="I466" s="26" t="str">
        <f t="shared" si="7"/>
        <v/>
      </c>
      <c r="J466" s="26" t="str">
        <f>IFERROR(INDEX(Cablage!$A:$A,MATCH($I466,Cablage!$F:$F,0)),"")</f>
        <v/>
      </c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</row>
    <row r="467" spans="1:50" ht="15" customHeight="1" x14ac:dyDescent="0.25">
      <c r="A467" s="25"/>
      <c r="B467" s="25"/>
      <c r="C467" s="11"/>
      <c r="D467" s="11"/>
      <c r="E467" s="11"/>
      <c r="F467" s="26" t="str">
        <f>IFERROR(IF(OR($B467="",$C467=""),"",INDEX('Cartes API'!$J:$J,MATCH($B467,'Cartes API'!$A:$A,0))&amp;INDEX('Cartes API'!$B:$B,MATCH($B467,'Cartes API'!$A:$A,0))&amp;"."&amp;INDEX('Cartes API'!$C:$C,MATCH($B467,'Cartes API'!$A:$A,0))&amp;"."&amp;$C467),"")</f>
        <v/>
      </c>
      <c r="G467" s="26" t="str">
        <f>IFERROR(IF($B467="","",INDEX('Cartes API'!$H:$H,MATCH($B467,'Cartes API'!$A:$A,0))),"")</f>
        <v/>
      </c>
      <c r="H467" s="11"/>
      <c r="I467" s="26" t="str">
        <f t="shared" si="7"/>
        <v/>
      </c>
      <c r="J467" s="26" t="str">
        <f>IFERROR(INDEX(Cablage!$A:$A,MATCH($I467,Cablage!$F:$F,0)),"")</f>
        <v/>
      </c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</row>
    <row r="468" spans="1:50" ht="15" customHeight="1" x14ac:dyDescent="0.25">
      <c r="A468" s="25"/>
      <c r="B468" s="25"/>
      <c r="C468" s="11"/>
      <c r="D468" s="11"/>
      <c r="E468" s="11"/>
      <c r="F468" s="26" t="str">
        <f>IFERROR(IF(OR($B468="",$C468=""),"",INDEX('Cartes API'!$J:$J,MATCH($B468,'Cartes API'!$A:$A,0))&amp;INDEX('Cartes API'!$B:$B,MATCH($B468,'Cartes API'!$A:$A,0))&amp;"."&amp;INDEX('Cartes API'!$C:$C,MATCH($B468,'Cartes API'!$A:$A,0))&amp;"."&amp;$C468),"")</f>
        <v/>
      </c>
      <c r="G468" s="26" t="str">
        <f>IFERROR(IF($B468="","",INDEX('Cartes API'!$H:$H,MATCH($B468,'Cartes API'!$A:$A,0))),"")</f>
        <v/>
      </c>
      <c r="H468" s="11"/>
      <c r="I468" s="26" t="str">
        <f t="shared" si="7"/>
        <v/>
      </c>
      <c r="J468" s="26" t="str">
        <f>IFERROR(INDEX(Cablage!$A:$A,MATCH($I468,Cablage!$F:$F,0)),"")</f>
        <v/>
      </c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</row>
    <row r="469" spans="1:50" ht="15" customHeight="1" x14ac:dyDescent="0.25">
      <c r="A469" s="25"/>
      <c r="B469" s="25"/>
      <c r="C469" s="11"/>
      <c r="D469" s="11"/>
      <c r="E469" s="11"/>
      <c r="F469" s="26" t="str">
        <f>IFERROR(IF(OR($B469="",$C469=""),"",INDEX('Cartes API'!$J:$J,MATCH($B469,'Cartes API'!$A:$A,0))&amp;INDEX('Cartes API'!$B:$B,MATCH($B469,'Cartes API'!$A:$A,0))&amp;"."&amp;INDEX('Cartes API'!$C:$C,MATCH($B469,'Cartes API'!$A:$A,0))&amp;"."&amp;$C469),"")</f>
        <v/>
      </c>
      <c r="G469" s="26" t="str">
        <f>IFERROR(IF($B469="","",INDEX('Cartes API'!$H:$H,MATCH($B469,'Cartes API'!$A:$A,0))),"")</f>
        <v/>
      </c>
      <c r="H469" s="11"/>
      <c r="I469" s="26" t="str">
        <f t="shared" si="7"/>
        <v/>
      </c>
      <c r="J469" s="26" t="str">
        <f>IFERROR(INDEX(Cablage!$A:$A,MATCH($I469,Cablage!$F:$F,0)),"")</f>
        <v/>
      </c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</row>
    <row r="470" spans="1:50" ht="15" customHeight="1" x14ac:dyDescent="0.25">
      <c r="A470" s="25"/>
      <c r="B470" s="25"/>
      <c r="C470" s="11"/>
      <c r="D470" s="11"/>
      <c r="E470" s="11"/>
      <c r="F470" s="26" t="str">
        <f>IFERROR(IF(OR($B470="",$C470=""),"",INDEX('Cartes API'!$J:$J,MATCH($B470,'Cartes API'!$A:$A,0))&amp;INDEX('Cartes API'!$B:$B,MATCH($B470,'Cartes API'!$A:$A,0))&amp;"."&amp;INDEX('Cartes API'!$C:$C,MATCH($B470,'Cartes API'!$A:$A,0))&amp;"."&amp;$C470),"")</f>
        <v/>
      </c>
      <c r="G470" s="26" t="str">
        <f>IFERROR(IF($B470="","",INDEX('Cartes API'!$H:$H,MATCH($B470,'Cartes API'!$A:$A,0))),"")</f>
        <v/>
      </c>
      <c r="H470" s="11"/>
      <c r="I470" s="26" t="str">
        <f t="shared" si="7"/>
        <v/>
      </c>
      <c r="J470" s="26" t="str">
        <f>IFERROR(INDEX(Cablage!$A:$A,MATCH($I470,Cablage!$F:$F,0)),"")</f>
        <v/>
      </c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</row>
    <row r="471" spans="1:50" ht="15" customHeight="1" x14ac:dyDescent="0.25">
      <c r="A471" s="25"/>
      <c r="B471" s="25"/>
      <c r="C471" s="11"/>
      <c r="D471" s="11"/>
      <c r="E471" s="11"/>
      <c r="F471" s="26" t="str">
        <f>IFERROR(IF(OR($B471="",$C471=""),"",INDEX('Cartes API'!$J:$J,MATCH($B471,'Cartes API'!$A:$A,0))&amp;INDEX('Cartes API'!$B:$B,MATCH($B471,'Cartes API'!$A:$A,0))&amp;"."&amp;INDEX('Cartes API'!$C:$C,MATCH($B471,'Cartes API'!$A:$A,0))&amp;"."&amp;$C471),"")</f>
        <v/>
      </c>
      <c r="G471" s="26" t="str">
        <f>IFERROR(IF($B471="","",INDEX('Cartes API'!$H:$H,MATCH($B471,'Cartes API'!$A:$A,0))),"")</f>
        <v/>
      </c>
      <c r="H471" s="11"/>
      <c r="I471" s="26" t="str">
        <f t="shared" si="7"/>
        <v/>
      </c>
      <c r="J471" s="26" t="str">
        <f>IFERROR(INDEX(Cablage!$A:$A,MATCH($I471,Cablage!$F:$F,0)),"")</f>
        <v/>
      </c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</row>
    <row r="472" spans="1:50" ht="15" customHeight="1" x14ac:dyDescent="0.25">
      <c r="A472" s="25"/>
      <c r="B472" s="25"/>
      <c r="C472" s="11"/>
      <c r="D472" s="11"/>
      <c r="E472" s="11"/>
      <c r="F472" s="26" t="str">
        <f>IFERROR(IF(OR($B472="",$C472=""),"",INDEX('Cartes API'!$J:$J,MATCH($B472,'Cartes API'!$A:$A,0))&amp;INDEX('Cartes API'!$B:$B,MATCH($B472,'Cartes API'!$A:$A,0))&amp;"."&amp;INDEX('Cartes API'!$C:$C,MATCH($B472,'Cartes API'!$A:$A,0))&amp;"."&amp;$C472),"")</f>
        <v/>
      </c>
      <c r="G472" s="26" t="str">
        <f>IFERROR(IF($B472="","",INDEX('Cartes API'!$H:$H,MATCH($B472,'Cartes API'!$A:$A,0))),"")</f>
        <v/>
      </c>
      <c r="H472" s="11"/>
      <c r="I472" s="26" t="str">
        <f t="shared" si="7"/>
        <v/>
      </c>
      <c r="J472" s="26" t="str">
        <f>IFERROR(INDEX(Cablage!$A:$A,MATCH($I472,Cablage!$F:$F,0)),"")</f>
        <v/>
      </c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</row>
    <row r="473" spans="1:50" ht="15" customHeight="1" x14ac:dyDescent="0.25">
      <c r="A473" s="25"/>
      <c r="B473" s="25"/>
      <c r="C473" s="11"/>
      <c r="D473" s="11"/>
      <c r="E473" s="11"/>
      <c r="F473" s="26" t="str">
        <f>IFERROR(IF(OR($B473="",$C473=""),"",INDEX('Cartes API'!$J:$J,MATCH($B473,'Cartes API'!$A:$A,0))&amp;INDEX('Cartes API'!$B:$B,MATCH($B473,'Cartes API'!$A:$A,0))&amp;"."&amp;INDEX('Cartes API'!$C:$C,MATCH($B473,'Cartes API'!$A:$A,0))&amp;"."&amp;$C473),"")</f>
        <v/>
      </c>
      <c r="G473" s="26" t="str">
        <f>IFERROR(IF($B473="","",INDEX('Cartes API'!$H:$H,MATCH($B473,'Cartes API'!$A:$A,0))),"")</f>
        <v/>
      </c>
      <c r="H473" s="11"/>
      <c r="I473" s="26" t="str">
        <f t="shared" si="7"/>
        <v/>
      </c>
      <c r="J473" s="26" t="str">
        <f>IFERROR(INDEX(Cablage!$A:$A,MATCH($I473,Cablage!$F:$F,0)),"")</f>
        <v/>
      </c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</row>
    <row r="474" spans="1:50" ht="15" customHeight="1" x14ac:dyDescent="0.25">
      <c r="A474" s="25"/>
      <c r="B474" s="25"/>
      <c r="C474" s="11"/>
      <c r="D474" s="11"/>
      <c r="E474" s="11"/>
      <c r="F474" s="26" t="str">
        <f>IFERROR(IF(OR($B474="",$C474=""),"",INDEX('Cartes API'!$J:$J,MATCH($B474,'Cartes API'!$A:$A,0))&amp;INDEX('Cartes API'!$B:$B,MATCH($B474,'Cartes API'!$A:$A,0))&amp;"."&amp;INDEX('Cartes API'!$C:$C,MATCH($B474,'Cartes API'!$A:$A,0))&amp;"."&amp;$C474),"")</f>
        <v/>
      </c>
      <c r="G474" s="26" t="str">
        <f>IFERROR(IF($B474="","",INDEX('Cartes API'!$H:$H,MATCH($B474,'Cartes API'!$A:$A,0))),"")</f>
        <v/>
      </c>
      <c r="H474" s="11"/>
      <c r="I474" s="26" t="str">
        <f t="shared" si="7"/>
        <v/>
      </c>
      <c r="J474" s="26" t="str">
        <f>IFERROR(INDEX(Cablage!$A:$A,MATCH($I474,Cablage!$F:$F,0)),"")</f>
        <v/>
      </c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</row>
    <row r="475" spans="1:50" ht="15" customHeight="1" x14ac:dyDescent="0.25">
      <c r="A475" s="25"/>
      <c r="B475" s="25"/>
      <c r="C475" s="11"/>
      <c r="D475" s="11"/>
      <c r="E475" s="11"/>
      <c r="F475" s="26" t="str">
        <f>IFERROR(IF(OR($B475="",$C475=""),"",INDEX('Cartes API'!$J:$J,MATCH($B475,'Cartes API'!$A:$A,0))&amp;INDEX('Cartes API'!$B:$B,MATCH($B475,'Cartes API'!$A:$A,0))&amp;"."&amp;INDEX('Cartes API'!$C:$C,MATCH($B475,'Cartes API'!$A:$A,0))&amp;"."&amp;$C475),"")</f>
        <v/>
      </c>
      <c r="G475" s="26" t="str">
        <f>IFERROR(IF($B475="","",INDEX('Cartes API'!$H:$H,MATCH($B475,'Cartes API'!$A:$A,0))),"")</f>
        <v/>
      </c>
      <c r="H475" s="11"/>
      <c r="I475" s="26" t="str">
        <f t="shared" si="7"/>
        <v/>
      </c>
      <c r="J475" s="26" t="str">
        <f>IFERROR(INDEX(Cablage!$A:$A,MATCH($I475,Cablage!$F:$F,0)),"")</f>
        <v/>
      </c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</row>
    <row r="476" spans="1:50" ht="15" customHeight="1" x14ac:dyDescent="0.25">
      <c r="A476" s="25"/>
      <c r="B476" s="25"/>
      <c r="C476" s="11"/>
      <c r="D476" s="11"/>
      <c r="E476" s="11"/>
      <c r="F476" s="26" t="str">
        <f>IFERROR(IF(OR($B476="",$C476=""),"",INDEX('Cartes API'!$J:$J,MATCH($B476,'Cartes API'!$A:$A,0))&amp;INDEX('Cartes API'!$B:$B,MATCH($B476,'Cartes API'!$A:$A,0))&amp;"."&amp;INDEX('Cartes API'!$C:$C,MATCH($B476,'Cartes API'!$A:$A,0))&amp;"."&amp;$C476),"")</f>
        <v/>
      </c>
      <c r="G476" s="26" t="str">
        <f>IFERROR(IF($B476="","",INDEX('Cartes API'!$H:$H,MATCH($B476,'Cartes API'!$A:$A,0))),"")</f>
        <v/>
      </c>
      <c r="H476" s="11"/>
      <c r="I476" s="26" t="str">
        <f t="shared" si="7"/>
        <v/>
      </c>
      <c r="J476" s="26" t="str">
        <f>IFERROR(INDEX(Cablage!$A:$A,MATCH($I476,Cablage!$F:$F,0)),"")</f>
        <v/>
      </c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</row>
    <row r="477" spans="1:50" ht="15" customHeight="1" x14ac:dyDescent="0.25">
      <c r="A477" s="25"/>
      <c r="B477" s="25"/>
      <c r="C477" s="11"/>
      <c r="D477" s="11"/>
      <c r="E477" s="11"/>
      <c r="F477" s="26" t="str">
        <f>IFERROR(IF(OR($B477="",$C477=""),"",INDEX('Cartes API'!$J:$J,MATCH($B477,'Cartes API'!$A:$A,0))&amp;INDEX('Cartes API'!$B:$B,MATCH($B477,'Cartes API'!$A:$A,0))&amp;"."&amp;INDEX('Cartes API'!$C:$C,MATCH($B477,'Cartes API'!$A:$A,0))&amp;"."&amp;$C477),"")</f>
        <v/>
      </c>
      <c r="G477" s="26" t="str">
        <f>IFERROR(IF($B477="","",INDEX('Cartes API'!$H:$H,MATCH($B477,'Cartes API'!$A:$A,0))),"")</f>
        <v/>
      </c>
      <c r="H477" s="11"/>
      <c r="I477" s="26" t="str">
        <f t="shared" si="7"/>
        <v/>
      </c>
      <c r="J477" s="26" t="str">
        <f>IFERROR(INDEX(Cablage!$A:$A,MATCH($I477,Cablage!$F:$F,0)),"")</f>
        <v/>
      </c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</row>
    <row r="478" spans="1:50" ht="15" customHeight="1" x14ac:dyDescent="0.25">
      <c r="A478" s="25"/>
      <c r="B478" s="25"/>
      <c r="C478" s="11"/>
      <c r="D478" s="11"/>
      <c r="E478" s="11"/>
      <c r="F478" s="26" t="str">
        <f>IFERROR(IF(OR($B478="",$C478=""),"",INDEX('Cartes API'!$J:$J,MATCH($B478,'Cartes API'!$A:$A,0))&amp;INDEX('Cartes API'!$B:$B,MATCH($B478,'Cartes API'!$A:$A,0))&amp;"."&amp;INDEX('Cartes API'!$C:$C,MATCH($B478,'Cartes API'!$A:$A,0))&amp;"."&amp;$C478),"")</f>
        <v/>
      </c>
      <c r="G478" s="26" t="str">
        <f>IFERROR(IF($B478="","",INDEX('Cartes API'!$H:$H,MATCH($B478,'Cartes API'!$A:$A,0))),"")</f>
        <v/>
      </c>
      <c r="H478" s="11"/>
      <c r="I478" s="26" t="str">
        <f t="shared" si="7"/>
        <v/>
      </c>
      <c r="J478" s="26" t="str">
        <f>IFERROR(INDEX(Cablage!$A:$A,MATCH($I478,Cablage!$F:$F,0)),"")</f>
        <v/>
      </c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</row>
    <row r="479" spans="1:50" ht="15" customHeight="1" x14ac:dyDescent="0.25">
      <c r="A479" s="25"/>
      <c r="B479" s="25"/>
      <c r="C479" s="11"/>
      <c r="D479" s="11"/>
      <c r="E479" s="11"/>
      <c r="F479" s="26" t="str">
        <f>IFERROR(IF(OR($B479="",$C479=""),"",INDEX('Cartes API'!$J:$J,MATCH($B479,'Cartes API'!$A:$A,0))&amp;INDEX('Cartes API'!$B:$B,MATCH($B479,'Cartes API'!$A:$A,0))&amp;"."&amp;INDEX('Cartes API'!$C:$C,MATCH($B479,'Cartes API'!$A:$A,0))&amp;"."&amp;$C479),"")</f>
        <v/>
      </c>
      <c r="G479" s="26" t="str">
        <f>IFERROR(IF($B479="","",INDEX('Cartes API'!$H:$H,MATCH($B479,'Cartes API'!$A:$A,0))),"")</f>
        <v/>
      </c>
      <c r="H479" s="11"/>
      <c r="I479" s="26" t="str">
        <f t="shared" si="7"/>
        <v/>
      </c>
      <c r="J479" s="26" t="str">
        <f>IFERROR(INDEX(Cablage!$A:$A,MATCH($I479,Cablage!$F:$F,0)),"")</f>
        <v/>
      </c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</row>
    <row r="480" spans="1:50" ht="15" customHeight="1" x14ac:dyDescent="0.25">
      <c r="A480" s="25"/>
      <c r="B480" s="25"/>
      <c r="C480" s="11"/>
      <c r="D480" s="11"/>
      <c r="E480" s="11"/>
      <c r="F480" s="26" t="str">
        <f>IFERROR(IF(OR($B480="",$C480=""),"",INDEX('Cartes API'!$J:$J,MATCH($B480,'Cartes API'!$A:$A,0))&amp;INDEX('Cartes API'!$B:$B,MATCH($B480,'Cartes API'!$A:$A,0))&amp;"."&amp;INDEX('Cartes API'!$C:$C,MATCH($B480,'Cartes API'!$A:$A,0))&amp;"."&amp;$C480),"")</f>
        <v/>
      </c>
      <c r="G480" s="26" t="str">
        <f>IFERROR(IF($B480="","",INDEX('Cartes API'!$H:$H,MATCH($B480,'Cartes API'!$A:$A,0))),"")</f>
        <v/>
      </c>
      <c r="H480" s="11"/>
      <c r="I480" s="26" t="str">
        <f t="shared" si="7"/>
        <v/>
      </c>
      <c r="J480" s="26" t="str">
        <f>IFERROR(INDEX(Cablage!$A:$A,MATCH($I480,Cablage!$F:$F,0)),"")</f>
        <v/>
      </c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</row>
    <row r="481" spans="1:50" ht="15" customHeight="1" x14ac:dyDescent="0.25">
      <c r="A481" s="25"/>
      <c r="B481" s="25"/>
      <c r="C481" s="11"/>
      <c r="D481" s="11"/>
      <c r="E481" s="11"/>
      <c r="F481" s="26" t="str">
        <f>IFERROR(IF(OR($B481="",$C481=""),"",INDEX('Cartes API'!$J:$J,MATCH($B481,'Cartes API'!$A:$A,0))&amp;INDEX('Cartes API'!$B:$B,MATCH($B481,'Cartes API'!$A:$A,0))&amp;"."&amp;INDEX('Cartes API'!$C:$C,MATCH($B481,'Cartes API'!$A:$A,0))&amp;"."&amp;$C481),"")</f>
        <v/>
      </c>
      <c r="G481" s="26" t="str">
        <f>IFERROR(IF($B481="","",INDEX('Cartes API'!$H:$H,MATCH($B481,'Cartes API'!$A:$A,0))),"")</f>
        <v/>
      </c>
      <c r="H481" s="11"/>
      <c r="I481" s="26" t="str">
        <f t="shared" si="7"/>
        <v/>
      </c>
      <c r="J481" s="26" t="str">
        <f>IFERROR(INDEX(Cablage!$A:$A,MATCH($I481,Cablage!$F:$F,0)),"")</f>
        <v/>
      </c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</row>
    <row r="482" spans="1:50" ht="15" customHeight="1" x14ac:dyDescent="0.25">
      <c r="A482" s="25"/>
      <c r="B482" s="25"/>
      <c r="C482" s="11"/>
      <c r="D482" s="11"/>
      <c r="E482" s="11"/>
      <c r="F482" s="26" t="str">
        <f>IFERROR(IF(OR($B482="",$C482=""),"",INDEX('Cartes API'!$J:$J,MATCH($B482,'Cartes API'!$A:$A,0))&amp;INDEX('Cartes API'!$B:$B,MATCH($B482,'Cartes API'!$A:$A,0))&amp;"."&amp;INDEX('Cartes API'!$C:$C,MATCH($B482,'Cartes API'!$A:$A,0))&amp;"."&amp;$C482),"")</f>
        <v/>
      </c>
      <c r="G482" s="26" t="str">
        <f>IFERROR(IF($B482="","",INDEX('Cartes API'!$H:$H,MATCH($B482,'Cartes API'!$A:$A,0))),"")</f>
        <v/>
      </c>
      <c r="H482" s="11"/>
      <c r="I482" s="26" t="str">
        <f t="shared" si="7"/>
        <v/>
      </c>
      <c r="J482" s="26" t="str">
        <f>IFERROR(INDEX(Cablage!$A:$A,MATCH($I482,Cablage!$F:$F,0)),"")</f>
        <v/>
      </c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</row>
    <row r="483" spans="1:50" ht="15" customHeight="1" x14ac:dyDescent="0.25">
      <c r="A483" s="25"/>
      <c r="B483" s="25"/>
      <c r="C483" s="11"/>
      <c r="D483" s="11"/>
      <c r="E483" s="11"/>
      <c r="F483" s="26" t="str">
        <f>IFERROR(IF(OR($B483="",$C483=""),"",INDEX('Cartes API'!$J:$J,MATCH($B483,'Cartes API'!$A:$A,0))&amp;INDEX('Cartes API'!$B:$B,MATCH($B483,'Cartes API'!$A:$A,0))&amp;"."&amp;INDEX('Cartes API'!$C:$C,MATCH($B483,'Cartes API'!$A:$A,0))&amp;"."&amp;$C483),"")</f>
        <v/>
      </c>
      <c r="G483" s="26" t="str">
        <f>IFERROR(IF($B483="","",INDEX('Cartes API'!$H:$H,MATCH($B483,'Cartes API'!$A:$A,0))),"")</f>
        <v/>
      </c>
      <c r="H483" s="11"/>
      <c r="I483" s="26" t="str">
        <f t="shared" si="7"/>
        <v/>
      </c>
      <c r="J483" s="26" t="str">
        <f>IFERROR(INDEX(Cablage!$A:$A,MATCH($I483,Cablage!$F:$F,0)),"")</f>
        <v/>
      </c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</row>
    <row r="484" spans="1:50" ht="15" customHeight="1" x14ac:dyDescent="0.25">
      <c r="A484" s="25"/>
      <c r="B484" s="25"/>
      <c r="C484" s="11"/>
      <c r="D484" s="11"/>
      <c r="E484" s="11"/>
      <c r="F484" s="26" t="str">
        <f>IFERROR(IF(OR($B484="",$C484=""),"",INDEX('Cartes API'!$J:$J,MATCH($B484,'Cartes API'!$A:$A,0))&amp;INDEX('Cartes API'!$B:$B,MATCH($B484,'Cartes API'!$A:$A,0))&amp;"."&amp;INDEX('Cartes API'!$C:$C,MATCH($B484,'Cartes API'!$A:$A,0))&amp;"."&amp;$C484),"")</f>
        <v/>
      </c>
      <c r="G484" s="26" t="str">
        <f>IFERROR(IF($B484="","",INDEX('Cartes API'!$H:$H,MATCH($B484,'Cartes API'!$A:$A,0))),"")</f>
        <v/>
      </c>
      <c r="H484" s="11"/>
      <c r="I484" s="26" t="str">
        <f t="shared" si="7"/>
        <v/>
      </c>
      <c r="J484" s="26" t="str">
        <f>IFERROR(INDEX(Cablage!$A:$A,MATCH($I484,Cablage!$F:$F,0)),"")</f>
        <v/>
      </c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</row>
    <row r="485" spans="1:50" ht="15" customHeight="1" x14ac:dyDescent="0.25">
      <c r="A485" s="25"/>
      <c r="B485" s="25"/>
      <c r="C485" s="11"/>
      <c r="D485" s="11"/>
      <c r="E485" s="11"/>
      <c r="F485" s="26" t="str">
        <f>IFERROR(IF(OR($B485="",$C485=""),"",INDEX('Cartes API'!$J:$J,MATCH($B485,'Cartes API'!$A:$A,0))&amp;INDEX('Cartes API'!$B:$B,MATCH($B485,'Cartes API'!$A:$A,0))&amp;"."&amp;INDEX('Cartes API'!$C:$C,MATCH($B485,'Cartes API'!$A:$A,0))&amp;"."&amp;$C485),"")</f>
        <v/>
      </c>
      <c r="G485" s="26" t="str">
        <f>IFERROR(IF($B485="","",INDEX('Cartes API'!$H:$H,MATCH($B485,'Cartes API'!$A:$A,0))),"")</f>
        <v/>
      </c>
      <c r="H485" s="11"/>
      <c r="I485" s="26" t="str">
        <f t="shared" si="7"/>
        <v/>
      </c>
      <c r="J485" s="26" t="str">
        <f>IFERROR(INDEX(Cablage!$A:$A,MATCH($I485,Cablage!$F:$F,0)),"")</f>
        <v/>
      </c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</row>
    <row r="486" spans="1:50" ht="15" customHeight="1" x14ac:dyDescent="0.25">
      <c r="A486" s="25"/>
      <c r="B486" s="25"/>
      <c r="C486" s="11"/>
      <c r="D486" s="11"/>
      <c r="E486" s="11"/>
      <c r="F486" s="26" t="str">
        <f>IFERROR(IF(OR($B486="",$C486=""),"",INDEX('Cartes API'!$J:$J,MATCH($B486,'Cartes API'!$A:$A,0))&amp;INDEX('Cartes API'!$B:$B,MATCH($B486,'Cartes API'!$A:$A,0))&amp;"."&amp;INDEX('Cartes API'!$C:$C,MATCH($B486,'Cartes API'!$A:$A,0))&amp;"."&amp;$C486),"")</f>
        <v/>
      </c>
      <c r="G486" s="26" t="str">
        <f>IFERROR(IF($B486="","",INDEX('Cartes API'!$H:$H,MATCH($B486,'Cartes API'!$A:$A,0))),"")</f>
        <v/>
      </c>
      <c r="H486" s="11"/>
      <c r="I486" s="26" t="str">
        <f t="shared" si="7"/>
        <v/>
      </c>
      <c r="J486" s="26" t="str">
        <f>IFERROR(INDEX(Cablage!$A:$A,MATCH($I486,Cablage!$F:$F,0)),"")</f>
        <v/>
      </c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</row>
    <row r="487" spans="1:50" ht="15" customHeight="1" x14ac:dyDescent="0.25">
      <c r="A487" s="25"/>
      <c r="B487" s="25"/>
      <c r="C487" s="11"/>
      <c r="D487" s="11"/>
      <c r="E487" s="11"/>
      <c r="F487" s="26" t="str">
        <f>IFERROR(IF(OR($B487="",$C487=""),"",INDEX('Cartes API'!$J:$J,MATCH($B487,'Cartes API'!$A:$A,0))&amp;INDEX('Cartes API'!$B:$B,MATCH($B487,'Cartes API'!$A:$A,0))&amp;"."&amp;INDEX('Cartes API'!$C:$C,MATCH($B487,'Cartes API'!$A:$A,0))&amp;"."&amp;$C487),"")</f>
        <v/>
      </c>
      <c r="G487" s="26" t="str">
        <f>IFERROR(IF($B487="","",INDEX('Cartes API'!$H:$H,MATCH($B487,'Cartes API'!$A:$A,0))),"")</f>
        <v/>
      </c>
      <c r="H487" s="11"/>
      <c r="I487" s="26" t="str">
        <f t="shared" si="7"/>
        <v/>
      </c>
      <c r="J487" s="26" t="str">
        <f>IFERROR(INDEX(Cablage!$A:$A,MATCH($I487,Cablage!$F:$F,0)),"")</f>
        <v/>
      </c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</row>
    <row r="488" spans="1:50" ht="15" customHeight="1" x14ac:dyDescent="0.25">
      <c r="A488" s="25"/>
      <c r="B488" s="25"/>
      <c r="C488" s="11"/>
      <c r="D488" s="11"/>
      <c r="E488" s="11"/>
      <c r="F488" s="26" t="str">
        <f>IFERROR(IF(OR($B488="",$C488=""),"",INDEX('Cartes API'!$J:$J,MATCH($B488,'Cartes API'!$A:$A,0))&amp;INDEX('Cartes API'!$B:$B,MATCH($B488,'Cartes API'!$A:$A,0))&amp;"."&amp;INDEX('Cartes API'!$C:$C,MATCH($B488,'Cartes API'!$A:$A,0))&amp;"."&amp;$C488),"")</f>
        <v/>
      </c>
      <c r="G488" s="26" t="str">
        <f>IFERROR(IF($B488="","",INDEX('Cartes API'!$H:$H,MATCH($B488,'Cartes API'!$A:$A,0))),"")</f>
        <v/>
      </c>
      <c r="H488" s="11"/>
      <c r="I488" s="26" t="str">
        <f t="shared" si="7"/>
        <v/>
      </c>
      <c r="J488" s="26" t="str">
        <f>IFERROR(INDEX(Cablage!$A:$A,MATCH($I488,Cablage!$F:$F,0)),"")</f>
        <v/>
      </c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</row>
    <row r="489" spans="1:50" ht="15" customHeight="1" x14ac:dyDescent="0.25">
      <c r="A489" s="25"/>
      <c r="B489" s="25"/>
      <c r="C489" s="11"/>
      <c r="D489" s="11"/>
      <c r="E489" s="11"/>
      <c r="F489" s="26" t="str">
        <f>IFERROR(IF(OR($B489="",$C489=""),"",INDEX('Cartes API'!$J:$J,MATCH($B489,'Cartes API'!$A:$A,0))&amp;INDEX('Cartes API'!$B:$B,MATCH($B489,'Cartes API'!$A:$A,0))&amp;"."&amp;INDEX('Cartes API'!$C:$C,MATCH($B489,'Cartes API'!$A:$A,0))&amp;"."&amp;$C489),"")</f>
        <v/>
      </c>
      <c r="G489" s="26" t="str">
        <f>IFERROR(IF($B489="","",INDEX('Cartes API'!$H:$H,MATCH($B489,'Cartes API'!$A:$A,0))),"")</f>
        <v/>
      </c>
      <c r="H489" s="11"/>
      <c r="I489" s="26" t="str">
        <f t="shared" si="7"/>
        <v/>
      </c>
      <c r="J489" s="26" t="str">
        <f>IFERROR(INDEX(Cablage!$A:$A,MATCH($I489,Cablage!$F:$F,0)),"")</f>
        <v/>
      </c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</row>
    <row r="490" spans="1:50" ht="15" customHeight="1" x14ac:dyDescent="0.25">
      <c r="A490" s="25"/>
      <c r="B490" s="25"/>
      <c r="C490" s="11"/>
      <c r="D490" s="11"/>
      <c r="E490" s="11"/>
      <c r="F490" s="26" t="str">
        <f>IFERROR(IF(OR($B490="",$C490=""),"",INDEX('Cartes API'!$J:$J,MATCH($B490,'Cartes API'!$A:$A,0))&amp;INDEX('Cartes API'!$B:$B,MATCH($B490,'Cartes API'!$A:$A,0))&amp;"."&amp;INDEX('Cartes API'!$C:$C,MATCH($B490,'Cartes API'!$A:$A,0))&amp;"."&amp;$C490),"")</f>
        <v/>
      </c>
      <c r="G490" s="26" t="str">
        <f>IFERROR(IF($B490="","",INDEX('Cartes API'!$H:$H,MATCH($B490,'Cartes API'!$A:$A,0))),"")</f>
        <v/>
      </c>
      <c r="H490" s="11"/>
      <c r="I490" s="26" t="str">
        <f t="shared" si="7"/>
        <v/>
      </c>
      <c r="J490" s="26" t="str">
        <f>IFERROR(INDEX(Cablage!$A:$A,MATCH($I490,Cablage!$F:$F,0)),"")</f>
        <v/>
      </c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</row>
    <row r="491" spans="1:50" ht="15" customHeight="1" x14ac:dyDescent="0.25">
      <c r="A491" s="25"/>
      <c r="B491" s="25"/>
      <c r="C491" s="11"/>
      <c r="D491" s="11"/>
      <c r="E491" s="11"/>
      <c r="F491" s="26" t="str">
        <f>IFERROR(IF(OR($B491="",$C491=""),"",INDEX('Cartes API'!$J:$J,MATCH($B491,'Cartes API'!$A:$A,0))&amp;INDEX('Cartes API'!$B:$B,MATCH($B491,'Cartes API'!$A:$A,0))&amp;"."&amp;INDEX('Cartes API'!$C:$C,MATCH($B491,'Cartes API'!$A:$A,0))&amp;"."&amp;$C491),"")</f>
        <v/>
      </c>
      <c r="G491" s="26" t="str">
        <f>IFERROR(IF($B491="","",INDEX('Cartes API'!$H:$H,MATCH($B491,'Cartes API'!$A:$A,0))),"")</f>
        <v/>
      </c>
      <c r="H491" s="11"/>
      <c r="I491" s="26" t="str">
        <f t="shared" si="7"/>
        <v/>
      </c>
      <c r="J491" s="26" t="str">
        <f>IFERROR(INDEX(Cablage!$A:$A,MATCH($I491,Cablage!$F:$F,0)),"")</f>
        <v/>
      </c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</row>
    <row r="492" spans="1:50" ht="15" customHeight="1" x14ac:dyDescent="0.25">
      <c r="A492" s="25"/>
      <c r="B492" s="25"/>
      <c r="C492" s="11"/>
      <c r="D492" s="11"/>
      <c r="E492" s="11"/>
      <c r="F492" s="26" t="str">
        <f>IFERROR(IF(OR($B492="",$C492=""),"",INDEX('Cartes API'!$J:$J,MATCH($B492,'Cartes API'!$A:$A,0))&amp;INDEX('Cartes API'!$B:$B,MATCH($B492,'Cartes API'!$A:$A,0))&amp;"."&amp;INDEX('Cartes API'!$C:$C,MATCH($B492,'Cartes API'!$A:$A,0))&amp;"."&amp;$C492),"")</f>
        <v/>
      </c>
      <c r="G492" s="26" t="str">
        <f>IFERROR(IF($B492="","",INDEX('Cartes API'!$H:$H,MATCH($B492,'Cartes API'!$A:$A,0))),"")</f>
        <v/>
      </c>
      <c r="H492" s="11"/>
      <c r="I492" s="26" t="str">
        <f t="shared" si="7"/>
        <v/>
      </c>
      <c r="J492" s="26" t="str">
        <f>IFERROR(INDEX(Cablage!$A:$A,MATCH($I492,Cablage!$F:$F,0)),"")</f>
        <v/>
      </c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</row>
    <row r="493" spans="1:50" ht="15" customHeight="1" x14ac:dyDescent="0.25">
      <c r="A493" s="25"/>
      <c r="B493" s="25"/>
      <c r="C493" s="11"/>
      <c r="D493" s="11"/>
      <c r="E493" s="11"/>
      <c r="F493" s="26" t="str">
        <f>IFERROR(IF(OR($B493="",$C493=""),"",INDEX('Cartes API'!$J:$J,MATCH($B493,'Cartes API'!$A:$A,0))&amp;INDEX('Cartes API'!$B:$B,MATCH($B493,'Cartes API'!$A:$A,0))&amp;"."&amp;INDEX('Cartes API'!$C:$C,MATCH($B493,'Cartes API'!$A:$A,0))&amp;"."&amp;$C493),"")</f>
        <v/>
      </c>
      <c r="G493" s="26" t="str">
        <f>IFERROR(IF($B493="","",INDEX('Cartes API'!$H:$H,MATCH($B493,'Cartes API'!$A:$A,0))),"")</f>
        <v/>
      </c>
      <c r="H493" s="11"/>
      <c r="I493" s="26" t="str">
        <f t="shared" si="7"/>
        <v/>
      </c>
      <c r="J493" s="26" t="str">
        <f>IFERROR(INDEX(Cablage!$A:$A,MATCH($I493,Cablage!$F:$F,0)),"")</f>
        <v/>
      </c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</row>
    <row r="494" spans="1:50" ht="15" customHeight="1" x14ac:dyDescent="0.25">
      <c r="A494" s="25"/>
      <c r="B494" s="25"/>
      <c r="C494" s="11"/>
      <c r="D494" s="11"/>
      <c r="E494" s="11"/>
      <c r="F494" s="26" t="str">
        <f>IFERROR(IF(OR($B494="",$C494=""),"",INDEX('Cartes API'!$J:$J,MATCH($B494,'Cartes API'!$A:$A,0))&amp;INDEX('Cartes API'!$B:$B,MATCH($B494,'Cartes API'!$A:$A,0))&amp;"."&amp;INDEX('Cartes API'!$C:$C,MATCH($B494,'Cartes API'!$A:$A,0))&amp;"."&amp;$C494),"")</f>
        <v/>
      </c>
      <c r="G494" s="26" t="str">
        <f>IFERROR(IF($B494="","",INDEX('Cartes API'!$H:$H,MATCH($B494,'Cartes API'!$A:$A,0))),"")</f>
        <v/>
      </c>
      <c r="H494" s="11"/>
      <c r="I494" s="26" t="str">
        <f t="shared" si="7"/>
        <v/>
      </c>
      <c r="J494" s="26" t="str">
        <f>IFERROR(INDEX(Cablage!$A:$A,MATCH($I494,Cablage!$F:$F,0)),"")</f>
        <v/>
      </c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</row>
    <row r="495" spans="1:50" ht="15" customHeight="1" x14ac:dyDescent="0.25">
      <c r="A495" s="25"/>
      <c r="B495" s="25"/>
      <c r="C495" s="11"/>
      <c r="D495" s="11"/>
      <c r="E495" s="11"/>
      <c r="F495" s="26" t="str">
        <f>IFERROR(IF(OR($B495="",$C495=""),"",INDEX('Cartes API'!$J:$J,MATCH($B495,'Cartes API'!$A:$A,0))&amp;INDEX('Cartes API'!$B:$B,MATCH($B495,'Cartes API'!$A:$A,0))&amp;"."&amp;INDEX('Cartes API'!$C:$C,MATCH($B495,'Cartes API'!$A:$A,0))&amp;"."&amp;$C495),"")</f>
        <v/>
      </c>
      <c r="G495" s="26" t="str">
        <f>IFERROR(IF($B495="","",INDEX('Cartes API'!$H:$H,MATCH($B495,'Cartes API'!$A:$A,0))),"")</f>
        <v/>
      </c>
      <c r="H495" s="11"/>
      <c r="I495" s="26" t="str">
        <f t="shared" si="7"/>
        <v/>
      </c>
      <c r="J495" s="26" t="str">
        <f>IFERROR(INDEX(Cablage!$A:$A,MATCH($I495,Cablage!$F:$F,0)),"")</f>
        <v/>
      </c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</row>
    <row r="496" spans="1:50" ht="15" customHeight="1" x14ac:dyDescent="0.25">
      <c r="A496" s="25"/>
      <c r="B496" s="25"/>
      <c r="C496" s="11"/>
      <c r="D496" s="11"/>
      <c r="E496" s="11"/>
      <c r="F496" s="26" t="str">
        <f>IFERROR(IF(OR($B496="",$C496=""),"",INDEX('Cartes API'!$J:$J,MATCH($B496,'Cartes API'!$A:$A,0))&amp;INDEX('Cartes API'!$B:$B,MATCH($B496,'Cartes API'!$A:$A,0))&amp;"."&amp;INDEX('Cartes API'!$C:$C,MATCH($B496,'Cartes API'!$A:$A,0))&amp;"."&amp;$C496),"")</f>
        <v/>
      </c>
      <c r="G496" s="26" t="str">
        <f>IFERROR(IF($B496="","",INDEX('Cartes API'!$H:$H,MATCH($B496,'Cartes API'!$A:$A,0))),"")</f>
        <v/>
      </c>
      <c r="H496" s="11"/>
      <c r="I496" s="26" t="str">
        <f t="shared" si="7"/>
        <v/>
      </c>
      <c r="J496" s="26" t="str">
        <f>IFERROR(INDEX(Cablage!$A:$A,MATCH($I496,Cablage!$F:$F,0)),"")</f>
        <v/>
      </c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</row>
    <row r="497" spans="1:50" ht="15" customHeight="1" x14ac:dyDescent="0.25">
      <c r="A497" s="25"/>
      <c r="B497" s="25"/>
      <c r="C497" s="11"/>
      <c r="D497" s="11"/>
      <c r="E497" s="11"/>
      <c r="F497" s="26" t="str">
        <f>IFERROR(IF(OR($B497="",$C497=""),"",INDEX('Cartes API'!$J:$J,MATCH($B497,'Cartes API'!$A:$A,0))&amp;INDEX('Cartes API'!$B:$B,MATCH($B497,'Cartes API'!$A:$A,0))&amp;"."&amp;INDEX('Cartes API'!$C:$C,MATCH($B497,'Cartes API'!$A:$A,0))&amp;"."&amp;$C497),"")</f>
        <v/>
      </c>
      <c r="G497" s="26" t="str">
        <f>IFERROR(IF($B497="","",INDEX('Cartes API'!$H:$H,MATCH($B497,'Cartes API'!$A:$A,0))),"")</f>
        <v/>
      </c>
      <c r="H497" s="11"/>
      <c r="I497" s="26" t="str">
        <f t="shared" si="7"/>
        <v/>
      </c>
      <c r="J497" s="26" t="str">
        <f>IFERROR(INDEX(Cablage!$A:$A,MATCH($I497,Cablage!$F:$F,0)),"")</f>
        <v/>
      </c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</row>
    <row r="498" spans="1:50" ht="15" customHeight="1" x14ac:dyDescent="0.25">
      <c r="A498" s="25"/>
      <c r="B498" s="25"/>
      <c r="C498" s="11"/>
      <c r="D498" s="11"/>
      <c r="E498" s="11"/>
      <c r="F498" s="26" t="str">
        <f>IFERROR(IF(OR($B498="",$C498=""),"",INDEX('Cartes API'!$J:$J,MATCH($B498,'Cartes API'!$A:$A,0))&amp;INDEX('Cartes API'!$B:$B,MATCH($B498,'Cartes API'!$A:$A,0))&amp;"."&amp;INDEX('Cartes API'!$C:$C,MATCH($B498,'Cartes API'!$A:$A,0))&amp;"."&amp;$C498),"")</f>
        <v/>
      </c>
      <c r="G498" s="26" t="str">
        <f>IFERROR(IF($B498="","",INDEX('Cartes API'!$H:$H,MATCH($B498,'Cartes API'!$A:$A,0))),"")</f>
        <v/>
      </c>
      <c r="H498" s="11"/>
      <c r="I498" s="26" t="str">
        <f t="shared" si="7"/>
        <v/>
      </c>
      <c r="J498" s="26" t="str">
        <f>IFERROR(INDEX(Cablage!$A:$A,MATCH($I498,Cablage!$F:$F,0)),"")</f>
        <v/>
      </c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</row>
    <row r="499" spans="1:50" ht="15" customHeight="1" x14ac:dyDescent="0.25">
      <c r="A499" s="25"/>
      <c r="B499" s="25"/>
      <c r="C499" s="11"/>
      <c r="D499" s="11"/>
      <c r="E499" s="11"/>
      <c r="F499" s="26" t="str">
        <f>IFERROR(IF(OR($B499="",$C499=""),"",INDEX('Cartes API'!$J:$J,MATCH($B499,'Cartes API'!$A:$A,0))&amp;INDEX('Cartes API'!$B:$B,MATCH($B499,'Cartes API'!$A:$A,0))&amp;"."&amp;INDEX('Cartes API'!$C:$C,MATCH($B499,'Cartes API'!$A:$A,0))&amp;"."&amp;$C499),"")</f>
        <v/>
      </c>
      <c r="G499" s="26" t="str">
        <f>IFERROR(IF($B499="","",INDEX('Cartes API'!$H:$H,MATCH($B499,'Cartes API'!$A:$A,0))),"")</f>
        <v/>
      </c>
      <c r="H499" s="11"/>
      <c r="I499" s="26" t="str">
        <f t="shared" si="7"/>
        <v/>
      </c>
      <c r="J499" s="26" t="str">
        <f>IFERROR(INDEX(Cablage!$A:$A,MATCH($I499,Cablage!$F:$F,0)),"")</f>
        <v/>
      </c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</row>
    <row r="500" spans="1:50" ht="15" customHeight="1" x14ac:dyDescent="0.25">
      <c r="A500" s="25"/>
      <c r="B500" s="25"/>
      <c r="C500" s="11"/>
      <c r="D500" s="11"/>
      <c r="E500" s="11"/>
      <c r="F500" s="26" t="str">
        <f>IFERROR(IF(OR($B500="",$C500=""),"",INDEX('Cartes API'!$J:$J,MATCH($B500,'Cartes API'!$A:$A,0))&amp;INDEX('Cartes API'!$B:$B,MATCH($B500,'Cartes API'!$A:$A,0))&amp;"."&amp;INDEX('Cartes API'!$C:$C,MATCH($B500,'Cartes API'!$A:$A,0))&amp;"."&amp;$C500),"")</f>
        <v/>
      </c>
      <c r="G500" s="26" t="str">
        <f>IFERROR(IF($B500="","",INDEX('Cartes API'!$H:$H,MATCH($B500,'Cartes API'!$A:$A,0))),"")</f>
        <v/>
      </c>
      <c r="H500" s="11"/>
      <c r="I500" s="26" t="str">
        <f t="shared" si="7"/>
        <v/>
      </c>
      <c r="J500" s="26" t="str">
        <f>IFERROR(INDEX(Cablage!$A:$A,MATCH($I500,Cablage!$F:$F,0)),"")</f>
        <v/>
      </c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</row>
    <row r="501" spans="1:50" ht="15" customHeight="1" x14ac:dyDescent="0.25">
      <c r="A501" s="25"/>
      <c r="B501" s="25"/>
      <c r="C501" s="11"/>
      <c r="D501" s="11"/>
      <c r="E501" s="11"/>
      <c r="F501" s="26" t="str">
        <f>IFERROR(IF(OR($B501="",$C501=""),"",INDEX('Cartes API'!$J:$J,MATCH($B501,'Cartes API'!$A:$A,0))&amp;INDEX('Cartes API'!$B:$B,MATCH($B501,'Cartes API'!$A:$A,0))&amp;"."&amp;INDEX('Cartes API'!$C:$C,MATCH($B501,'Cartes API'!$A:$A,0))&amp;"."&amp;$C501),"")</f>
        <v/>
      </c>
      <c r="G501" s="26" t="str">
        <f>IFERROR(IF($B501="","",INDEX('Cartes API'!$H:$H,MATCH($B501,'Cartes API'!$A:$A,0))),"")</f>
        <v/>
      </c>
      <c r="H501" s="11"/>
      <c r="I501" s="26" t="str">
        <f t="shared" si="7"/>
        <v/>
      </c>
      <c r="J501" s="26" t="str">
        <f>IFERROR(INDEX(Cablage!$A:$A,MATCH($I501,Cablage!$F:$F,0)),"")</f>
        <v/>
      </c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</row>
    <row r="502" spans="1:50" ht="15" customHeight="1" x14ac:dyDescent="0.25">
      <c r="A502" s="25"/>
      <c r="B502" s="25"/>
      <c r="C502" s="11"/>
      <c r="D502" s="11"/>
      <c r="E502" s="11"/>
      <c r="F502" s="26" t="str">
        <f>IFERROR(IF(OR($B502="",$C502=""),"",INDEX('Cartes API'!$J:$J,MATCH($B502,'Cartes API'!$A:$A,0))&amp;INDEX('Cartes API'!$B:$B,MATCH($B502,'Cartes API'!$A:$A,0))&amp;"."&amp;INDEX('Cartes API'!$C:$C,MATCH($B502,'Cartes API'!$A:$A,0))&amp;"."&amp;$C502),"")</f>
        <v/>
      </c>
      <c r="G502" s="26" t="str">
        <f>IFERROR(IF($B502="","",INDEX('Cartes API'!$H:$H,MATCH($B502,'Cartes API'!$A:$A,0))),"")</f>
        <v/>
      </c>
      <c r="H502" s="11"/>
      <c r="I502" s="26" t="str">
        <f t="shared" si="7"/>
        <v/>
      </c>
      <c r="J502" s="26" t="str">
        <f>IFERROR(INDEX(Cablage!$A:$A,MATCH($I502,Cablage!$F:$F,0)),"")</f>
        <v/>
      </c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</row>
    <row r="503" spans="1:50" ht="15" customHeight="1" x14ac:dyDescent="0.25">
      <c r="A503" s="25"/>
      <c r="B503" s="25"/>
      <c r="C503" s="11"/>
      <c r="D503" s="11"/>
      <c r="E503" s="11"/>
      <c r="F503" s="26" t="str">
        <f>IFERROR(IF(OR($B503="",$C503=""),"",INDEX('Cartes API'!$J:$J,MATCH($B503,'Cartes API'!$A:$A,0))&amp;INDEX('Cartes API'!$B:$B,MATCH($B503,'Cartes API'!$A:$A,0))&amp;"."&amp;INDEX('Cartes API'!$C:$C,MATCH($B503,'Cartes API'!$A:$A,0))&amp;"."&amp;$C503),"")</f>
        <v/>
      </c>
      <c r="G503" s="26" t="str">
        <f>IFERROR(IF($B503="","",INDEX('Cartes API'!$H:$H,MATCH($B503,'Cartes API'!$A:$A,0))),"")</f>
        <v/>
      </c>
      <c r="H503" s="11"/>
      <c r="I503" s="26" t="str">
        <f t="shared" si="7"/>
        <v/>
      </c>
      <c r="J503" s="26" t="str">
        <f>IFERROR(INDEX(Cablage!$A:$A,MATCH($I503,Cablage!$F:$F,0)),"")</f>
        <v/>
      </c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</row>
    <row r="504" spans="1:50" ht="15" customHeight="1" x14ac:dyDescent="0.25">
      <c r="A504" s="25"/>
      <c r="B504" s="25"/>
      <c r="C504" s="11"/>
      <c r="D504" s="11"/>
      <c r="E504" s="11"/>
      <c r="F504" s="26" t="str">
        <f>IFERROR(IF(OR($B504="",$C504=""),"",INDEX('Cartes API'!$J:$J,MATCH($B504,'Cartes API'!$A:$A,0))&amp;INDEX('Cartes API'!$B:$B,MATCH($B504,'Cartes API'!$A:$A,0))&amp;"."&amp;INDEX('Cartes API'!$C:$C,MATCH($B504,'Cartes API'!$A:$A,0))&amp;"."&amp;$C504),"")</f>
        <v/>
      </c>
      <c r="G504" s="26" t="str">
        <f>IFERROR(IF($B504="","",INDEX('Cartes API'!$H:$H,MATCH($B504,'Cartes API'!$A:$A,0))),"")</f>
        <v/>
      </c>
      <c r="H504" s="11"/>
      <c r="I504" s="26" t="str">
        <f t="shared" si="7"/>
        <v/>
      </c>
      <c r="J504" s="26" t="str">
        <f>IFERROR(INDEX(Cablage!$A:$A,MATCH($I504,Cablage!$F:$F,0)),"")</f>
        <v/>
      </c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</row>
    <row r="505" spans="1:50" ht="15" customHeight="1" x14ac:dyDescent="0.25">
      <c r="A505" s="25"/>
      <c r="B505" s="25"/>
      <c r="C505" s="11"/>
      <c r="D505" s="11"/>
      <c r="E505" s="11"/>
      <c r="F505" s="26" t="str">
        <f>IFERROR(IF(OR($B505="",$C505=""),"",INDEX('Cartes API'!$J:$J,MATCH($B505,'Cartes API'!$A:$A,0))&amp;INDEX('Cartes API'!$B:$B,MATCH($B505,'Cartes API'!$A:$A,0))&amp;"."&amp;INDEX('Cartes API'!$C:$C,MATCH($B505,'Cartes API'!$A:$A,0))&amp;"."&amp;$C505),"")</f>
        <v/>
      </c>
      <c r="G505" s="26" t="str">
        <f>IFERROR(IF($B505="","",INDEX('Cartes API'!$H:$H,MATCH($B505,'Cartes API'!$A:$A,0))),"")</f>
        <v/>
      </c>
      <c r="H505" s="11"/>
      <c r="I505" s="26" t="str">
        <f t="shared" si="7"/>
        <v/>
      </c>
      <c r="J505" s="26" t="str">
        <f>IFERROR(INDEX(Cablage!$A:$A,MATCH($I505,Cablage!$F:$F,0)),"")</f>
        <v/>
      </c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</row>
    <row r="506" spans="1:50" ht="15" customHeight="1" x14ac:dyDescent="0.25">
      <c r="A506" s="25"/>
      <c r="B506" s="25"/>
      <c r="C506" s="11"/>
      <c r="D506" s="11"/>
      <c r="E506" s="11"/>
      <c r="F506" s="26" t="str">
        <f>IFERROR(IF(OR($B506="",$C506=""),"",INDEX('Cartes API'!$J:$J,MATCH($B506,'Cartes API'!$A:$A,0))&amp;INDEX('Cartes API'!$B:$B,MATCH($B506,'Cartes API'!$A:$A,0))&amp;"."&amp;INDEX('Cartes API'!$C:$C,MATCH($B506,'Cartes API'!$A:$A,0))&amp;"."&amp;$C506),"")</f>
        <v/>
      </c>
      <c r="G506" s="26" t="str">
        <f>IFERROR(IF($B506="","",INDEX('Cartes API'!$H:$H,MATCH($B506,'Cartes API'!$A:$A,0))),"")</f>
        <v/>
      </c>
      <c r="H506" s="11"/>
      <c r="I506" s="26" t="str">
        <f t="shared" si="7"/>
        <v/>
      </c>
      <c r="J506" s="26" t="str">
        <f>IFERROR(INDEX(Cablage!$A:$A,MATCH($I506,Cablage!$F:$F,0)),"")</f>
        <v/>
      </c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</row>
    <row r="507" spans="1:50" ht="15" customHeight="1" x14ac:dyDescent="0.25">
      <c r="A507" s="25"/>
      <c r="B507" s="25"/>
      <c r="C507" s="11"/>
      <c r="D507" s="11"/>
      <c r="E507" s="11"/>
      <c r="F507" s="26" t="str">
        <f>IFERROR(IF(OR($B507="",$C507=""),"",INDEX('Cartes API'!$J:$J,MATCH($B507,'Cartes API'!$A:$A,0))&amp;INDEX('Cartes API'!$B:$B,MATCH($B507,'Cartes API'!$A:$A,0))&amp;"."&amp;INDEX('Cartes API'!$C:$C,MATCH($B507,'Cartes API'!$A:$A,0))&amp;"."&amp;$C507),"")</f>
        <v/>
      </c>
      <c r="G507" s="26" t="str">
        <f>IFERROR(IF($B507="","",INDEX('Cartes API'!$H:$H,MATCH($B507,'Cartes API'!$A:$A,0))),"")</f>
        <v/>
      </c>
      <c r="H507" s="11"/>
      <c r="I507" s="26" t="str">
        <f t="shared" si="7"/>
        <v/>
      </c>
      <c r="J507" s="26" t="str">
        <f>IFERROR(INDEX(Cablage!$A:$A,MATCH($I507,Cablage!$F:$F,0)),"")</f>
        <v/>
      </c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</row>
    <row r="508" spans="1:50" ht="15" customHeight="1" x14ac:dyDescent="0.25">
      <c r="A508" s="25"/>
      <c r="B508" s="25"/>
      <c r="C508" s="11"/>
      <c r="D508" s="11"/>
      <c r="E508" s="11"/>
      <c r="F508" s="26" t="str">
        <f>IFERROR(IF(OR($B508="",$C508=""),"",INDEX('Cartes API'!$J:$J,MATCH($B508,'Cartes API'!$A:$A,0))&amp;INDEX('Cartes API'!$B:$B,MATCH($B508,'Cartes API'!$A:$A,0))&amp;"."&amp;INDEX('Cartes API'!$C:$C,MATCH($B508,'Cartes API'!$A:$A,0))&amp;"."&amp;$C508),"")</f>
        <v/>
      </c>
      <c r="G508" s="26" t="str">
        <f>IFERROR(IF($B508="","",INDEX('Cartes API'!$H:$H,MATCH($B508,'Cartes API'!$A:$A,0))),"")</f>
        <v/>
      </c>
      <c r="H508" s="11"/>
      <c r="I508" s="26" t="str">
        <f t="shared" si="7"/>
        <v/>
      </c>
      <c r="J508" s="26" t="str">
        <f>IFERROR(INDEX(Cablage!$A:$A,MATCH($I508,Cablage!$F:$F,0)),"")</f>
        <v/>
      </c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</row>
    <row r="509" spans="1:50" ht="15" customHeight="1" x14ac:dyDescent="0.25">
      <c r="A509" s="25"/>
      <c r="B509" s="25"/>
      <c r="C509" s="11"/>
      <c r="D509" s="11"/>
      <c r="E509" s="11"/>
      <c r="F509" s="26" t="str">
        <f>IFERROR(IF(OR($B509="",$C509=""),"",INDEX('Cartes API'!$J:$J,MATCH($B509,'Cartes API'!$A:$A,0))&amp;INDEX('Cartes API'!$B:$B,MATCH($B509,'Cartes API'!$A:$A,0))&amp;"."&amp;INDEX('Cartes API'!$C:$C,MATCH($B509,'Cartes API'!$A:$A,0))&amp;"."&amp;$C509),"")</f>
        <v/>
      </c>
      <c r="G509" s="26" t="str">
        <f>IFERROR(IF($B509="","",INDEX('Cartes API'!$H:$H,MATCH($B509,'Cartes API'!$A:$A,0))),"")</f>
        <v/>
      </c>
      <c r="H509" s="11"/>
      <c r="I509" s="26" t="str">
        <f t="shared" si="7"/>
        <v/>
      </c>
      <c r="J509" s="26" t="str">
        <f>IFERROR(INDEX(Cablage!$A:$A,MATCH($I509,Cablage!$F:$F,0)),"")</f>
        <v/>
      </c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</row>
    <row r="510" spans="1:50" ht="15" customHeight="1" x14ac:dyDescent="0.25">
      <c r="A510" s="25"/>
      <c r="B510" s="25"/>
      <c r="C510" s="11"/>
      <c r="D510" s="11"/>
      <c r="E510" s="11"/>
      <c r="F510" s="26" t="str">
        <f>IFERROR(IF(OR($B510="",$C510=""),"",INDEX('Cartes API'!$J:$J,MATCH($B510,'Cartes API'!$A:$A,0))&amp;INDEX('Cartes API'!$B:$B,MATCH($B510,'Cartes API'!$A:$A,0))&amp;"."&amp;INDEX('Cartes API'!$C:$C,MATCH($B510,'Cartes API'!$A:$A,0))&amp;"."&amp;$C510),"")</f>
        <v/>
      </c>
      <c r="G510" s="26" t="str">
        <f>IFERROR(IF($B510="","",INDEX('Cartes API'!$H:$H,MATCH($B510,'Cartes API'!$A:$A,0))),"")</f>
        <v/>
      </c>
      <c r="H510" s="11"/>
      <c r="I510" s="26" t="str">
        <f t="shared" si="7"/>
        <v/>
      </c>
      <c r="J510" s="26" t="str">
        <f>IFERROR(INDEX(Cablage!$A:$A,MATCH($I510,Cablage!$F:$F,0)),"")</f>
        <v/>
      </c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</row>
    <row r="511" spans="1:50" ht="15" customHeight="1" x14ac:dyDescent="0.25">
      <c r="A511" s="25"/>
      <c r="B511" s="25"/>
      <c r="C511" s="11"/>
      <c r="D511" s="11"/>
      <c r="E511" s="11"/>
      <c r="F511" s="26" t="str">
        <f>IFERROR(IF(OR($B511="",$C511=""),"",INDEX('Cartes API'!$J:$J,MATCH($B511,'Cartes API'!$A:$A,0))&amp;INDEX('Cartes API'!$B:$B,MATCH($B511,'Cartes API'!$A:$A,0))&amp;"."&amp;INDEX('Cartes API'!$C:$C,MATCH($B511,'Cartes API'!$A:$A,0))&amp;"."&amp;$C511),"")</f>
        <v/>
      </c>
      <c r="G511" s="26" t="str">
        <f>IFERROR(IF($B511="","",INDEX('Cartes API'!$H:$H,MATCH($B511,'Cartes API'!$A:$A,0))),"")</f>
        <v/>
      </c>
      <c r="H511" s="11"/>
      <c r="I511" s="26" t="str">
        <f t="shared" si="7"/>
        <v/>
      </c>
      <c r="J511" s="26" t="str">
        <f>IFERROR(INDEX(Cablage!$A:$A,MATCH($I511,Cablage!$F:$F,0)),"")</f>
        <v/>
      </c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</row>
    <row r="512" spans="1:50" ht="15" customHeight="1" x14ac:dyDescent="0.25">
      <c r="A512" s="25"/>
      <c r="B512" s="25"/>
      <c r="C512" s="11"/>
      <c r="D512" s="11"/>
      <c r="E512" s="11"/>
      <c r="F512" s="26" t="str">
        <f>IFERROR(IF(OR($B512="",$C512=""),"",INDEX('Cartes API'!$J:$J,MATCH($B512,'Cartes API'!$A:$A,0))&amp;INDEX('Cartes API'!$B:$B,MATCH($B512,'Cartes API'!$A:$A,0))&amp;"."&amp;INDEX('Cartes API'!$C:$C,MATCH($B512,'Cartes API'!$A:$A,0))&amp;"."&amp;$C512),"")</f>
        <v/>
      </c>
      <c r="G512" s="26" t="str">
        <f>IFERROR(IF($B512="","",INDEX('Cartes API'!$H:$H,MATCH($B512,'Cartes API'!$A:$A,0))),"")</f>
        <v/>
      </c>
      <c r="H512" s="11"/>
      <c r="I512" s="26" t="str">
        <f t="shared" si="7"/>
        <v/>
      </c>
      <c r="J512" s="26" t="str">
        <f>IFERROR(INDEX(Cablage!$A:$A,MATCH($I512,Cablage!$F:$F,0)),"")</f>
        <v/>
      </c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</row>
    <row r="513" spans="1:50" ht="15" customHeight="1" x14ac:dyDescent="0.25">
      <c r="A513" s="25"/>
      <c r="B513" s="25"/>
      <c r="C513" s="11"/>
      <c r="D513" s="11"/>
      <c r="E513" s="11"/>
      <c r="F513" s="26" t="str">
        <f>IFERROR(IF(OR($B513="",$C513=""),"",INDEX('Cartes API'!$J:$J,MATCH($B513,'Cartes API'!$A:$A,0))&amp;INDEX('Cartes API'!$B:$B,MATCH($B513,'Cartes API'!$A:$A,0))&amp;"."&amp;INDEX('Cartes API'!$C:$C,MATCH($B513,'Cartes API'!$A:$A,0))&amp;"."&amp;$C513),"")</f>
        <v/>
      </c>
      <c r="G513" s="26" t="str">
        <f>IFERROR(IF($B513="","",INDEX('Cartes API'!$H:$H,MATCH($B513,'Cartes API'!$A:$A,0))),"")</f>
        <v/>
      </c>
      <c r="H513" s="11"/>
      <c r="I513" s="26" t="str">
        <f t="shared" si="7"/>
        <v/>
      </c>
      <c r="J513" s="26" t="str">
        <f>IFERROR(INDEX(Cablage!$A:$A,MATCH($I513,Cablage!$F:$F,0)),"")</f>
        <v/>
      </c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</row>
    <row r="514" spans="1:50" ht="15" customHeight="1" x14ac:dyDescent="0.25">
      <c r="A514" s="25"/>
      <c r="B514" s="25"/>
      <c r="C514" s="11"/>
      <c r="D514" s="11"/>
      <c r="E514" s="11"/>
      <c r="F514" s="26" t="str">
        <f>IFERROR(IF(OR($B514="",$C514=""),"",INDEX('Cartes API'!$J:$J,MATCH($B514,'Cartes API'!$A:$A,0))&amp;INDEX('Cartes API'!$B:$B,MATCH($B514,'Cartes API'!$A:$A,0))&amp;"."&amp;INDEX('Cartes API'!$C:$C,MATCH($B514,'Cartes API'!$A:$A,0))&amp;"."&amp;$C514),"")</f>
        <v/>
      </c>
      <c r="G514" s="26" t="str">
        <f>IFERROR(IF($B514="","",INDEX('Cartes API'!$H:$H,MATCH($B514,'Cartes API'!$A:$A,0))),"")</f>
        <v/>
      </c>
      <c r="H514" s="11"/>
      <c r="I514" s="26" t="str">
        <f t="shared" si="7"/>
        <v/>
      </c>
      <c r="J514" s="26" t="str">
        <f>IFERROR(INDEX(Cablage!$A:$A,MATCH($I514,Cablage!$F:$F,0)),"")</f>
        <v/>
      </c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</row>
    <row r="515" spans="1:50" ht="15" customHeight="1" x14ac:dyDescent="0.25">
      <c r="A515" s="25"/>
      <c r="B515" s="25"/>
      <c r="C515" s="11"/>
      <c r="D515" s="11"/>
      <c r="E515" s="11"/>
      <c r="F515" s="26" t="str">
        <f>IFERROR(IF(OR($B515="",$C515=""),"",INDEX('Cartes API'!$J:$J,MATCH($B515,'Cartes API'!$A:$A,0))&amp;INDEX('Cartes API'!$B:$B,MATCH($B515,'Cartes API'!$A:$A,0))&amp;"."&amp;INDEX('Cartes API'!$C:$C,MATCH($B515,'Cartes API'!$A:$A,0))&amp;"."&amp;$C515),"")</f>
        <v/>
      </c>
      <c r="G515" s="26" t="str">
        <f>IFERROR(IF($B515="","",INDEX('Cartes API'!$H:$H,MATCH($B515,'Cartes API'!$A:$A,0))),"")</f>
        <v/>
      </c>
      <c r="H515" s="11"/>
      <c r="I515" s="26" t="str">
        <f t="shared" si="7"/>
        <v/>
      </c>
      <c r="J515" s="26" t="str">
        <f>IFERROR(INDEX(Cablage!$A:$A,MATCH($I515,Cablage!$F:$F,0)),"")</f>
        <v/>
      </c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</row>
    <row r="516" spans="1:50" ht="15" customHeight="1" x14ac:dyDescent="0.25">
      <c r="A516" s="25"/>
      <c r="B516" s="25"/>
      <c r="C516" s="11"/>
      <c r="D516" s="11"/>
      <c r="E516" s="11"/>
      <c r="F516" s="26" t="str">
        <f>IFERROR(IF(OR($B516="",$C516=""),"",INDEX('Cartes API'!$J:$J,MATCH($B516,'Cartes API'!$A:$A,0))&amp;INDEX('Cartes API'!$B:$B,MATCH($B516,'Cartes API'!$A:$A,0))&amp;"."&amp;INDEX('Cartes API'!$C:$C,MATCH($B516,'Cartes API'!$A:$A,0))&amp;"."&amp;$C516),"")</f>
        <v/>
      </c>
      <c r="G516" s="26" t="str">
        <f>IFERROR(IF($B516="","",INDEX('Cartes API'!$H:$H,MATCH($B516,'Cartes API'!$A:$A,0))),"")</f>
        <v/>
      </c>
      <c r="H516" s="11"/>
      <c r="I516" s="26" t="str">
        <f t="shared" si="7"/>
        <v/>
      </c>
      <c r="J516" s="26" t="str">
        <f>IFERROR(INDEX(Cablage!$A:$A,MATCH($I516,Cablage!$F:$F,0)),"")</f>
        <v/>
      </c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</row>
    <row r="517" spans="1:50" ht="15" customHeight="1" x14ac:dyDescent="0.25">
      <c r="A517" s="25"/>
      <c r="B517" s="25"/>
      <c r="C517" s="11"/>
      <c r="D517" s="11"/>
      <c r="E517" s="11"/>
      <c r="F517" s="26" t="str">
        <f>IFERROR(IF(OR($B517="",$C517=""),"",INDEX('Cartes API'!$J:$J,MATCH($B517,'Cartes API'!$A:$A,0))&amp;INDEX('Cartes API'!$B:$B,MATCH($B517,'Cartes API'!$A:$A,0))&amp;"."&amp;INDEX('Cartes API'!$C:$C,MATCH($B517,'Cartes API'!$A:$A,0))&amp;"."&amp;$C517),"")</f>
        <v/>
      </c>
      <c r="G517" s="26" t="str">
        <f>IFERROR(IF($B517="","",INDEX('Cartes API'!$H:$H,MATCH($B517,'Cartes API'!$A:$A,0))),"")</f>
        <v/>
      </c>
      <c r="H517" s="11"/>
      <c r="I517" s="26" t="str">
        <f t="shared" si="7"/>
        <v/>
      </c>
      <c r="J517" s="26" t="str">
        <f>IFERROR(INDEX(Cablage!$A:$A,MATCH($I517,Cablage!$F:$F,0)),"")</f>
        <v/>
      </c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</row>
    <row r="518" spans="1:50" ht="15" customHeight="1" x14ac:dyDescent="0.25">
      <c r="A518" s="25"/>
      <c r="B518" s="25"/>
      <c r="C518" s="11"/>
      <c r="D518" s="11"/>
      <c r="E518" s="11"/>
      <c r="F518" s="26" t="str">
        <f>IFERROR(IF(OR($B518="",$C518=""),"",INDEX('Cartes API'!$J:$J,MATCH($B518,'Cartes API'!$A:$A,0))&amp;INDEX('Cartes API'!$B:$B,MATCH($B518,'Cartes API'!$A:$A,0))&amp;"."&amp;INDEX('Cartes API'!$C:$C,MATCH($B518,'Cartes API'!$A:$A,0))&amp;"."&amp;$C518),"")</f>
        <v/>
      </c>
      <c r="G518" s="26" t="str">
        <f>IFERROR(IF($B518="","",INDEX('Cartes API'!$H:$H,MATCH($B518,'Cartes API'!$A:$A,0))),"")</f>
        <v/>
      </c>
      <c r="H518" s="11"/>
      <c r="I518" s="26" t="str">
        <f t="shared" si="7"/>
        <v/>
      </c>
      <c r="J518" s="26" t="str">
        <f>IFERROR(INDEX(Cablage!$A:$A,MATCH($I518,Cablage!$F:$F,0)),"")</f>
        <v/>
      </c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</row>
    <row r="519" spans="1:50" ht="15" customHeight="1" x14ac:dyDescent="0.25">
      <c r="A519" s="25"/>
      <c r="B519" s="25"/>
      <c r="C519" s="11"/>
      <c r="D519" s="11"/>
      <c r="E519" s="11"/>
      <c r="F519" s="26" t="str">
        <f>IFERROR(IF(OR($B519="",$C519=""),"",INDEX('Cartes API'!$J:$J,MATCH($B519,'Cartes API'!$A:$A,0))&amp;INDEX('Cartes API'!$B:$B,MATCH($B519,'Cartes API'!$A:$A,0))&amp;"."&amp;INDEX('Cartes API'!$C:$C,MATCH($B519,'Cartes API'!$A:$A,0))&amp;"."&amp;$C519),"")</f>
        <v/>
      </c>
      <c r="G519" s="26" t="str">
        <f>IFERROR(IF($B519="","",INDEX('Cartes API'!$H:$H,MATCH($B519,'Cartes API'!$A:$A,0))),"")</f>
        <v/>
      </c>
      <c r="H519" s="11"/>
      <c r="I519" s="26" t="str">
        <f t="shared" si="7"/>
        <v/>
      </c>
      <c r="J519" s="26" t="str">
        <f>IFERROR(INDEX(Cablage!$A:$A,MATCH($I519,Cablage!$F:$F,0)),"")</f>
        <v/>
      </c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</row>
    <row r="520" spans="1:50" ht="15" customHeight="1" x14ac:dyDescent="0.25">
      <c r="A520" s="25"/>
      <c r="B520" s="25"/>
      <c r="C520" s="11"/>
      <c r="D520" s="11"/>
      <c r="E520" s="11"/>
      <c r="F520" s="26" t="str">
        <f>IFERROR(IF(OR($B520="",$C520=""),"",INDEX('Cartes API'!$J:$J,MATCH($B520,'Cartes API'!$A:$A,0))&amp;INDEX('Cartes API'!$B:$B,MATCH($B520,'Cartes API'!$A:$A,0))&amp;"."&amp;INDEX('Cartes API'!$C:$C,MATCH($B520,'Cartes API'!$A:$A,0))&amp;"."&amp;$C520),"")</f>
        <v/>
      </c>
      <c r="G520" s="26" t="str">
        <f>IFERROR(IF($B520="","",INDEX('Cartes API'!$H:$H,MATCH($B520,'Cartes API'!$A:$A,0))),"")</f>
        <v/>
      </c>
      <c r="H520" s="11"/>
      <c r="I520" s="26" t="str">
        <f t="shared" si="7"/>
        <v/>
      </c>
      <c r="J520" s="26" t="str">
        <f>IFERROR(INDEX(Cablage!$A:$A,MATCH($I520,Cablage!$F:$F,0)),"")</f>
        <v/>
      </c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</row>
    <row r="521" spans="1:50" ht="15" customHeight="1" x14ac:dyDescent="0.25">
      <c r="A521" s="25"/>
      <c r="B521" s="25"/>
      <c r="C521" s="11"/>
      <c r="D521" s="11"/>
      <c r="E521" s="11"/>
      <c r="F521" s="26" t="str">
        <f>IFERROR(IF(OR($B521="",$C521=""),"",INDEX('Cartes API'!$J:$J,MATCH($B521,'Cartes API'!$A:$A,0))&amp;INDEX('Cartes API'!$B:$B,MATCH($B521,'Cartes API'!$A:$A,0))&amp;"."&amp;INDEX('Cartes API'!$C:$C,MATCH($B521,'Cartes API'!$A:$A,0))&amp;"."&amp;$C521),"")</f>
        <v/>
      </c>
      <c r="G521" s="26" t="str">
        <f>IFERROR(IF($B521="","",INDEX('Cartes API'!$H:$H,MATCH($B521,'Cartes API'!$A:$A,0))),"")</f>
        <v/>
      </c>
      <c r="H521" s="11"/>
      <c r="I521" s="26" t="str">
        <f t="shared" ref="I521:I584" si="8">IF(OR($G521="",$H521=""),"",$G521&amp;"["&amp;$H521&amp;"]")</f>
        <v/>
      </c>
      <c r="J521" s="26" t="str">
        <f>IFERROR(INDEX(Cablage!$A:$A,MATCH($I521,Cablage!$F:$F,0)),"")</f>
        <v/>
      </c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</row>
    <row r="522" spans="1:50" ht="15" customHeight="1" x14ac:dyDescent="0.25">
      <c r="A522" s="25"/>
      <c r="B522" s="25"/>
      <c r="C522" s="11"/>
      <c r="D522" s="11"/>
      <c r="E522" s="11"/>
      <c r="F522" s="26" t="str">
        <f>IFERROR(IF(OR($B522="",$C522=""),"",INDEX('Cartes API'!$J:$J,MATCH($B522,'Cartes API'!$A:$A,0))&amp;INDEX('Cartes API'!$B:$B,MATCH($B522,'Cartes API'!$A:$A,0))&amp;"."&amp;INDEX('Cartes API'!$C:$C,MATCH($B522,'Cartes API'!$A:$A,0))&amp;"."&amp;$C522),"")</f>
        <v/>
      </c>
      <c r="G522" s="26" t="str">
        <f>IFERROR(IF($B522="","",INDEX('Cartes API'!$H:$H,MATCH($B522,'Cartes API'!$A:$A,0))),"")</f>
        <v/>
      </c>
      <c r="H522" s="11"/>
      <c r="I522" s="26" t="str">
        <f t="shared" si="8"/>
        <v/>
      </c>
      <c r="J522" s="26" t="str">
        <f>IFERROR(INDEX(Cablage!$A:$A,MATCH($I522,Cablage!$F:$F,0)),"")</f>
        <v/>
      </c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</row>
    <row r="523" spans="1:50" ht="15" customHeight="1" x14ac:dyDescent="0.25">
      <c r="A523" s="25"/>
      <c r="B523" s="25"/>
      <c r="C523" s="11"/>
      <c r="D523" s="11"/>
      <c r="E523" s="11"/>
      <c r="F523" s="26" t="str">
        <f>IFERROR(IF(OR($B523="",$C523=""),"",INDEX('Cartes API'!$J:$J,MATCH($B523,'Cartes API'!$A:$A,0))&amp;INDEX('Cartes API'!$B:$B,MATCH($B523,'Cartes API'!$A:$A,0))&amp;"."&amp;INDEX('Cartes API'!$C:$C,MATCH($B523,'Cartes API'!$A:$A,0))&amp;"."&amp;$C523),"")</f>
        <v/>
      </c>
      <c r="G523" s="26" t="str">
        <f>IFERROR(IF($B523="","",INDEX('Cartes API'!$H:$H,MATCH($B523,'Cartes API'!$A:$A,0))),"")</f>
        <v/>
      </c>
      <c r="H523" s="11"/>
      <c r="I523" s="26" t="str">
        <f t="shared" si="8"/>
        <v/>
      </c>
      <c r="J523" s="26" t="str">
        <f>IFERROR(INDEX(Cablage!$A:$A,MATCH($I523,Cablage!$F:$F,0)),"")</f>
        <v/>
      </c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</row>
    <row r="524" spans="1:50" ht="15" customHeight="1" x14ac:dyDescent="0.25">
      <c r="A524" s="25"/>
      <c r="B524" s="25"/>
      <c r="C524" s="11"/>
      <c r="D524" s="11"/>
      <c r="E524" s="11"/>
      <c r="F524" s="26" t="str">
        <f>IFERROR(IF(OR($B524="",$C524=""),"",INDEX('Cartes API'!$J:$J,MATCH($B524,'Cartes API'!$A:$A,0))&amp;INDEX('Cartes API'!$B:$B,MATCH($B524,'Cartes API'!$A:$A,0))&amp;"."&amp;INDEX('Cartes API'!$C:$C,MATCH($B524,'Cartes API'!$A:$A,0))&amp;"."&amp;$C524),"")</f>
        <v/>
      </c>
      <c r="G524" s="26" t="str">
        <f>IFERROR(IF($B524="","",INDEX('Cartes API'!$H:$H,MATCH($B524,'Cartes API'!$A:$A,0))),"")</f>
        <v/>
      </c>
      <c r="H524" s="11"/>
      <c r="I524" s="26" t="str">
        <f t="shared" si="8"/>
        <v/>
      </c>
      <c r="J524" s="26" t="str">
        <f>IFERROR(INDEX(Cablage!$A:$A,MATCH($I524,Cablage!$F:$F,0)),"")</f>
        <v/>
      </c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</row>
    <row r="525" spans="1:50" ht="15" customHeight="1" x14ac:dyDescent="0.25">
      <c r="A525" s="25"/>
      <c r="B525" s="25"/>
      <c r="C525" s="11"/>
      <c r="D525" s="11"/>
      <c r="E525" s="11"/>
      <c r="F525" s="26" t="str">
        <f>IFERROR(IF(OR($B525="",$C525=""),"",INDEX('Cartes API'!$J:$J,MATCH($B525,'Cartes API'!$A:$A,0))&amp;INDEX('Cartes API'!$B:$B,MATCH($B525,'Cartes API'!$A:$A,0))&amp;"."&amp;INDEX('Cartes API'!$C:$C,MATCH($B525,'Cartes API'!$A:$A,0))&amp;"."&amp;$C525),"")</f>
        <v/>
      </c>
      <c r="G525" s="26" t="str">
        <f>IFERROR(IF($B525="","",INDEX('Cartes API'!$H:$H,MATCH($B525,'Cartes API'!$A:$A,0))),"")</f>
        <v/>
      </c>
      <c r="H525" s="11"/>
      <c r="I525" s="26" t="str">
        <f t="shared" si="8"/>
        <v/>
      </c>
      <c r="J525" s="26" t="str">
        <f>IFERROR(INDEX(Cablage!$A:$A,MATCH($I525,Cablage!$F:$F,0)),"")</f>
        <v/>
      </c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</row>
    <row r="526" spans="1:50" ht="15" customHeight="1" x14ac:dyDescent="0.25">
      <c r="A526" s="25"/>
      <c r="B526" s="25"/>
      <c r="C526" s="11"/>
      <c r="D526" s="11"/>
      <c r="E526" s="11"/>
      <c r="F526" s="26" t="str">
        <f>IFERROR(IF(OR($B526="",$C526=""),"",INDEX('Cartes API'!$J:$J,MATCH($B526,'Cartes API'!$A:$A,0))&amp;INDEX('Cartes API'!$B:$B,MATCH($B526,'Cartes API'!$A:$A,0))&amp;"."&amp;INDEX('Cartes API'!$C:$C,MATCH($B526,'Cartes API'!$A:$A,0))&amp;"."&amp;$C526),"")</f>
        <v/>
      </c>
      <c r="G526" s="26" t="str">
        <f>IFERROR(IF($B526="","",INDEX('Cartes API'!$H:$H,MATCH($B526,'Cartes API'!$A:$A,0))),"")</f>
        <v/>
      </c>
      <c r="H526" s="11"/>
      <c r="I526" s="26" t="str">
        <f t="shared" si="8"/>
        <v/>
      </c>
      <c r="J526" s="26" t="str">
        <f>IFERROR(INDEX(Cablage!$A:$A,MATCH($I526,Cablage!$F:$F,0)),"")</f>
        <v/>
      </c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</row>
    <row r="527" spans="1:50" ht="15" customHeight="1" x14ac:dyDescent="0.25">
      <c r="A527" s="25"/>
      <c r="B527" s="25"/>
      <c r="C527" s="11"/>
      <c r="D527" s="11"/>
      <c r="E527" s="11"/>
      <c r="F527" s="26" t="str">
        <f>IFERROR(IF(OR($B527="",$C527=""),"",INDEX('Cartes API'!$J:$J,MATCH($B527,'Cartes API'!$A:$A,0))&amp;INDEX('Cartes API'!$B:$B,MATCH($B527,'Cartes API'!$A:$A,0))&amp;"."&amp;INDEX('Cartes API'!$C:$C,MATCH($B527,'Cartes API'!$A:$A,0))&amp;"."&amp;$C527),"")</f>
        <v/>
      </c>
      <c r="G527" s="26" t="str">
        <f>IFERROR(IF($B527="","",INDEX('Cartes API'!$H:$H,MATCH($B527,'Cartes API'!$A:$A,0))),"")</f>
        <v/>
      </c>
      <c r="H527" s="11"/>
      <c r="I527" s="26" t="str">
        <f t="shared" si="8"/>
        <v/>
      </c>
      <c r="J527" s="26" t="str">
        <f>IFERROR(INDEX(Cablage!$A:$A,MATCH($I527,Cablage!$F:$F,0)),"")</f>
        <v/>
      </c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</row>
    <row r="528" spans="1:50" ht="15" customHeight="1" x14ac:dyDescent="0.25">
      <c r="A528" s="25"/>
      <c r="B528" s="25"/>
      <c r="C528" s="11"/>
      <c r="D528" s="11"/>
      <c r="E528" s="11"/>
      <c r="F528" s="26" t="str">
        <f>IFERROR(IF(OR($B528="",$C528=""),"",INDEX('Cartes API'!$J:$J,MATCH($B528,'Cartes API'!$A:$A,0))&amp;INDEX('Cartes API'!$B:$B,MATCH($B528,'Cartes API'!$A:$A,0))&amp;"."&amp;INDEX('Cartes API'!$C:$C,MATCH($B528,'Cartes API'!$A:$A,0))&amp;"."&amp;$C528),"")</f>
        <v/>
      </c>
      <c r="G528" s="26" t="str">
        <f>IFERROR(IF($B528="","",INDEX('Cartes API'!$H:$H,MATCH($B528,'Cartes API'!$A:$A,0))),"")</f>
        <v/>
      </c>
      <c r="H528" s="11"/>
      <c r="I528" s="26" t="str">
        <f t="shared" si="8"/>
        <v/>
      </c>
      <c r="J528" s="26" t="str">
        <f>IFERROR(INDEX(Cablage!$A:$A,MATCH($I528,Cablage!$F:$F,0)),"")</f>
        <v/>
      </c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</row>
    <row r="529" spans="1:50" ht="15" customHeight="1" x14ac:dyDescent="0.25">
      <c r="A529" s="25"/>
      <c r="B529" s="25"/>
      <c r="C529" s="11"/>
      <c r="D529" s="11"/>
      <c r="E529" s="11"/>
      <c r="F529" s="26" t="str">
        <f>IFERROR(IF(OR($B529="",$C529=""),"",INDEX('Cartes API'!$J:$J,MATCH($B529,'Cartes API'!$A:$A,0))&amp;INDEX('Cartes API'!$B:$B,MATCH($B529,'Cartes API'!$A:$A,0))&amp;"."&amp;INDEX('Cartes API'!$C:$C,MATCH($B529,'Cartes API'!$A:$A,0))&amp;"."&amp;$C529),"")</f>
        <v/>
      </c>
      <c r="G529" s="26" t="str">
        <f>IFERROR(IF($B529="","",INDEX('Cartes API'!$H:$H,MATCH($B529,'Cartes API'!$A:$A,0))),"")</f>
        <v/>
      </c>
      <c r="H529" s="11"/>
      <c r="I529" s="26" t="str">
        <f t="shared" si="8"/>
        <v/>
      </c>
      <c r="J529" s="26" t="str">
        <f>IFERROR(INDEX(Cablage!$A:$A,MATCH($I529,Cablage!$F:$F,0)),"")</f>
        <v/>
      </c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</row>
    <row r="530" spans="1:50" ht="15" customHeight="1" x14ac:dyDescent="0.25">
      <c r="A530" s="25"/>
      <c r="B530" s="25"/>
      <c r="C530" s="11"/>
      <c r="D530" s="11"/>
      <c r="E530" s="11"/>
      <c r="F530" s="26" t="str">
        <f>IFERROR(IF(OR($B530="",$C530=""),"",INDEX('Cartes API'!$J:$J,MATCH($B530,'Cartes API'!$A:$A,0))&amp;INDEX('Cartes API'!$B:$B,MATCH($B530,'Cartes API'!$A:$A,0))&amp;"."&amp;INDEX('Cartes API'!$C:$C,MATCH($B530,'Cartes API'!$A:$A,0))&amp;"."&amp;$C530),"")</f>
        <v/>
      </c>
      <c r="G530" s="26" t="str">
        <f>IFERROR(IF($B530="","",INDEX('Cartes API'!$H:$H,MATCH($B530,'Cartes API'!$A:$A,0))),"")</f>
        <v/>
      </c>
      <c r="H530" s="11"/>
      <c r="I530" s="26" t="str">
        <f t="shared" si="8"/>
        <v/>
      </c>
      <c r="J530" s="26" t="str">
        <f>IFERROR(INDEX(Cablage!$A:$A,MATCH($I530,Cablage!$F:$F,0)),"")</f>
        <v/>
      </c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</row>
    <row r="531" spans="1:50" ht="15" customHeight="1" x14ac:dyDescent="0.25">
      <c r="A531" s="25"/>
      <c r="B531" s="25"/>
      <c r="C531" s="11"/>
      <c r="D531" s="11"/>
      <c r="E531" s="11"/>
      <c r="F531" s="26" t="str">
        <f>IFERROR(IF(OR($B531="",$C531=""),"",INDEX('Cartes API'!$J:$J,MATCH($B531,'Cartes API'!$A:$A,0))&amp;INDEX('Cartes API'!$B:$B,MATCH($B531,'Cartes API'!$A:$A,0))&amp;"."&amp;INDEX('Cartes API'!$C:$C,MATCH($B531,'Cartes API'!$A:$A,0))&amp;"."&amp;$C531),"")</f>
        <v/>
      </c>
      <c r="G531" s="26" t="str">
        <f>IFERROR(IF($B531="","",INDEX('Cartes API'!$H:$H,MATCH($B531,'Cartes API'!$A:$A,0))),"")</f>
        <v/>
      </c>
      <c r="H531" s="11"/>
      <c r="I531" s="26" t="str">
        <f t="shared" si="8"/>
        <v/>
      </c>
      <c r="J531" s="26" t="str">
        <f>IFERROR(INDEX(Cablage!$A:$A,MATCH($I531,Cablage!$F:$F,0)),"")</f>
        <v/>
      </c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</row>
    <row r="532" spans="1:50" ht="15" customHeight="1" x14ac:dyDescent="0.25">
      <c r="A532" s="25"/>
      <c r="B532" s="25"/>
      <c r="C532" s="11"/>
      <c r="D532" s="11"/>
      <c r="E532" s="11"/>
      <c r="F532" s="26" t="str">
        <f>IFERROR(IF(OR($B532="",$C532=""),"",INDEX('Cartes API'!$J:$J,MATCH($B532,'Cartes API'!$A:$A,0))&amp;INDEX('Cartes API'!$B:$B,MATCH($B532,'Cartes API'!$A:$A,0))&amp;"."&amp;INDEX('Cartes API'!$C:$C,MATCH($B532,'Cartes API'!$A:$A,0))&amp;"."&amp;$C532),"")</f>
        <v/>
      </c>
      <c r="G532" s="26" t="str">
        <f>IFERROR(IF($B532="","",INDEX('Cartes API'!$H:$H,MATCH($B532,'Cartes API'!$A:$A,0))),"")</f>
        <v/>
      </c>
      <c r="H532" s="11"/>
      <c r="I532" s="26" t="str">
        <f t="shared" si="8"/>
        <v/>
      </c>
      <c r="J532" s="26" t="str">
        <f>IFERROR(INDEX(Cablage!$A:$A,MATCH($I532,Cablage!$F:$F,0)),"")</f>
        <v/>
      </c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</row>
    <row r="533" spans="1:50" ht="15" customHeight="1" x14ac:dyDescent="0.25">
      <c r="A533" s="25"/>
      <c r="B533" s="25"/>
      <c r="C533" s="11"/>
      <c r="D533" s="11"/>
      <c r="E533" s="11"/>
      <c r="F533" s="26" t="str">
        <f>IFERROR(IF(OR($B533="",$C533=""),"",INDEX('Cartes API'!$J:$J,MATCH($B533,'Cartes API'!$A:$A,0))&amp;INDEX('Cartes API'!$B:$B,MATCH($B533,'Cartes API'!$A:$A,0))&amp;"."&amp;INDEX('Cartes API'!$C:$C,MATCH($B533,'Cartes API'!$A:$A,0))&amp;"."&amp;$C533),"")</f>
        <v/>
      </c>
      <c r="G533" s="26" t="str">
        <f>IFERROR(IF($B533="","",INDEX('Cartes API'!$H:$H,MATCH($B533,'Cartes API'!$A:$A,0))),"")</f>
        <v/>
      </c>
      <c r="H533" s="11"/>
      <c r="I533" s="26" t="str">
        <f t="shared" si="8"/>
        <v/>
      </c>
      <c r="J533" s="26" t="str">
        <f>IFERROR(INDEX(Cablage!$A:$A,MATCH($I533,Cablage!$F:$F,0)),"")</f>
        <v/>
      </c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</row>
    <row r="534" spans="1:50" ht="15" customHeight="1" x14ac:dyDescent="0.25">
      <c r="A534" s="25"/>
      <c r="B534" s="25"/>
      <c r="C534" s="11"/>
      <c r="D534" s="11"/>
      <c r="E534" s="11"/>
      <c r="F534" s="26" t="str">
        <f>IFERROR(IF(OR($B534="",$C534=""),"",INDEX('Cartes API'!$J:$J,MATCH($B534,'Cartes API'!$A:$A,0))&amp;INDEX('Cartes API'!$B:$B,MATCH($B534,'Cartes API'!$A:$A,0))&amp;"."&amp;INDEX('Cartes API'!$C:$C,MATCH($B534,'Cartes API'!$A:$A,0))&amp;"."&amp;$C534),"")</f>
        <v/>
      </c>
      <c r="G534" s="26" t="str">
        <f>IFERROR(IF($B534="","",INDEX('Cartes API'!$H:$H,MATCH($B534,'Cartes API'!$A:$A,0))),"")</f>
        <v/>
      </c>
      <c r="H534" s="11"/>
      <c r="I534" s="26" t="str">
        <f t="shared" si="8"/>
        <v/>
      </c>
      <c r="J534" s="26" t="str">
        <f>IFERROR(INDEX(Cablage!$A:$A,MATCH($I534,Cablage!$F:$F,0)),"")</f>
        <v/>
      </c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</row>
    <row r="535" spans="1:50" ht="15" customHeight="1" x14ac:dyDescent="0.25">
      <c r="A535" s="25"/>
      <c r="B535" s="25"/>
      <c r="C535" s="11"/>
      <c r="D535" s="11"/>
      <c r="E535" s="11"/>
      <c r="F535" s="26" t="str">
        <f>IFERROR(IF(OR($B535="",$C535=""),"",INDEX('Cartes API'!$J:$J,MATCH($B535,'Cartes API'!$A:$A,0))&amp;INDEX('Cartes API'!$B:$B,MATCH($B535,'Cartes API'!$A:$A,0))&amp;"."&amp;INDEX('Cartes API'!$C:$C,MATCH($B535,'Cartes API'!$A:$A,0))&amp;"."&amp;$C535),"")</f>
        <v/>
      </c>
      <c r="G535" s="26" t="str">
        <f>IFERROR(IF($B535="","",INDEX('Cartes API'!$H:$H,MATCH($B535,'Cartes API'!$A:$A,0))),"")</f>
        <v/>
      </c>
      <c r="H535" s="11"/>
      <c r="I535" s="26" t="str">
        <f t="shared" si="8"/>
        <v/>
      </c>
      <c r="J535" s="26" t="str">
        <f>IFERROR(INDEX(Cablage!$A:$A,MATCH($I535,Cablage!$F:$F,0)),"")</f>
        <v/>
      </c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</row>
    <row r="536" spans="1:50" ht="15" customHeight="1" x14ac:dyDescent="0.25">
      <c r="A536" s="25"/>
      <c r="B536" s="25"/>
      <c r="C536" s="11"/>
      <c r="D536" s="11"/>
      <c r="E536" s="11"/>
      <c r="F536" s="26" t="str">
        <f>IFERROR(IF(OR($B536="",$C536=""),"",INDEX('Cartes API'!$J:$J,MATCH($B536,'Cartes API'!$A:$A,0))&amp;INDEX('Cartes API'!$B:$B,MATCH($B536,'Cartes API'!$A:$A,0))&amp;"."&amp;INDEX('Cartes API'!$C:$C,MATCH($B536,'Cartes API'!$A:$A,0))&amp;"."&amp;$C536),"")</f>
        <v/>
      </c>
      <c r="G536" s="26" t="str">
        <f>IFERROR(IF($B536="","",INDEX('Cartes API'!$H:$H,MATCH($B536,'Cartes API'!$A:$A,0))),"")</f>
        <v/>
      </c>
      <c r="H536" s="11"/>
      <c r="I536" s="26" t="str">
        <f t="shared" si="8"/>
        <v/>
      </c>
      <c r="J536" s="26" t="str">
        <f>IFERROR(INDEX(Cablage!$A:$A,MATCH($I536,Cablage!$F:$F,0)),"")</f>
        <v/>
      </c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</row>
    <row r="537" spans="1:50" ht="15" customHeight="1" x14ac:dyDescent="0.25">
      <c r="A537" s="25"/>
      <c r="B537" s="25"/>
      <c r="C537" s="11"/>
      <c r="D537" s="11"/>
      <c r="E537" s="11"/>
      <c r="F537" s="26" t="str">
        <f>IFERROR(IF(OR($B537="",$C537=""),"",INDEX('Cartes API'!$J:$J,MATCH($B537,'Cartes API'!$A:$A,0))&amp;INDEX('Cartes API'!$B:$B,MATCH($B537,'Cartes API'!$A:$A,0))&amp;"."&amp;INDEX('Cartes API'!$C:$C,MATCH($B537,'Cartes API'!$A:$A,0))&amp;"."&amp;$C537),"")</f>
        <v/>
      </c>
      <c r="G537" s="26" t="str">
        <f>IFERROR(IF($B537="","",INDEX('Cartes API'!$H:$H,MATCH($B537,'Cartes API'!$A:$A,0))),"")</f>
        <v/>
      </c>
      <c r="H537" s="11"/>
      <c r="I537" s="26" t="str">
        <f t="shared" si="8"/>
        <v/>
      </c>
      <c r="J537" s="26" t="str">
        <f>IFERROR(INDEX(Cablage!$A:$A,MATCH($I537,Cablage!$F:$F,0)),"")</f>
        <v/>
      </c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</row>
    <row r="538" spans="1:50" ht="15" customHeight="1" x14ac:dyDescent="0.25">
      <c r="A538" s="25"/>
      <c r="B538" s="25"/>
      <c r="C538" s="11"/>
      <c r="D538" s="11"/>
      <c r="E538" s="11"/>
      <c r="F538" s="26" t="str">
        <f>IFERROR(IF(OR($B538="",$C538=""),"",INDEX('Cartes API'!$J:$J,MATCH($B538,'Cartes API'!$A:$A,0))&amp;INDEX('Cartes API'!$B:$B,MATCH($B538,'Cartes API'!$A:$A,0))&amp;"."&amp;INDEX('Cartes API'!$C:$C,MATCH($B538,'Cartes API'!$A:$A,0))&amp;"."&amp;$C538),"")</f>
        <v/>
      </c>
      <c r="G538" s="26" t="str">
        <f>IFERROR(IF($B538="","",INDEX('Cartes API'!$H:$H,MATCH($B538,'Cartes API'!$A:$A,0))),"")</f>
        <v/>
      </c>
      <c r="H538" s="11"/>
      <c r="I538" s="26" t="str">
        <f t="shared" si="8"/>
        <v/>
      </c>
      <c r="J538" s="26" t="str">
        <f>IFERROR(INDEX(Cablage!$A:$A,MATCH($I538,Cablage!$F:$F,0)),"")</f>
        <v/>
      </c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</row>
    <row r="539" spans="1:50" ht="15" customHeight="1" x14ac:dyDescent="0.25">
      <c r="A539" s="25"/>
      <c r="B539" s="25"/>
      <c r="C539" s="11"/>
      <c r="D539" s="11"/>
      <c r="E539" s="11"/>
      <c r="F539" s="26" t="str">
        <f>IFERROR(IF(OR($B539="",$C539=""),"",INDEX('Cartes API'!$J:$J,MATCH($B539,'Cartes API'!$A:$A,0))&amp;INDEX('Cartes API'!$B:$B,MATCH($B539,'Cartes API'!$A:$A,0))&amp;"."&amp;INDEX('Cartes API'!$C:$C,MATCH($B539,'Cartes API'!$A:$A,0))&amp;"."&amp;$C539),"")</f>
        <v/>
      </c>
      <c r="G539" s="26" t="str">
        <f>IFERROR(IF($B539="","",INDEX('Cartes API'!$H:$H,MATCH($B539,'Cartes API'!$A:$A,0))),"")</f>
        <v/>
      </c>
      <c r="H539" s="11"/>
      <c r="I539" s="26" t="str">
        <f t="shared" si="8"/>
        <v/>
      </c>
      <c r="J539" s="26" t="str">
        <f>IFERROR(INDEX(Cablage!$A:$A,MATCH($I539,Cablage!$F:$F,0)),"")</f>
        <v/>
      </c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</row>
    <row r="540" spans="1:50" ht="15" customHeight="1" x14ac:dyDescent="0.25">
      <c r="A540" s="25"/>
      <c r="B540" s="25"/>
      <c r="C540" s="11"/>
      <c r="D540" s="11"/>
      <c r="E540" s="11"/>
      <c r="F540" s="26" t="str">
        <f>IFERROR(IF(OR($B540="",$C540=""),"",INDEX('Cartes API'!$J:$J,MATCH($B540,'Cartes API'!$A:$A,0))&amp;INDEX('Cartes API'!$B:$B,MATCH($B540,'Cartes API'!$A:$A,0))&amp;"."&amp;INDEX('Cartes API'!$C:$C,MATCH($B540,'Cartes API'!$A:$A,0))&amp;"."&amp;$C540),"")</f>
        <v/>
      </c>
      <c r="G540" s="26" t="str">
        <f>IFERROR(IF($B540="","",INDEX('Cartes API'!$H:$H,MATCH($B540,'Cartes API'!$A:$A,0))),"")</f>
        <v/>
      </c>
      <c r="H540" s="11"/>
      <c r="I540" s="26" t="str">
        <f t="shared" si="8"/>
        <v/>
      </c>
      <c r="J540" s="26" t="str">
        <f>IFERROR(INDEX(Cablage!$A:$A,MATCH($I540,Cablage!$F:$F,0)),"")</f>
        <v/>
      </c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</row>
    <row r="541" spans="1:50" ht="15" customHeight="1" x14ac:dyDescent="0.25">
      <c r="A541" s="25"/>
      <c r="B541" s="25"/>
      <c r="C541" s="11"/>
      <c r="D541" s="11"/>
      <c r="E541" s="11"/>
      <c r="F541" s="26" t="str">
        <f>IFERROR(IF(OR($B541="",$C541=""),"",INDEX('Cartes API'!$J:$J,MATCH($B541,'Cartes API'!$A:$A,0))&amp;INDEX('Cartes API'!$B:$B,MATCH($B541,'Cartes API'!$A:$A,0))&amp;"."&amp;INDEX('Cartes API'!$C:$C,MATCH($B541,'Cartes API'!$A:$A,0))&amp;"."&amp;$C541),"")</f>
        <v/>
      </c>
      <c r="G541" s="26" t="str">
        <f>IFERROR(IF($B541="","",INDEX('Cartes API'!$H:$H,MATCH($B541,'Cartes API'!$A:$A,0))),"")</f>
        <v/>
      </c>
      <c r="H541" s="11"/>
      <c r="I541" s="26" t="str">
        <f t="shared" si="8"/>
        <v/>
      </c>
      <c r="J541" s="26" t="str">
        <f>IFERROR(INDEX(Cablage!$A:$A,MATCH($I541,Cablage!$F:$F,0)),"")</f>
        <v/>
      </c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</row>
    <row r="542" spans="1:50" ht="15" customHeight="1" x14ac:dyDescent="0.25">
      <c r="A542" s="25"/>
      <c r="B542" s="25"/>
      <c r="C542" s="11"/>
      <c r="D542" s="11"/>
      <c r="E542" s="11"/>
      <c r="F542" s="26" t="str">
        <f>IFERROR(IF(OR($B542="",$C542=""),"",INDEX('Cartes API'!$J:$J,MATCH($B542,'Cartes API'!$A:$A,0))&amp;INDEX('Cartes API'!$B:$B,MATCH($B542,'Cartes API'!$A:$A,0))&amp;"."&amp;INDEX('Cartes API'!$C:$C,MATCH($B542,'Cartes API'!$A:$A,0))&amp;"."&amp;$C542),"")</f>
        <v/>
      </c>
      <c r="G542" s="26" t="str">
        <f>IFERROR(IF($B542="","",INDEX('Cartes API'!$H:$H,MATCH($B542,'Cartes API'!$A:$A,0))),"")</f>
        <v/>
      </c>
      <c r="H542" s="11"/>
      <c r="I542" s="26" t="str">
        <f t="shared" si="8"/>
        <v/>
      </c>
      <c r="J542" s="26" t="str">
        <f>IFERROR(INDEX(Cablage!$A:$A,MATCH($I542,Cablage!$F:$F,0)),"")</f>
        <v/>
      </c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</row>
    <row r="543" spans="1:50" ht="15" customHeight="1" x14ac:dyDescent="0.25">
      <c r="A543" s="25"/>
      <c r="B543" s="25"/>
      <c r="C543" s="11"/>
      <c r="D543" s="11"/>
      <c r="E543" s="11"/>
      <c r="F543" s="26" t="str">
        <f>IFERROR(IF(OR($B543="",$C543=""),"",INDEX('Cartes API'!$J:$J,MATCH($B543,'Cartes API'!$A:$A,0))&amp;INDEX('Cartes API'!$B:$B,MATCH($B543,'Cartes API'!$A:$A,0))&amp;"."&amp;INDEX('Cartes API'!$C:$C,MATCH($B543,'Cartes API'!$A:$A,0))&amp;"."&amp;$C543),"")</f>
        <v/>
      </c>
      <c r="G543" s="26" t="str">
        <f>IFERROR(IF($B543="","",INDEX('Cartes API'!$H:$H,MATCH($B543,'Cartes API'!$A:$A,0))),"")</f>
        <v/>
      </c>
      <c r="H543" s="11"/>
      <c r="I543" s="26" t="str">
        <f t="shared" si="8"/>
        <v/>
      </c>
      <c r="J543" s="26" t="str">
        <f>IFERROR(INDEX(Cablage!$A:$A,MATCH($I543,Cablage!$F:$F,0)),"")</f>
        <v/>
      </c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</row>
    <row r="544" spans="1:50" ht="15" customHeight="1" x14ac:dyDescent="0.25">
      <c r="A544" s="25"/>
      <c r="B544" s="25"/>
      <c r="C544" s="11"/>
      <c r="D544" s="11"/>
      <c r="E544" s="11"/>
      <c r="F544" s="26" t="str">
        <f>IFERROR(IF(OR($B544="",$C544=""),"",INDEX('Cartes API'!$J:$J,MATCH($B544,'Cartes API'!$A:$A,0))&amp;INDEX('Cartes API'!$B:$B,MATCH($B544,'Cartes API'!$A:$A,0))&amp;"."&amp;INDEX('Cartes API'!$C:$C,MATCH($B544,'Cartes API'!$A:$A,0))&amp;"."&amp;$C544),"")</f>
        <v/>
      </c>
      <c r="G544" s="26" t="str">
        <f>IFERROR(IF($B544="","",INDEX('Cartes API'!$H:$H,MATCH($B544,'Cartes API'!$A:$A,0))),"")</f>
        <v/>
      </c>
      <c r="H544" s="11"/>
      <c r="I544" s="26" t="str">
        <f t="shared" si="8"/>
        <v/>
      </c>
      <c r="J544" s="26" t="str">
        <f>IFERROR(INDEX(Cablage!$A:$A,MATCH($I544,Cablage!$F:$F,0)),"")</f>
        <v/>
      </c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</row>
    <row r="545" spans="1:50" ht="15" customHeight="1" x14ac:dyDescent="0.25">
      <c r="A545" s="25"/>
      <c r="B545" s="25"/>
      <c r="C545" s="11"/>
      <c r="D545" s="11"/>
      <c r="E545" s="11"/>
      <c r="F545" s="26" t="str">
        <f>IFERROR(IF(OR($B545="",$C545=""),"",INDEX('Cartes API'!$J:$J,MATCH($B545,'Cartes API'!$A:$A,0))&amp;INDEX('Cartes API'!$B:$B,MATCH($B545,'Cartes API'!$A:$A,0))&amp;"."&amp;INDEX('Cartes API'!$C:$C,MATCH($B545,'Cartes API'!$A:$A,0))&amp;"."&amp;$C545),"")</f>
        <v/>
      </c>
      <c r="G545" s="26" t="str">
        <f>IFERROR(IF($B545="","",INDEX('Cartes API'!$H:$H,MATCH($B545,'Cartes API'!$A:$A,0))),"")</f>
        <v/>
      </c>
      <c r="H545" s="11"/>
      <c r="I545" s="26" t="str">
        <f t="shared" si="8"/>
        <v/>
      </c>
      <c r="J545" s="26" t="str">
        <f>IFERROR(INDEX(Cablage!$A:$A,MATCH($I545,Cablage!$F:$F,0)),"")</f>
        <v/>
      </c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</row>
    <row r="546" spans="1:50" ht="15" customHeight="1" x14ac:dyDescent="0.25">
      <c r="A546" s="25"/>
      <c r="B546" s="25"/>
      <c r="C546" s="11"/>
      <c r="D546" s="11"/>
      <c r="E546" s="11"/>
      <c r="F546" s="26" t="str">
        <f>IFERROR(IF(OR($B546="",$C546=""),"",INDEX('Cartes API'!$J:$J,MATCH($B546,'Cartes API'!$A:$A,0))&amp;INDEX('Cartes API'!$B:$B,MATCH($B546,'Cartes API'!$A:$A,0))&amp;"."&amp;INDEX('Cartes API'!$C:$C,MATCH($B546,'Cartes API'!$A:$A,0))&amp;"."&amp;$C546),"")</f>
        <v/>
      </c>
      <c r="G546" s="26" t="str">
        <f>IFERROR(IF($B546="","",INDEX('Cartes API'!$H:$H,MATCH($B546,'Cartes API'!$A:$A,0))),"")</f>
        <v/>
      </c>
      <c r="H546" s="11"/>
      <c r="I546" s="26" t="str">
        <f t="shared" si="8"/>
        <v/>
      </c>
      <c r="J546" s="26" t="str">
        <f>IFERROR(INDEX(Cablage!$A:$A,MATCH($I546,Cablage!$F:$F,0)),"")</f>
        <v/>
      </c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</row>
    <row r="547" spans="1:50" ht="15" customHeight="1" x14ac:dyDescent="0.25">
      <c r="A547" s="25"/>
      <c r="B547" s="25"/>
      <c r="C547" s="11"/>
      <c r="D547" s="11"/>
      <c r="E547" s="11"/>
      <c r="F547" s="26" t="str">
        <f>IFERROR(IF(OR($B547="",$C547=""),"",INDEX('Cartes API'!$J:$J,MATCH($B547,'Cartes API'!$A:$A,0))&amp;INDEX('Cartes API'!$B:$B,MATCH($B547,'Cartes API'!$A:$A,0))&amp;"."&amp;INDEX('Cartes API'!$C:$C,MATCH($B547,'Cartes API'!$A:$A,0))&amp;"."&amp;$C547),"")</f>
        <v/>
      </c>
      <c r="G547" s="26" t="str">
        <f>IFERROR(IF($B547="","",INDEX('Cartes API'!$H:$H,MATCH($B547,'Cartes API'!$A:$A,0))),"")</f>
        <v/>
      </c>
      <c r="H547" s="11"/>
      <c r="I547" s="26" t="str">
        <f t="shared" si="8"/>
        <v/>
      </c>
      <c r="J547" s="26" t="str">
        <f>IFERROR(INDEX(Cablage!$A:$A,MATCH($I547,Cablage!$F:$F,0)),"")</f>
        <v/>
      </c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</row>
    <row r="548" spans="1:50" ht="15" customHeight="1" x14ac:dyDescent="0.25">
      <c r="A548" s="25"/>
      <c r="B548" s="25"/>
      <c r="C548" s="11"/>
      <c r="D548" s="11"/>
      <c r="E548" s="11"/>
      <c r="F548" s="26" t="str">
        <f>IFERROR(IF(OR($B548="",$C548=""),"",INDEX('Cartes API'!$J:$J,MATCH($B548,'Cartes API'!$A:$A,0))&amp;INDEX('Cartes API'!$B:$B,MATCH($B548,'Cartes API'!$A:$A,0))&amp;"."&amp;INDEX('Cartes API'!$C:$C,MATCH($B548,'Cartes API'!$A:$A,0))&amp;"."&amp;$C548),"")</f>
        <v/>
      </c>
      <c r="G548" s="26" t="str">
        <f>IFERROR(IF($B548="","",INDEX('Cartes API'!$H:$H,MATCH($B548,'Cartes API'!$A:$A,0))),"")</f>
        <v/>
      </c>
      <c r="H548" s="11"/>
      <c r="I548" s="26" t="str">
        <f t="shared" si="8"/>
        <v/>
      </c>
      <c r="J548" s="26" t="str">
        <f>IFERROR(INDEX(Cablage!$A:$A,MATCH($I548,Cablage!$F:$F,0)),"")</f>
        <v/>
      </c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</row>
    <row r="549" spans="1:50" ht="15" customHeight="1" x14ac:dyDescent="0.25">
      <c r="A549" s="25"/>
      <c r="B549" s="25"/>
      <c r="C549" s="11"/>
      <c r="D549" s="11"/>
      <c r="E549" s="11"/>
      <c r="F549" s="26" t="str">
        <f>IFERROR(IF(OR($B549="",$C549=""),"",INDEX('Cartes API'!$J:$J,MATCH($B549,'Cartes API'!$A:$A,0))&amp;INDEX('Cartes API'!$B:$B,MATCH($B549,'Cartes API'!$A:$A,0))&amp;"."&amp;INDEX('Cartes API'!$C:$C,MATCH($B549,'Cartes API'!$A:$A,0))&amp;"."&amp;$C549),"")</f>
        <v/>
      </c>
      <c r="G549" s="26" t="str">
        <f>IFERROR(IF($B549="","",INDEX('Cartes API'!$H:$H,MATCH($B549,'Cartes API'!$A:$A,0))),"")</f>
        <v/>
      </c>
      <c r="H549" s="11"/>
      <c r="I549" s="26" t="str">
        <f t="shared" si="8"/>
        <v/>
      </c>
      <c r="J549" s="26" t="str">
        <f>IFERROR(INDEX(Cablage!$A:$A,MATCH($I549,Cablage!$F:$F,0)),"")</f>
        <v/>
      </c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</row>
    <row r="550" spans="1:50" ht="15" customHeight="1" x14ac:dyDescent="0.25">
      <c r="A550" s="25"/>
      <c r="B550" s="25"/>
      <c r="C550" s="11"/>
      <c r="D550" s="11"/>
      <c r="E550" s="11"/>
      <c r="F550" s="26" t="str">
        <f>IFERROR(IF(OR($B550="",$C550=""),"",INDEX('Cartes API'!$J:$J,MATCH($B550,'Cartes API'!$A:$A,0))&amp;INDEX('Cartes API'!$B:$B,MATCH($B550,'Cartes API'!$A:$A,0))&amp;"."&amp;INDEX('Cartes API'!$C:$C,MATCH($B550,'Cartes API'!$A:$A,0))&amp;"."&amp;$C550),"")</f>
        <v/>
      </c>
      <c r="G550" s="26" t="str">
        <f>IFERROR(IF($B550="","",INDEX('Cartes API'!$H:$H,MATCH($B550,'Cartes API'!$A:$A,0))),"")</f>
        <v/>
      </c>
      <c r="H550" s="11"/>
      <c r="I550" s="26" t="str">
        <f t="shared" si="8"/>
        <v/>
      </c>
      <c r="J550" s="26" t="str">
        <f>IFERROR(INDEX(Cablage!$A:$A,MATCH($I550,Cablage!$F:$F,0)),"")</f>
        <v/>
      </c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</row>
    <row r="551" spans="1:50" ht="15" customHeight="1" x14ac:dyDescent="0.25">
      <c r="A551" s="25"/>
      <c r="B551" s="25"/>
      <c r="C551" s="11"/>
      <c r="D551" s="11"/>
      <c r="E551" s="11"/>
      <c r="F551" s="26" t="str">
        <f>IFERROR(IF(OR($B551="",$C551=""),"",INDEX('Cartes API'!$J:$J,MATCH($B551,'Cartes API'!$A:$A,0))&amp;INDEX('Cartes API'!$B:$B,MATCH($B551,'Cartes API'!$A:$A,0))&amp;"."&amp;INDEX('Cartes API'!$C:$C,MATCH($B551,'Cartes API'!$A:$A,0))&amp;"."&amp;$C551),"")</f>
        <v/>
      </c>
      <c r="G551" s="26" t="str">
        <f>IFERROR(IF($B551="","",INDEX('Cartes API'!$H:$H,MATCH($B551,'Cartes API'!$A:$A,0))),"")</f>
        <v/>
      </c>
      <c r="H551" s="11"/>
      <c r="I551" s="26" t="str">
        <f t="shared" si="8"/>
        <v/>
      </c>
      <c r="J551" s="26" t="str">
        <f>IFERROR(INDEX(Cablage!$A:$A,MATCH($I551,Cablage!$F:$F,0)),"")</f>
        <v/>
      </c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</row>
    <row r="552" spans="1:50" ht="15" customHeight="1" x14ac:dyDescent="0.25">
      <c r="A552" s="25"/>
      <c r="B552" s="25"/>
      <c r="C552" s="11"/>
      <c r="D552" s="11"/>
      <c r="E552" s="11"/>
      <c r="F552" s="26" t="str">
        <f>IFERROR(IF(OR($B552="",$C552=""),"",INDEX('Cartes API'!$J:$J,MATCH($B552,'Cartes API'!$A:$A,0))&amp;INDEX('Cartes API'!$B:$B,MATCH($B552,'Cartes API'!$A:$A,0))&amp;"."&amp;INDEX('Cartes API'!$C:$C,MATCH($B552,'Cartes API'!$A:$A,0))&amp;"."&amp;$C552),"")</f>
        <v/>
      </c>
      <c r="G552" s="26" t="str">
        <f>IFERROR(IF($B552="","",INDEX('Cartes API'!$H:$H,MATCH($B552,'Cartes API'!$A:$A,0))),"")</f>
        <v/>
      </c>
      <c r="H552" s="11"/>
      <c r="I552" s="26" t="str">
        <f t="shared" si="8"/>
        <v/>
      </c>
      <c r="J552" s="26" t="str">
        <f>IFERROR(INDEX(Cablage!$A:$A,MATCH($I552,Cablage!$F:$F,0)),"")</f>
        <v/>
      </c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</row>
    <row r="553" spans="1:50" ht="15" customHeight="1" x14ac:dyDescent="0.25">
      <c r="A553" s="25"/>
      <c r="B553" s="25"/>
      <c r="C553" s="11"/>
      <c r="D553" s="11"/>
      <c r="E553" s="11"/>
      <c r="F553" s="26" t="str">
        <f>IFERROR(IF(OR($B553="",$C553=""),"",INDEX('Cartes API'!$J:$J,MATCH($B553,'Cartes API'!$A:$A,0))&amp;INDEX('Cartes API'!$B:$B,MATCH($B553,'Cartes API'!$A:$A,0))&amp;"."&amp;INDEX('Cartes API'!$C:$C,MATCH($B553,'Cartes API'!$A:$A,0))&amp;"."&amp;$C553),"")</f>
        <v/>
      </c>
      <c r="G553" s="26" t="str">
        <f>IFERROR(IF($B553="","",INDEX('Cartes API'!$H:$H,MATCH($B553,'Cartes API'!$A:$A,0))),"")</f>
        <v/>
      </c>
      <c r="H553" s="11"/>
      <c r="I553" s="26" t="str">
        <f t="shared" si="8"/>
        <v/>
      </c>
      <c r="J553" s="26" t="str">
        <f>IFERROR(INDEX(Cablage!$A:$A,MATCH($I553,Cablage!$F:$F,0)),"")</f>
        <v/>
      </c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</row>
    <row r="554" spans="1:50" ht="15" customHeight="1" x14ac:dyDescent="0.25">
      <c r="A554" s="25"/>
      <c r="B554" s="25"/>
      <c r="C554" s="11"/>
      <c r="D554" s="11"/>
      <c r="E554" s="11"/>
      <c r="F554" s="26" t="str">
        <f>IFERROR(IF(OR($B554="",$C554=""),"",INDEX('Cartes API'!$J:$J,MATCH($B554,'Cartes API'!$A:$A,0))&amp;INDEX('Cartes API'!$B:$B,MATCH($B554,'Cartes API'!$A:$A,0))&amp;"."&amp;INDEX('Cartes API'!$C:$C,MATCH($B554,'Cartes API'!$A:$A,0))&amp;"."&amp;$C554),"")</f>
        <v/>
      </c>
      <c r="G554" s="26" t="str">
        <f>IFERROR(IF($B554="","",INDEX('Cartes API'!$H:$H,MATCH($B554,'Cartes API'!$A:$A,0))),"")</f>
        <v/>
      </c>
      <c r="H554" s="11"/>
      <c r="I554" s="26" t="str">
        <f t="shared" si="8"/>
        <v/>
      </c>
      <c r="J554" s="26" t="str">
        <f>IFERROR(INDEX(Cablage!$A:$A,MATCH($I554,Cablage!$F:$F,0)),"")</f>
        <v/>
      </c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</row>
    <row r="555" spans="1:50" ht="15" customHeight="1" x14ac:dyDescent="0.25">
      <c r="A555" s="25"/>
      <c r="B555" s="25"/>
      <c r="C555" s="11"/>
      <c r="D555" s="11"/>
      <c r="E555" s="11"/>
      <c r="F555" s="26" t="str">
        <f>IFERROR(IF(OR($B555="",$C555=""),"",INDEX('Cartes API'!$J:$J,MATCH($B555,'Cartes API'!$A:$A,0))&amp;INDEX('Cartes API'!$B:$B,MATCH($B555,'Cartes API'!$A:$A,0))&amp;"."&amp;INDEX('Cartes API'!$C:$C,MATCH($B555,'Cartes API'!$A:$A,0))&amp;"."&amp;$C555),"")</f>
        <v/>
      </c>
      <c r="G555" s="26" t="str">
        <f>IFERROR(IF($B555="","",INDEX('Cartes API'!$H:$H,MATCH($B555,'Cartes API'!$A:$A,0))),"")</f>
        <v/>
      </c>
      <c r="H555" s="11"/>
      <c r="I555" s="26" t="str">
        <f t="shared" si="8"/>
        <v/>
      </c>
      <c r="J555" s="26" t="str">
        <f>IFERROR(INDEX(Cablage!$A:$A,MATCH($I555,Cablage!$F:$F,0)),"")</f>
        <v/>
      </c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</row>
    <row r="556" spans="1:50" ht="15" customHeight="1" x14ac:dyDescent="0.25">
      <c r="A556" s="25"/>
      <c r="B556" s="25"/>
      <c r="C556" s="11"/>
      <c r="D556" s="11"/>
      <c r="E556" s="11"/>
      <c r="F556" s="26" t="str">
        <f>IFERROR(IF(OR($B556="",$C556=""),"",INDEX('Cartes API'!$J:$J,MATCH($B556,'Cartes API'!$A:$A,0))&amp;INDEX('Cartes API'!$B:$B,MATCH($B556,'Cartes API'!$A:$A,0))&amp;"."&amp;INDEX('Cartes API'!$C:$C,MATCH($B556,'Cartes API'!$A:$A,0))&amp;"."&amp;$C556),"")</f>
        <v/>
      </c>
      <c r="G556" s="26" t="str">
        <f>IFERROR(IF($B556="","",INDEX('Cartes API'!$H:$H,MATCH($B556,'Cartes API'!$A:$A,0))),"")</f>
        <v/>
      </c>
      <c r="H556" s="11"/>
      <c r="I556" s="26" t="str">
        <f t="shared" si="8"/>
        <v/>
      </c>
      <c r="J556" s="26" t="str">
        <f>IFERROR(INDEX(Cablage!$A:$A,MATCH($I556,Cablage!$F:$F,0)),"")</f>
        <v/>
      </c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</row>
    <row r="557" spans="1:50" ht="15" customHeight="1" x14ac:dyDescent="0.25">
      <c r="A557" s="25"/>
      <c r="B557" s="25"/>
      <c r="C557" s="11"/>
      <c r="D557" s="11"/>
      <c r="E557" s="11"/>
      <c r="F557" s="26" t="str">
        <f>IFERROR(IF(OR($B557="",$C557=""),"",INDEX('Cartes API'!$J:$J,MATCH($B557,'Cartes API'!$A:$A,0))&amp;INDEX('Cartes API'!$B:$B,MATCH($B557,'Cartes API'!$A:$A,0))&amp;"."&amp;INDEX('Cartes API'!$C:$C,MATCH($B557,'Cartes API'!$A:$A,0))&amp;"."&amp;$C557),"")</f>
        <v/>
      </c>
      <c r="G557" s="26" t="str">
        <f>IFERROR(IF($B557="","",INDEX('Cartes API'!$H:$H,MATCH($B557,'Cartes API'!$A:$A,0))),"")</f>
        <v/>
      </c>
      <c r="H557" s="11"/>
      <c r="I557" s="26" t="str">
        <f t="shared" si="8"/>
        <v/>
      </c>
      <c r="J557" s="26" t="str">
        <f>IFERROR(INDEX(Cablage!$A:$A,MATCH($I557,Cablage!$F:$F,0)),"")</f>
        <v/>
      </c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</row>
    <row r="558" spans="1:50" ht="15" customHeight="1" x14ac:dyDescent="0.25">
      <c r="A558" s="25"/>
      <c r="B558" s="25"/>
      <c r="C558" s="11"/>
      <c r="D558" s="11"/>
      <c r="E558" s="11"/>
      <c r="F558" s="26" t="str">
        <f>IFERROR(IF(OR($B558="",$C558=""),"",INDEX('Cartes API'!$J:$J,MATCH($B558,'Cartes API'!$A:$A,0))&amp;INDEX('Cartes API'!$B:$B,MATCH($B558,'Cartes API'!$A:$A,0))&amp;"."&amp;INDEX('Cartes API'!$C:$C,MATCH($B558,'Cartes API'!$A:$A,0))&amp;"."&amp;$C558),"")</f>
        <v/>
      </c>
      <c r="G558" s="26" t="str">
        <f>IFERROR(IF($B558="","",INDEX('Cartes API'!$H:$H,MATCH($B558,'Cartes API'!$A:$A,0))),"")</f>
        <v/>
      </c>
      <c r="H558" s="11"/>
      <c r="I558" s="26" t="str">
        <f t="shared" si="8"/>
        <v/>
      </c>
      <c r="J558" s="26" t="str">
        <f>IFERROR(INDEX(Cablage!$A:$A,MATCH($I558,Cablage!$F:$F,0)),"")</f>
        <v/>
      </c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</row>
    <row r="559" spans="1:50" ht="15" customHeight="1" x14ac:dyDescent="0.25">
      <c r="A559" s="25"/>
      <c r="B559" s="25"/>
      <c r="C559" s="11"/>
      <c r="D559" s="11"/>
      <c r="E559" s="11"/>
      <c r="F559" s="26" t="str">
        <f>IFERROR(IF(OR($B559="",$C559=""),"",INDEX('Cartes API'!$J:$J,MATCH($B559,'Cartes API'!$A:$A,0))&amp;INDEX('Cartes API'!$B:$B,MATCH($B559,'Cartes API'!$A:$A,0))&amp;"."&amp;INDEX('Cartes API'!$C:$C,MATCH($B559,'Cartes API'!$A:$A,0))&amp;"."&amp;$C559),"")</f>
        <v/>
      </c>
      <c r="G559" s="26" t="str">
        <f>IFERROR(IF($B559="","",INDEX('Cartes API'!$H:$H,MATCH($B559,'Cartes API'!$A:$A,0))),"")</f>
        <v/>
      </c>
      <c r="H559" s="11"/>
      <c r="I559" s="26" t="str">
        <f t="shared" si="8"/>
        <v/>
      </c>
      <c r="J559" s="26" t="str">
        <f>IFERROR(INDEX(Cablage!$A:$A,MATCH($I559,Cablage!$F:$F,0)),"")</f>
        <v/>
      </c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</row>
    <row r="560" spans="1:50" ht="15" customHeight="1" x14ac:dyDescent="0.25">
      <c r="A560" s="25"/>
      <c r="B560" s="25"/>
      <c r="C560" s="11"/>
      <c r="D560" s="11"/>
      <c r="E560" s="11"/>
      <c r="F560" s="26" t="str">
        <f>IFERROR(IF(OR($B560="",$C560=""),"",INDEX('Cartes API'!$J:$J,MATCH($B560,'Cartes API'!$A:$A,0))&amp;INDEX('Cartes API'!$B:$B,MATCH($B560,'Cartes API'!$A:$A,0))&amp;"."&amp;INDEX('Cartes API'!$C:$C,MATCH($B560,'Cartes API'!$A:$A,0))&amp;"."&amp;$C560),"")</f>
        <v/>
      </c>
      <c r="G560" s="26" t="str">
        <f>IFERROR(IF($B560="","",INDEX('Cartes API'!$H:$H,MATCH($B560,'Cartes API'!$A:$A,0))),"")</f>
        <v/>
      </c>
      <c r="H560" s="11"/>
      <c r="I560" s="26" t="str">
        <f t="shared" si="8"/>
        <v/>
      </c>
      <c r="J560" s="26" t="str">
        <f>IFERROR(INDEX(Cablage!$A:$A,MATCH($I560,Cablage!$F:$F,0)),"")</f>
        <v/>
      </c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</row>
    <row r="561" spans="1:50" ht="15" customHeight="1" x14ac:dyDescent="0.25">
      <c r="A561" s="25"/>
      <c r="B561" s="25"/>
      <c r="C561" s="11"/>
      <c r="D561" s="11"/>
      <c r="E561" s="11"/>
      <c r="F561" s="26" t="str">
        <f>IFERROR(IF(OR($B561="",$C561=""),"",INDEX('Cartes API'!$J:$J,MATCH($B561,'Cartes API'!$A:$A,0))&amp;INDEX('Cartes API'!$B:$B,MATCH($B561,'Cartes API'!$A:$A,0))&amp;"."&amp;INDEX('Cartes API'!$C:$C,MATCH($B561,'Cartes API'!$A:$A,0))&amp;"."&amp;$C561),"")</f>
        <v/>
      </c>
      <c r="G561" s="26" t="str">
        <f>IFERROR(IF($B561="","",INDEX('Cartes API'!$H:$H,MATCH($B561,'Cartes API'!$A:$A,0))),"")</f>
        <v/>
      </c>
      <c r="H561" s="11"/>
      <c r="I561" s="26" t="str">
        <f t="shared" si="8"/>
        <v/>
      </c>
      <c r="J561" s="26" t="str">
        <f>IFERROR(INDEX(Cablage!$A:$A,MATCH($I561,Cablage!$F:$F,0)),"")</f>
        <v/>
      </c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</row>
    <row r="562" spans="1:50" ht="15" customHeight="1" x14ac:dyDescent="0.25">
      <c r="A562" s="25"/>
      <c r="B562" s="25"/>
      <c r="C562" s="11"/>
      <c r="D562" s="11"/>
      <c r="E562" s="11"/>
      <c r="F562" s="26" t="str">
        <f>IFERROR(IF(OR($B562="",$C562=""),"",INDEX('Cartes API'!$J:$J,MATCH($B562,'Cartes API'!$A:$A,0))&amp;INDEX('Cartes API'!$B:$B,MATCH($B562,'Cartes API'!$A:$A,0))&amp;"."&amp;INDEX('Cartes API'!$C:$C,MATCH($B562,'Cartes API'!$A:$A,0))&amp;"."&amp;$C562),"")</f>
        <v/>
      </c>
      <c r="G562" s="26" t="str">
        <f>IFERROR(IF($B562="","",INDEX('Cartes API'!$H:$H,MATCH($B562,'Cartes API'!$A:$A,0))),"")</f>
        <v/>
      </c>
      <c r="H562" s="11"/>
      <c r="I562" s="26" t="str">
        <f t="shared" si="8"/>
        <v/>
      </c>
      <c r="J562" s="26" t="str">
        <f>IFERROR(INDEX(Cablage!$A:$A,MATCH($I562,Cablage!$F:$F,0)),"")</f>
        <v/>
      </c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</row>
    <row r="563" spans="1:50" ht="15" customHeight="1" x14ac:dyDescent="0.25">
      <c r="A563" s="25"/>
      <c r="B563" s="25"/>
      <c r="C563" s="11"/>
      <c r="D563" s="11"/>
      <c r="E563" s="11"/>
      <c r="F563" s="26" t="str">
        <f>IFERROR(IF(OR($B563="",$C563=""),"",INDEX('Cartes API'!$J:$J,MATCH($B563,'Cartes API'!$A:$A,0))&amp;INDEX('Cartes API'!$B:$B,MATCH($B563,'Cartes API'!$A:$A,0))&amp;"."&amp;INDEX('Cartes API'!$C:$C,MATCH($B563,'Cartes API'!$A:$A,0))&amp;"."&amp;$C563),"")</f>
        <v/>
      </c>
      <c r="G563" s="26" t="str">
        <f>IFERROR(IF($B563="","",INDEX('Cartes API'!$H:$H,MATCH($B563,'Cartes API'!$A:$A,0))),"")</f>
        <v/>
      </c>
      <c r="H563" s="11"/>
      <c r="I563" s="26" t="str">
        <f t="shared" si="8"/>
        <v/>
      </c>
      <c r="J563" s="26" t="str">
        <f>IFERROR(INDEX(Cablage!$A:$A,MATCH($I563,Cablage!$F:$F,0)),"")</f>
        <v/>
      </c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</row>
    <row r="564" spans="1:50" ht="15" customHeight="1" x14ac:dyDescent="0.25">
      <c r="A564" s="25"/>
      <c r="B564" s="25"/>
      <c r="C564" s="11"/>
      <c r="D564" s="11"/>
      <c r="E564" s="11"/>
      <c r="F564" s="26" t="str">
        <f>IFERROR(IF(OR($B564="",$C564=""),"",INDEX('Cartes API'!$J:$J,MATCH($B564,'Cartes API'!$A:$A,0))&amp;INDEX('Cartes API'!$B:$B,MATCH($B564,'Cartes API'!$A:$A,0))&amp;"."&amp;INDEX('Cartes API'!$C:$C,MATCH($B564,'Cartes API'!$A:$A,0))&amp;"."&amp;$C564),"")</f>
        <v/>
      </c>
      <c r="G564" s="26" t="str">
        <f>IFERROR(IF($B564="","",INDEX('Cartes API'!$H:$H,MATCH($B564,'Cartes API'!$A:$A,0))),"")</f>
        <v/>
      </c>
      <c r="H564" s="11"/>
      <c r="I564" s="26" t="str">
        <f t="shared" si="8"/>
        <v/>
      </c>
      <c r="J564" s="26" t="str">
        <f>IFERROR(INDEX(Cablage!$A:$A,MATCH($I564,Cablage!$F:$F,0)),"")</f>
        <v/>
      </c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</row>
    <row r="565" spans="1:50" ht="15" customHeight="1" x14ac:dyDescent="0.25">
      <c r="A565" s="25"/>
      <c r="B565" s="25"/>
      <c r="C565" s="11"/>
      <c r="D565" s="11"/>
      <c r="E565" s="11"/>
      <c r="F565" s="26" t="str">
        <f>IFERROR(IF(OR($B565="",$C565=""),"",INDEX('Cartes API'!$J:$J,MATCH($B565,'Cartes API'!$A:$A,0))&amp;INDEX('Cartes API'!$B:$B,MATCH($B565,'Cartes API'!$A:$A,0))&amp;"."&amp;INDEX('Cartes API'!$C:$C,MATCH($B565,'Cartes API'!$A:$A,0))&amp;"."&amp;$C565),"")</f>
        <v/>
      </c>
      <c r="G565" s="26" t="str">
        <f>IFERROR(IF($B565="","",INDEX('Cartes API'!$H:$H,MATCH($B565,'Cartes API'!$A:$A,0))),"")</f>
        <v/>
      </c>
      <c r="H565" s="11"/>
      <c r="I565" s="26" t="str">
        <f t="shared" si="8"/>
        <v/>
      </c>
      <c r="J565" s="26" t="str">
        <f>IFERROR(INDEX(Cablage!$A:$A,MATCH($I565,Cablage!$F:$F,0)),"")</f>
        <v/>
      </c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</row>
    <row r="566" spans="1:50" ht="15" customHeight="1" x14ac:dyDescent="0.25">
      <c r="A566" s="25"/>
      <c r="B566" s="25"/>
      <c r="C566" s="11"/>
      <c r="D566" s="11"/>
      <c r="E566" s="11"/>
      <c r="F566" s="26" t="str">
        <f>IFERROR(IF(OR($B566="",$C566=""),"",INDEX('Cartes API'!$J:$J,MATCH($B566,'Cartes API'!$A:$A,0))&amp;INDEX('Cartes API'!$B:$B,MATCH($B566,'Cartes API'!$A:$A,0))&amp;"."&amp;INDEX('Cartes API'!$C:$C,MATCH($B566,'Cartes API'!$A:$A,0))&amp;"."&amp;$C566),"")</f>
        <v/>
      </c>
      <c r="G566" s="26" t="str">
        <f>IFERROR(IF($B566="","",INDEX('Cartes API'!$H:$H,MATCH($B566,'Cartes API'!$A:$A,0))),"")</f>
        <v/>
      </c>
      <c r="H566" s="11"/>
      <c r="I566" s="26" t="str">
        <f t="shared" si="8"/>
        <v/>
      </c>
      <c r="J566" s="26" t="str">
        <f>IFERROR(INDEX(Cablage!$A:$A,MATCH($I566,Cablage!$F:$F,0)),"")</f>
        <v/>
      </c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</row>
    <row r="567" spans="1:50" ht="15" customHeight="1" x14ac:dyDescent="0.25">
      <c r="A567" s="25"/>
      <c r="B567" s="25"/>
      <c r="C567" s="11"/>
      <c r="D567" s="11"/>
      <c r="E567" s="11"/>
      <c r="F567" s="26" t="str">
        <f>IFERROR(IF(OR($B567="",$C567=""),"",INDEX('Cartes API'!$J:$J,MATCH($B567,'Cartes API'!$A:$A,0))&amp;INDEX('Cartes API'!$B:$B,MATCH($B567,'Cartes API'!$A:$A,0))&amp;"."&amp;INDEX('Cartes API'!$C:$C,MATCH($B567,'Cartes API'!$A:$A,0))&amp;"."&amp;$C567),"")</f>
        <v/>
      </c>
      <c r="G567" s="26" t="str">
        <f>IFERROR(IF($B567="","",INDEX('Cartes API'!$H:$H,MATCH($B567,'Cartes API'!$A:$A,0))),"")</f>
        <v/>
      </c>
      <c r="H567" s="11"/>
      <c r="I567" s="26" t="str">
        <f t="shared" si="8"/>
        <v/>
      </c>
      <c r="J567" s="26" t="str">
        <f>IFERROR(INDEX(Cablage!$A:$A,MATCH($I567,Cablage!$F:$F,0)),"")</f>
        <v/>
      </c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</row>
    <row r="568" spans="1:50" ht="15" customHeight="1" x14ac:dyDescent="0.25">
      <c r="A568" s="25"/>
      <c r="B568" s="25"/>
      <c r="C568" s="11"/>
      <c r="D568" s="11"/>
      <c r="E568" s="11"/>
      <c r="F568" s="26" t="str">
        <f>IFERROR(IF(OR($B568="",$C568=""),"",INDEX('Cartes API'!$J:$J,MATCH($B568,'Cartes API'!$A:$A,0))&amp;INDEX('Cartes API'!$B:$B,MATCH($B568,'Cartes API'!$A:$A,0))&amp;"."&amp;INDEX('Cartes API'!$C:$C,MATCH($B568,'Cartes API'!$A:$A,0))&amp;"."&amp;$C568),"")</f>
        <v/>
      </c>
      <c r="G568" s="26" t="str">
        <f>IFERROR(IF($B568="","",INDEX('Cartes API'!$H:$H,MATCH($B568,'Cartes API'!$A:$A,0))),"")</f>
        <v/>
      </c>
      <c r="H568" s="11"/>
      <c r="I568" s="26" t="str">
        <f t="shared" si="8"/>
        <v/>
      </c>
      <c r="J568" s="26" t="str">
        <f>IFERROR(INDEX(Cablage!$A:$A,MATCH($I568,Cablage!$F:$F,0)),"")</f>
        <v/>
      </c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</row>
    <row r="569" spans="1:50" ht="15" customHeight="1" x14ac:dyDescent="0.25">
      <c r="A569" s="25"/>
      <c r="B569" s="25"/>
      <c r="C569" s="11"/>
      <c r="D569" s="11"/>
      <c r="E569" s="11"/>
      <c r="F569" s="26" t="str">
        <f>IFERROR(IF(OR($B569="",$C569=""),"",INDEX('Cartes API'!$J:$J,MATCH($B569,'Cartes API'!$A:$A,0))&amp;INDEX('Cartes API'!$B:$B,MATCH($B569,'Cartes API'!$A:$A,0))&amp;"."&amp;INDEX('Cartes API'!$C:$C,MATCH($B569,'Cartes API'!$A:$A,0))&amp;"."&amp;$C569),"")</f>
        <v/>
      </c>
      <c r="G569" s="26" t="str">
        <f>IFERROR(IF($B569="","",INDEX('Cartes API'!$H:$H,MATCH($B569,'Cartes API'!$A:$A,0))),"")</f>
        <v/>
      </c>
      <c r="H569" s="11"/>
      <c r="I569" s="26" t="str">
        <f t="shared" si="8"/>
        <v/>
      </c>
      <c r="J569" s="26" t="str">
        <f>IFERROR(INDEX(Cablage!$A:$A,MATCH($I569,Cablage!$F:$F,0)),"")</f>
        <v/>
      </c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</row>
    <row r="570" spans="1:50" ht="15" customHeight="1" x14ac:dyDescent="0.25">
      <c r="A570" s="25"/>
      <c r="B570" s="25"/>
      <c r="C570" s="11"/>
      <c r="D570" s="11"/>
      <c r="E570" s="11"/>
      <c r="F570" s="26" t="str">
        <f>IFERROR(IF(OR($B570="",$C570=""),"",INDEX('Cartes API'!$J:$J,MATCH($B570,'Cartes API'!$A:$A,0))&amp;INDEX('Cartes API'!$B:$B,MATCH($B570,'Cartes API'!$A:$A,0))&amp;"."&amp;INDEX('Cartes API'!$C:$C,MATCH($B570,'Cartes API'!$A:$A,0))&amp;"."&amp;$C570),"")</f>
        <v/>
      </c>
      <c r="G570" s="26" t="str">
        <f>IFERROR(IF($B570="","",INDEX('Cartes API'!$H:$H,MATCH($B570,'Cartes API'!$A:$A,0))),"")</f>
        <v/>
      </c>
      <c r="H570" s="11"/>
      <c r="I570" s="26" t="str">
        <f t="shared" si="8"/>
        <v/>
      </c>
      <c r="J570" s="26" t="str">
        <f>IFERROR(INDEX(Cablage!$A:$A,MATCH($I570,Cablage!$F:$F,0)),"")</f>
        <v/>
      </c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</row>
    <row r="571" spans="1:50" ht="15" customHeight="1" x14ac:dyDescent="0.25">
      <c r="A571" s="25"/>
      <c r="B571" s="25"/>
      <c r="C571" s="11"/>
      <c r="D571" s="11"/>
      <c r="E571" s="11"/>
      <c r="F571" s="26" t="str">
        <f>IFERROR(IF(OR($B571="",$C571=""),"",INDEX('Cartes API'!$J:$J,MATCH($B571,'Cartes API'!$A:$A,0))&amp;INDEX('Cartes API'!$B:$B,MATCH($B571,'Cartes API'!$A:$A,0))&amp;"."&amp;INDEX('Cartes API'!$C:$C,MATCH($B571,'Cartes API'!$A:$A,0))&amp;"."&amp;$C571),"")</f>
        <v/>
      </c>
      <c r="G571" s="26" t="str">
        <f>IFERROR(IF($B571="","",INDEX('Cartes API'!$H:$H,MATCH($B571,'Cartes API'!$A:$A,0))),"")</f>
        <v/>
      </c>
      <c r="H571" s="11"/>
      <c r="I571" s="26" t="str">
        <f t="shared" si="8"/>
        <v/>
      </c>
      <c r="J571" s="26" t="str">
        <f>IFERROR(INDEX(Cablage!$A:$A,MATCH($I571,Cablage!$F:$F,0)),"")</f>
        <v/>
      </c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</row>
    <row r="572" spans="1:50" ht="15" customHeight="1" x14ac:dyDescent="0.25">
      <c r="A572" s="25"/>
      <c r="B572" s="25"/>
      <c r="C572" s="11"/>
      <c r="D572" s="11"/>
      <c r="E572" s="11"/>
      <c r="F572" s="26" t="str">
        <f>IFERROR(IF(OR($B572="",$C572=""),"",INDEX('Cartes API'!$J:$J,MATCH($B572,'Cartes API'!$A:$A,0))&amp;INDEX('Cartes API'!$B:$B,MATCH($B572,'Cartes API'!$A:$A,0))&amp;"."&amp;INDEX('Cartes API'!$C:$C,MATCH($B572,'Cartes API'!$A:$A,0))&amp;"."&amp;$C572),"")</f>
        <v/>
      </c>
      <c r="G572" s="26" t="str">
        <f>IFERROR(IF($B572="","",INDEX('Cartes API'!$H:$H,MATCH($B572,'Cartes API'!$A:$A,0))),"")</f>
        <v/>
      </c>
      <c r="H572" s="11"/>
      <c r="I572" s="26" t="str">
        <f t="shared" si="8"/>
        <v/>
      </c>
      <c r="J572" s="26" t="str">
        <f>IFERROR(INDEX(Cablage!$A:$A,MATCH($I572,Cablage!$F:$F,0)),"")</f>
        <v/>
      </c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</row>
    <row r="573" spans="1:50" ht="15" customHeight="1" x14ac:dyDescent="0.25">
      <c r="A573" s="25"/>
      <c r="B573" s="25"/>
      <c r="C573" s="11"/>
      <c r="D573" s="11"/>
      <c r="E573" s="11"/>
      <c r="F573" s="26" t="str">
        <f>IFERROR(IF(OR($B573="",$C573=""),"",INDEX('Cartes API'!$J:$J,MATCH($B573,'Cartes API'!$A:$A,0))&amp;INDEX('Cartes API'!$B:$B,MATCH($B573,'Cartes API'!$A:$A,0))&amp;"."&amp;INDEX('Cartes API'!$C:$C,MATCH($B573,'Cartes API'!$A:$A,0))&amp;"."&amp;$C573),"")</f>
        <v/>
      </c>
      <c r="G573" s="26" t="str">
        <f>IFERROR(IF($B573="","",INDEX('Cartes API'!$H:$H,MATCH($B573,'Cartes API'!$A:$A,0))),"")</f>
        <v/>
      </c>
      <c r="H573" s="11"/>
      <c r="I573" s="26" t="str">
        <f t="shared" si="8"/>
        <v/>
      </c>
      <c r="J573" s="26" t="str">
        <f>IFERROR(INDEX(Cablage!$A:$A,MATCH($I573,Cablage!$F:$F,0)),"")</f>
        <v/>
      </c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</row>
    <row r="574" spans="1:50" ht="15" customHeight="1" x14ac:dyDescent="0.25">
      <c r="A574" s="25"/>
      <c r="B574" s="25"/>
      <c r="C574" s="11"/>
      <c r="D574" s="11"/>
      <c r="E574" s="11"/>
      <c r="F574" s="26" t="str">
        <f>IFERROR(IF(OR($B574="",$C574=""),"",INDEX('Cartes API'!$J:$J,MATCH($B574,'Cartes API'!$A:$A,0))&amp;INDEX('Cartes API'!$B:$B,MATCH($B574,'Cartes API'!$A:$A,0))&amp;"."&amp;INDEX('Cartes API'!$C:$C,MATCH($B574,'Cartes API'!$A:$A,0))&amp;"."&amp;$C574),"")</f>
        <v/>
      </c>
      <c r="G574" s="26" t="str">
        <f>IFERROR(IF($B574="","",INDEX('Cartes API'!$H:$H,MATCH($B574,'Cartes API'!$A:$A,0))),"")</f>
        <v/>
      </c>
      <c r="H574" s="11"/>
      <c r="I574" s="26" t="str">
        <f t="shared" si="8"/>
        <v/>
      </c>
      <c r="J574" s="26" t="str">
        <f>IFERROR(INDEX(Cablage!$A:$A,MATCH($I574,Cablage!$F:$F,0)),"")</f>
        <v/>
      </c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</row>
    <row r="575" spans="1:50" ht="15" customHeight="1" x14ac:dyDescent="0.25">
      <c r="A575" s="25"/>
      <c r="B575" s="25"/>
      <c r="C575" s="11"/>
      <c r="D575" s="11"/>
      <c r="E575" s="11"/>
      <c r="F575" s="26" t="str">
        <f>IFERROR(IF(OR($B575="",$C575=""),"",INDEX('Cartes API'!$J:$J,MATCH($B575,'Cartes API'!$A:$A,0))&amp;INDEX('Cartes API'!$B:$B,MATCH($B575,'Cartes API'!$A:$A,0))&amp;"."&amp;INDEX('Cartes API'!$C:$C,MATCH($B575,'Cartes API'!$A:$A,0))&amp;"."&amp;$C575),"")</f>
        <v/>
      </c>
      <c r="G575" s="26" t="str">
        <f>IFERROR(IF($B575="","",INDEX('Cartes API'!$H:$H,MATCH($B575,'Cartes API'!$A:$A,0))),"")</f>
        <v/>
      </c>
      <c r="H575" s="11"/>
      <c r="I575" s="26" t="str">
        <f t="shared" si="8"/>
        <v/>
      </c>
      <c r="J575" s="26" t="str">
        <f>IFERROR(INDEX(Cablage!$A:$A,MATCH($I575,Cablage!$F:$F,0)),"")</f>
        <v/>
      </c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</row>
    <row r="576" spans="1:50" ht="15" customHeight="1" x14ac:dyDescent="0.25">
      <c r="A576" s="25"/>
      <c r="B576" s="25"/>
      <c r="C576" s="11"/>
      <c r="D576" s="11"/>
      <c r="E576" s="11"/>
      <c r="F576" s="26" t="str">
        <f>IFERROR(IF(OR($B576="",$C576=""),"",INDEX('Cartes API'!$J:$J,MATCH($B576,'Cartes API'!$A:$A,0))&amp;INDEX('Cartes API'!$B:$B,MATCH($B576,'Cartes API'!$A:$A,0))&amp;"."&amp;INDEX('Cartes API'!$C:$C,MATCH($B576,'Cartes API'!$A:$A,0))&amp;"."&amp;$C576),"")</f>
        <v/>
      </c>
      <c r="G576" s="26" t="str">
        <f>IFERROR(IF($B576="","",INDEX('Cartes API'!$H:$H,MATCH($B576,'Cartes API'!$A:$A,0))),"")</f>
        <v/>
      </c>
      <c r="H576" s="11"/>
      <c r="I576" s="26" t="str">
        <f t="shared" si="8"/>
        <v/>
      </c>
      <c r="J576" s="26" t="str">
        <f>IFERROR(INDEX(Cablage!$A:$A,MATCH($I576,Cablage!$F:$F,0)),"")</f>
        <v/>
      </c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</row>
    <row r="577" spans="1:50" ht="15" customHeight="1" x14ac:dyDescent="0.25">
      <c r="A577" s="25"/>
      <c r="B577" s="25"/>
      <c r="C577" s="11"/>
      <c r="D577" s="11"/>
      <c r="E577" s="11"/>
      <c r="F577" s="26" t="str">
        <f>IFERROR(IF(OR($B577="",$C577=""),"",INDEX('Cartes API'!$J:$J,MATCH($B577,'Cartes API'!$A:$A,0))&amp;INDEX('Cartes API'!$B:$B,MATCH($B577,'Cartes API'!$A:$A,0))&amp;"."&amp;INDEX('Cartes API'!$C:$C,MATCH($B577,'Cartes API'!$A:$A,0))&amp;"."&amp;$C577),"")</f>
        <v/>
      </c>
      <c r="G577" s="26" t="str">
        <f>IFERROR(IF($B577="","",INDEX('Cartes API'!$H:$H,MATCH($B577,'Cartes API'!$A:$A,0))),"")</f>
        <v/>
      </c>
      <c r="H577" s="11"/>
      <c r="I577" s="26" t="str">
        <f t="shared" si="8"/>
        <v/>
      </c>
      <c r="J577" s="26" t="str">
        <f>IFERROR(INDEX(Cablage!$A:$A,MATCH($I577,Cablage!$F:$F,0)),"")</f>
        <v/>
      </c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</row>
    <row r="578" spans="1:50" ht="15" customHeight="1" x14ac:dyDescent="0.25">
      <c r="A578" s="25"/>
      <c r="B578" s="25"/>
      <c r="C578" s="11"/>
      <c r="D578" s="11"/>
      <c r="E578" s="11"/>
      <c r="F578" s="26" t="str">
        <f>IFERROR(IF(OR($B578="",$C578=""),"",INDEX('Cartes API'!$J:$J,MATCH($B578,'Cartes API'!$A:$A,0))&amp;INDEX('Cartes API'!$B:$B,MATCH($B578,'Cartes API'!$A:$A,0))&amp;"."&amp;INDEX('Cartes API'!$C:$C,MATCH($B578,'Cartes API'!$A:$A,0))&amp;"."&amp;$C578),"")</f>
        <v/>
      </c>
      <c r="G578" s="26" t="str">
        <f>IFERROR(IF($B578="","",INDEX('Cartes API'!$H:$H,MATCH($B578,'Cartes API'!$A:$A,0))),"")</f>
        <v/>
      </c>
      <c r="H578" s="11"/>
      <c r="I578" s="26" t="str">
        <f t="shared" si="8"/>
        <v/>
      </c>
      <c r="J578" s="26" t="str">
        <f>IFERROR(INDEX(Cablage!$A:$A,MATCH($I578,Cablage!$F:$F,0)),"")</f>
        <v/>
      </c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</row>
    <row r="579" spans="1:50" ht="15" customHeight="1" x14ac:dyDescent="0.25">
      <c r="A579" s="25"/>
      <c r="B579" s="25"/>
      <c r="C579" s="11"/>
      <c r="D579" s="11"/>
      <c r="E579" s="11"/>
      <c r="F579" s="26" t="str">
        <f>IFERROR(IF(OR($B579="",$C579=""),"",INDEX('Cartes API'!$J:$J,MATCH($B579,'Cartes API'!$A:$A,0))&amp;INDEX('Cartes API'!$B:$B,MATCH($B579,'Cartes API'!$A:$A,0))&amp;"."&amp;INDEX('Cartes API'!$C:$C,MATCH($B579,'Cartes API'!$A:$A,0))&amp;"."&amp;$C579),"")</f>
        <v/>
      </c>
      <c r="G579" s="26" t="str">
        <f>IFERROR(IF($B579="","",INDEX('Cartes API'!$H:$H,MATCH($B579,'Cartes API'!$A:$A,0))),"")</f>
        <v/>
      </c>
      <c r="H579" s="11"/>
      <c r="I579" s="26" t="str">
        <f t="shared" si="8"/>
        <v/>
      </c>
      <c r="J579" s="26" t="str">
        <f>IFERROR(INDEX(Cablage!$A:$A,MATCH($I579,Cablage!$F:$F,0)),"")</f>
        <v/>
      </c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</row>
    <row r="580" spans="1:50" ht="15" customHeight="1" x14ac:dyDescent="0.25">
      <c r="A580" s="25"/>
      <c r="B580" s="25"/>
      <c r="C580" s="11"/>
      <c r="D580" s="11"/>
      <c r="E580" s="11"/>
      <c r="F580" s="26" t="str">
        <f>IFERROR(IF(OR($B580="",$C580=""),"",INDEX('Cartes API'!$J:$J,MATCH($B580,'Cartes API'!$A:$A,0))&amp;INDEX('Cartes API'!$B:$B,MATCH($B580,'Cartes API'!$A:$A,0))&amp;"."&amp;INDEX('Cartes API'!$C:$C,MATCH($B580,'Cartes API'!$A:$A,0))&amp;"."&amp;$C580),"")</f>
        <v/>
      </c>
      <c r="G580" s="26" t="str">
        <f>IFERROR(IF($B580="","",INDEX('Cartes API'!$H:$H,MATCH($B580,'Cartes API'!$A:$A,0))),"")</f>
        <v/>
      </c>
      <c r="H580" s="11"/>
      <c r="I580" s="26" t="str">
        <f t="shared" si="8"/>
        <v/>
      </c>
      <c r="J580" s="26" t="str">
        <f>IFERROR(INDEX(Cablage!$A:$A,MATCH($I580,Cablage!$F:$F,0)),"")</f>
        <v/>
      </c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</row>
    <row r="581" spans="1:50" ht="15" customHeight="1" x14ac:dyDescent="0.25">
      <c r="A581" s="25"/>
      <c r="B581" s="25"/>
      <c r="C581" s="11"/>
      <c r="D581" s="11"/>
      <c r="E581" s="11"/>
      <c r="F581" s="26" t="str">
        <f>IFERROR(IF(OR($B581="",$C581=""),"",INDEX('Cartes API'!$J:$J,MATCH($B581,'Cartes API'!$A:$A,0))&amp;INDEX('Cartes API'!$B:$B,MATCH($B581,'Cartes API'!$A:$A,0))&amp;"."&amp;INDEX('Cartes API'!$C:$C,MATCH($B581,'Cartes API'!$A:$A,0))&amp;"."&amp;$C581),"")</f>
        <v/>
      </c>
      <c r="G581" s="26" t="str">
        <f>IFERROR(IF($B581="","",INDEX('Cartes API'!$H:$H,MATCH($B581,'Cartes API'!$A:$A,0))),"")</f>
        <v/>
      </c>
      <c r="H581" s="11"/>
      <c r="I581" s="26" t="str">
        <f t="shared" si="8"/>
        <v/>
      </c>
      <c r="J581" s="26" t="str">
        <f>IFERROR(INDEX(Cablage!$A:$A,MATCH($I581,Cablage!$F:$F,0)),"")</f>
        <v/>
      </c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</row>
    <row r="582" spans="1:50" ht="15" customHeight="1" x14ac:dyDescent="0.25">
      <c r="A582" s="25"/>
      <c r="B582" s="25"/>
      <c r="C582" s="11"/>
      <c r="D582" s="11"/>
      <c r="E582" s="11"/>
      <c r="F582" s="26" t="str">
        <f>IFERROR(IF(OR($B582="",$C582=""),"",INDEX('Cartes API'!$J:$J,MATCH($B582,'Cartes API'!$A:$A,0))&amp;INDEX('Cartes API'!$B:$B,MATCH($B582,'Cartes API'!$A:$A,0))&amp;"."&amp;INDEX('Cartes API'!$C:$C,MATCH($B582,'Cartes API'!$A:$A,0))&amp;"."&amp;$C582),"")</f>
        <v/>
      </c>
      <c r="G582" s="26" t="str">
        <f>IFERROR(IF($B582="","",INDEX('Cartes API'!$H:$H,MATCH($B582,'Cartes API'!$A:$A,0))),"")</f>
        <v/>
      </c>
      <c r="H582" s="11"/>
      <c r="I582" s="26" t="str">
        <f t="shared" si="8"/>
        <v/>
      </c>
      <c r="J582" s="26" t="str">
        <f>IFERROR(INDEX(Cablage!$A:$A,MATCH($I582,Cablage!$F:$F,0)),"")</f>
        <v/>
      </c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</row>
    <row r="583" spans="1:50" ht="15" customHeight="1" x14ac:dyDescent="0.25">
      <c r="A583" s="25"/>
      <c r="B583" s="25"/>
      <c r="C583" s="11"/>
      <c r="D583" s="11"/>
      <c r="E583" s="11"/>
      <c r="F583" s="26" t="str">
        <f>IFERROR(IF(OR($B583="",$C583=""),"",INDEX('Cartes API'!$J:$J,MATCH($B583,'Cartes API'!$A:$A,0))&amp;INDEX('Cartes API'!$B:$B,MATCH($B583,'Cartes API'!$A:$A,0))&amp;"."&amp;INDEX('Cartes API'!$C:$C,MATCH($B583,'Cartes API'!$A:$A,0))&amp;"."&amp;$C583),"")</f>
        <v/>
      </c>
      <c r="G583" s="26" t="str">
        <f>IFERROR(IF($B583="","",INDEX('Cartes API'!$H:$H,MATCH($B583,'Cartes API'!$A:$A,0))),"")</f>
        <v/>
      </c>
      <c r="H583" s="11"/>
      <c r="I583" s="26" t="str">
        <f t="shared" si="8"/>
        <v/>
      </c>
      <c r="J583" s="26" t="str">
        <f>IFERROR(INDEX(Cablage!$A:$A,MATCH($I583,Cablage!$F:$F,0)),"")</f>
        <v/>
      </c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</row>
    <row r="584" spans="1:50" ht="15" customHeight="1" x14ac:dyDescent="0.25">
      <c r="A584" s="25"/>
      <c r="B584" s="25"/>
      <c r="C584" s="11"/>
      <c r="D584" s="11"/>
      <c r="E584" s="11"/>
      <c r="F584" s="26" t="str">
        <f>IFERROR(IF(OR($B584="",$C584=""),"",INDEX('Cartes API'!$J:$J,MATCH($B584,'Cartes API'!$A:$A,0))&amp;INDEX('Cartes API'!$B:$B,MATCH($B584,'Cartes API'!$A:$A,0))&amp;"."&amp;INDEX('Cartes API'!$C:$C,MATCH($B584,'Cartes API'!$A:$A,0))&amp;"."&amp;$C584),"")</f>
        <v/>
      </c>
      <c r="G584" s="26" t="str">
        <f>IFERROR(IF($B584="","",INDEX('Cartes API'!$H:$H,MATCH($B584,'Cartes API'!$A:$A,0))),"")</f>
        <v/>
      </c>
      <c r="H584" s="11"/>
      <c r="I584" s="26" t="str">
        <f t="shared" si="8"/>
        <v/>
      </c>
      <c r="J584" s="26" t="str">
        <f>IFERROR(INDEX(Cablage!$A:$A,MATCH($I584,Cablage!$F:$F,0)),"")</f>
        <v/>
      </c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</row>
    <row r="585" spans="1:50" ht="15" customHeight="1" x14ac:dyDescent="0.25">
      <c r="A585" s="25"/>
      <c r="B585" s="25"/>
      <c r="C585" s="11"/>
      <c r="D585" s="11"/>
      <c r="E585" s="11"/>
      <c r="F585" s="26" t="str">
        <f>IFERROR(IF(OR($B585="",$C585=""),"",INDEX('Cartes API'!$J:$J,MATCH($B585,'Cartes API'!$A:$A,0))&amp;INDEX('Cartes API'!$B:$B,MATCH($B585,'Cartes API'!$A:$A,0))&amp;"."&amp;INDEX('Cartes API'!$C:$C,MATCH($B585,'Cartes API'!$A:$A,0))&amp;"."&amp;$C585),"")</f>
        <v/>
      </c>
      <c r="G585" s="26" t="str">
        <f>IFERROR(IF($B585="","",INDEX('Cartes API'!$H:$H,MATCH($B585,'Cartes API'!$A:$A,0))),"")</f>
        <v/>
      </c>
      <c r="H585" s="11"/>
      <c r="I585" s="26" t="str">
        <f t="shared" ref="I585:I608" si="9">IF(OR($G585="",$H585=""),"",$G585&amp;"["&amp;$H585&amp;"]")</f>
        <v/>
      </c>
      <c r="J585" s="26" t="str">
        <f>IFERROR(INDEX(Cablage!$A:$A,MATCH($I585,Cablage!$F:$F,0)),"")</f>
        <v/>
      </c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</row>
    <row r="586" spans="1:50" ht="15" customHeight="1" x14ac:dyDescent="0.25">
      <c r="A586" s="25"/>
      <c r="B586" s="25"/>
      <c r="C586" s="11"/>
      <c r="D586" s="11"/>
      <c r="E586" s="11"/>
      <c r="F586" s="26" t="str">
        <f>IFERROR(IF(OR($B586="",$C586=""),"",INDEX('Cartes API'!$J:$J,MATCH($B586,'Cartes API'!$A:$A,0))&amp;INDEX('Cartes API'!$B:$B,MATCH($B586,'Cartes API'!$A:$A,0))&amp;"."&amp;INDEX('Cartes API'!$C:$C,MATCH($B586,'Cartes API'!$A:$A,0))&amp;"."&amp;$C586),"")</f>
        <v/>
      </c>
      <c r="G586" s="26" t="str">
        <f>IFERROR(IF($B586="","",INDEX('Cartes API'!$H:$H,MATCH($B586,'Cartes API'!$A:$A,0))),"")</f>
        <v/>
      </c>
      <c r="H586" s="11"/>
      <c r="I586" s="26" t="str">
        <f t="shared" si="9"/>
        <v/>
      </c>
      <c r="J586" s="26" t="str">
        <f>IFERROR(INDEX(Cablage!$A:$A,MATCH($I586,Cablage!$F:$F,0)),"")</f>
        <v/>
      </c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</row>
    <row r="587" spans="1:50" ht="15" customHeight="1" x14ac:dyDescent="0.25">
      <c r="A587" s="25"/>
      <c r="B587" s="25"/>
      <c r="C587" s="11"/>
      <c r="D587" s="11"/>
      <c r="E587" s="11"/>
      <c r="F587" s="26" t="str">
        <f>IFERROR(IF(OR($B587="",$C587=""),"",INDEX('Cartes API'!$J:$J,MATCH($B587,'Cartes API'!$A:$A,0))&amp;INDEX('Cartes API'!$B:$B,MATCH($B587,'Cartes API'!$A:$A,0))&amp;"."&amp;INDEX('Cartes API'!$C:$C,MATCH($B587,'Cartes API'!$A:$A,0))&amp;"."&amp;$C587),"")</f>
        <v/>
      </c>
      <c r="G587" s="26" t="str">
        <f>IFERROR(IF($B587="","",INDEX('Cartes API'!$H:$H,MATCH($B587,'Cartes API'!$A:$A,0))),"")</f>
        <v/>
      </c>
      <c r="H587" s="11"/>
      <c r="I587" s="26" t="str">
        <f t="shared" si="9"/>
        <v/>
      </c>
      <c r="J587" s="26" t="str">
        <f>IFERROR(INDEX(Cablage!$A:$A,MATCH($I587,Cablage!$F:$F,0)),"")</f>
        <v/>
      </c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</row>
    <row r="588" spans="1:50" ht="15" customHeight="1" x14ac:dyDescent="0.25">
      <c r="A588" s="25"/>
      <c r="B588" s="25"/>
      <c r="C588" s="11"/>
      <c r="D588" s="11"/>
      <c r="E588" s="11"/>
      <c r="F588" s="26" t="str">
        <f>IFERROR(IF(OR($B588="",$C588=""),"",INDEX('Cartes API'!$J:$J,MATCH($B588,'Cartes API'!$A:$A,0))&amp;INDEX('Cartes API'!$B:$B,MATCH($B588,'Cartes API'!$A:$A,0))&amp;"."&amp;INDEX('Cartes API'!$C:$C,MATCH($B588,'Cartes API'!$A:$A,0))&amp;"."&amp;$C588),"")</f>
        <v/>
      </c>
      <c r="G588" s="26" t="str">
        <f>IFERROR(IF($B588="","",INDEX('Cartes API'!$H:$H,MATCH($B588,'Cartes API'!$A:$A,0))),"")</f>
        <v/>
      </c>
      <c r="H588" s="11"/>
      <c r="I588" s="26" t="str">
        <f t="shared" si="9"/>
        <v/>
      </c>
      <c r="J588" s="26" t="str">
        <f>IFERROR(INDEX(Cablage!$A:$A,MATCH($I588,Cablage!$F:$F,0)),"")</f>
        <v/>
      </c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</row>
    <row r="589" spans="1:50" ht="15" customHeight="1" x14ac:dyDescent="0.25">
      <c r="A589" s="25"/>
      <c r="B589" s="25"/>
      <c r="C589" s="11"/>
      <c r="D589" s="11"/>
      <c r="E589" s="11"/>
      <c r="F589" s="26" t="str">
        <f>IFERROR(IF(OR($B589="",$C589=""),"",INDEX('Cartes API'!$J:$J,MATCH($B589,'Cartes API'!$A:$A,0))&amp;INDEX('Cartes API'!$B:$B,MATCH($B589,'Cartes API'!$A:$A,0))&amp;"."&amp;INDEX('Cartes API'!$C:$C,MATCH($B589,'Cartes API'!$A:$A,0))&amp;"."&amp;$C589),"")</f>
        <v/>
      </c>
      <c r="G589" s="26" t="str">
        <f>IFERROR(IF($B589="","",INDEX('Cartes API'!$H:$H,MATCH($B589,'Cartes API'!$A:$A,0))),"")</f>
        <v/>
      </c>
      <c r="H589" s="11"/>
      <c r="I589" s="26" t="str">
        <f t="shared" si="9"/>
        <v/>
      </c>
      <c r="J589" s="26" t="str">
        <f>IFERROR(INDEX(Cablage!$A:$A,MATCH($I589,Cablage!$F:$F,0)),"")</f>
        <v/>
      </c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</row>
    <row r="590" spans="1:50" ht="15" customHeight="1" x14ac:dyDescent="0.25">
      <c r="A590" s="25"/>
      <c r="B590" s="25"/>
      <c r="C590" s="11"/>
      <c r="D590" s="11"/>
      <c r="E590" s="11"/>
      <c r="F590" s="26" t="str">
        <f>IFERROR(IF(OR($B590="",$C590=""),"",INDEX('Cartes API'!$J:$J,MATCH($B590,'Cartes API'!$A:$A,0))&amp;INDEX('Cartes API'!$B:$B,MATCH($B590,'Cartes API'!$A:$A,0))&amp;"."&amp;INDEX('Cartes API'!$C:$C,MATCH($B590,'Cartes API'!$A:$A,0))&amp;"."&amp;$C590),"")</f>
        <v/>
      </c>
      <c r="G590" s="26" t="str">
        <f>IFERROR(IF($B590="","",INDEX('Cartes API'!$H:$H,MATCH($B590,'Cartes API'!$A:$A,0))),"")</f>
        <v/>
      </c>
      <c r="H590" s="11"/>
      <c r="I590" s="26" t="str">
        <f t="shared" si="9"/>
        <v/>
      </c>
      <c r="J590" s="26" t="str">
        <f>IFERROR(INDEX(Cablage!$A:$A,MATCH($I590,Cablage!$F:$F,0)),"")</f>
        <v/>
      </c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</row>
    <row r="591" spans="1:50" ht="15" customHeight="1" x14ac:dyDescent="0.25">
      <c r="A591" s="25"/>
      <c r="B591" s="25"/>
      <c r="C591" s="11"/>
      <c r="D591" s="11"/>
      <c r="E591" s="11"/>
      <c r="F591" s="26" t="str">
        <f>IFERROR(IF(OR($B591="",$C591=""),"",INDEX('Cartes API'!$J:$J,MATCH($B591,'Cartes API'!$A:$A,0))&amp;INDEX('Cartes API'!$B:$B,MATCH($B591,'Cartes API'!$A:$A,0))&amp;"."&amp;INDEX('Cartes API'!$C:$C,MATCH($B591,'Cartes API'!$A:$A,0))&amp;"."&amp;$C591),"")</f>
        <v/>
      </c>
      <c r="G591" s="26" t="str">
        <f>IFERROR(IF($B591="","",INDEX('Cartes API'!$H:$H,MATCH($B591,'Cartes API'!$A:$A,0))),"")</f>
        <v/>
      </c>
      <c r="H591" s="11"/>
      <c r="I591" s="26" t="str">
        <f t="shared" si="9"/>
        <v/>
      </c>
      <c r="J591" s="26" t="str">
        <f>IFERROR(INDEX(Cablage!$A:$A,MATCH($I591,Cablage!$F:$F,0)),"")</f>
        <v/>
      </c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</row>
    <row r="592" spans="1:50" ht="15" customHeight="1" x14ac:dyDescent="0.25">
      <c r="A592" s="25"/>
      <c r="B592" s="25"/>
      <c r="C592" s="11"/>
      <c r="D592" s="11"/>
      <c r="E592" s="11"/>
      <c r="F592" s="26" t="str">
        <f>IFERROR(IF(OR($B592="",$C592=""),"",INDEX('Cartes API'!$J:$J,MATCH($B592,'Cartes API'!$A:$A,0))&amp;INDEX('Cartes API'!$B:$B,MATCH($B592,'Cartes API'!$A:$A,0))&amp;"."&amp;INDEX('Cartes API'!$C:$C,MATCH($B592,'Cartes API'!$A:$A,0))&amp;"."&amp;$C592),"")</f>
        <v/>
      </c>
      <c r="G592" s="26" t="str">
        <f>IFERROR(IF($B592="","",INDEX('Cartes API'!$H:$H,MATCH($B592,'Cartes API'!$A:$A,0))),"")</f>
        <v/>
      </c>
      <c r="H592" s="11"/>
      <c r="I592" s="26" t="str">
        <f t="shared" si="9"/>
        <v/>
      </c>
      <c r="J592" s="26" t="str">
        <f>IFERROR(INDEX(Cablage!$A:$A,MATCH($I592,Cablage!$F:$F,0)),"")</f>
        <v/>
      </c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</row>
    <row r="593" spans="1:50" ht="15" customHeight="1" x14ac:dyDescent="0.25">
      <c r="A593" s="25"/>
      <c r="B593" s="25"/>
      <c r="C593" s="11"/>
      <c r="D593" s="11"/>
      <c r="E593" s="11"/>
      <c r="F593" s="26" t="str">
        <f>IFERROR(IF(OR($B593="",$C593=""),"",INDEX('Cartes API'!$J:$J,MATCH($B593,'Cartes API'!$A:$A,0))&amp;INDEX('Cartes API'!$B:$B,MATCH($B593,'Cartes API'!$A:$A,0))&amp;"."&amp;INDEX('Cartes API'!$C:$C,MATCH($B593,'Cartes API'!$A:$A,0))&amp;"."&amp;$C593),"")</f>
        <v/>
      </c>
      <c r="G593" s="26" t="str">
        <f>IFERROR(IF($B593="","",INDEX('Cartes API'!$H:$H,MATCH($B593,'Cartes API'!$A:$A,0))),"")</f>
        <v/>
      </c>
      <c r="H593" s="11"/>
      <c r="I593" s="26" t="str">
        <f t="shared" si="9"/>
        <v/>
      </c>
      <c r="J593" s="26" t="str">
        <f>IFERROR(INDEX(Cablage!$A:$A,MATCH($I593,Cablage!$F:$F,0)),"")</f>
        <v/>
      </c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</row>
    <row r="594" spans="1:50" ht="15" customHeight="1" x14ac:dyDescent="0.25">
      <c r="A594" s="25"/>
      <c r="B594" s="25"/>
      <c r="C594" s="11"/>
      <c r="D594" s="11"/>
      <c r="E594" s="11"/>
      <c r="F594" s="26" t="str">
        <f>IFERROR(IF(OR($B594="",$C594=""),"",INDEX('Cartes API'!$J:$J,MATCH($B594,'Cartes API'!$A:$A,0))&amp;INDEX('Cartes API'!$B:$B,MATCH($B594,'Cartes API'!$A:$A,0))&amp;"."&amp;INDEX('Cartes API'!$C:$C,MATCH($B594,'Cartes API'!$A:$A,0))&amp;"."&amp;$C594),"")</f>
        <v/>
      </c>
      <c r="G594" s="26" t="str">
        <f>IFERROR(IF($B594="","",INDEX('Cartes API'!$H:$H,MATCH($B594,'Cartes API'!$A:$A,0))),"")</f>
        <v/>
      </c>
      <c r="H594" s="11"/>
      <c r="I594" s="26" t="str">
        <f t="shared" si="9"/>
        <v/>
      </c>
      <c r="J594" s="26" t="str">
        <f>IFERROR(INDEX(Cablage!$A:$A,MATCH($I594,Cablage!$F:$F,0)),"")</f>
        <v/>
      </c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</row>
    <row r="595" spans="1:50" ht="15" customHeight="1" x14ac:dyDescent="0.25">
      <c r="A595" s="25"/>
      <c r="B595" s="25"/>
      <c r="C595" s="11"/>
      <c r="D595" s="11"/>
      <c r="E595" s="11"/>
      <c r="F595" s="26" t="str">
        <f>IFERROR(IF(OR($B595="",$C595=""),"",INDEX('Cartes API'!$J:$J,MATCH($B595,'Cartes API'!$A:$A,0))&amp;INDEX('Cartes API'!$B:$B,MATCH($B595,'Cartes API'!$A:$A,0))&amp;"."&amp;INDEX('Cartes API'!$C:$C,MATCH($B595,'Cartes API'!$A:$A,0))&amp;"."&amp;$C595),"")</f>
        <v/>
      </c>
      <c r="G595" s="26" t="str">
        <f>IFERROR(IF($B595="","",INDEX('Cartes API'!$H:$H,MATCH($B595,'Cartes API'!$A:$A,0))),"")</f>
        <v/>
      </c>
      <c r="H595" s="11"/>
      <c r="I595" s="26" t="str">
        <f t="shared" si="9"/>
        <v/>
      </c>
      <c r="J595" s="26" t="str">
        <f>IFERROR(INDEX(Cablage!$A:$A,MATCH($I595,Cablage!$F:$F,0)),"")</f>
        <v/>
      </c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</row>
    <row r="596" spans="1:50" ht="15" customHeight="1" x14ac:dyDescent="0.25">
      <c r="A596" s="25"/>
      <c r="B596" s="25"/>
      <c r="C596" s="11"/>
      <c r="D596" s="11"/>
      <c r="E596" s="11"/>
      <c r="F596" s="26" t="str">
        <f>IFERROR(IF(OR($B596="",$C596=""),"",INDEX('Cartes API'!$J:$J,MATCH($B596,'Cartes API'!$A:$A,0))&amp;INDEX('Cartes API'!$B:$B,MATCH($B596,'Cartes API'!$A:$A,0))&amp;"."&amp;INDEX('Cartes API'!$C:$C,MATCH($B596,'Cartes API'!$A:$A,0))&amp;"."&amp;$C596),"")</f>
        <v/>
      </c>
      <c r="G596" s="26" t="str">
        <f>IFERROR(IF($B596="","",INDEX('Cartes API'!$H:$H,MATCH($B596,'Cartes API'!$A:$A,0))),"")</f>
        <v/>
      </c>
      <c r="H596" s="11"/>
      <c r="I596" s="26" t="str">
        <f t="shared" si="9"/>
        <v/>
      </c>
      <c r="J596" s="26" t="str">
        <f>IFERROR(INDEX(Cablage!$A:$A,MATCH($I596,Cablage!$F:$F,0)),"")</f>
        <v/>
      </c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</row>
    <row r="597" spans="1:50" ht="15" customHeight="1" x14ac:dyDescent="0.25">
      <c r="A597" s="25"/>
      <c r="B597" s="25"/>
      <c r="C597" s="11"/>
      <c r="D597" s="11"/>
      <c r="E597" s="11"/>
      <c r="F597" s="26" t="str">
        <f>IFERROR(IF(OR($B597="",$C597=""),"",INDEX('Cartes API'!$J:$J,MATCH($B597,'Cartes API'!$A:$A,0))&amp;INDEX('Cartes API'!$B:$B,MATCH($B597,'Cartes API'!$A:$A,0))&amp;"."&amp;INDEX('Cartes API'!$C:$C,MATCH($B597,'Cartes API'!$A:$A,0))&amp;"."&amp;$C597),"")</f>
        <v/>
      </c>
      <c r="G597" s="26" t="str">
        <f>IFERROR(IF($B597="","",INDEX('Cartes API'!$H:$H,MATCH($B597,'Cartes API'!$A:$A,0))),"")</f>
        <v/>
      </c>
      <c r="H597" s="11"/>
      <c r="I597" s="26" t="str">
        <f t="shared" si="9"/>
        <v/>
      </c>
      <c r="J597" s="26" t="str">
        <f>IFERROR(INDEX(Cablage!$A:$A,MATCH($I597,Cablage!$F:$F,0)),"")</f>
        <v/>
      </c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</row>
    <row r="598" spans="1:50" ht="15" customHeight="1" x14ac:dyDescent="0.25">
      <c r="A598" s="25"/>
      <c r="B598" s="25"/>
      <c r="C598" s="11"/>
      <c r="D598" s="11"/>
      <c r="E598" s="11"/>
      <c r="F598" s="26" t="str">
        <f>IFERROR(IF(OR($B598="",$C598=""),"",INDEX('Cartes API'!$J:$J,MATCH($B598,'Cartes API'!$A:$A,0))&amp;INDEX('Cartes API'!$B:$B,MATCH($B598,'Cartes API'!$A:$A,0))&amp;"."&amp;INDEX('Cartes API'!$C:$C,MATCH($B598,'Cartes API'!$A:$A,0))&amp;"."&amp;$C598),"")</f>
        <v/>
      </c>
      <c r="G598" s="26" t="str">
        <f>IFERROR(IF($B598="","",INDEX('Cartes API'!$H:$H,MATCH($B598,'Cartes API'!$A:$A,0))),"")</f>
        <v/>
      </c>
      <c r="H598" s="11"/>
      <c r="I598" s="26" t="str">
        <f t="shared" si="9"/>
        <v/>
      </c>
      <c r="J598" s="26" t="str">
        <f>IFERROR(INDEX(Cablage!$A:$A,MATCH($I598,Cablage!$F:$F,0)),"")</f>
        <v/>
      </c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</row>
    <row r="599" spans="1:50" ht="15" customHeight="1" x14ac:dyDescent="0.25">
      <c r="A599" s="25"/>
      <c r="B599" s="25"/>
      <c r="C599" s="11"/>
      <c r="D599" s="11"/>
      <c r="E599" s="11"/>
      <c r="F599" s="26" t="str">
        <f>IFERROR(IF(OR($B599="",$C599=""),"",INDEX('Cartes API'!$J:$J,MATCH($B599,'Cartes API'!$A:$A,0))&amp;INDEX('Cartes API'!$B:$B,MATCH($B599,'Cartes API'!$A:$A,0))&amp;"."&amp;INDEX('Cartes API'!$C:$C,MATCH($B599,'Cartes API'!$A:$A,0))&amp;"."&amp;$C599),"")</f>
        <v/>
      </c>
      <c r="G599" s="26" t="str">
        <f>IFERROR(IF($B599="","",INDEX('Cartes API'!$H:$H,MATCH($B599,'Cartes API'!$A:$A,0))),"")</f>
        <v/>
      </c>
      <c r="H599" s="11"/>
      <c r="I599" s="26" t="str">
        <f t="shared" si="9"/>
        <v/>
      </c>
      <c r="J599" s="26" t="str">
        <f>IFERROR(INDEX(Cablage!$A:$A,MATCH($I599,Cablage!$F:$F,0)),"")</f>
        <v/>
      </c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</row>
    <row r="600" spans="1:50" ht="15" customHeight="1" x14ac:dyDescent="0.25">
      <c r="A600" s="25"/>
      <c r="B600" s="25"/>
      <c r="C600" s="11"/>
      <c r="D600" s="11"/>
      <c r="E600" s="11"/>
      <c r="F600" s="26" t="str">
        <f>IFERROR(IF(OR($B600="",$C600=""),"",INDEX('Cartes API'!$J:$J,MATCH($B600,'Cartes API'!$A:$A,0))&amp;INDEX('Cartes API'!$B:$B,MATCH($B600,'Cartes API'!$A:$A,0))&amp;"."&amp;INDEX('Cartes API'!$C:$C,MATCH($B600,'Cartes API'!$A:$A,0))&amp;"."&amp;$C600),"")</f>
        <v/>
      </c>
      <c r="G600" s="26" t="str">
        <f>IFERROR(IF($B600="","",INDEX('Cartes API'!$H:$H,MATCH($B600,'Cartes API'!$A:$A,0))),"")</f>
        <v/>
      </c>
      <c r="H600" s="11"/>
      <c r="I600" s="26" t="str">
        <f t="shared" si="9"/>
        <v/>
      </c>
      <c r="J600" s="26" t="str">
        <f>IFERROR(INDEX(Cablage!$A:$A,MATCH($I600,Cablage!$F:$F,0)),"")</f>
        <v/>
      </c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</row>
    <row r="601" spans="1:50" ht="15" customHeight="1" x14ac:dyDescent="0.25">
      <c r="A601" s="25"/>
      <c r="B601" s="25"/>
      <c r="C601" s="11"/>
      <c r="D601" s="11"/>
      <c r="E601" s="11"/>
      <c r="F601" s="26" t="str">
        <f>IFERROR(IF(OR($B601="",$C601=""),"",INDEX('Cartes API'!$J:$J,MATCH($B601,'Cartes API'!$A:$A,0))&amp;INDEX('Cartes API'!$B:$B,MATCH($B601,'Cartes API'!$A:$A,0))&amp;"."&amp;INDEX('Cartes API'!$C:$C,MATCH($B601,'Cartes API'!$A:$A,0))&amp;"."&amp;$C601),"")</f>
        <v/>
      </c>
      <c r="G601" s="26" t="str">
        <f>IFERROR(IF($B601="","",INDEX('Cartes API'!$H:$H,MATCH($B601,'Cartes API'!$A:$A,0))),"")</f>
        <v/>
      </c>
      <c r="H601" s="11"/>
      <c r="I601" s="26" t="str">
        <f t="shared" si="9"/>
        <v/>
      </c>
      <c r="J601" s="26" t="str">
        <f>IFERROR(INDEX(Cablage!$A:$A,MATCH($I601,Cablage!$F:$F,0)),"")</f>
        <v/>
      </c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</row>
    <row r="602" spans="1:50" ht="15" customHeight="1" x14ac:dyDescent="0.25">
      <c r="A602" s="25"/>
      <c r="B602" s="25"/>
      <c r="C602" s="11"/>
      <c r="D602" s="11"/>
      <c r="E602" s="11"/>
      <c r="F602" s="26" t="str">
        <f>IFERROR(IF(OR($B602="",$C602=""),"",INDEX('Cartes API'!$J:$J,MATCH($B602,'Cartes API'!$A:$A,0))&amp;INDEX('Cartes API'!$B:$B,MATCH($B602,'Cartes API'!$A:$A,0))&amp;"."&amp;INDEX('Cartes API'!$C:$C,MATCH($B602,'Cartes API'!$A:$A,0))&amp;"."&amp;$C602),"")</f>
        <v/>
      </c>
      <c r="G602" s="26" t="str">
        <f>IFERROR(IF($B602="","",INDEX('Cartes API'!$H:$H,MATCH($B602,'Cartes API'!$A:$A,0))),"")</f>
        <v/>
      </c>
      <c r="H602" s="11"/>
      <c r="I602" s="26" t="str">
        <f t="shared" si="9"/>
        <v/>
      </c>
      <c r="J602" s="26" t="str">
        <f>IFERROR(INDEX(Cablage!$A:$A,MATCH($I602,Cablage!$F:$F,0)),"")</f>
        <v/>
      </c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</row>
    <row r="603" spans="1:50" ht="15" customHeight="1" x14ac:dyDescent="0.25">
      <c r="A603" s="25"/>
      <c r="B603" s="25"/>
      <c r="C603" s="11"/>
      <c r="D603" s="11"/>
      <c r="E603" s="11"/>
      <c r="F603" s="26" t="str">
        <f>IFERROR(IF(OR($B603="",$C603=""),"",INDEX('Cartes API'!$J:$J,MATCH($B603,'Cartes API'!$A:$A,0))&amp;INDEX('Cartes API'!$B:$B,MATCH($B603,'Cartes API'!$A:$A,0))&amp;"."&amp;INDEX('Cartes API'!$C:$C,MATCH($B603,'Cartes API'!$A:$A,0))&amp;"."&amp;$C603),"")</f>
        <v/>
      </c>
      <c r="G603" s="26" t="str">
        <f>IFERROR(IF($B603="","",INDEX('Cartes API'!$H:$H,MATCH($B603,'Cartes API'!$A:$A,0))),"")</f>
        <v/>
      </c>
      <c r="H603" s="11"/>
      <c r="I603" s="26" t="str">
        <f t="shared" si="9"/>
        <v/>
      </c>
      <c r="J603" s="26" t="str">
        <f>IFERROR(INDEX(Cablage!$A:$A,MATCH($I603,Cablage!$F:$F,0)),"")</f>
        <v/>
      </c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</row>
    <row r="604" spans="1:50" ht="15" customHeight="1" x14ac:dyDescent="0.25">
      <c r="A604" s="25"/>
      <c r="B604" s="25"/>
      <c r="C604" s="11"/>
      <c r="D604" s="11"/>
      <c r="E604" s="11"/>
      <c r="F604" s="26" t="str">
        <f>IFERROR(IF(OR($B604="",$C604=""),"",INDEX('Cartes API'!$J:$J,MATCH($B604,'Cartes API'!$A:$A,0))&amp;INDEX('Cartes API'!$B:$B,MATCH($B604,'Cartes API'!$A:$A,0))&amp;"."&amp;INDEX('Cartes API'!$C:$C,MATCH($B604,'Cartes API'!$A:$A,0))&amp;"."&amp;$C604),"")</f>
        <v/>
      </c>
      <c r="G604" s="26" t="str">
        <f>IFERROR(IF($B604="","",INDEX('Cartes API'!$H:$H,MATCH($B604,'Cartes API'!$A:$A,0))),"")</f>
        <v/>
      </c>
      <c r="H604" s="11"/>
      <c r="I604" s="26" t="str">
        <f t="shared" si="9"/>
        <v/>
      </c>
      <c r="J604" s="26" t="str">
        <f>IFERROR(INDEX(Cablage!$A:$A,MATCH($I604,Cablage!$F:$F,0)),"")</f>
        <v/>
      </c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</row>
    <row r="605" spans="1:50" ht="15" customHeight="1" x14ac:dyDescent="0.25">
      <c r="A605" s="25"/>
      <c r="B605" s="25"/>
      <c r="C605" s="11"/>
      <c r="D605" s="11"/>
      <c r="E605" s="11"/>
      <c r="F605" s="26" t="str">
        <f>IFERROR(IF(OR($B605="",$C605=""),"",INDEX('Cartes API'!$J:$J,MATCH($B605,'Cartes API'!$A:$A,0))&amp;INDEX('Cartes API'!$B:$B,MATCH($B605,'Cartes API'!$A:$A,0))&amp;"."&amp;INDEX('Cartes API'!$C:$C,MATCH($B605,'Cartes API'!$A:$A,0))&amp;"."&amp;$C605),"")</f>
        <v/>
      </c>
      <c r="G605" s="26" t="str">
        <f>IFERROR(IF($B605="","",INDEX('Cartes API'!$H:$H,MATCH($B605,'Cartes API'!$A:$A,0))),"")</f>
        <v/>
      </c>
      <c r="H605" s="11"/>
      <c r="I605" s="26" t="str">
        <f t="shared" si="9"/>
        <v/>
      </c>
      <c r="J605" s="26" t="str">
        <f>IFERROR(INDEX(Cablage!$A:$A,MATCH($I605,Cablage!$F:$F,0)),"")</f>
        <v/>
      </c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</row>
    <row r="606" spans="1:50" ht="15" customHeight="1" x14ac:dyDescent="0.25">
      <c r="A606" s="25"/>
      <c r="B606" s="25"/>
      <c r="C606" s="11"/>
      <c r="D606" s="11"/>
      <c r="E606" s="11"/>
      <c r="F606" s="26" t="str">
        <f>IFERROR(IF(OR($B606="",$C606=""),"",INDEX('Cartes API'!$J:$J,MATCH($B606,'Cartes API'!$A:$A,0))&amp;INDEX('Cartes API'!$B:$B,MATCH($B606,'Cartes API'!$A:$A,0))&amp;"."&amp;INDEX('Cartes API'!$C:$C,MATCH($B606,'Cartes API'!$A:$A,0))&amp;"."&amp;$C606),"")</f>
        <v/>
      </c>
      <c r="G606" s="26" t="str">
        <f>IFERROR(IF($B606="","",INDEX('Cartes API'!$H:$H,MATCH($B606,'Cartes API'!$A:$A,0))),"")</f>
        <v/>
      </c>
      <c r="H606" s="11"/>
      <c r="I606" s="26" t="str">
        <f t="shared" si="9"/>
        <v/>
      </c>
      <c r="J606" s="26" t="str">
        <f>IFERROR(INDEX(Cablage!$A:$A,MATCH($I606,Cablage!$F:$F,0)),"")</f>
        <v/>
      </c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</row>
    <row r="607" spans="1:50" ht="15" customHeight="1" x14ac:dyDescent="0.25">
      <c r="A607" s="25"/>
      <c r="B607" s="25"/>
      <c r="C607" s="11"/>
      <c r="D607" s="11"/>
      <c r="E607" s="11"/>
      <c r="F607" s="26" t="str">
        <f>IFERROR(IF(OR($B607="",$C607=""),"",INDEX('Cartes API'!$J:$J,MATCH($B607,'Cartes API'!$A:$A,0))&amp;INDEX('Cartes API'!$B:$B,MATCH($B607,'Cartes API'!$A:$A,0))&amp;"."&amp;INDEX('Cartes API'!$C:$C,MATCH($B607,'Cartes API'!$A:$A,0))&amp;"."&amp;$C607),"")</f>
        <v/>
      </c>
      <c r="G607" s="26" t="str">
        <f>IFERROR(IF($B607="","",INDEX('Cartes API'!$H:$H,MATCH($B607,'Cartes API'!$A:$A,0))),"")</f>
        <v/>
      </c>
      <c r="H607" s="11"/>
      <c r="I607" s="26" t="str">
        <f t="shared" si="9"/>
        <v/>
      </c>
      <c r="J607" s="26" t="str">
        <f>IFERROR(INDEX(Cablage!$A:$A,MATCH($I607,Cablage!$F:$F,0)),"")</f>
        <v/>
      </c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</row>
    <row r="608" spans="1:50" ht="15" customHeight="1" x14ac:dyDescent="0.25">
      <c r="A608" s="25"/>
      <c r="B608" s="25"/>
      <c r="C608" s="11"/>
      <c r="D608" s="11"/>
      <c r="E608" s="11"/>
      <c r="F608" s="26" t="str">
        <f>IFERROR(IF(OR($B608="",$C608=""),"",INDEX('Cartes API'!$J:$J,MATCH($B608,'Cartes API'!$A:$A,0))&amp;INDEX('Cartes API'!$B:$B,MATCH($B608,'Cartes API'!$A:$A,0))&amp;"."&amp;INDEX('Cartes API'!$C:$C,MATCH($B608,'Cartes API'!$A:$A,0))&amp;"."&amp;$C608),"")</f>
        <v/>
      </c>
      <c r="G608" s="26" t="str">
        <f>IFERROR(IF($B608="","",INDEX('Cartes API'!$H:$H,MATCH($B608,'Cartes API'!$A:$A,0))),"")</f>
        <v/>
      </c>
      <c r="H608" s="11"/>
      <c r="I608" s="26" t="str">
        <f t="shared" si="9"/>
        <v/>
      </c>
      <c r="J608" s="26" t="str">
        <f>IFERROR(INDEX(Cablage!$A:$A,MATCH($I608,Cablage!$F:$F,0)),"")</f>
        <v/>
      </c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</row>
    <row r="610" spans="70:70" x14ac:dyDescent="0.25">
      <c r="BR610" s="17" t="s">
        <v>209</v>
      </c>
    </row>
    <row r="611" spans="70:70" x14ac:dyDescent="0.25">
      <c r="BR611" s="17" t="s">
        <v>210</v>
      </c>
    </row>
    <row r="612" spans="70:70" x14ac:dyDescent="0.25">
      <c r="BR612" s="17" t="s">
        <v>211</v>
      </c>
    </row>
  </sheetData>
  <autoFilter ref="A7:AX7" xr:uid="{00000000-0009-0000-0000-000003000000}"/>
  <mergeCells count="9">
    <mergeCell ref="A1:AX1"/>
    <mergeCell ref="A2:AX2"/>
    <mergeCell ref="A6:J6"/>
    <mergeCell ref="K6:P6"/>
    <mergeCell ref="Q6:Y6"/>
    <mergeCell ref="Z6:AE6"/>
    <mergeCell ref="AF6:AK6"/>
    <mergeCell ref="AL6:AQ6"/>
    <mergeCell ref="AR6:AW6"/>
  </mergeCells>
  <dataValidations count="2">
    <dataValidation type="list" allowBlank="1" sqref="A9:A608" xr:uid="{00000000-0002-0000-0300-000000000000}">
      <formula1>"DI,DO,AI,AO"</formula1>
      <formula2>0</formula2>
    </dataValidation>
    <dataValidation type="list" allowBlank="1" sqref="B9:B608" xr:uid="{00000000-0002-0000-0300-000001000000}">
      <formula1>CartesNoms</formula1>
      <formula2>0</formula2>
    </dataValidation>
  </dataValidation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Entrees / sorties&amp;C&amp;7 &amp;D&amp;R&amp;7 page &amp;P /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utomation.ReglerVoieSelectionnee">
                <anchor moveWithCells="1" sizeWithCells="1">
                  <from>
                    <xdr:col>49</xdr:col>
                    <xdr:colOff>0</xdr:colOff>
                    <xdr:row>2</xdr:row>
                    <xdr:rowOff>0</xdr:rowOff>
                  </from>
                  <to>
                    <xdr:col>50</xdr:col>
                    <xdr:colOff>533400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BR911"/>
  <sheetViews>
    <sheetView zoomScaleNormal="100" workbookViewId="0">
      <pane ySplit="8" topLeftCell="A9" activePane="bottomLeft" state="frozen"/>
      <selection pane="bottomLeft" activeCell="A9" sqref="A9"/>
    </sheetView>
  </sheetViews>
  <sheetFormatPr baseColWidth="10" defaultColWidth="8.7109375" defaultRowHeight="15" x14ac:dyDescent="0.25"/>
  <cols>
    <col min="1" max="1" width="14.42578125" customWidth="1"/>
    <col min="2" max="2" width="9.42578125" customWidth="1"/>
    <col min="3" max="3" width="30" customWidth="1"/>
    <col min="4" max="4" width="15.42578125" customWidth="1"/>
    <col min="5" max="5" width="21.42578125" customWidth="1"/>
    <col min="6" max="6" width="8.42578125" customWidth="1"/>
    <col min="7" max="7" width="6.42578125" customWidth="1"/>
    <col min="8" max="8" width="7.42578125" customWidth="1"/>
    <col min="9" max="9" width="10.42578125" customWidth="1"/>
    <col min="10" max="10" width="13.42578125" customWidth="1"/>
    <col min="11" max="11" width="44" customWidth="1"/>
  </cols>
  <sheetData>
    <row r="1" spans="1:11" ht="25.5" customHeight="1" x14ac:dyDescent="0.25">
      <c r="A1" s="9" t="s">
        <v>212</v>
      </c>
      <c r="B1" s="9"/>
      <c r="C1" s="9"/>
      <c r="D1" s="9"/>
      <c r="E1" s="9"/>
      <c r="F1" s="9"/>
      <c r="G1" s="9"/>
      <c r="H1" s="9"/>
      <c r="I1" s="9"/>
      <c r="J1" s="9"/>
      <c r="K1" s="9"/>
    </row>
    <row r="2" spans="1:11" ht="15.75" customHeight="1" x14ac:dyDescent="0.25">
      <c r="A2" s="8" t="s">
        <v>213</v>
      </c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  <c r="G3" s="1" t="s">
        <v>984</v>
      </c>
      <c r="H3" s="1"/>
      <c r="I3" s="1"/>
      <c r="J3" s="1"/>
      <c r="K3" s="1"/>
    </row>
    <row r="4" spans="1:11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  <c r="G4" s="1"/>
      <c r="H4" s="1"/>
      <c r="I4" s="1"/>
      <c r="J4" s="1"/>
      <c r="K4" s="1"/>
    </row>
    <row r="6" spans="1:11" ht="15" customHeight="1" x14ac:dyDescent="0.25">
      <c r="A6" s="5" t="s">
        <v>214</v>
      </c>
      <c r="B6" s="5"/>
      <c r="C6" s="5"/>
      <c r="D6" s="4" t="s">
        <v>215</v>
      </c>
      <c r="E6" s="4"/>
      <c r="F6" s="4"/>
      <c r="G6" s="4"/>
      <c r="H6" s="3" t="s">
        <v>216</v>
      </c>
      <c r="I6" s="3"/>
      <c r="J6" s="3"/>
      <c r="K6" s="22" t="s">
        <v>64</v>
      </c>
    </row>
    <row r="7" spans="1:11" ht="30" customHeight="1" x14ac:dyDescent="0.25">
      <c r="A7" s="23" t="s">
        <v>68</v>
      </c>
      <c r="B7" s="23" t="s">
        <v>217</v>
      </c>
      <c r="C7" s="23" t="s">
        <v>218</v>
      </c>
      <c r="D7" s="23" t="s">
        <v>65</v>
      </c>
      <c r="E7" s="23" t="s">
        <v>219</v>
      </c>
      <c r="F7" s="23" t="s">
        <v>220</v>
      </c>
      <c r="G7" s="23" t="s">
        <v>221</v>
      </c>
      <c r="H7" s="23" t="s">
        <v>222</v>
      </c>
      <c r="I7" s="23" t="s">
        <v>223</v>
      </c>
      <c r="J7" s="23" t="s">
        <v>224</v>
      </c>
      <c r="K7" s="23" t="s">
        <v>80</v>
      </c>
    </row>
    <row r="8" spans="1:11" ht="12.75" customHeight="1" x14ac:dyDescent="0.25">
      <c r="A8" s="24" t="s">
        <v>225</v>
      </c>
      <c r="B8" s="24" t="s">
        <v>226</v>
      </c>
      <c r="C8" s="24" t="s">
        <v>227</v>
      </c>
      <c r="D8" s="24"/>
      <c r="E8" s="24"/>
      <c r="F8" s="24"/>
      <c r="G8" s="24"/>
      <c r="H8" s="24" t="s">
        <v>87</v>
      </c>
      <c r="I8" s="24" t="s">
        <v>228</v>
      </c>
      <c r="J8" s="24" t="s">
        <v>195</v>
      </c>
      <c r="K8" s="24"/>
    </row>
    <row r="9" spans="1:11" ht="15" customHeight="1" x14ac:dyDescent="0.25">
      <c r="A9" s="26" t="s">
        <v>321</v>
      </c>
      <c r="B9" s="26" t="s">
        <v>322</v>
      </c>
      <c r="C9" s="26" t="s">
        <v>323</v>
      </c>
      <c r="D9" s="26" t="s">
        <v>324</v>
      </c>
      <c r="E9" s="26" t="s">
        <v>325</v>
      </c>
      <c r="F9" s="26" t="s">
        <v>326</v>
      </c>
      <c r="G9" s="26">
        <v>0</v>
      </c>
      <c r="H9" s="25" t="s">
        <v>95</v>
      </c>
      <c r="I9" s="25" t="s">
        <v>290</v>
      </c>
      <c r="J9" s="25"/>
      <c r="K9" s="26" t="s">
        <v>327</v>
      </c>
    </row>
    <row r="10" spans="1:11" ht="15" customHeight="1" x14ac:dyDescent="0.25">
      <c r="A10" s="26" t="s">
        <v>321</v>
      </c>
      <c r="B10" s="26" t="s">
        <v>322</v>
      </c>
      <c r="C10" s="26" t="s">
        <v>323</v>
      </c>
      <c r="D10" s="26" t="s">
        <v>217</v>
      </c>
      <c r="E10" s="26" t="s">
        <v>328</v>
      </c>
      <c r="F10" s="26" t="s">
        <v>329</v>
      </c>
      <c r="G10" s="26">
        <v>0</v>
      </c>
      <c r="H10" s="25" t="s">
        <v>95</v>
      </c>
      <c r="I10" s="25" t="s">
        <v>290</v>
      </c>
      <c r="J10" s="25"/>
      <c r="K10" s="26"/>
    </row>
    <row r="11" spans="1:11" ht="15" customHeight="1" x14ac:dyDescent="0.25">
      <c r="A11" s="26" t="s">
        <v>321</v>
      </c>
      <c r="B11" s="26" t="s">
        <v>322</v>
      </c>
      <c r="C11" s="26" t="s">
        <v>323</v>
      </c>
      <c r="D11" s="26" t="s">
        <v>66</v>
      </c>
      <c r="E11" s="26" t="s">
        <v>328</v>
      </c>
      <c r="F11" s="26" t="s">
        <v>329</v>
      </c>
      <c r="G11" s="26">
        <v>0</v>
      </c>
      <c r="H11" s="25" t="s">
        <v>95</v>
      </c>
      <c r="I11" s="25" t="s">
        <v>292</v>
      </c>
      <c r="J11" s="25"/>
      <c r="K11" s="26"/>
    </row>
    <row r="12" spans="1:11" ht="15" customHeight="1" x14ac:dyDescent="0.25">
      <c r="A12" s="26" t="s">
        <v>321</v>
      </c>
      <c r="B12" s="26" t="s">
        <v>322</v>
      </c>
      <c r="C12" s="26" t="s">
        <v>323</v>
      </c>
      <c r="D12" s="26" t="s">
        <v>67</v>
      </c>
      <c r="E12" s="26" t="s">
        <v>328</v>
      </c>
      <c r="F12" s="26" t="s">
        <v>329</v>
      </c>
      <c r="G12" s="26">
        <v>0</v>
      </c>
      <c r="H12" s="25" t="s">
        <v>95</v>
      </c>
      <c r="I12" s="25" t="s">
        <v>290</v>
      </c>
      <c r="J12" s="25"/>
      <c r="K12" s="26"/>
    </row>
    <row r="13" spans="1:11" ht="15" customHeight="1" x14ac:dyDescent="0.25">
      <c r="A13" s="26" t="s">
        <v>321</v>
      </c>
      <c r="B13" s="26" t="s">
        <v>322</v>
      </c>
      <c r="C13" s="26" t="s">
        <v>323</v>
      </c>
      <c r="D13" s="26" t="s">
        <v>143</v>
      </c>
      <c r="E13" s="26" t="s">
        <v>328</v>
      </c>
      <c r="F13" s="26" t="s">
        <v>329</v>
      </c>
      <c r="G13" s="26">
        <v>0</v>
      </c>
      <c r="H13" s="25" t="s">
        <v>95</v>
      </c>
      <c r="I13" s="25" t="s">
        <v>290</v>
      </c>
      <c r="J13" s="25"/>
      <c r="K13" s="26"/>
    </row>
    <row r="14" spans="1:11" ht="15" customHeight="1" x14ac:dyDescent="0.25">
      <c r="A14" s="26" t="s">
        <v>321</v>
      </c>
      <c r="B14" s="26" t="s">
        <v>322</v>
      </c>
      <c r="C14" s="26" t="s">
        <v>323</v>
      </c>
      <c r="D14" s="26" t="s">
        <v>330</v>
      </c>
      <c r="E14" s="26" t="s">
        <v>328</v>
      </c>
      <c r="F14" s="26" t="s">
        <v>329</v>
      </c>
      <c r="G14" s="26">
        <v>0</v>
      </c>
      <c r="H14" s="25" t="s">
        <v>95</v>
      </c>
      <c r="I14" s="25" t="s">
        <v>290</v>
      </c>
      <c r="J14" s="25"/>
      <c r="K14" s="26"/>
    </row>
    <row r="15" spans="1:11" ht="15" customHeight="1" x14ac:dyDescent="0.25">
      <c r="A15" s="26" t="s">
        <v>321</v>
      </c>
      <c r="B15" s="26" t="s">
        <v>322</v>
      </c>
      <c r="C15" s="26" t="s">
        <v>323</v>
      </c>
      <c r="D15" s="26" t="s">
        <v>331</v>
      </c>
      <c r="E15" s="26" t="s">
        <v>328</v>
      </c>
      <c r="F15" s="26" t="s">
        <v>329</v>
      </c>
      <c r="G15" s="26">
        <v>0</v>
      </c>
      <c r="H15" s="25" t="s">
        <v>95</v>
      </c>
      <c r="I15" s="25" t="s">
        <v>290</v>
      </c>
      <c r="J15" s="25"/>
      <c r="K15" s="26"/>
    </row>
    <row r="16" spans="1:11" ht="15" customHeight="1" x14ac:dyDescent="0.25">
      <c r="A16" s="26" t="s">
        <v>321</v>
      </c>
      <c r="B16" s="26" t="s">
        <v>322</v>
      </c>
      <c r="C16" s="26" t="s">
        <v>323</v>
      </c>
      <c r="D16" s="26" t="s">
        <v>332</v>
      </c>
      <c r="E16" s="26" t="s">
        <v>325</v>
      </c>
      <c r="F16" s="26" t="s">
        <v>333</v>
      </c>
      <c r="G16" s="26">
        <v>0</v>
      </c>
      <c r="H16" s="25" t="s">
        <v>334</v>
      </c>
      <c r="I16" s="25" t="s">
        <v>290</v>
      </c>
      <c r="J16" s="25"/>
      <c r="K16" s="26"/>
    </row>
    <row r="17" spans="1:11" ht="15" customHeight="1" x14ac:dyDescent="0.25">
      <c r="A17" s="26" t="s">
        <v>335</v>
      </c>
      <c r="B17" s="26" t="s">
        <v>322</v>
      </c>
      <c r="C17" s="26" t="s">
        <v>336</v>
      </c>
      <c r="D17" s="26" t="s">
        <v>217</v>
      </c>
      <c r="E17" s="26" t="s">
        <v>328</v>
      </c>
      <c r="F17" s="26" t="s">
        <v>326</v>
      </c>
      <c r="G17" s="26">
        <v>1</v>
      </c>
      <c r="H17" s="25" t="s">
        <v>95</v>
      </c>
      <c r="I17" s="25" t="s">
        <v>290</v>
      </c>
      <c r="J17" s="25"/>
      <c r="K17" s="26" t="s">
        <v>337</v>
      </c>
    </row>
    <row r="18" spans="1:11" ht="15" customHeight="1" x14ac:dyDescent="0.25">
      <c r="A18" s="26" t="s">
        <v>335</v>
      </c>
      <c r="B18" s="26" t="s">
        <v>322</v>
      </c>
      <c r="C18" s="26" t="s">
        <v>336</v>
      </c>
      <c r="D18" s="26" t="s">
        <v>66</v>
      </c>
      <c r="E18" s="26" t="s">
        <v>328</v>
      </c>
      <c r="F18" s="26" t="s">
        <v>326</v>
      </c>
      <c r="G18" s="26">
        <v>0</v>
      </c>
      <c r="H18" s="25" t="s">
        <v>95</v>
      </c>
      <c r="I18" s="25" t="s">
        <v>292</v>
      </c>
      <c r="J18" s="25"/>
      <c r="K18" s="26" t="s">
        <v>83</v>
      </c>
    </row>
    <row r="19" spans="1:11" ht="15" customHeight="1" x14ac:dyDescent="0.25">
      <c r="A19" s="26" t="s">
        <v>335</v>
      </c>
      <c r="B19" s="26" t="s">
        <v>322</v>
      </c>
      <c r="C19" s="26" t="s">
        <v>336</v>
      </c>
      <c r="D19" s="26" t="s">
        <v>67</v>
      </c>
      <c r="E19" s="26" t="s">
        <v>328</v>
      </c>
      <c r="F19" s="26" t="s">
        <v>326</v>
      </c>
      <c r="G19" s="26">
        <v>0</v>
      </c>
      <c r="H19" s="25" t="s">
        <v>95</v>
      </c>
      <c r="I19" s="25" t="s">
        <v>290</v>
      </c>
      <c r="J19" s="25"/>
      <c r="K19" s="26" t="s">
        <v>196</v>
      </c>
    </row>
    <row r="20" spans="1:11" ht="15" customHeight="1" x14ac:dyDescent="0.25">
      <c r="A20" s="26" t="s">
        <v>335</v>
      </c>
      <c r="B20" s="26" t="s">
        <v>322</v>
      </c>
      <c r="C20" s="26" t="s">
        <v>336</v>
      </c>
      <c r="D20" s="26" t="s">
        <v>143</v>
      </c>
      <c r="E20" s="26" t="s">
        <v>328</v>
      </c>
      <c r="F20" s="26" t="s">
        <v>326</v>
      </c>
      <c r="G20" s="26">
        <v>0</v>
      </c>
      <c r="H20" s="25" t="s">
        <v>95</v>
      </c>
      <c r="I20" s="25" t="s">
        <v>290</v>
      </c>
      <c r="J20" s="25"/>
      <c r="K20" s="26" t="s">
        <v>196</v>
      </c>
    </row>
    <row r="21" spans="1:11" ht="15" customHeight="1" x14ac:dyDescent="0.25">
      <c r="A21" s="26" t="s">
        <v>335</v>
      </c>
      <c r="B21" s="26" t="s">
        <v>322</v>
      </c>
      <c r="C21" s="26" t="s">
        <v>336</v>
      </c>
      <c r="D21" s="26" t="s">
        <v>330</v>
      </c>
      <c r="E21" s="26" t="s">
        <v>328</v>
      </c>
      <c r="F21" s="26" t="s">
        <v>326</v>
      </c>
      <c r="G21" s="26">
        <v>0</v>
      </c>
      <c r="H21" s="25" t="s">
        <v>95</v>
      </c>
      <c r="I21" s="25" t="s">
        <v>290</v>
      </c>
      <c r="J21" s="25"/>
      <c r="K21" s="26" t="s">
        <v>338</v>
      </c>
    </row>
    <row r="22" spans="1:11" ht="15" customHeight="1" x14ac:dyDescent="0.25">
      <c r="A22" s="26" t="s">
        <v>335</v>
      </c>
      <c r="B22" s="26" t="s">
        <v>322</v>
      </c>
      <c r="C22" s="26" t="s">
        <v>336</v>
      </c>
      <c r="D22" s="26" t="s">
        <v>331</v>
      </c>
      <c r="E22" s="26" t="s">
        <v>328</v>
      </c>
      <c r="F22" s="26" t="s">
        <v>326</v>
      </c>
      <c r="G22" s="26">
        <v>0</v>
      </c>
      <c r="H22" s="25" t="s">
        <v>95</v>
      </c>
      <c r="I22" s="25" t="s">
        <v>290</v>
      </c>
      <c r="J22" s="25"/>
      <c r="K22" s="26" t="s">
        <v>339</v>
      </c>
    </row>
    <row r="23" spans="1:11" ht="15" customHeight="1" x14ac:dyDescent="0.25">
      <c r="A23" s="26" t="s">
        <v>335</v>
      </c>
      <c r="B23" s="26" t="s">
        <v>322</v>
      </c>
      <c r="C23" s="26" t="s">
        <v>336</v>
      </c>
      <c r="D23" s="26" t="s">
        <v>335</v>
      </c>
      <c r="E23" s="26" t="s">
        <v>325</v>
      </c>
      <c r="F23" s="26" t="s">
        <v>329</v>
      </c>
      <c r="G23" s="26">
        <v>0</v>
      </c>
      <c r="H23" s="25" t="s">
        <v>95</v>
      </c>
      <c r="I23" s="25" t="s">
        <v>290</v>
      </c>
      <c r="J23" s="25"/>
      <c r="K23" s="26" t="s">
        <v>340</v>
      </c>
    </row>
    <row r="24" spans="1:11" ht="15" customHeight="1" x14ac:dyDescent="0.25">
      <c r="A24" s="26" t="s">
        <v>335</v>
      </c>
      <c r="B24" s="26" t="s">
        <v>322</v>
      </c>
      <c r="C24" s="26" t="s">
        <v>336</v>
      </c>
      <c r="D24" s="26" t="s">
        <v>341</v>
      </c>
      <c r="E24" s="26" t="s">
        <v>328</v>
      </c>
      <c r="F24" s="26" t="s">
        <v>333</v>
      </c>
      <c r="G24" s="26">
        <v>0</v>
      </c>
      <c r="H24" s="25" t="s">
        <v>334</v>
      </c>
      <c r="I24" s="25" t="s">
        <v>290</v>
      </c>
      <c r="J24" s="25"/>
      <c r="K24" s="26"/>
    </row>
    <row r="25" spans="1:11" ht="15" customHeight="1" x14ac:dyDescent="0.25">
      <c r="A25" s="26" t="s">
        <v>335</v>
      </c>
      <c r="B25" s="26" t="s">
        <v>322</v>
      </c>
      <c r="C25" s="26" t="s">
        <v>336</v>
      </c>
      <c r="D25" s="26" t="s">
        <v>342</v>
      </c>
      <c r="E25" s="26" t="s">
        <v>328</v>
      </c>
      <c r="F25" s="26" t="s">
        <v>333</v>
      </c>
      <c r="G25" s="26">
        <v>0</v>
      </c>
      <c r="H25" s="25" t="s">
        <v>334</v>
      </c>
      <c r="I25" s="25" t="s">
        <v>290</v>
      </c>
      <c r="J25" s="25"/>
      <c r="K25" s="26"/>
    </row>
    <row r="26" spans="1:11" ht="15" customHeight="1" x14ac:dyDescent="0.25">
      <c r="A26" s="26" t="s">
        <v>335</v>
      </c>
      <c r="B26" s="26" t="s">
        <v>322</v>
      </c>
      <c r="C26" s="26" t="s">
        <v>336</v>
      </c>
      <c r="D26" s="26" t="s">
        <v>343</v>
      </c>
      <c r="E26" s="26" t="s">
        <v>328</v>
      </c>
      <c r="F26" s="26" t="s">
        <v>333</v>
      </c>
      <c r="G26" s="26">
        <v>0</v>
      </c>
      <c r="H26" s="25" t="s">
        <v>334</v>
      </c>
      <c r="I26" s="25" t="s">
        <v>290</v>
      </c>
      <c r="J26" s="25"/>
      <c r="K26" s="26"/>
    </row>
    <row r="27" spans="1:11" ht="15" customHeight="1" x14ac:dyDescent="0.25">
      <c r="A27" s="26" t="s">
        <v>335</v>
      </c>
      <c r="B27" s="26" t="s">
        <v>322</v>
      </c>
      <c r="C27" s="26" t="s">
        <v>336</v>
      </c>
      <c r="D27" s="26" t="s">
        <v>344</v>
      </c>
      <c r="E27" s="26" t="s">
        <v>328</v>
      </c>
      <c r="F27" s="26" t="s">
        <v>333</v>
      </c>
      <c r="G27" s="26">
        <v>0</v>
      </c>
      <c r="H27" s="25" t="s">
        <v>334</v>
      </c>
      <c r="I27" s="25" t="s">
        <v>290</v>
      </c>
      <c r="J27" s="25"/>
      <c r="K27" s="26"/>
    </row>
    <row r="28" spans="1:11" ht="15" customHeight="1" x14ac:dyDescent="0.25">
      <c r="A28" s="26" t="s">
        <v>335</v>
      </c>
      <c r="B28" s="26" t="s">
        <v>322</v>
      </c>
      <c r="C28" s="26" t="s">
        <v>336</v>
      </c>
      <c r="D28" s="26" t="s">
        <v>345</v>
      </c>
      <c r="E28" s="26" t="s">
        <v>328</v>
      </c>
      <c r="F28" s="26" t="s">
        <v>333</v>
      </c>
      <c r="G28" s="26">
        <v>0</v>
      </c>
      <c r="H28" s="25" t="s">
        <v>334</v>
      </c>
      <c r="I28" s="25" t="s">
        <v>290</v>
      </c>
      <c r="J28" s="25"/>
      <c r="K28" s="26"/>
    </row>
    <row r="29" spans="1:11" ht="15" customHeight="1" x14ac:dyDescent="0.25">
      <c r="A29" s="26" t="s">
        <v>335</v>
      </c>
      <c r="B29" s="26" t="s">
        <v>322</v>
      </c>
      <c r="C29" s="26" t="s">
        <v>336</v>
      </c>
      <c r="D29" s="26" t="s">
        <v>346</v>
      </c>
      <c r="E29" s="26" t="s">
        <v>328</v>
      </c>
      <c r="F29" s="26" t="s">
        <v>333</v>
      </c>
      <c r="G29" s="26">
        <v>0</v>
      </c>
      <c r="H29" s="25" t="s">
        <v>334</v>
      </c>
      <c r="I29" s="25" t="s">
        <v>290</v>
      </c>
      <c r="J29" s="25"/>
      <c r="K29" s="26"/>
    </row>
    <row r="30" spans="1:11" ht="15" customHeight="1" x14ac:dyDescent="0.25">
      <c r="A30" s="26" t="s">
        <v>347</v>
      </c>
      <c r="B30" s="26" t="s">
        <v>322</v>
      </c>
      <c r="C30" s="26" t="s">
        <v>348</v>
      </c>
      <c r="D30" s="26" t="s">
        <v>349</v>
      </c>
      <c r="E30" s="26" t="s">
        <v>328</v>
      </c>
      <c r="F30" s="26" t="s">
        <v>326</v>
      </c>
      <c r="G30" s="26">
        <v>64</v>
      </c>
      <c r="H30" s="25" t="s">
        <v>95</v>
      </c>
      <c r="I30" s="25" t="s">
        <v>290</v>
      </c>
      <c r="J30" s="25"/>
      <c r="K30" s="26" t="s">
        <v>350</v>
      </c>
    </row>
    <row r="31" spans="1:11" ht="15" customHeight="1" x14ac:dyDescent="0.25">
      <c r="A31" s="26" t="s">
        <v>347</v>
      </c>
      <c r="B31" s="26" t="s">
        <v>322</v>
      </c>
      <c r="C31" s="26" t="s">
        <v>348</v>
      </c>
      <c r="D31" s="26" t="s">
        <v>351</v>
      </c>
      <c r="E31" s="26" t="s">
        <v>352</v>
      </c>
      <c r="F31" s="26" t="s">
        <v>326</v>
      </c>
      <c r="G31" s="26">
        <v>20</v>
      </c>
      <c r="H31" s="25" t="s">
        <v>95</v>
      </c>
      <c r="I31" s="25" t="s">
        <v>292</v>
      </c>
      <c r="J31" s="25"/>
      <c r="K31" s="26" t="s">
        <v>353</v>
      </c>
    </row>
    <row r="32" spans="1:11" ht="15" customHeight="1" x14ac:dyDescent="0.25">
      <c r="A32" s="26" t="s">
        <v>347</v>
      </c>
      <c r="B32" s="26" t="s">
        <v>322</v>
      </c>
      <c r="C32" s="26" t="s">
        <v>348</v>
      </c>
      <c r="D32" s="26" t="s">
        <v>354</v>
      </c>
      <c r="E32" s="26" t="s">
        <v>355</v>
      </c>
      <c r="F32" s="26" t="s">
        <v>356</v>
      </c>
      <c r="G32" s="26"/>
      <c r="H32" s="25" t="s">
        <v>95</v>
      </c>
      <c r="I32" s="25" t="s">
        <v>292</v>
      </c>
      <c r="J32" s="25"/>
      <c r="K32" s="26" t="s">
        <v>357</v>
      </c>
    </row>
    <row r="33" spans="1:11" ht="15" customHeight="1" x14ac:dyDescent="0.25">
      <c r="A33" s="26" t="s">
        <v>347</v>
      </c>
      <c r="B33" s="26" t="s">
        <v>322</v>
      </c>
      <c r="C33" s="26" t="s">
        <v>348</v>
      </c>
      <c r="D33" s="26" t="s">
        <v>358</v>
      </c>
      <c r="E33" s="26" t="s">
        <v>359</v>
      </c>
      <c r="F33" s="26" t="s">
        <v>356</v>
      </c>
      <c r="G33" s="26"/>
      <c r="H33" s="25" t="s">
        <v>334</v>
      </c>
      <c r="I33" s="25" t="s">
        <v>290</v>
      </c>
      <c r="J33" s="25"/>
      <c r="K33" s="26" t="s">
        <v>360</v>
      </c>
    </row>
    <row r="34" spans="1:11" ht="15" customHeight="1" x14ac:dyDescent="0.25">
      <c r="A34" s="26" t="s">
        <v>347</v>
      </c>
      <c r="B34" s="26" t="s">
        <v>322</v>
      </c>
      <c r="C34" s="26" t="s">
        <v>348</v>
      </c>
      <c r="D34" s="26" t="s">
        <v>361</v>
      </c>
      <c r="E34" s="26" t="s">
        <v>362</v>
      </c>
      <c r="F34" s="26" t="s">
        <v>356</v>
      </c>
      <c r="G34" s="26"/>
      <c r="H34" s="25" t="s">
        <v>334</v>
      </c>
      <c r="I34" s="25" t="s">
        <v>290</v>
      </c>
      <c r="J34" s="25"/>
      <c r="K34" s="26" t="s">
        <v>363</v>
      </c>
    </row>
    <row r="35" spans="1:11" ht="15" customHeight="1" x14ac:dyDescent="0.25">
      <c r="A35" s="26" t="s">
        <v>347</v>
      </c>
      <c r="B35" s="26" t="s">
        <v>322</v>
      </c>
      <c r="C35" s="26" t="s">
        <v>348</v>
      </c>
      <c r="D35" s="26" t="s">
        <v>364</v>
      </c>
      <c r="E35" s="26" t="s">
        <v>365</v>
      </c>
      <c r="F35" s="26" t="s">
        <v>356</v>
      </c>
      <c r="G35" s="26"/>
      <c r="H35" s="25" t="s">
        <v>334</v>
      </c>
      <c r="I35" s="25" t="s">
        <v>290</v>
      </c>
      <c r="J35" s="25"/>
      <c r="K35" s="26" t="s">
        <v>366</v>
      </c>
    </row>
    <row r="36" spans="1:11" ht="15" customHeight="1" x14ac:dyDescent="0.25">
      <c r="A36" s="26" t="s">
        <v>347</v>
      </c>
      <c r="B36" s="26" t="s">
        <v>322</v>
      </c>
      <c r="C36" s="26" t="s">
        <v>348</v>
      </c>
      <c r="D36" s="26" t="s">
        <v>367</v>
      </c>
      <c r="E36" s="26" t="s">
        <v>368</v>
      </c>
      <c r="F36" s="26" t="s">
        <v>356</v>
      </c>
      <c r="G36" s="26"/>
      <c r="H36" s="25" t="s">
        <v>95</v>
      </c>
      <c r="I36" s="25" t="s">
        <v>290</v>
      </c>
      <c r="J36" s="25"/>
      <c r="K36" s="26" t="s">
        <v>369</v>
      </c>
    </row>
    <row r="37" spans="1:11" ht="15" customHeight="1" x14ac:dyDescent="0.25">
      <c r="A37" s="26" t="s">
        <v>347</v>
      </c>
      <c r="B37" s="26" t="s">
        <v>322</v>
      </c>
      <c r="C37" s="26" t="s">
        <v>348</v>
      </c>
      <c r="D37" s="26" t="s">
        <v>370</v>
      </c>
      <c r="E37" s="26" t="s">
        <v>328</v>
      </c>
      <c r="F37" s="26" t="s">
        <v>333</v>
      </c>
      <c r="G37" s="26">
        <v>0</v>
      </c>
      <c r="H37" s="25" t="s">
        <v>334</v>
      </c>
      <c r="I37" s="25" t="s">
        <v>290</v>
      </c>
      <c r="J37" s="25"/>
      <c r="K37" s="26"/>
    </row>
    <row r="38" spans="1:11" ht="15" customHeight="1" x14ac:dyDescent="0.25">
      <c r="A38" s="26" t="s">
        <v>347</v>
      </c>
      <c r="B38" s="26" t="s">
        <v>322</v>
      </c>
      <c r="C38" s="26" t="s">
        <v>348</v>
      </c>
      <c r="D38" s="26" t="s">
        <v>371</v>
      </c>
      <c r="E38" s="26" t="s">
        <v>328</v>
      </c>
      <c r="F38" s="26" t="s">
        <v>333</v>
      </c>
      <c r="G38" s="26">
        <v>0</v>
      </c>
      <c r="H38" s="25" t="s">
        <v>334</v>
      </c>
      <c r="I38" s="25" t="s">
        <v>290</v>
      </c>
      <c r="J38" s="25"/>
      <c r="K38" s="26"/>
    </row>
    <row r="39" spans="1:11" ht="15" customHeight="1" x14ac:dyDescent="0.25">
      <c r="A39" s="26" t="s">
        <v>347</v>
      </c>
      <c r="B39" s="26" t="s">
        <v>322</v>
      </c>
      <c r="C39" s="26" t="s">
        <v>348</v>
      </c>
      <c r="D39" s="26" t="s">
        <v>372</v>
      </c>
      <c r="E39" s="26" t="s">
        <v>328</v>
      </c>
      <c r="F39" s="26" t="s">
        <v>333</v>
      </c>
      <c r="G39" s="26">
        <v>63</v>
      </c>
      <c r="H39" s="25" t="s">
        <v>334</v>
      </c>
      <c r="I39" s="25" t="s">
        <v>290</v>
      </c>
      <c r="J39" s="25"/>
      <c r="K39" s="26" t="s">
        <v>373</v>
      </c>
    </row>
    <row r="40" spans="1:11" ht="15" customHeight="1" x14ac:dyDescent="0.25">
      <c r="A40" s="26" t="s">
        <v>347</v>
      </c>
      <c r="B40" s="26" t="s">
        <v>322</v>
      </c>
      <c r="C40" s="26" t="s">
        <v>348</v>
      </c>
      <c r="D40" s="26" t="s">
        <v>374</v>
      </c>
      <c r="E40" s="26" t="s">
        <v>328</v>
      </c>
      <c r="F40" s="26" t="s">
        <v>333</v>
      </c>
      <c r="G40" s="26">
        <v>255</v>
      </c>
      <c r="H40" s="25" t="s">
        <v>334</v>
      </c>
      <c r="I40" s="25" t="s">
        <v>290</v>
      </c>
      <c r="J40" s="25"/>
      <c r="K40" s="26" t="s">
        <v>375</v>
      </c>
    </row>
    <row r="41" spans="1:11" ht="15" customHeight="1" x14ac:dyDescent="0.25">
      <c r="A41" s="26" t="s">
        <v>347</v>
      </c>
      <c r="B41" s="26" t="s">
        <v>322</v>
      </c>
      <c r="C41" s="26" t="s">
        <v>348</v>
      </c>
      <c r="D41" s="26" t="s">
        <v>376</v>
      </c>
      <c r="E41" s="26" t="s">
        <v>328</v>
      </c>
      <c r="F41" s="26" t="s">
        <v>333</v>
      </c>
      <c r="G41" s="26">
        <v>0</v>
      </c>
      <c r="H41" s="25" t="s">
        <v>334</v>
      </c>
      <c r="I41" s="25" t="s">
        <v>290</v>
      </c>
      <c r="J41" s="25"/>
      <c r="K41" s="26"/>
    </row>
    <row r="42" spans="1:11" ht="15" customHeight="1" x14ac:dyDescent="0.25">
      <c r="A42" s="26" t="s">
        <v>347</v>
      </c>
      <c r="B42" s="26" t="s">
        <v>322</v>
      </c>
      <c r="C42" s="26" t="s">
        <v>348</v>
      </c>
      <c r="D42" s="26" t="s">
        <v>377</v>
      </c>
      <c r="E42" s="26" t="s">
        <v>328</v>
      </c>
      <c r="F42" s="26" t="s">
        <v>333</v>
      </c>
      <c r="G42" s="26">
        <v>-1</v>
      </c>
      <c r="H42" s="25" t="s">
        <v>334</v>
      </c>
      <c r="I42" s="25" t="s">
        <v>290</v>
      </c>
      <c r="J42" s="25"/>
      <c r="K42" s="26"/>
    </row>
    <row r="43" spans="1:11" ht="15" customHeight="1" x14ac:dyDescent="0.25">
      <c r="A43" s="26" t="s">
        <v>347</v>
      </c>
      <c r="B43" s="26" t="s">
        <v>322</v>
      </c>
      <c r="C43" s="26" t="s">
        <v>348</v>
      </c>
      <c r="D43" s="26" t="s">
        <v>378</v>
      </c>
      <c r="E43" s="26" t="s">
        <v>328</v>
      </c>
      <c r="F43" s="26" t="s">
        <v>333</v>
      </c>
      <c r="G43" s="26">
        <v>-1</v>
      </c>
      <c r="H43" s="25" t="s">
        <v>334</v>
      </c>
      <c r="I43" s="25" t="s">
        <v>290</v>
      </c>
      <c r="J43" s="25"/>
      <c r="K43" s="26"/>
    </row>
    <row r="44" spans="1:11" ht="15" customHeight="1" x14ac:dyDescent="0.25">
      <c r="A44" s="26" t="s">
        <v>347</v>
      </c>
      <c r="B44" s="26" t="s">
        <v>322</v>
      </c>
      <c r="C44" s="26" t="s">
        <v>348</v>
      </c>
      <c r="D44" s="26" t="s">
        <v>379</v>
      </c>
      <c r="E44" s="26" t="s">
        <v>380</v>
      </c>
      <c r="F44" s="26" t="s">
        <v>333</v>
      </c>
      <c r="G44" s="26"/>
      <c r="H44" s="25" t="s">
        <v>334</v>
      </c>
      <c r="I44" s="25" t="s">
        <v>290</v>
      </c>
      <c r="J44" s="25"/>
      <c r="K44" s="26"/>
    </row>
    <row r="45" spans="1:11" ht="15" customHeight="1" x14ac:dyDescent="0.25">
      <c r="A45" s="26" t="s">
        <v>347</v>
      </c>
      <c r="B45" s="26" t="s">
        <v>322</v>
      </c>
      <c r="C45" s="26" t="s">
        <v>348</v>
      </c>
      <c r="D45" s="26" t="s">
        <v>381</v>
      </c>
      <c r="E45" s="26" t="s">
        <v>380</v>
      </c>
      <c r="F45" s="26" t="s">
        <v>333</v>
      </c>
      <c r="G45" s="26"/>
      <c r="H45" s="25" t="s">
        <v>334</v>
      </c>
      <c r="I45" s="25" t="s">
        <v>290</v>
      </c>
      <c r="J45" s="25"/>
      <c r="K45" s="26"/>
    </row>
    <row r="46" spans="1:11" ht="15" customHeight="1" x14ac:dyDescent="0.25">
      <c r="A46" s="26" t="s">
        <v>347</v>
      </c>
      <c r="B46" s="26" t="s">
        <v>322</v>
      </c>
      <c r="C46" s="26" t="s">
        <v>348</v>
      </c>
      <c r="D46" s="26" t="s">
        <v>382</v>
      </c>
      <c r="E46" s="26" t="s">
        <v>352</v>
      </c>
      <c r="F46" s="26" t="s">
        <v>333</v>
      </c>
      <c r="G46" s="26">
        <v>0</v>
      </c>
      <c r="H46" s="25" t="s">
        <v>334</v>
      </c>
      <c r="I46" s="25" t="s">
        <v>292</v>
      </c>
      <c r="J46" s="25"/>
      <c r="K46" s="26" t="s">
        <v>383</v>
      </c>
    </row>
    <row r="47" spans="1:11" ht="15" customHeight="1" x14ac:dyDescent="0.25">
      <c r="A47" s="26" t="s">
        <v>347</v>
      </c>
      <c r="B47" s="26" t="s">
        <v>322</v>
      </c>
      <c r="C47" s="26" t="s">
        <v>348</v>
      </c>
      <c r="D47" s="26" t="s">
        <v>384</v>
      </c>
      <c r="E47" s="26" t="s">
        <v>380</v>
      </c>
      <c r="F47" s="26" t="s">
        <v>333</v>
      </c>
      <c r="G47" s="26"/>
      <c r="H47" s="25" t="s">
        <v>334</v>
      </c>
      <c r="I47" s="25" t="s">
        <v>292</v>
      </c>
      <c r="J47" s="25"/>
      <c r="K47" s="26"/>
    </row>
    <row r="48" spans="1:11" ht="15" customHeight="1" x14ac:dyDescent="0.25">
      <c r="A48" s="26" t="s">
        <v>347</v>
      </c>
      <c r="B48" s="26" t="s">
        <v>322</v>
      </c>
      <c r="C48" s="26" t="s">
        <v>348</v>
      </c>
      <c r="D48" s="26" t="s">
        <v>385</v>
      </c>
      <c r="E48" s="26" t="s">
        <v>380</v>
      </c>
      <c r="F48" s="26" t="s">
        <v>333</v>
      </c>
      <c r="G48" s="26"/>
      <c r="H48" s="25" t="s">
        <v>334</v>
      </c>
      <c r="I48" s="25" t="s">
        <v>292</v>
      </c>
      <c r="J48" s="25"/>
      <c r="K48" s="26"/>
    </row>
    <row r="49" spans="1:11" ht="15" customHeight="1" x14ac:dyDescent="0.25">
      <c r="A49" s="26" t="s">
        <v>347</v>
      </c>
      <c r="B49" s="26" t="s">
        <v>322</v>
      </c>
      <c r="C49" s="26" t="s">
        <v>348</v>
      </c>
      <c r="D49" s="26" t="s">
        <v>386</v>
      </c>
      <c r="E49" s="26" t="s">
        <v>380</v>
      </c>
      <c r="F49" s="26" t="s">
        <v>333</v>
      </c>
      <c r="G49" s="26"/>
      <c r="H49" s="25" t="s">
        <v>334</v>
      </c>
      <c r="I49" s="25" t="s">
        <v>290</v>
      </c>
      <c r="J49" s="25"/>
      <c r="K49" s="26"/>
    </row>
    <row r="50" spans="1:11" ht="15" customHeight="1" x14ac:dyDescent="0.25">
      <c r="A50" s="26" t="s">
        <v>347</v>
      </c>
      <c r="B50" s="26" t="s">
        <v>322</v>
      </c>
      <c r="C50" s="26" t="s">
        <v>348</v>
      </c>
      <c r="D50" s="26" t="s">
        <v>387</v>
      </c>
      <c r="E50" s="26" t="s">
        <v>380</v>
      </c>
      <c r="F50" s="26" t="s">
        <v>333</v>
      </c>
      <c r="G50" s="26"/>
      <c r="H50" s="25" t="s">
        <v>334</v>
      </c>
      <c r="I50" s="25" t="s">
        <v>290</v>
      </c>
      <c r="J50" s="25"/>
      <c r="K50" s="26"/>
    </row>
    <row r="51" spans="1:11" ht="15" customHeight="1" x14ac:dyDescent="0.25">
      <c r="A51" s="26" t="s">
        <v>355</v>
      </c>
      <c r="B51" s="26" t="s">
        <v>388</v>
      </c>
      <c r="C51" s="26" t="s">
        <v>389</v>
      </c>
      <c r="D51" s="26" t="s">
        <v>390</v>
      </c>
      <c r="E51" s="26" t="s">
        <v>380</v>
      </c>
      <c r="F51" s="26" t="s">
        <v>391</v>
      </c>
      <c r="G51" s="26"/>
      <c r="H51" s="25" t="s">
        <v>95</v>
      </c>
      <c r="I51" s="25" t="s">
        <v>292</v>
      </c>
      <c r="J51" s="25"/>
      <c r="K51" s="26" t="s">
        <v>392</v>
      </c>
    </row>
    <row r="52" spans="1:11" ht="15" customHeight="1" x14ac:dyDescent="0.25">
      <c r="A52" s="26" t="s">
        <v>355</v>
      </c>
      <c r="B52" s="26" t="s">
        <v>388</v>
      </c>
      <c r="C52" s="26" t="s">
        <v>389</v>
      </c>
      <c r="D52" s="26" t="s">
        <v>393</v>
      </c>
      <c r="E52" s="26" t="s">
        <v>325</v>
      </c>
      <c r="F52" s="26" t="s">
        <v>391</v>
      </c>
      <c r="G52" s="26">
        <v>0</v>
      </c>
      <c r="H52" s="25" t="s">
        <v>95</v>
      </c>
      <c r="I52" s="25" t="s">
        <v>292</v>
      </c>
      <c r="J52" s="25"/>
      <c r="K52" s="26" t="s">
        <v>394</v>
      </c>
    </row>
    <row r="53" spans="1:11" ht="15" customHeight="1" x14ac:dyDescent="0.25">
      <c r="A53" s="26" t="s">
        <v>355</v>
      </c>
      <c r="B53" s="26" t="s">
        <v>388</v>
      </c>
      <c r="C53" s="26" t="s">
        <v>389</v>
      </c>
      <c r="D53" s="26" t="s">
        <v>395</v>
      </c>
      <c r="E53" s="26" t="s">
        <v>380</v>
      </c>
      <c r="F53" s="26" t="s">
        <v>391</v>
      </c>
      <c r="G53" s="26"/>
      <c r="H53" s="25" t="s">
        <v>95</v>
      </c>
      <c r="I53" s="25" t="s">
        <v>292</v>
      </c>
      <c r="J53" s="25"/>
      <c r="K53" s="26" t="s">
        <v>396</v>
      </c>
    </row>
    <row r="54" spans="1:11" ht="15" customHeight="1" x14ac:dyDescent="0.25">
      <c r="A54" s="26" t="s">
        <v>355</v>
      </c>
      <c r="B54" s="26" t="s">
        <v>388</v>
      </c>
      <c r="C54" s="26" t="s">
        <v>389</v>
      </c>
      <c r="D54" s="26" t="s">
        <v>289</v>
      </c>
      <c r="E54" s="26" t="s">
        <v>380</v>
      </c>
      <c r="F54" s="26" t="s">
        <v>391</v>
      </c>
      <c r="G54" s="26"/>
      <c r="H54" s="25" t="s">
        <v>95</v>
      </c>
      <c r="I54" s="25" t="s">
        <v>292</v>
      </c>
      <c r="J54" s="25"/>
      <c r="K54" s="26" t="s">
        <v>397</v>
      </c>
    </row>
    <row r="55" spans="1:11" ht="15" customHeight="1" x14ac:dyDescent="0.25">
      <c r="A55" s="26" t="s">
        <v>355</v>
      </c>
      <c r="B55" s="26" t="s">
        <v>388</v>
      </c>
      <c r="C55" s="26" t="s">
        <v>389</v>
      </c>
      <c r="D55" s="26" t="s">
        <v>398</v>
      </c>
      <c r="E55" s="26" t="s">
        <v>380</v>
      </c>
      <c r="F55" s="26" t="s">
        <v>391</v>
      </c>
      <c r="G55" s="26"/>
      <c r="H55" s="25" t="s">
        <v>95</v>
      </c>
      <c r="I55" s="25" t="s">
        <v>290</v>
      </c>
      <c r="J55" s="25"/>
      <c r="K55" s="26" t="s">
        <v>399</v>
      </c>
    </row>
    <row r="56" spans="1:11" ht="15" customHeight="1" x14ac:dyDescent="0.25">
      <c r="A56" s="26" t="s">
        <v>355</v>
      </c>
      <c r="B56" s="26" t="s">
        <v>388</v>
      </c>
      <c r="C56" s="26" t="s">
        <v>389</v>
      </c>
      <c r="D56" s="26" t="s">
        <v>400</v>
      </c>
      <c r="E56" s="26" t="s">
        <v>325</v>
      </c>
      <c r="F56" s="26" t="s">
        <v>391</v>
      </c>
      <c r="G56" s="26">
        <v>0</v>
      </c>
      <c r="H56" s="25" t="s">
        <v>95</v>
      </c>
      <c r="I56" s="25" t="s">
        <v>290</v>
      </c>
      <c r="J56" s="25"/>
      <c r="K56" s="26"/>
    </row>
    <row r="57" spans="1:11" ht="15" customHeight="1" x14ac:dyDescent="0.25">
      <c r="A57" s="26" t="s">
        <v>355</v>
      </c>
      <c r="B57" s="26" t="s">
        <v>388</v>
      </c>
      <c r="C57" s="26" t="s">
        <v>389</v>
      </c>
      <c r="D57" s="26" t="s">
        <v>401</v>
      </c>
      <c r="E57" s="26" t="s">
        <v>402</v>
      </c>
      <c r="F57" s="26" t="s">
        <v>391</v>
      </c>
      <c r="G57" s="26"/>
      <c r="H57" s="25" t="s">
        <v>334</v>
      </c>
      <c r="I57" s="25" t="s">
        <v>290</v>
      </c>
      <c r="J57" s="25"/>
      <c r="K57" s="26"/>
    </row>
    <row r="58" spans="1:11" ht="15" customHeight="1" x14ac:dyDescent="0.25">
      <c r="A58" s="26" t="s">
        <v>355</v>
      </c>
      <c r="B58" s="26" t="s">
        <v>388</v>
      </c>
      <c r="C58" s="26" t="s">
        <v>389</v>
      </c>
      <c r="D58" s="26" t="s">
        <v>403</v>
      </c>
      <c r="E58" s="26" t="s">
        <v>402</v>
      </c>
      <c r="F58" s="26" t="s">
        <v>391</v>
      </c>
      <c r="G58" s="26"/>
      <c r="H58" s="25" t="s">
        <v>334</v>
      </c>
      <c r="I58" s="25" t="s">
        <v>290</v>
      </c>
      <c r="J58" s="25"/>
      <c r="K58" s="26"/>
    </row>
    <row r="59" spans="1:11" ht="15" customHeight="1" x14ac:dyDescent="0.25">
      <c r="A59" s="26" t="s">
        <v>355</v>
      </c>
      <c r="B59" s="26" t="s">
        <v>388</v>
      </c>
      <c r="C59" s="26" t="s">
        <v>389</v>
      </c>
      <c r="D59" s="26" t="s">
        <v>404</v>
      </c>
      <c r="E59" s="26" t="s">
        <v>328</v>
      </c>
      <c r="F59" s="26" t="s">
        <v>391</v>
      </c>
      <c r="G59" s="26">
        <v>1</v>
      </c>
      <c r="H59" s="25" t="s">
        <v>95</v>
      </c>
      <c r="I59" s="25" t="s">
        <v>290</v>
      </c>
      <c r="J59" s="25"/>
      <c r="K59" s="26"/>
    </row>
    <row r="60" spans="1:11" ht="15" customHeight="1" x14ac:dyDescent="0.25">
      <c r="A60" s="26" t="s">
        <v>405</v>
      </c>
      <c r="B60" s="26" t="s">
        <v>388</v>
      </c>
      <c r="C60" s="26" t="s">
        <v>406</v>
      </c>
      <c r="D60" s="26" t="s">
        <v>324</v>
      </c>
      <c r="E60" s="26" t="s">
        <v>325</v>
      </c>
      <c r="F60" s="26" t="s">
        <v>391</v>
      </c>
      <c r="G60" s="26">
        <v>0</v>
      </c>
      <c r="H60" s="25" t="s">
        <v>95</v>
      </c>
      <c r="I60" s="25" t="s">
        <v>290</v>
      </c>
      <c r="J60" s="25"/>
      <c r="K60" s="26" t="s">
        <v>407</v>
      </c>
    </row>
    <row r="61" spans="1:11" ht="15" customHeight="1" x14ac:dyDescent="0.25">
      <c r="A61" s="26" t="s">
        <v>405</v>
      </c>
      <c r="B61" s="26" t="s">
        <v>388</v>
      </c>
      <c r="C61" s="26" t="s">
        <v>406</v>
      </c>
      <c r="D61" s="26" t="s">
        <v>408</v>
      </c>
      <c r="E61" s="26" t="s">
        <v>402</v>
      </c>
      <c r="F61" s="26" t="s">
        <v>391</v>
      </c>
      <c r="G61" s="26"/>
      <c r="H61" s="25" t="s">
        <v>334</v>
      </c>
      <c r="I61" s="25" t="s">
        <v>290</v>
      </c>
      <c r="J61" s="25"/>
      <c r="K61" s="26" t="s">
        <v>268</v>
      </c>
    </row>
    <row r="62" spans="1:11" ht="15" customHeight="1" x14ac:dyDescent="0.25">
      <c r="A62" s="26" t="s">
        <v>405</v>
      </c>
      <c r="B62" s="26" t="s">
        <v>388</v>
      </c>
      <c r="C62" s="26" t="s">
        <v>406</v>
      </c>
      <c r="D62" s="26" t="s">
        <v>409</v>
      </c>
      <c r="E62" s="26" t="s">
        <v>402</v>
      </c>
      <c r="F62" s="26" t="s">
        <v>391</v>
      </c>
      <c r="G62" s="26"/>
      <c r="H62" s="25" t="s">
        <v>334</v>
      </c>
      <c r="I62" s="25" t="s">
        <v>290</v>
      </c>
      <c r="J62" s="25"/>
      <c r="K62" s="26" t="s">
        <v>410</v>
      </c>
    </row>
    <row r="63" spans="1:11" ht="15" customHeight="1" x14ac:dyDescent="0.25">
      <c r="A63" s="26" t="s">
        <v>405</v>
      </c>
      <c r="B63" s="26" t="s">
        <v>388</v>
      </c>
      <c r="C63" s="26" t="s">
        <v>406</v>
      </c>
      <c r="D63" s="26" t="s">
        <v>161</v>
      </c>
      <c r="E63" s="26" t="s">
        <v>328</v>
      </c>
      <c r="F63" s="26" t="s">
        <v>391</v>
      </c>
      <c r="G63" s="26">
        <v>1</v>
      </c>
      <c r="H63" s="25" t="s">
        <v>95</v>
      </c>
      <c r="I63" s="25" t="s">
        <v>290</v>
      </c>
      <c r="J63" s="25"/>
      <c r="K63" s="26" t="s">
        <v>411</v>
      </c>
    </row>
    <row r="64" spans="1:11" ht="15" customHeight="1" x14ac:dyDescent="0.25">
      <c r="A64" s="26" t="s">
        <v>405</v>
      </c>
      <c r="B64" s="26" t="s">
        <v>388</v>
      </c>
      <c r="C64" s="26" t="s">
        <v>406</v>
      </c>
      <c r="D64" s="26" t="s">
        <v>412</v>
      </c>
      <c r="E64" s="26" t="s">
        <v>380</v>
      </c>
      <c r="F64" s="26" t="s">
        <v>391</v>
      </c>
      <c r="G64" s="26"/>
      <c r="H64" s="25" t="s">
        <v>95</v>
      </c>
      <c r="I64" s="25" t="s">
        <v>290</v>
      </c>
      <c r="J64" s="25"/>
      <c r="K64" s="26" t="s">
        <v>413</v>
      </c>
    </row>
    <row r="65" spans="1:11" ht="15" customHeight="1" x14ac:dyDescent="0.25">
      <c r="A65" s="26" t="s">
        <v>405</v>
      </c>
      <c r="B65" s="26" t="s">
        <v>388</v>
      </c>
      <c r="C65" s="26" t="s">
        <v>406</v>
      </c>
      <c r="D65" s="26" t="s">
        <v>414</v>
      </c>
      <c r="E65" s="26" t="s">
        <v>380</v>
      </c>
      <c r="F65" s="26" t="s">
        <v>391</v>
      </c>
      <c r="G65" s="26"/>
      <c r="H65" s="25" t="s">
        <v>95</v>
      </c>
      <c r="I65" s="25" t="s">
        <v>290</v>
      </c>
      <c r="J65" s="25"/>
      <c r="K65" s="26" t="s">
        <v>415</v>
      </c>
    </row>
    <row r="66" spans="1:11" ht="15" customHeight="1" x14ac:dyDescent="0.25">
      <c r="A66" s="26" t="s">
        <v>405</v>
      </c>
      <c r="B66" s="26" t="s">
        <v>388</v>
      </c>
      <c r="C66" s="26" t="s">
        <v>406</v>
      </c>
      <c r="D66" s="26" t="s">
        <v>416</v>
      </c>
      <c r="E66" s="26" t="s">
        <v>380</v>
      </c>
      <c r="F66" s="26" t="s">
        <v>391</v>
      </c>
      <c r="G66" s="26"/>
      <c r="H66" s="25" t="s">
        <v>95</v>
      </c>
      <c r="I66" s="25" t="s">
        <v>292</v>
      </c>
      <c r="J66" s="25"/>
      <c r="K66" s="26" t="s">
        <v>417</v>
      </c>
    </row>
    <row r="67" spans="1:11" ht="15" customHeight="1" x14ac:dyDescent="0.25">
      <c r="A67" s="26" t="s">
        <v>405</v>
      </c>
      <c r="B67" s="26" t="s">
        <v>388</v>
      </c>
      <c r="C67" s="26" t="s">
        <v>406</v>
      </c>
      <c r="D67" s="26" t="s">
        <v>418</v>
      </c>
      <c r="E67" s="26" t="s">
        <v>352</v>
      </c>
      <c r="F67" s="26" t="s">
        <v>391</v>
      </c>
      <c r="G67" s="26">
        <v>0</v>
      </c>
      <c r="H67" s="25" t="s">
        <v>95</v>
      </c>
      <c r="I67" s="25" t="s">
        <v>290</v>
      </c>
      <c r="J67" s="25"/>
      <c r="K67" s="26" t="s">
        <v>419</v>
      </c>
    </row>
    <row r="68" spans="1:11" ht="15" customHeight="1" x14ac:dyDescent="0.25">
      <c r="A68" s="26" t="s">
        <v>405</v>
      </c>
      <c r="B68" s="26" t="s">
        <v>388</v>
      </c>
      <c r="C68" s="26" t="s">
        <v>406</v>
      </c>
      <c r="D68" s="26" t="s">
        <v>349</v>
      </c>
      <c r="E68" s="26" t="s">
        <v>325</v>
      </c>
      <c r="F68" s="26" t="s">
        <v>391</v>
      </c>
      <c r="G68" s="26">
        <v>0</v>
      </c>
      <c r="H68" s="25" t="s">
        <v>95</v>
      </c>
      <c r="I68" s="25" t="s">
        <v>290</v>
      </c>
      <c r="J68" s="25"/>
      <c r="K68" s="26" t="s">
        <v>420</v>
      </c>
    </row>
    <row r="69" spans="1:11" ht="15" customHeight="1" x14ac:dyDescent="0.25">
      <c r="A69" s="26" t="s">
        <v>421</v>
      </c>
      <c r="B69" s="26" t="s">
        <v>388</v>
      </c>
      <c r="C69" s="26" t="s">
        <v>422</v>
      </c>
      <c r="D69" s="26" t="s">
        <v>423</v>
      </c>
      <c r="E69" s="26" t="s">
        <v>325</v>
      </c>
      <c r="F69" s="26" t="s">
        <v>391</v>
      </c>
      <c r="G69" s="26">
        <v>0</v>
      </c>
      <c r="H69" s="25" t="s">
        <v>95</v>
      </c>
      <c r="I69" s="25" t="s">
        <v>290</v>
      </c>
      <c r="J69" s="25"/>
      <c r="K69" s="26" t="s">
        <v>424</v>
      </c>
    </row>
    <row r="70" spans="1:11" ht="15" customHeight="1" x14ac:dyDescent="0.25">
      <c r="A70" s="26" t="s">
        <v>421</v>
      </c>
      <c r="B70" s="26" t="s">
        <v>388</v>
      </c>
      <c r="C70" s="26" t="s">
        <v>422</v>
      </c>
      <c r="D70" s="26" t="s">
        <v>324</v>
      </c>
      <c r="E70" s="26" t="s">
        <v>325</v>
      </c>
      <c r="F70" s="26" t="s">
        <v>391</v>
      </c>
      <c r="G70" s="26">
        <v>0</v>
      </c>
      <c r="H70" s="25" t="s">
        <v>95</v>
      </c>
      <c r="I70" s="25" t="s">
        <v>290</v>
      </c>
      <c r="J70" s="25"/>
      <c r="K70" s="26" t="s">
        <v>425</v>
      </c>
    </row>
    <row r="71" spans="1:11" ht="15" customHeight="1" x14ac:dyDescent="0.25">
      <c r="A71" s="26" t="s">
        <v>421</v>
      </c>
      <c r="B71" s="26" t="s">
        <v>388</v>
      </c>
      <c r="C71" s="26" t="s">
        <v>422</v>
      </c>
      <c r="D71" s="26" t="s">
        <v>161</v>
      </c>
      <c r="E71" s="26" t="s">
        <v>328</v>
      </c>
      <c r="F71" s="26" t="s">
        <v>391</v>
      </c>
      <c r="G71" s="26">
        <v>0</v>
      </c>
      <c r="H71" s="25" t="s">
        <v>95</v>
      </c>
      <c r="I71" s="25" t="s">
        <v>290</v>
      </c>
      <c r="J71" s="25"/>
      <c r="K71" s="26" t="s">
        <v>426</v>
      </c>
    </row>
    <row r="72" spans="1:11" ht="15" customHeight="1" x14ac:dyDescent="0.25">
      <c r="A72" s="26" t="s">
        <v>421</v>
      </c>
      <c r="B72" s="26" t="s">
        <v>388</v>
      </c>
      <c r="C72" s="26" t="s">
        <v>422</v>
      </c>
      <c r="D72" s="26" t="s">
        <v>427</v>
      </c>
      <c r="E72" s="26" t="s">
        <v>328</v>
      </c>
      <c r="F72" s="26" t="s">
        <v>391</v>
      </c>
      <c r="G72" s="26">
        <v>0</v>
      </c>
      <c r="H72" s="25" t="s">
        <v>95</v>
      </c>
      <c r="I72" s="25" t="s">
        <v>290</v>
      </c>
      <c r="J72" s="25"/>
      <c r="K72" s="26" t="s">
        <v>428</v>
      </c>
    </row>
    <row r="73" spans="1:11" ht="15" customHeight="1" x14ac:dyDescent="0.25">
      <c r="A73" s="26" t="s">
        <v>421</v>
      </c>
      <c r="B73" s="26" t="s">
        <v>388</v>
      </c>
      <c r="C73" s="26" t="s">
        <v>422</v>
      </c>
      <c r="D73" s="26" t="s">
        <v>429</v>
      </c>
      <c r="E73" s="26" t="s">
        <v>352</v>
      </c>
      <c r="F73" s="26" t="s">
        <v>391</v>
      </c>
      <c r="G73" s="26">
        <v>0</v>
      </c>
      <c r="H73" s="25" t="s">
        <v>95</v>
      </c>
      <c r="I73" s="25" t="s">
        <v>292</v>
      </c>
      <c r="J73" s="25"/>
      <c r="K73" s="26" t="s">
        <v>430</v>
      </c>
    </row>
    <row r="74" spans="1:11" ht="15" customHeight="1" x14ac:dyDescent="0.25">
      <c r="A74" s="26" t="s">
        <v>368</v>
      </c>
      <c r="B74" s="26" t="s">
        <v>388</v>
      </c>
      <c r="C74" s="26" t="s">
        <v>431</v>
      </c>
      <c r="D74" s="26" t="s">
        <v>71</v>
      </c>
      <c r="E74" s="26" t="s">
        <v>328</v>
      </c>
      <c r="F74" s="26" t="s">
        <v>391</v>
      </c>
      <c r="G74" s="26">
        <v>0</v>
      </c>
      <c r="H74" s="25" t="s">
        <v>95</v>
      </c>
      <c r="I74" s="25" t="s">
        <v>290</v>
      </c>
      <c r="J74" s="25"/>
      <c r="K74" s="26" t="s">
        <v>432</v>
      </c>
    </row>
    <row r="75" spans="1:11" ht="15" customHeight="1" x14ac:dyDescent="0.25">
      <c r="A75" s="26" t="s">
        <v>368</v>
      </c>
      <c r="B75" s="26" t="s">
        <v>388</v>
      </c>
      <c r="C75" s="26" t="s">
        <v>431</v>
      </c>
      <c r="D75" s="26" t="s">
        <v>433</v>
      </c>
      <c r="E75" s="26" t="s">
        <v>328</v>
      </c>
      <c r="F75" s="26" t="s">
        <v>391</v>
      </c>
      <c r="G75" s="26">
        <v>0</v>
      </c>
      <c r="H75" s="25" t="s">
        <v>95</v>
      </c>
      <c r="I75" s="25" t="s">
        <v>292</v>
      </c>
      <c r="J75" s="25"/>
      <c r="K75" s="26" t="s">
        <v>434</v>
      </c>
    </row>
    <row r="76" spans="1:11" ht="15" customHeight="1" x14ac:dyDescent="0.25">
      <c r="A76" s="26" t="s">
        <v>368</v>
      </c>
      <c r="B76" s="26" t="s">
        <v>388</v>
      </c>
      <c r="C76" s="26" t="s">
        <v>431</v>
      </c>
      <c r="D76" s="26" t="s">
        <v>435</v>
      </c>
      <c r="E76" s="26" t="s">
        <v>328</v>
      </c>
      <c r="F76" s="26" t="s">
        <v>391</v>
      </c>
      <c r="G76" s="26">
        <v>0</v>
      </c>
      <c r="H76" s="25" t="s">
        <v>95</v>
      </c>
      <c r="I76" s="25" t="s">
        <v>290</v>
      </c>
      <c r="J76" s="25"/>
      <c r="K76" s="26" t="s">
        <v>436</v>
      </c>
    </row>
    <row r="77" spans="1:11" ht="15" customHeight="1" x14ac:dyDescent="0.25">
      <c r="A77" s="26" t="s">
        <v>368</v>
      </c>
      <c r="B77" s="26" t="s">
        <v>388</v>
      </c>
      <c r="C77" s="26" t="s">
        <v>431</v>
      </c>
      <c r="D77" s="26" t="s">
        <v>437</v>
      </c>
      <c r="E77" s="26" t="s">
        <v>328</v>
      </c>
      <c r="F77" s="26" t="s">
        <v>391</v>
      </c>
      <c r="G77" s="26">
        <v>0</v>
      </c>
      <c r="H77" s="25" t="s">
        <v>95</v>
      </c>
      <c r="I77" s="25" t="s">
        <v>290</v>
      </c>
      <c r="J77" s="25"/>
      <c r="K77" s="26" t="s">
        <v>438</v>
      </c>
    </row>
    <row r="78" spans="1:11" ht="15" customHeight="1" x14ac:dyDescent="0.25">
      <c r="A78" s="26" t="s">
        <v>368</v>
      </c>
      <c r="B78" s="26" t="s">
        <v>388</v>
      </c>
      <c r="C78" s="26" t="s">
        <v>431</v>
      </c>
      <c r="D78" s="26" t="s">
        <v>439</v>
      </c>
      <c r="E78" s="26" t="s">
        <v>328</v>
      </c>
      <c r="F78" s="26" t="s">
        <v>391</v>
      </c>
      <c r="G78" s="26">
        <v>0</v>
      </c>
      <c r="H78" s="25" t="s">
        <v>95</v>
      </c>
      <c r="I78" s="25" t="s">
        <v>290</v>
      </c>
      <c r="J78" s="25"/>
      <c r="K78" s="26" t="s">
        <v>440</v>
      </c>
    </row>
    <row r="79" spans="1:11" ht="15" customHeight="1" x14ac:dyDescent="0.25">
      <c r="A79" s="26" t="s">
        <v>368</v>
      </c>
      <c r="B79" s="26" t="s">
        <v>388</v>
      </c>
      <c r="C79" s="26" t="s">
        <v>431</v>
      </c>
      <c r="D79" s="26" t="s">
        <v>441</v>
      </c>
      <c r="E79" s="26" t="s">
        <v>328</v>
      </c>
      <c r="F79" s="26" t="s">
        <v>391</v>
      </c>
      <c r="G79" s="26">
        <v>0</v>
      </c>
      <c r="H79" s="25" t="s">
        <v>95</v>
      </c>
      <c r="I79" s="25" t="s">
        <v>290</v>
      </c>
      <c r="J79" s="25"/>
      <c r="K79" s="26" t="s">
        <v>442</v>
      </c>
    </row>
    <row r="80" spans="1:11" ht="15" customHeight="1" x14ac:dyDescent="0.25">
      <c r="A80" s="26" t="s">
        <v>368</v>
      </c>
      <c r="B80" s="26" t="s">
        <v>388</v>
      </c>
      <c r="C80" s="26" t="s">
        <v>431</v>
      </c>
      <c r="D80" s="26" t="s">
        <v>443</v>
      </c>
      <c r="E80" s="26" t="s">
        <v>380</v>
      </c>
      <c r="F80" s="26" t="s">
        <v>391</v>
      </c>
      <c r="G80" s="26"/>
      <c r="H80" s="25" t="s">
        <v>95</v>
      </c>
      <c r="I80" s="25" t="s">
        <v>290</v>
      </c>
      <c r="J80" s="25"/>
      <c r="K80" s="26" t="s">
        <v>444</v>
      </c>
    </row>
    <row r="81" spans="1:11" ht="15" customHeight="1" x14ac:dyDescent="0.25">
      <c r="A81" s="26" t="s">
        <v>368</v>
      </c>
      <c r="B81" s="26" t="s">
        <v>388</v>
      </c>
      <c r="C81" s="26" t="s">
        <v>431</v>
      </c>
      <c r="D81" s="26" t="s">
        <v>445</v>
      </c>
      <c r="E81" s="26" t="s">
        <v>325</v>
      </c>
      <c r="F81" s="26" t="s">
        <v>391</v>
      </c>
      <c r="G81" s="26">
        <v>0</v>
      </c>
      <c r="H81" s="25" t="s">
        <v>95</v>
      </c>
      <c r="I81" s="25" t="s">
        <v>290</v>
      </c>
      <c r="J81" s="25"/>
      <c r="K81" s="26" t="s">
        <v>446</v>
      </c>
    </row>
    <row r="82" spans="1:11" ht="15" customHeight="1" x14ac:dyDescent="0.25">
      <c r="A82" s="26" t="s">
        <v>368</v>
      </c>
      <c r="B82" s="26" t="s">
        <v>388</v>
      </c>
      <c r="C82" s="26" t="s">
        <v>431</v>
      </c>
      <c r="D82" s="26" t="s">
        <v>447</v>
      </c>
      <c r="E82" s="26" t="s">
        <v>380</v>
      </c>
      <c r="F82" s="26" t="s">
        <v>391</v>
      </c>
      <c r="G82" s="26"/>
      <c r="H82" s="25" t="s">
        <v>95</v>
      </c>
      <c r="I82" s="25" t="s">
        <v>290</v>
      </c>
      <c r="J82" s="25"/>
      <c r="K82" s="26" t="s">
        <v>448</v>
      </c>
    </row>
    <row r="83" spans="1:11" ht="15" customHeight="1" x14ac:dyDescent="0.25">
      <c r="A83" s="26" t="s">
        <v>368</v>
      </c>
      <c r="B83" s="26" t="s">
        <v>388</v>
      </c>
      <c r="C83" s="26" t="s">
        <v>431</v>
      </c>
      <c r="D83" s="26" t="s">
        <v>449</v>
      </c>
      <c r="E83" s="26" t="s">
        <v>402</v>
      </c>
      <c r="F83" s="26" t="s">
        <v>391</v>
      </c>
      <c r="G83" s="26"/>
      <c r="H83" s="25" t="s">
        <v>334</v>
      </c>
      <c r="I83" s="25" t="s">
        <v>290</v>
      </c>
      <c r="J83" s="25"/>
      <c r="K83" s="26" t="s">
        <v>450</v>
      </c>
    </row>
    <row r="84" spans="1:11" ht="15" customHeight="1" x14ac:dyDescent="0.25">
      <c r="A84" s="26" t="s">
        <v>451</v>
      </c>
      <c r="B84" s="26" t="s">
        <v>322</v>
      </c>
      <c r="C84" s="26" t="s">
        <v>452</v>
      </c>
      <c r="D84" s="26" t="s">
        <v>349</v>
      </c>
      <c r="E84" s="26" t="s">
        <v>328</v>
      </c>
      <c r="F84" s="26" t="s">
        <v>326</v>
      </c>
      <c r="G84" s="26">
        <v>16</v>
      </c>
      <c r="H84" s="25" t="s">
        <v>95</v>
      </c>
      <c r="I84" s="25" t="s">
        <v>290</v>
      </c>
      <c r="J84" s="25"/>
      <c r="K84" s="26" t="s">
        <v>453</v>
      </c>
    </row>
    <row r="85" spans="1:11" ht="15" customHeight="1" x14ac:dyDescent="0.25">
      <c r="A85" s="26" t="s">
        <v>451</v>
      </c>
      <c r="B85" s="26" t="s">
        <v>322</v>
      </c>
      <c r="C85" s="26" t="s">
        <v>452</v>
      </c>
      <c r="D85" s="26" t="s">
        <v>454</v>
      </c>
      <c r="E85" s="26" t="s">
        <v>455</v>
      </c>
      <c r="F85" s="26" t="s">
        <v>356</v>
      </c>
      <c r="G85" s="26"/>
      <c r="H85" s="25" t="s">
        <v>334</v>
      </c>
      <c r="I85" s="25" t="s">
        <v>290</v>
      </c>
      <c r="J85" s="25"/>
      <c r="K85" s="26" t="s">
        <v>456</v>
      </c>
    </row>
    <row r="86" spans="1:11" ht="15" customHeight="1" x14ac:dyDescent="0.25">
      <c r="A86" s="26" t="s">
        <v>451</v>
      </c>
      <c r="B86" s="26" t="s">
        <v>322</v>
      </c>
      <c r="C86" s="26" t="s">
        <v>452</v>
      </c>
      <c r="D86" s="26" t="s">
        <v>457</v>
      </c>
      <c r="E86" s="26" t="s">
        <v>458</v>
      </c>
      <c r="F86" s="26" t="s">
        <v>356</v>
      </c>
      <c r="G86" s="26"/>
      <c r="H86" s="25" t="s">
        <v>334</v>
      </c>
      <c r="I86" s="25" t="s">
        <v>290</v>
      </c>
      <c r="J86" s="25"/>
      <c r="K86" s="26" t="s">
        <v>459</v>
      </c>
    </row>
    <row r="87" spans="1:11" ht="15" customHeight="1" x14ac:dyDescent="0.25">
      <c r="A87" s="26" t="s">
        <v>451</v>
      </c>
      <c r="B87" s="26" t="s">
        <v>322</v>
      </c>
      <c r="C87" s="26" t="s">
        <v>452</v>
      </c>
      <c r="D87" s="26" t="s">
        <v>460</v>
      </c>
      <c r="E87" s="26" t="s">
        <v>458</v>
      </c>
      <c r="F87" s="26" t="s">
        <v>356</v>
      </c>
      <c r="G87" s="26"/>
      <c r="H87" s="25" t="s">
        <v>334</v>
      </c>
      <c r="I87" s="25" t="s">
        <v>292</v>
      </c>
      <c r="J87" s="25"/>
      <c r="K87" s="26" t="s">
        <v>461</v>
      </c>
    </row>
    <row r="88" spans="1:11" ht="15" customHeight="1" x14ac:dyDescent="0.25">
      <c r="A88" s="26" t="s">
        <v>451</v>
      </c>
      <c r="B88" s="26" t="s">
        <v>322</v>
      </c>
      <c r="C88" s="26" t="s">
        <v>452</v>
      </c>
      <c r="D88" s="26" t="s">
        <v>462</v>
      </c>
      <c r="E88" s="26" t="s">
        <v>455</v>
      </c>
      <c r="F88" s="26" t="s">
        <v>356</v>
      </c>
      <c r="G88" s="26"/>
      <c r="H88" s="25" t="s">
        <v>334</v>
      </c>
      <c r="I88" s="25" t="s">
        <v>290</v>
      </c>
      <c r="J88" s="25"/>
      <c r="K88" s="26" t="s">
        <v>463</v>
      </c>
    </row>
    <row r="89" spans="1:11" ht="15" customHeight="1" x14ac:dyDescent="0.25">
      <c r="A89" s="26" t="s">
        <v>451</v>
      </c>
      <c r="B89" s="26" t="s">
        <v>322</v>
      </c>
      <c r="C89" s="26" t="s">
        <v>452</v>
      </c>
      <c r="D89" s="26" t="s">
        <v>464</v>
      </c>
      <c r="E89" s="26" t="s">
        <v>465</v>
      </c>
      <c r="F89" s="26" t="s">
        <v>356</v>
      </c>
      <c r="G89" s="26"/>
      <c r="H89" s="25" t="s">
        <v>334</v>
      </c>
      <c r="I89" s="25" t="s">
        <v>290</v>
      </c>
      <c r="J89" s="25"/>
      <c r="K89" s="26" t="s">
        <v>466</v>
      </c>
    </row>
    <row r="90" spans="1:11" ht="15" customHeight="1" x14ac:dyDescent="0.25">
      <c r="A90" s="26" t="s">
        <v>451</v>
      </c>
      <c r="B90" s="26" t="s">
        <v>322</v>
      </c>
      <c r="C90" s="26" t="s">
        <v>452</v>
      </c>
      <c r="D90" s="26" t="s">
        <v>467</v>
      </c>
      <c r="E90" s="26" t="s">
        <v>465</v>
      </c>
      <c r="F90" s="26" t="s">
        <v>356</v>
      </c>
      <c r="G90" s="26"/>
      <c r="H90" s="25" t="s">
        <v>334</v>
      </c>
      <c r="I90" s="25" t="s">
        <v>290</v>
      </c>
      <c r="J90" s="25"/>
      <c r="K90" s="26" t="s">
        <v>468</v>
      </c>
    </row>
    <row r="91" spans="1:11" ht="15" customHeight="1" x14ac:dyDescent="0.25">
      <c r="A91" s="26" t="s">
        <v>451</v>
      </c>
      <c r="B91" s="26" t="s">
        <v>322</v>
      </c>
      <c r="C91" s="26" t="s">
        <v>452</v>
      </c>
      <c r="D91" s="26" t="s">
        <v>469</v>
      </c>
      <c r="E91" s="26" t="s">
        <v>455</v>
      </c>
      <c r="F91" s="26" t="s">
        <v>356</v>
      </c>
      <c r="G91" s="26"/>
      <c r="H91" s="25" t="s">
        <v>334</v>
      </c>
      <c r="I91" s="25" t="s">
        <v>291</v>
      </c>
      <c r="J91" s="25"/>
      <c r="K91" s="26" t="s">
        <v>470</v>
      </c>
    </row>
    <row r="92" spans="1:11" ht="15" customHeight="1" x14ac:dyDescent="0.25">
      <c r="A92" s="26" t="s">
        <v>451</v>
      </c>
      <c r="B92" s="26" t="s">
        <v>322</v>
      </c>
      <c r="C92" s="26" t="s">
        <v>452</v>
      </c>
      <c r="D92" s="26" t="s">
        <v>471</v>
      </c>
      <c r="E92" s="26" t="s">
        <v>328</v>
      </c>
      <c r="F92" s="26" t="s">
        <v>329</v>
      </c>
      <c r="G92" s="26">
        <v>0</v>
      </c>
      <c r="H92" s="25" t="s">
        <v>95</v>
      </c>
      <c r="I92" s="25" t="s">
        <v>290</v>
      </c>
      <c r="J92" s="25"/>
      <c r="K92" s="26" t="s">
        <v>472</v>
      </c>
    </row>
    <row r="93" spans="1:11" ht="15" customHeight="1" x14ac:dyDescent="0.25">
      <c r="A93" s="26" t="s">
        <v>451</v>
      </c>
      <c r="B93" s="26" t="s">
        <v>322</v>
      </c>
      <c r="C93" s="26" t="s">
        <v>452</v>
      </c>
      <c r="D93" s="26" t="s">
        <v>473</v>
      </c>
      <c r="E93" s="26" t="s">
        <v>380</v>
      </c>
      <c r="F93" s="26" t="s">
        <v>329</v>
      </c>
      <c r="G93" s="26"/>
      <c r="H93" s="25" t="s">
        <v>95</v>
      </c>
      <c r="I93" s="25" t="s">
        <v>291</v>
      </c>
      <c r="J93" s="25"/>
      <c r="K93" s="26" t="s">
        <v>474</v>
      </c>
    </row>
    <row r="94" spans="1:11" ht="15" customHeight="1" x14ac:dyDescent="0.25">
      <c r="A94" s="26" t="s">
        <v>451</v>
      </c>
      <c r="B94" s="26" t="s">
        <v>322</v>
      </c>
      <c r="C94" s="26" t="s">
        <v>452</v>
      </c>
      <c r="D94" s="26" t="s">
        <v>370</v>
      </c>
      <c r="E94" s="26" t="s">
        <v>328</v>
      </c>
      <c r="F94" s="26" t="s">
        <v>333</v>
      </c>
      <c r="G94" s="26">
        <v>0</v>
      </c>
      <c r="H94" s="25" t="s">
        <v>334</v>
      </c>
      <c r="I94" s="25" t="s">
        <v>290</v>
      </c>
      <c r="J94" s="25"/>
      <c r="K94" s="26"/>
    </row>
    <row r="95" spans="1:11" ht="15" customHeight="1" x14ac:dyDescent="0.25">
      <c r="A95" s="26" t="s">
        <v>451</v>
      </c>
      <c r="B95" s="26" t="s">
        <v>322</v>
      </c>
      <c r="C95" s="26" t="s">
        <v>452</v>
      </c>
      <c r="D95" s="26" t="s">
        <v>475</v>
      </c>
      <c r="E95" s="26" t="s">
        <v>328</v>
      </c>
      <c r="F95" s="26" t="s">
        <v>333</v>
      </c>
      <c r="G95" s="26">
        <v>0</v>
      </c>
      <c r="H95" s="25" t="s">
        <v>334</v>
      </c>
      <c r="I95" s="25" t="s">
        <v>290</v>
      </c>
      <c r="J95" s="25"/>
      <c r="K95" s="26"/>
    </row>
    <row r="96" spans="1:11" ht="15" customHeight="1" x14ac:dyDescent="0.25">
      <c r="A96" s="26" t="s">
        <v>451</v>
      </c>
      <c r="B96" s="26" t="s">
        <v>322</v>
      </c>
      <c r="C96" s="26" t="s">
        <v>452</v>
      </c>
      <c r="D96" s="26" t="s">
        <v>476</v>
      </c>
      <c r="E96" s="26" t="s">
        <v>328</v>
      </c>
      <c r="F96" s="26" t="s">
        <v>333</v>
      </c>
      <c r="G96" s="26">
        <v>0</v>
      </c>
      <c r="H96" s="25" t="s">
        <v>334</v>
      </c>
      <c r="I96" s="25" t="s">
        <v>290</v>
      </c>
      <c r="J96" s="25"/>
      <c r="K96" s="26"/>
    </row>
    <row r="97" spans="1:11" ht="15" customHeight="1" x14ac:dyDescent="0.25">
      <c r="A97" s="26" t="s">
        <v>451</v>
      </c>
      <c r="B97" s="26" t="s">
        <v>322</v>
      </c>
      <c r="C97" s="26" t="s">
        <v>452</v>
      </c>
      <c r="D97" s="26" t="s">
        <v>371</v>
      </c>
      <c r="E97" s="26" t="s">
        <v>328</v>
      </c>
      <c r="F97" s="26" t="s">
        <v>333</v>
      </c>
      <c r="G97" s="26">
        <v>0</v>
      </c>
      <c r="H97" s="25" t="s">
        <v>334</v>
      </c>
      <c r="I97" s="25" t="s">
        <v>290</v>
      </c>
      <c r="J97" s="25"/>
      <c r="K97" s="26"/>
    </row>
    <row r="98" spans="1:11" ht="15" customHeight="1" x14ac:dyDescent="0.25">
      <c r="A98" s="26" t="s">
        <v>451</v>
      </c>
      <c r="B98" s="26" t="s">
        <v>322</v>
      </c>
      <c r="C98" s="26" t="s">
        <v>452</v>
      </c>
      <c r="D98" s="26" t="s">
        <v>372</v>
      </c>
      <c r="E98" s="26" t="s">
        <v>328</v>
      </c>
      <c r="F98" s="26" t="s">
        <v>333</v>
      </c>
      <c r="G98" s="26">
        <v>15</v>
      </c>
      <c r="H98" s="25" t="s">
        <v>334</v>
      </c>
      <c r="I98" s="25" t="s">
        <v>290</v>
      </c>
      <c r="J98" s="25"/>
      <c r="K98" s="26"/>
    </row>
    <row r="99" spans="1:11" ht="15" customHeight="1" x14ac:dyDescent="0.25">
      <c r="A99" s="26" t="s">
        <v>451</v>
      </c>
      <c r="B99" s="26" t="s">
        <v>322</v>
      </c>
      <c r="C99" s="26" t="s">
        <v>452</v>
      </c>
      <c r="D99" s="26" t="s">
        <v>477</v>
      </c>
      <c r="E99" s="26" t="s">
        <v>328</v>
      </c>
      <c r="F99" s="26" t="s">
        <v>333</v>
      </c>
      <c r="G99" s="26">
        <v>16</v>
      </c>
      <c r="H99" s="25" t="s">
        <v>334</v>
      </c>
      <c r="I99" s="25" t="s">
        <v>290</v>
      </c>
      <c r="J99" s="25"/>
      <c r="K99" s="26" t="s">
        <v>478</v>
      </c>
    </row>
    <row r="100" spans="1:11" ht="15" customHeight="1" x14ac:dyDescent="0.25">
      <c r="A100" s="26" t="s">
        <v>479</v>
      </c>
      <c r="B100" s="26" t="s">
        <v>322</v>
      </c>
      <c r="C100" s="26" t="s">
        <v>480</v>
      </c>
      <c r="D100" s="26" t="s">
        <v>349</v>
      </c>
      <c r="E100" s="26" t="s">
        <v>328</v>
      </c>
      <c r="F100" s="26" t="s">
        <v>326</v>
      </c>
      <c r="G100" s="26">
        <v>16</v>
      </c>
      <c r="H100" s="25" t="s">
        <v>95</v>
      </c>
      <c r="I100" s="25" t="s">
        <v>290</v>
      </c>
      <c r="J100" s="25"/>
      <c r="K100" s="26" t="s">
        <v>481</v>
      </c>
    </row>
    <row r="101" spans="1:11" ht="15" customHeight="1" x14ac:dyDescent="0.25">
      <c r="A101" s="26" t="s">
        <v>479</v>
      </c>
      <c r="B101" s="26" t="s">
        <v>322</v>
      </c>
      <c r="C101" s="26" t="s">
        <v>480</v>
      </c>
      <c r="D101" s="26" t="s">
        <v>351</v>
      </c>
      <c r="E101" s="26" t="s">
        <v>352</v>
      </c>
      <c r="F101" s="26" t="s">
        <v>326</v>
      </c>
      <c r="G101" s="26">
        <v>20</v>
      </c>
      <c r="H101" s="25" t="s">
        <v>95</v>
      </c>
      <c r="I101" s="25" t="s">
        <v>292</v>
      </c>
      <c r="J101" s="25"/>
      <c r="K101" s="26" t="s">
        <v>482</v>
      </c>
    </row>
    <row r="102" spans="1:11" ht="15" customHeight="1" x14ac:dyDescent="0.25">
      <c r="A102" s="26" t="s">
        <v>479</v>
      </c>
      <c r="B102" s="26" t="s">
        <v>322</v>
      </c>
      <c r="C102" s="26" t="s">
        <v>480</v>
      </c>
      <c r="D102" s="26" t="s">
        <v>483</v>
      </c>
      <c r="E102" s="26" t="s">
        <v>328</v>
      </c>
      <c r="F102" s="26" t="s">
        <v>326</v>
      </c>
      <c r="G102" s="26">
        <v>0</v>
      </c>
      <c r="H102" s="25" t="s">
        <v>95</v>
      </c>
      <c r="I102" s="25" t="s">
        <v>292</v>
      </c>
      <c r="J102" s="25"/>
      <c r="K102" s="26" t="s">
        <v>484</v>
      </c>
    </row>
    <row r="103" spans="1:11" ht="15" customHeight="1" x14ac:dyDescent="0.25">
      <c r="A103" s="26" t="s">
        <v>479</v>
      </c>
      <c r="B103" s="26" t="s">
        <v>322</v>
      </c>
      <c r="C103" s="26" t="s">
        <v>480</v>
      </c>
      <c r="D103" s="26" t="s">
        <v>485</v>
      </c>
      <c r="E103" s="26" t="s">
        <v>328</v>
      </c>
      <c r="F103" s="26" t="s">
        <v>326</v>
      </c>
      <c r="G103" s="26">
        <v>100</v>
      </c>
      <c r="H103" s="25" t="s">
        <v>95</v>
      </c>
      <c r="I103" s="25" t="s">
        <v>290</v>
      </c>
      <c r="J103" s="25"/>
      <c r="K103" s="26" t="s">
        <v>486</v>
      </c>
    </row>
    <row r="104" spans="1:11" ht="15" customHeight="1" x14ac:dyDescent="0.25">
      <c r="A104" s="26" t="s">
        <v>479</v>
      </c>
      <c r="B104" s="26" t="s">
        <v>322</v>
      </c>
      <c r="C104" s="26" t="s">
        <v>480</v>
      </c>
      <c r="D104" s="26" t="s">
        <v>487</v>
      </c>
      <c r="E104" s="26" t="s">
        <v>488</v>
      </c>
      <c r="F104" s="26" t="s">
        <v>356</v>
      </c>
      <c r="G104" s="26"/>
      <c r="H104" s="25" t="s">
        <v>334</v>
      </c>
      <c r="I104" s="25" t="s">
        <v>290</v>
      </c>
      <c r="J104" s="25"/>
      <c r="K104" s="26" t="s">
        <v>489</v>
      </c>
    </row>
    <row r="105" spans="1:11" ht="15" customHeight="1" x14ac:dyDescent="0.25">
      <c r="A105" s="26" t="s">
        <v>479</v>
      </c>
      <c r="B105" s="26" t="s">
        <v>322</v>
      </c>
      <c r="C105" s="26" t="s">
        <v>480</v>
      </c>
      <c r="D105" s="26" t="s">
        <v>490</v>
      </c>
      <c r="E105" s="26" t="s">
        <v>328</v>
      </c>
      <c r="F105" s="26" t="s">
        <v>356</v>
      </c>
      <c r="G105" s="26">
        <v>-1</v>
      </c>
      <c r="H105" s="25" t="s">
        <v>95</v>
      </c>
      <c r="I105" s="25" t="s">
        <v>290</v>
      </c>
      <c r="J105" s="25"/>
      <c r="K105" s="26" t="s">
        <v>491</v>
      </c>
    </row>
    <row r="106" spans="1:11" ht="15" customHeight="1" x14ac:dyDescent="0.25">
      <c r="A106" s="26" t="s">
        <v>479</v>
      </c>
      <c r="B106" s="26" t="s">
        <v>322</v>
      </c>
      <c r="C106" s="26" t="s">
        <v>480</v>
      </c>
      <c r="D106" s="26" t="s">
        <v>492</v>
      </c>
      <c r="E106" s="26" t="s">
        <v>328</v>
      </c>
      <c r="F106" s="26" t="s">
        <v>356</v>
      </c>
      <c r="G106" s="26">
        <v>-1</v>
      </c>
      <c r="H106" s="25" t="s">
        <v>334</v>
      </c>
      <c r="I106" s="25" t="s">
        <v>290</v>
      </c>
      <c r="J106" s="25"/>
      <c r="K106" s="26" t="s">
        <v>493</v>
      </c>
    </row>
    <row r="107" spans="1:11" ht="15" customHeight="1" x14ac:dyDescent="0.25">
      <c r="A107" s="26" t="s">
        <v>479</v>
      </c>
      <c r="B107" s="26" t="s">
        <v>322</v>
      </c>
      <c r="C107" s="26" t="s">
        <v>480</v>
      </c>
      <c r="D107" s="26" t="s">
        <v>494</v>
      </c>
      <c r="E107" s="26" t="s">
        <v>352</v>
      </c>
      <c r="F107" s="26" t="s">
        <v>356</v>
      </c>
      <c r="G107" s="26">
        <v>0</v>
      </c>
      <c r="H107" s="25" t="s">
        <v>95</v>
      </c>
      <c r="I107" s="25" t="s">
        <v>292</v>
      </c>
      <c r="J107" s="25"/>
      <c r="K107" s="26" t="s">
        <v>495</v>
      </c>
    </row>
    <row r="108" spans="1:11" ht="15" customHeight="1" x14ac:dyDescent="0.25">
      <c r="A108" s="26" t="s">
        <v>479</v>
      </c>
      <c r="B108" s="26" t="s">
        <v>322</v>
      </c>
      <c r="C108" s="26" t="s">
        <v>480</v>
      </c>
      <c r="D108" s="26" t="s">
        <v>496</v>
      </c>
      <c r="E108" s="26" t="s">
        <v>380</v>
      </c>
      <c r="F108" s="26" t="s">
        <v>329</v>
      </c>
      <c r="G108" s="26"/>
      <c r="H108" s="25" t="s">
        <v>95</v>
      </c>
      <c r="I108" s="25" t="s">
        <v>290</v>
      </c>
      <c r="J108" s="25"/>
      <c r="K108" s="26" t="s">
        <v>497</v>
      </c>
    </row>
    <row r="109" spans="1:11" ht="15" customHeight="1" x14ac:dyDescent="0.25">
      <c r="A109" s="26" t="s">
        <v>479</v>
      </c>
      <c r="B109" s="26" t="s">
        <v>322</v>
      </c>
      <c r="C109" s="26" t="s">
        <v>480</v>
      </c>
      <c r="D109" s="26" t="s">
        <v>498</v>
      </c>
      <c r="E109" s="26" t="s">
        <v>380</v>
      </c>
      <c r="F109" s="26" t="s">
        <v>329</v>
      </c>
      <c r="G109" s="26"/>
      <c r="H109" s="25" t="s">
        <v>95</v>
      </c>
      <c r="I109" s="25" t="s">
        <v>291</v>
      </c>
      <c r="J109" s="25"/>
      <c r="K109" s="26" t="s">
        <v>499</v>
      </c>
    </row>
    <row r="110" spans="1:11" ht="15" customHeight="1" x14ac:dyDescent="0.25">
      <c r="A110" s="26" t="s">
        <v>479</v>
      </c>
      <c r="B110" s="26" t="s">
        <v>322</v>
      </c>
      <c r="C110" s="26" t="s">
        <v>480</v>
      </c>
      <c r="D110" s="26" t="s">
        <v>500</v>
      </c>
      <c r="E110" s="26" t="s">
        <v>325</v>
      </c>
      <c r="F110" s="26" t="s">
        <v>329</v>
      </c>
      <c r="G110" s="26">
        <v>0</v>
      </c>
      <c r="H110" s="25" t="s">
        <v>95</v>
      </c>
      <c r="I110" s="25" t="s">
        <v>290</v>
      </c>
      <c r="J110" s="25"/>
      <c r="K110" s="26" t="s">
        <v>501</v>
      </c>
    </row>
    <row r="111" spans="1:11" ht="15" customHeight="1" x14ac:dyDescent="0.25">
      <c r="A111" s="26" t="s">
        <v>479</v>
      </c>
      <c r="B111" s="26" t="s">
        <v>322</v>
      </c>
      <c r="C111" s="26" t="s">
        <v>480</v>
      </c>
      <c r="D111" s="26" t="s">
        <v>370</v>
      </c>
      <c r="E111" s="26" t="s">
        <v>328</v>
      </c>
      <c r="F111" s="26" t="s">
        <v>333</v>
      </c>
      <c r="G111" s="26">
        <v>0</v>
      </c>
      <c r="H111" s="25" t="s">
        <v>334</v>
      </c>
      <c r="I111" s="25" t="s">
        <v>290</v>
      </c>
      <c r="J111" s="25"/>
      <c r="K111" s="26"/>
    </row>
    <row r="112" spans="1:11" ht="15" customHeight="1" x14ac:dyDescent="0.25">
      <c r="A112" s="26" t="s">
        <v>479</v>
      </c>
      <c r="B112" s="26" t="s">
        <v>322</v>
      </c>
      <c r="C112" s="26" t="s">
        <v>480</v>
      </c>
      <c r="D112" s="26" t="s">
        <v>371</v>
      </c>
      <c r="E112" s="26" t="s">
        <v>328</v>
      </c>
      <c r="F112" s="26" t="s">
        <v>333</v>
      </c>
      <c r="G112" s="26">
        <v>0</v>
      </c>
      <c r="H112" s="25" t="s">
        <v>334</v>
      </c>
      <c r="I112" s="25" t="s">
        <v>290</v>
      </c>
      <c r="J112" s="25"/>
      <c r="K112" s="26"/>
    </row>
    <row r="113" spans="1:11" ht="15" customHeight="1" x14ac:dyDescent="0.25">
      <c r="A113" s="26" t="s">
        <v>479</v>
      </c>
      <c r="B113" s="26" t="s">
        <v>322</v>
      </c>
      <c r="C113" s="26" t="s">
        <v>480</v>
      </c>
      <c r="D113" s="26" t="s">
        <v>372</v>
      </c>
      <c r="E113" s="26" t="s">
        <v>328</v>
      </c>
      <c r="F113" s="26" t="s">
        <v>333</v>
      </c>
      <c r="G113" s="26">
        <v>15</v>
      </c>
      <c r="H113" s="25" t="s">
        <v>334</v>
      </c>
      <c r="I113" s="25" t="s">
        <v>290</v>
      </c>
      <c r="J113" s="25"/>
      <c r="K113" s="26"/>
    </row>
    <row r="114" spans="1:11" ht="15" customHeight="1" x14ac:dyDescent="0.25">
      <c r="A114" s="26" t="s">
        <v>479</v>
      </c>
      <c r="B114" s="26" t="s">
        <v>322</v>
      </c>
      <c r="C114" s="26" t="s">
        <v>480</v>
      </c>
      <c r="D114" s="26" t="s">
        <v>502</v>
      </c>
      <c r="E114" s="26" t="s">
        <v>328</v>
      </c>
      <c r="F114" s="26" t="s">
        <v>333</v>
      </c>
      <c r="G114" s="26">
        <v>-1</v>
      </c>
      <c r="H114" s="25" t="s">
        <v>334</v>
      </c>
      <c r="I114" s="25" t="s">
        <v>290</v>
      </c>
      <c r="J114" s="25"/>
      <c r="K114" s="26"/>
    </row>
    <row r="115" spans="1:11" ht="15" customHeight="1" x14ac:dyDescent="0.25">
      <c r="A115" s="26" t="s">
        <v>479</v>
      </c>
      <c r="B115" s="26" t="s">
        <v>322</v>
      </c>
      <c r="C115" s="26" t="s">
        <v>480</v>
      </c>
      <c r="D115" s="26" t="s">
        <v>503</v>
      </c>
      <c r="E115" s="26" t="s">
        <v>328</v>
      </c>
      <c r="F115" s="26" t="s">
        <v>333</v>
      </c>
      <c r="G115" s="26">
        <v>0</v>
      </c>
      <c r="H115" s="25" t="s">
        <v>334</v>
      </c>
      <c r="I115" s="25" t="s">
        <v>290</v>
      </c>
      <c r="J115" s="25"/>
      <c r="K115" s="26"/>
    </row>
    <row r="116" spans="1:11" ht="15" customHeight="1" x14ac:dyDescent="0.25">
      <c r="A116" s="26" t="s">
        <v>479</v>
      </c>
      <c r="B116" s="26" t="s">
        <v>322</v>
      </c>
      <c r="C116" s="26" t="s">
        <v>480</v>
      </c>
      <c r="D116" s="26" t="s">
        <v>504</v>
      </c>
      <c r="E116" s="26" t="s">
        <v>380</v>
      </c>
      <c r="F116" s="26" t="s">
        <v>333</v>
      </c>
      <c r="G116" s="26"/>
      <c r="H116" s="25" t="s">
        <v>334</v>
      </c>
      <c r="I116" s="25" t="s">
        <v>290</v>
      </c>
      <c r="J116" s="25"/>
      <c r="K116" s="26"/>
    </row>
    <row r="117" spans="1:11" ht="15" customHeight="1" x14ac:dyDescent="0.25">
      <c r="A117" s="26" t="s">
        <v>505</v>
      </c>
      <c r="B117" s="26" t="s">
        <v>322</v>
      </c>
      <c r="C117" s="26" t="s">
        <v>506</v>
      </c>
      <c r="D117" s="26" t="s">
        <v>349</v>
      </c>
      <c r="E117" s="26" t="s">
        <v>328</v>
      </c>
      <c r="F117" s="26" t="s">
        <v>326</v>
      </c>
      <c r="G117" s="26">
        <v>16</v>
      </c>
      <c r="H117" s="25" t="s">
        <v>95</v>
      </c>
      <c r="I117" s="25" t="s">
        <v>290</v>
      </c>
      <c r="J117" s="25"/>
      <c r="K117" s="26" t="s">
        <v>507</v>
      </c>
    </row>
    <row r="118" spans="1:11" ht="15" customHeight="1" x14ac:dyDescent="0.25">
      <c r="A118" s="26" t="s">
        <v>505</v>
      </c>
      <c r="B118" s="26" t="s">
        <v>322</v>
      </c>
      <c r="C118" s="26" t="s">
        <v>506</v>
      </c>
      <c r="D118" s="26" t="s">
        <v>508</v>
      </c>
      <c r="E118" s="26" t="s">
        <v>328</v>
      </c>
      <c r="F118" s="26" t="s">
        <v>326</v>
      </c>
      <c r="G118" s="26">
        <v>0</v>
      </c>
      <c r="H118" s="25" t="s">
        <v>95</v>
      </c>
      <c r="I118" s="25" t="s">
        <v>292</v>
      </c>
      <c r="J118" s="25"/>
      <c r="K118" s="26" t="s">
        <v>509</v>
      </c>
    </row>
    <row r="119" spans="1:11" ht="15" customHeight="1" x14ac:dyDescent="0.25">
      <c r="A119" s="26" t="s">
        <v>505</v>
      </c>
      <c r="B119" s="26" t="s">
        <v>322</v>
      </c>
      <c r="C119" s="26" t="s">
        <v>506</v>
      </c>
      <c r="D119" s="26" t="s">
        <v>288</v>
      </c>
      <c r="E119" s="26" t="s">
        <v>328</v>
      </c>
      <c r="F119" s="26" t="s">
        <v>326</v>
      </c>
      <c r="G119" s="26">
        <v>1</v>
      </c>
      <c r="H119" s="25" t="s">
        <v>95</v>
      </c>
      <c r="I119" s="25" t="s">
        <v>290</v>
      </c>
      <c r="J119" s="25"/>
      <c r="K119" s="26" t="s">
        <v>510</v>
      </c>
    </row>
    <row r="120" spans="1:11" ht="15" customHeight="1" x14ac:dyDescent="0.25">
      <c r="A120" s="26" t="s">
        <v>505</v>
      </c>
      <c r="B120" s="26" t="s">
        <v>322</v>
      </c>
      <c r="C120" s="26" t="s">
        <v>506</v>
      </c>
      <c r="D120" s="26" t="s">
        <v>511</v>
      </c>
      <c r="E120" s="26" t="s">
        <v>352</v>
      </c>
      <c r="F120" s="26" t="s">
        <v>326</v>
      </c>
      <c r="G120" s="26">
        <v>0</v>
      </c>
      <c r="H120" s="25" t="s">
        <v>95</v>
      </c>
      <c r="I120" s="25" t="s">
        <v>292</v>
      </c>
      <c r="J120" s="25"/>
      <c r="K120" s="26" t="s">
        <v>512</v>
      </c>
    </row>
    <row r="121" spans="1:11" ht="15" customHeight="1" x14ac:dyDescent="0.25">
      <c r="A121" s="26" t="s">
        <v>505</v>
      </c>
      <c r="B121" s="26" t="s">
        <v>322</v>
      </c>
      <c r="C121" s="26" t="s">
        <v>506</v>
      </c>
      <c r="D121" s="26" t="s">
        <v>351</v>
      </c>
      <c r="E121" s="26" t="s">
        <v>352</v>
      </c>
      <c r="F121" s="26" t="s">
        <v>326</v>
      </c>
      <c r="G121" s="26">
        <v>20</v>
      </c>
      <c r="H121" s="25" t="s">
        <v>95</v>
      </c>
      <c r="I121" s="25" t="s">
        <v>292</v>
      </c>
      <c r="J121" s="25"/>
      <c r="K121" s="26" t="s">
        <v>513</v>
      </c>
    </row>
    <row r="122" spans="1:11" ht="15" customHeight="1" x14ac:dyDescent="0.25">
      <c r="A122" s="26" t="s">
        <v>505</v>
      </c>
      <c r="B122" s="26" t="s">
        <v>322</v>
      </c>
      <c r="C122" s="26" t="s">
        <v>506</v>
      </c>
      <c r="D122" s="26" t="s">
        <v>514</v>
      </c>
      <c r="E122" s="26" t="s">
        <v>515</v>
      </c>
      <c r="F122" s="26" t="s">
        <v>356</v>
      </c>
      <c r="G122" s="26"/>
      <c r="H122" s="25" t="s">
        <v>334</v>
      </c>
      <c r="I122" s="25" t="s">
        <v>290</v>
      </c>
      <c r="J122" s="25"/>
      <c r="K122" s="26" t="s">
        <v>516</v>
      </c>
    </row>
    <row r="123" spans="1:11" ht="15" customHeight="1" x14ac:dyDescent="0.25">
      <c r="A123" s="26" t="s">
        <v>505</v>
      </c>
      <c r="B123" s="26" t="s">
        <v>322</v>
      </c>
      <c r="C123" s="26" t="s">
        <v>506</v>
      </c>
      <c r="D123" s="26" t="s">
        <v>71</v>
      </c>
      <c r="E123" s="26" t="s">
        <v>328</v>
      </c>
      <c r="F123" s="26" t="s">
        <v>329</v>
      </c>
      <c r="G123" s="26">
        <v>0</v>
      </c>
      <c r="H123" s="25" t="s">
        <v>95</v>
      </c>
      <c r="I123" s="25" t="s">
        <v>290</v>
      </c>
      <c r="J123" s="25"/>
      <c r="K123" s="26" t="s">
        <v>517</v>
      </c>
    </row>
    <row r="124" spans="1:11" ht="15" customHeight="1" x14ac:dyDescent="0.25">
      <c r="A124" s="26" t="s">
        <v>505</v>
      </c>
      <c r="B124" s="26" t="s">
        <v>322</v>
      </c>
      <c r="C124" s="26" t="s">
        <v>506</v>
      </c>
      <c r="D124" s="26" t="s">
        <v>518</v>
      </c>
      <c r="E124" s="26" t="s">
        <v>328</v>
      </c>
      <c r="F124" s="26" t="s">
        <v>329</v>
      </c>
      <c r="G124" s="26">
        <v>0</v>
      </c>
      <c r="H124" s="25" t="s">
        <v>95</v>
      </c>
      <c r="I124" s="25" t="s">
        <v>290</v>
      </c>
      <c r="J124" s="25"/>
      <c r="K124" s="26" t="s">
        <v>519</v>
      </c>
    </row>
    <row r="125" spans="1:11" ht="15" customHeight="1" x14ac:dyDescent="0.25">
      <c r="A125" s="26" t="s">
        <v>505</v>
      </c>
      <c r="B125" s="26" t="s">
        <v>322</v>
      </c>
      <c r="C125" s="26" t="s">
        <v>506</v>
      </c>
      <c r="D125" s="26" t="s">
        <v>520</v>
      </c>
      <c r="E125" s="26" t="s">
        <v>380</v>
      </c>
      <c r="F125" s="26" t="s">
        <v>329</v>
      </c>
      <c r="G125" s="26"/>
      <c r="H125" s="25" t="s">
        <v>95</v>
      </c>
      <c r="I125" s="25" t="s">
        <v>291</v>
      </c>
      <c r="J125" s="25"/>
      <c r="K125" s="26" t="s">
        <v>521</v>
      </c>
    </row>
    <row r="126" spans="1:11" ht="15" customHeight="1" x14ac:dyDescent="0.25">
      <c r="A126" s="26" t="s">
        <v>505</v>
      </c>
      <c r="B126" s="26" t="s">
        <v>322</v>
      </c>
      <c r="C126" s="26" t="s">
        <v>506</v>
      </c>
      <c r="D126" s="26" t="s">
        <v>522</v>
      </c>
      <c r="E126" s="26" t="s">
        <v>352</v>
      </c>
      <c r="F126" s="26" t="s">
        <v>329</v>
      </c>
      <c r="G126" s="26">
        <v>0</v>
      </c>
      <c r="H126" s="25" t="s">
        <v>95</v>
      </c>
      <c r="I126" s="25" t="s">
        <v>292</v>
      </c>
      <c r="J126" s="25"/>
      <c r="K126" s="26" t="s">
        <v>523</v>
      </c>
    </row>
    <row r="127" spans="1:11" ht="15" customHeight="1" x14ac:dyDescent="0.25">
      <c r="A127" s="26" t="s">
        <v>505</v>
      </c>
      <c r="B127" s="26" t="s">
        <v>322</v>
      </c>
      <c r="C127" s="26" t="s">
        <v>506</v>
      </c>
      <c r="D127" s="26" t="s">
        <v>524</v>
      </c>
      <c r="E127" s="26" t="s">
        <v>325</v>
      </c>
      <c r="F127" s="26" t="s">
        <v>329</v>
      </c>
      <c r="G127" s="26">
        <v>0</v>
      </c>
      <c r="H127" s="25" t="s">
        <v>95</v>
      </c>
      <c r="I127" s="25" t="s">
        <v>290</v>
      </c>
      <c r="J127" s="25"/>
      <c r="K127" s="26" t="s">
        <v>525</v>
      </c>
    </row>
    <row r="128" spans="1:11" ht="15" customHeight="1" x14ac:dyDescent="0.25">
      <c r="A128" s="26" t="s">
        <v>505</v>
      </c>
      <c r="B128" s="26" t="s">
        <v>322</v>
      </c>
      <c r="C128" s="26" t="s">
        <v>506</v>
      </c>
      <c r="D128" s="26" t="s">
        <v>370</v>
      </c>
      <c r="E128" s="26" t="s">
        <v>328</v>
      </c>
      <c r="F128" s="26" t="s">
        <v>333</v>
      </c>
      <c r="G128" s="26">
        <v>0</v>
      </c>
      <c r="H128" s="25" t="s">
        <v>334</v>
      </c>
      <c r="I128" s="25" t="s">
        <v>290</v>
      </c>
      <c r="J128" s="25"/>
      <c r="K128" s="26"/>
    </row>
    <row r="129" spans="1:11" ht="15" customHeight="1" x14ac:dyDescent="0.25">
      <c r="A129" s="26" t="s">
        <v>505</v>
      </c>
      <c r="B129" s="26" t="s">
        <v>322</v>
      </c>
      <c r="C129" s="26" t="s">
        <v>506</v>
      </c>
      <c r="D129" s="26" t="s">
        <v>371</v>
      </c>
      <c r="E129" s="26" t="s">
        <v>328</v>
      </c>
      <c r="F129" s="26" t="s">
        <v>333</v>
      </c>
      <c r="G129" s="26">
        <v>0</v>
      </c>
      <c r="H129" s="25" t="s">
        <v>334</v>
      </c>
      <c r="I129" s="25" t="s">
        <v>290</v>
      </c>
      <c r="J129" s="25"/>
      <c r="K129" s="26"/>
    </row>
    <row r="130" spans="1:11" ht="15" customHeight="1" x14ac:dyDescent="0.25">
      <c r="A130" s="26" t="s">
        <v>505</v>
      </c>
      <c r="B130" s="26" t="s">
        <v>322</v>
      </c>
      <c r="C130" s="26" t="s">
        <v>506</v>
      </c>
      <c r="D130" s="26" t="s">
        <v>372</v>
      </c>
      <c r="E130" s="26" t="s">
        <v>328</v>
      </c>
      <c r="F130" s="26" t="s">
        <v>333</v>
      </c>
      <c r="G130" s="26">
        <v>15</v>
      </c>
      <c r="H130" s="25" t="s">
        <v>334</v>
      </c>
      <c r="I130" s="25" t="s">
        <v>290</v>
      </c>
      <c r="J130" s="25"/>
      <c r="K130" s="26"/>
    </row>
    <row r="131" spans="1:11" ht="15" customHeight="1" x14ac:dyDescent="0.25">
      <c r="A131" s="26" t="s">
        <v>505</v>
      </c>
      <c r="B131" s="26" t="s">
        <v>322</v>
      </c>
      <c r="C131" s="26" t="s">
        <v>506</v>
      </c>
      <c r="D131" s="26" t="s">
        <v>526</v>
      </c>
      <c r="E131" s="26" t="s">
        <v>328</v>
      </c>
      <c r="F131" s="26" t="s">
        <v>333</v>
      </c>
      <c r="G131" s="26">
        <v>0</v>
      </c>
      <c r="H131" s="25" t="s">
        <v>334</v>
      </c>
      <c r="I131" s="25" t="s">
        <v>290</v>
      </c>
      <c r="J131" s="25"/>
      <c r="K131" s="26"/>
    </row>
    <row r="132" spans="1:11" ht="15" customHeight="1" x14ac:dyDescent="0.25">
      <c r="A132" s="26" t="s">
        <v>505</v>
      </c>
      <c r="B132" s="26" t="s">
        <v>322</v>
      </c>
      <c r="C132" s="26" t="s">
        <v>506</v>
      </c>
      <c r="D132" s="26" t="s">
        <v>527</v>
      </c>
      <c r="E132" s="26" t="s">
        <v>328</v>
      </c>
      <c r="F132" s="26" t="s">
        <v>333</v>
      </c>
      <c r="G132" s="26">
        <v>0</v>
      </c>
      <c r="H132" s="25" t="s">
        <v>334</v>
      </c>
      <c r="I132" s="25" t="s">
        <v>290</v>
      </c>
      <c r="J132" s="25"/>
      <c r="K132" s="26"/>
    </row>
    <row r="133" spans="1:11" ht="15" customHeight="1" x14ac:dyDescent="0.25">
      <c r="A133" s="26" t="s">
        <v>505</v>
      </c>
      <c r="B133" s="26" t="s">
        <v>322</v>
      </c>
      <c r="C133" s="26" t="s">
        <v>506</v>
      </c>
      <c r="D133" s="26" t="s">
        <v>502</v>
      </c>
      <c r="E133" s="26" t="s">
        <v>328</v>
      </c>
      <c r="F133" s="26" t="s">
        <v>333</v>
      </c>
      <c r="G133" s="26">
        <v>-1</v>
      </c>
      <c r="H133" s="25" t="s">
        <v>334</v>
      </c>
      <c r="I133" s="25" t="s">
        <v>290</v>
      </c>
      <c r="J133" s="25"/>
      <c r="K133" s="26"/>
    </row>
    <row r="134" spans="1:11" ht="15" customHeight="1" x14ac:dyDescent="0.25">
      <c r="A134" s="26" t="s">
        <v>505</v>
      </c>
      <c r="B134" s="26" t="s">
        <v>322</v>
      </c>
      <c r="C134" s="26" t="s">
        <v>506</v>
      </c>
      <c r="D134" s="26" t="s">
        <v>528</v>
      </c>
      <c r="E134" s="26" t="s">
        <v>352</v>
      </c>
      <c r="F134" s="26" t="s">
        <v>333</v>
      </c>
      <c r="G134" s="26">
        <v>0</v>
      </c>
      <c r="H134" s="25" t="s">
        <v>334</v>
      </c>
      <c r="I134" s="25" t="s">
        <v>292</v>
      </c>
      <c r="J134" s="25"/>
      <c r="K134" s="26"/>
    </row>
    <row r="135" spans="1:11" ht="15" customHeight="1" x14ac:dyDescent="0.25">
      <c r="A135" s="26" t="s">
        <v>505</v>
      </c>
      <c r="B135" s="26" t="s">
        <v>322</v>
      </c>
      <c r="C135" s="26" t="s">
        <v>506</v>
      </c>
      <c r="D135" s="26" t="s">
        <v>529</v>
      </c>
      <c r="E135" s="26" t="s">
        <v>328</v>
      </c>
      <c r="F135" s="26" t="s">
        <v>333</v>
      </c>
      <c r="G135" s="26">
        <v>0</v>
      </c>
      <c r="H135" s="25" t="s">
        <v>334</v>
      </c>
      <c r="I135" s="25" t="s">
        <v>290</v>
      </c>
      <c r="J135" s="25"/>
      <c r="K135" s="26"/>
    </row>
    <row r="136" spans="1:11" ht="15" customHeight="1" x14ac:dyDescent="0.25">
      <c r="A136" s="26" t="s">
        <v>505</v>
      </c>
      <c r="B136" s="26" t="s">
        <v>322</v>
      </c>
      <c r="C136" s="26" t="s">
        <v>506</v>
      </c>
      <c r="D136" s="26" t="s">
        <v>530</v>
      </c>
      <c r="E136" s="26" t="s">
        <v>328</v>
      </c>
      <c r="F136" s="26" t="s">
        <v>333</v>
      </c>
      <c r="G136" s="26">
        <v>0</v>
      </c>
      <c r="H136" s="25" t="s">
        <v>334</v>
      </c>
      <c r="I136" s="25" t="s">
        <v>290</v>
      </c>
      <c r="J136" s="25"/>
      <c r="K136" s="26"/>
    </row>
    <row r="137" spans="1:11" ht="15" customHeight="1" x14ac:dyDescent="0.25">
      <c r="A137" s="26" t="s">
        <v>505</v>
      </c>
      <c r="B137" s="26" t="s">
        <v>322</v>
      </c>
      <c r="C137" s="26" t="s">
        <v>506</v>
      </c>
      <c r="D137" s="26" t="s">
        <v>531</v>
      </c>
      <c r="E137" s="26" t="s">
        <v>328</v>
      </c>
      <c r="F137" s="26" t="s">
        <v>333</v>
      </c>
      <c r="G137" s="26">
        <v>0</v>
      </c>
      <c r="H137" s="25" t="s">
        <v>334</v>
      </c>
      <c r="I137" s="25" t="s">
        <v>290</v>
      </c>
      <c r="J137" s="25"/>
      <c r="K137" s="26"/>
    </row>
    <row r="138" spans="1:11" ht="15" customHeight="1" x14ac:dyDescent="0.25">
      <c r="A138" s="26" t="s">
        <v>505</v>
      </c>
      <c r="B138" s="26" t="s">
        <v>322</v>
      </c>
      <c r="C138" s="26" t="s">
        <v>506</v>
      </c>
      <c r="D138" s="26" t="s">
        <v>532</v>
      </c>
      <c r="E138" s="26" t="s">
        <v>328</v>
      </c>
      <c r="F138" s="26" t="s">
        <v>333</v>
      </c>
      <c r="G138" s="26">
        <v>0</v>
      </c>
      <c r="H138" s="25" t="s">
        <v>334</v>
      </c>
      <c r="I138" s="25" t="s">
        <v>290</v>
      </c>
      <c r="J138" s="25"/>
      <c r="K138" s="26" t="s">
        <v>533</v>
      </c>
    </row>
    <row r="139" spans="1:11" ht="15" customHeight="1" x14ac:dyDescent="0.25">
      <c r="A139" s="26" t="s">
        <v>505</v>
      </c>
      <c r="B139" s="26" t="s">
        <v>322</v>
      </c>
      <c r="C139" s="26" t="s">
        <v>506</v>
      </c>
      <c r="D139" s="26" t="s">
        <v>534</v>
      </c>
      <c r="E139" s="26" t="s">
        <v>352</v>
      </c>
      <c r="F139" s="26" t="s">
        <v>333</v>
      </c>
      <c r="G139" s="26">
        <v>0</v>
      </c>
      <c r="H139" s="25" t="s">
        <v>334</v>
      </c>
      <c r="I139" s="25" t="s">
        <v>290</v>
      </c>
      <c r="J139" s="25"/>
      <c r="K139" s="26"/>
    </row>
    <row r="140" spans="1:11" ht="15" customHeight="1" x14ac:dyDescent="0.25">
      <c r="A140" s="26" t="s">
        <v>505</v>
      </c>
      <c r="B140" s="26" t="s">
        <v>322</v>
      </c>
      <c r="C140" s="26" t="s">
        <v>506</v>
      </c>
      <c r="D140" s="26" t="s">
        <v>382</v>
      </c>
      <c r="E140" s="26" t="s">
        <v>352</v>
      </c>
      <c r="F140" s="26" t="s">
        <v>333</v>
      </c>
      <c r="G140" s="26">
        <v>0</v>
      </c>
      <c r="H140" s="25" t="s">
        <v>334</v>
      </c>
      <c r="I140" s="25" t="s">
        <v>292</v>
      </c>
      <c r="J140" s="25"/>
      <c r="K140" s="26"/>
    </row>
    <row r="141" spans="1:11" ht="15" customHeight="1" x14ac:dyDescent="0.25">
      <c r="A141" s="26" t="s">
        <v>535</v>
      </c>
      <c r="B141" s="26" t="s">
        <v>388</v>
      </c>
      <c r="C141" s="26" t="s">
        <v>536</v>
      </c>
      <c r="D141" s="26" t="s">
        <v>537</v>
      </c>
      <c r="E141" s="26" t="s">
        <v>538</v>
      </c>
      <c r="F141" s="26" t="s">
        <v>391</v>
      </c>
      <c r="G141" s="26"/>
      <c r="H141" s="25" t="s">
        <v>334</v>
      </c>
      <c r="I141" s="25" t="s">
        <v>290</v>
      </c>
      <c r="J141" s="25"/>
      <c r="K141" s="26" t="s">
        <v>539</v>
      </c>
    </row>
    <row r="142" spans="1:11" ht="15" customHeight="1" x14ac:dyDescent="0.25">
      <c r="A142" s="26" t="s">
        <v>535</v>
      </c>
      <c r="B142" s="26" t="s">
        <v>388</v>
      </c>
      <c r="C142" s="26" t="s">
        <v>536</v>
      </c>
      <c r="D142" s="26" t="s">
        <v>540</v>
      </c>
      <c r="E142" s="26" t="s">
        <v>380</v>
      </c>
      <c r="F142" s="26" t="s">
        <v>391</v>
      </c>
      <c r="G142" s="26" t="b">
        <v>1</v>
      </c>
      <c r="H142" s="25" t="s">
        <v>95</v>
      </c>
      <c r="I142" s="25" t="s">
        <v>290</v>
      </c>
      <c r="J142" s="25"/>
      <c r="K142" s="26" t="s">
        <v>541</v>
      </c>
    </row>
    <row r="143" spans="1:11" ht="15" customHeight="1" x14ac:dyDescent="0.25">
      <c r="A143" s="26" t="s">
        <v>535</v>
      </c>
      <c r="B143" s="26" t="s">
        <v>388</v>
      </c>
      <c r="C143" s="26" t="s">
        <v>536</v>
      </c>
      <c r="D143" s="26" t="s">
        <v>542</v>
      </c>
      <c r="E143" s="26" t="s">
        <v>380</v>
      </c>
      <c r="F143" s="26" t="s">
        <v>391</v>
      </c>
      <c r="G143" s="26"/>
      <c r="H143" s="25" t="s">
        <v>95</v>
      </c>
      <c r="I143" s="25" t="s">
        <v>292</v>
      </c>
      <c r="J143" s="25"/>
      <c r="K143" s="26" t="s">
        <v>543</v>
      </c>
    </row>
    <row r="144" spans="1:11" ht="15" customHeight="1" x14ac:dyDescent="0.25">
      <c r="A144" s="26" t="s">
        <v>535</v>
      </c>
      <c r="B144" s="26" t="s">
        <v>388</v>
      </c>
      <c r="C144" s="26" t="s">
        <v>536</v>
      </c>
      <c r="D144" s="26" t="s">
        <v>544</v>
      </c>
      <c r="E144" s="26" t="s">
        <v>328</v>
      </c>
      <c r="F144" s="26" t="s">
        <v>391</v>
      </c>
      <c r="G144" s="26">
        <v>0</v>
      </c>
      <c r="H144" s="25" t="s">
        <v>95</v>
      </c>
      <c r="I144" s="25" t="s">
        <v>292</v>
      </c>
      <c r="J144" s="25"/>
      <c r="K144" s="26" t="s">
        <v>545</v>
      </c>
    </row>
    <row r="145" spans="1:11" ht="15" customHeight="1" x14ac:dyDescent="0.25">
      <c r="A145" s="26" t="s">
        <v>535</v>
      </c>
      <c r="B145" s="26" t="s">
        <v>388</v>
      </c>
      <c r="C145" s="26" t="s">
        <v>536</v>
      </c>
      <c r="D145" s="26" t="s">
        <v>546</v>
      </c>
      <c r="E145" s="26" t="s">
        <v>352</v>
      </c>
      <c r="F145" s="26" t="s">
        <v>391</v>
      </c>
      <c r="G145" s="26">
        <v>0</v>
      </c>
      <c r="H145" s="25" t="s">
        <v>95</v>
      </c>
      <c r="I145" s="25" t="s">
        <v>292</v>
      </c>
      <c r="J145" s="25"/>
      <c r="K145" s="26" t="s">
        <v>547</v>
      </c>
    </row>
    <row r="146" spans="1:11" ht="15" customHeight="1" x14ac:dyDescent="0.25">
      <c r="A146" s="26" t="s">
        <v>535</v>
      </c>
      <c r="B146" s="26" t="s">
        <v>388</v>
      </c>
      <c r="C146" s="26" t="s">
        <v>536</v>
      </c>
      <c r="D146" s="26" t="s">
        <v>71</v>
      </c>
      <c r="E146" s="26" t="s">
        <v>380</v>
      </c>
      <c r="F146" s="26" t="s">
        <v>391</v>
      </c>
      <c r="G146" s="26"/>
      <c r="H146" s="25" t="s">
        <v>95</v>
      </c>
      <c r="I146" s="25" t="s">
        <v>290</v>
      </c>
      <c r="J146" s="25"/>
      <c r="K146" s="26" t="s">
        <v>548</v>
      </c>
    </row>
    <row r="147" spans="1:11" ht="15" customHeight="1" x14ac:dyDescent="0.25">
      <c r="A147" s="26" t="s">
        <v>535</v>
      </c>
      <c r="B147" s="26" t="s">
        <v>388</v>
      </c>
      <c r="C147" s="26" t="s">
        <v>536</v>
      </c>
      <c r="D147" s="26" t="s">
        <v>549</v>
      </c>
      <c r="E147" s="26" t="s">
        <v>352</v>
      </c>
      <c r="F147" s="26" t="s">
        <v>391</v>
      </c>
      <c r="G147" s="26">
        <v>0</v>
      </c>
      <c r="H147" s="25" t="s">
        <v>95</v>
      </c>
      <c r="I147" s="25" t="s">
        <v>290</v>
      </c>
      <c r="J147" s="25"/>
      <c r="K147" s="26" t="s">
        <v>550</v>
      </c>
    </row>
    <row r="148" spans="1:11" ht="15" customHeight="1" x14ac:dyDescent="0.25">
      <c r="A148" s="26" t="s">
        <v>535</v>
      </c>
      <c r="B148" s="26" t="s">
        <v>388</v>
      </c>
      <c r="C148" s="26" t="s">
        <v>536</v>
      </c>
      <c r="D148" s="26" t="s">
        <v>551</v>
      </c>
      <c r="E148" s="26" t="s">
        <v>325</v>
      </c>
      <c r="F148" s="26" t="s">
        <v>391</v>
      </c>
      <c r="G148" s="26">
        <v>0</v>
      </c>
      <c r="H148" s="25" t="s">
        <v>95</v>
      </c>
      <c r="I148" s="25" t="s">
        <v>290</v>
      </c>
      <c r="J148" s="25"/>
      <c r="K148" s="26" t="s">
        <v>552</v>
      </c>
    </row>
    <row r="149" spans="1:11" ht="15" customHeight="1" x14ac:dyDescent="0.25">
      <c r="A149" s="26" t="s">
        <v>553</v>
      </c>
      <c r="B149" s="26" t="s">
        <v>388</v>
      </c>
      <c r="C149" s="26" t="s">
        <v>554</v>
      </c>
      <c r="D149" s="26" t="s">
        <v>537</v>
      </c>
      <c r="E149" s="26" t="s">
        <v>538</v>
      </c>
      <c r="F149" s="26" t="s">
        <v>391</v>
      </c>
      <c r="G149" s="26"/>
      <c r="H149" s="25" t="s">
        <v>334</v>
      </c>
      <c r="I149" s="25" t="s">
        <v>290</v>
      </c>
      <c r="J149" s="25"/>
      <c r="K149" s="26" t="s">
        <v>268</v>
      </c>
    </row>
    <row r="150" spans="1:11" ht="15" customHeight="1" x14ac:dyDescent="0.25">
      <c r="A150" s="26" t="s">
        <v>553</v>
      </c>
      <c r="B150" s="26" t="s">
        <v>388</v>
      </c>
      <c r="C150" s="26" t="s">
        <v>554</v>
      </c>
      <c r="D150" s="26" t="s">
        <v>518</v>
      </c>
      <c r="E150" s="26" t="s">
        <v>380</v>
      </c>
      <c r="F150" s="26" t="s">
        <v>391</v>
      </c>
      <c r="G150" s="26" t="b">
        <v>1</v>
      </c>
      <c r="H150" s="25" t="s">
        <v>95</v>
      </c>
      <c r="I150" s="25" t="s">
        <v>290</v>
      </c>
      <c r="J150" s="25"/>
      <c r="K150" s="26" t="s">
        <v>555</v>
      </c>
    </row>
    <row r="151" spans="1:11" ht="15" customHeight="1" x14ac:dyDescent="0.25">
      <c r="A151" s="26" t="s">
        <v>553</v>
      </c>
      <c r="B151" s="26" t="s">
        <v>388</v>
      </c>
      <c r="C151" s="26" t="s">
        <v>554</v>
      </c>
      <c r="D151" s="26" t="s">
        <v>556</v>
      </c>
      <c r="E151" s="26" t="s">
        <v>380</v>
      </c>
      <c r="F151" s="26" t="s">
        <v>391</v>
      </c>
      <c r="G151" s="26"/>
      <c r="H151" s="25" t="s">
        <v>95</v>
      </c>
      <c r="I151" s="25" t="s">
        <v>292</v>
      </c>
      <c r="J151" s="25"/>
      <c r="K151" s="26" t="s">
        <v>557</v>
      </c>
    </row>
    <row r="152" spans="1:11" ht="15" customHeight="1" x14ac:dyDescent="0.25">
      <c r="A152" s="26" t="s">
        <v>553</v>
      </c>
      <c r="B152" s="26" t="s">
        <v>388</v>
      </c>
      <c r="C152" s="26" t="s">
        <v>554</v>
      </c>
      <c r="D152" s="26" t="s">
        <v>558</v>
      </c>
      <c r="E152" s="26" t="s">
        <v>380</v>
      </c>
      <c r="F152" s="26" t="s">
        <v>391</v>
      </c>
      <c r="G152" s="26"/>
      <c r="H152" s="25" t="s">
        <v>95</v>
      </c>
      <c r="I152" s="25" t="s">
        <v>292</v>
      </c>
      <c r="J152" s="25"/>
      <c r="K152" s="26" t="s">
        <v>559</v>
      </c>
    </row>
    <row r="153" spans="1:11" ht="15" customHeight="1" x14ac:dyDescent="0.25">
      <c r="A153" s="26" t="s">
        <v>553</v>
      </c>
      <c r="B153" s="26" t="s">
        <v>388</v>
      </c>
      <c r="C153" s="26" t="s">
        <v>554</v>
      </c>
      <c r="D153" s="26" t="s">
        <v>560</v>
      </c>
      <c r="E153" s="26" t="s">
        <v>352</v>
      </c>
      <c r="F153" s="26" t="s">
        <v>391</v>
      </c>
      <c r="G153" s="26">
        <v>0</v>
      </c>
      <c r="H153" s="25" t="s">
        <v>95</v>
      </c>
      <c r="I153" s="25" t="s">
        <v>290</v>
      </c>
      <c r="J153" s="25"/>
      <c r="K153" s="26" t="s">
        <v>561</v>
      </c>
    </row>
    <row r="154" spans="1:11" ht="15" customHeight="1" x14ac:dyDescent="0.25">
      <c r="A154" s="26" t="s">
        <v>553</v>
      </c>
      <c r="B154" s="26" t="s">
        <v>388</v>
      </c>
      <c r="C154" s="26" t="s">
        <v>554</v>
      </c>
      <c r="D154" s="26" t="s">
        <v>562</v>
      </c>
      <c r="E154" s="26" t="s">
        <v>352</v>
      </c>
      <c r="F154" s="26" t="s">
        <v>391</v>
      </c>
      <c r="G154" s="26">
        <v>0</v>
      </c>
      <c r="H154" s="25" t="s">
        <v>95</v>
      </c>
      <c r="I154" s="25" t="s">
        <v>292</v>
      </c>
      <c r="J154" s="25"/>
      <c r="K154" s="26" t="s">
        <v>563</v>
      </c>
    </row>
    <row r="155" spans="1:11" ht="15" customHeight="1" x14ac:dyDescent="0.25">
      <c r="A155" s="26" t="s">
        <v>553</v>
      </c>
      <c r="B155" s="26" t="s">
        <v>388</v>
      </c>
      <c r="C155" s="26" t="s">
        <v>554</v>
      </c>
      <c r="D155" s="26" t="s">
        <v>564</v>
      </c>
      <c r="E155" s="26" t="s">
        <v>328</v>
      </c>
      <c r="F155" s="26" t="s">
        <v>391</v>
      </c>
      <c r="G155" s="26">
        <v>0</v>
      </c>
      <c r="H155" s="25" t="s">
        <v>95</v>
      </c>
      <c r="I155" s="25" t="s">
        <v>290</v>
      </c>
      <c r="J155" s="25"/>
      <c r="K155" s="26" t="s">
        <v>565</v>
      </c>
    </row>
    <row r="156" spans="1:11" ht="15" customHeight="1" x14ac:dyDescent="0.25">
      <c r="A156" s="26" t="s">
        <v>566</v>
      </c>
      <c r="B156" s="26" t="s">
        <v>322</v>
      </c>
      <c r="C156" s="26" t="s">
        <v>567</v>
      </c>
      <c r="D156" s="26" t="s">
        <v>349</v>
      </c>
      <c r="E156" s="26" t="s">
        <v>328</v>
      </c>
      <c r="F156" s="26" t="s">
        <v>326</v>
      </c>
      <c r="G156" s="26">
        <v>16</v>
      </c>
      <c r="H156" s="25" t="s">
        <v>95</v>
      </c>
      <c r="I156" s="25" t="s">
        <v>290</v>
      </c>
      <c r="J156" s="25"/>
      <c r="K156" s="26" t="s">
        <v>568</v>
      </c>
    </row>
    <row r="157" spans="1:11" ht="15" customHeight="1" x14ac:dyDescent="0.25">
      <c r="A157" s="26" t="s">
        <v>566</v>
      </c>
      <c r="B157" s="26" t="s">
        <v>322</v>
      </c>
      <c r="C157" s="26" t="s">
        <v>567</v>
      </c>
      <c r="D157" s="26" t="s">
        <v>351</v>
      </c>
      <c r="E157" s="26" t="s">
        <v>352</v>
      </c>
      <c r="F157" s="26" t="s">
        <v>326</v>
      </c>
      <c r="G157" s="26">
        <v>20</v>
      </c>
      <c r="H157" s="25" t="s">
        <v>95</v>
      </c>
      <c r="I157" s="25" t="s">
        <v>292</v>
      </c>
      <c r="J157" s="25"/>
      <c r="K157" s="26" t="s">
        <v>353</v>
      </c>
    </row>
    <row r="158" spans="1:11" ht="15" customHeight="1" x14ac:dyDescent="0.25">
      <c r="A158" s="26" t="s">
        <v>566</v>
      </c>
      <c r="B158" s="26" t="s">
        <v>322</v>
      </c>
      <c r="C158" s="26" t="s">
        <v>567</v>
      </c>
      <c r="D158" s="26" t="s">
        <v>569</v>
      </c>
      <c r="E158" s="26" t="s">
        <v>570</v>
      </c>
      <c r="F158" s="26" t="s">
        <v>356</v>
      </c>
      <c r="G158" s="26"/>
      <c r="H158" s="25" t="s">
        <v>334</v>
      </c>
      <c r="I158" s="25" t="s">
        <v>290</v>
      </c>
      <c r="J158" s="25"/>
      <c r="K158" s="26" t="s">
        <v>516</v>
      </c>
    </row>
    <row r="159" spans="1:11" ht="15" customHeight="1" x14ac:dyDescent="0.25">
      <c r="A159" s="26" t="s">
        <v>566</v>
      </c>
      <c r="B159" s="26" t="s">
        <v>322</v>
      </c>
      <c r="C159" s="26" t="s">
        <v>567</v>
      </c>
      <c r="D159" s="26" t="s">
        <v>571</v>
      </c>
      <c r="E159" s="26" t="s">
        <v>328</v>
      </c>
      <c r="F159" s="26" t="s">
        <v>329</v>
      </c>
      <c r="G159" s="26">
        <v>0</v>
      </c>
      <c r="H159" s="25" t="s">
        <v>95</v>
      </c>
      <c r="I159" s="25" t="s">
        <v>291</v>
      </c>
      <c r="J159" s="25"/>
      <c r="K159" s="26" t="s">
        <v>572</v>
      </c>
    </row>
    <row r="160" spans="1:11" ht="15" customHeight="1" x14ac:dyDescent="0.25">
      <c r="A160" s="26" t="s">
        <v>566</v>
      </c>
      <c r="B160" s="26" t="s">
        <v>322</v>
      </c>
      <c r="C160" s="26" t="s">
        <v>567</v>
      </c>
      <c r="D160" s="26" t="s">
        <v>573</v>
      </c>
      <c r="E160" s="26" t="s">
        <v>328</v>
      </c>
      <c r="F160" s="26" t="s">
        <v>329</v>
      </c>
      <c r="G160" s="26">
        <v>0</v>
      </c>
      <c r="H160" s="25" t="s">
        <v>95</v>
      </c>
      <c r="I160" s="25" t="s">
        <v>290</v>
      </c>
      <c r="J160" s="25"/>
      <c r="K160" s="26" t="s">
        <v>519</v>
      </c>
    </row>
    <row r="161" spans="1:11" ht="15" customHeight="1" x14ac:dyDescent="0.25">
      <c r="A161" s="26" t="s">
        <v>566</v>
      </c>
      <c r="B161" s="26" t="s">
        <v>322</v>
      </c>
      <c r="C161" s="26" t="s">
        <v>567</v>
      </c>
      <c r="D161" s="26" t="s">
        <v>370</v>
      </c>
      <c r="E161" s="26" t="s">
        <v>328</v>
      </c>
      <c r="F161" s="26" t="s">
        <v>333</v>
      </c>
      <c r="G161" s="26">
        <v>0</v>
      </c>
      <c r="H161" s="25" t="s">
        <v>334</v>
      </c>
      <c r="I161" s="25" t="s">
        <v>290</v>
      </c>
      <c r="J161" s="25"/>
      <c r="K161" s="26"/>
    </row>
    <row r="162" spans="1:11" ht="15" customHeight="1" x14ac:dyDescent="0.25">
      <c r="A162" s="26" t="s">
        <v>566</v>
      </c>
      <c r="B162" s="26" t="s">
        <v>322</v>
      </c>
      <c r="C162" s="26" t="s">
        <v>567</v>
      </c>
      <c r="D162" s="26" t="s">
        <v>371</v>
      </c>
      <c r="E162" s="26" t="s">
        <v>328</v>
      </c>
      <c r="F162" s="26" t="s">
        <v>333</v>
      </c>
      <c r="G162" s="26">
        <v>0</v>
      </c>
      <c r="H162" s="25" t="s">
        <v>334</v>
      </c>
      <c r="I162" s="25" t="s">
        <v>290</v>
      </c>
      <c r="J162" s="25"/>
      <c r="K162" s="26"/>
    </row>
    <row r="163" spans="1:11" ht="15" customHeight="1" x14ac:dyDescent="0.25">
      <c r="A163" s="26" t="s">
        <v>566</v>
      </c>
      <c r="B163" s="26" t="s">
        <v>322</v>
      </c>
      <c r="C163" s="26" t="s">
        <v>567</v>
      </c>
      <c r="D163" s="26" t="s">
        <v>372</v>
      </c>
      <c r="E163" s="26" t="s">
        <v>328</v>
      </c>
      <c r="F163" s="26" t="s">
        <v>333</v>
      </c>
      <c r="G163" s="26">
        <v>15</v>
      </c>
      <c r="H163" s="25" t="s">
        <v>334</v>
      </c>
      <c r="I163" s="25" t="s">
        <v>290</v>
      </c>
      <c r="J163" s="25"/>
      <c r="K163" s="26" t="s">
        <v>574</v>
      </c>
    </row>
    <row r="164" spans="1:11" ht="15" customHeight="1" x14ac:dyDescent="0.25">
      <c r="A164" s="26" t="s">
        <v>566</v>
      </c>
      <c r="B164" s="26" t="s">
        <v>322</v>
      </c>
      <c r="C164" s="26" t="s">
        <v>567</v>
      </c>
      <c r="D164" s="26" t="s">
        <v>575</v>
      </c>
      <c r="E164" s="26" t="s">
        <v>380</v>
      </c>
      <c r="F164" s="26" t="s">
        <v>333</v>
      </c>
      <c r="G164" s="26"/>
      <c r="H164" s="25" t="s">
        <v>334</v>
      </c>
      <c r="I164" s="25" t="s">
        <v>292</v>
      </c>
      <c r="J164" s="25"/>
      <c r="K164" s="26"/>
    </row>
    <row r="165" spans="1:11" ht="15" customHeight="1" x14ac:dyDescent="0.25">
      <c r="A165" s="26" t="s">
        <v>566</v>
      </c>
      <c r="B165" s="26" t="s">
        <v>322</v>
      </c>
      <c r="C165" s="26" t="s">
        <v>567</v>
      </c>
      <c r="D165" s="26" t="s">
        <v>576</v>
      </c>
      <c r="E165" s="26" t="s">
        <v>380</v>
      </c>
      <c r="F165" s="26" t="s">
        <v>333</v>
      </c>
      <c r="G165" s="26"/>
      <c r="H165" s="25" t="s">
        <v>334</v>
      </c>
      <c r="I165" s="25" t="s">
        <v>290</v>
      </c>
      <c r="J165" s="25"/>
      <c r="K165" s="26"/>
    </row>
    <row r="166" spans="1:11" ht="15" customHeight="1" x14ac:dyDescent="0.25">
      <c r="A166" s="26" t="s">
        <v>577</v>
      </c>
      <c r="B166" s="26" t="s">
        <v>322</v>
      </c>
      <c r="C166" s="26" t="s">
        <v>578</v>
      </c>
      <c r="D166" s="26" t="s">
        <v>349</v>
      </c>
      <c r="E166" s="26" t="s">
        <v>328</v>
      </c>
      <c r="F166" s="26" t="s">
        <v>326</v>
      </c>
      <c r="G166" s="26">
        <v>16</v>
      </c>
      <c r="H166" s="25" t="s">
        <v>95</v>
      </c>
      <c r="I166" s="25" t="s">
        <v>290</v>
      </c>
      <c r="J166" s="25"/>
      <c r="K166" s="26" t="s">
        <v>568</v>
      </c>
    </row>
    <row r="167" spans="1:11" ht="15" customHeight="1" x14ac:dyDescent="0.25">
      <c r="A167" s="26" t="s">
        <v>577</v>
      </c>
      <c r="B167" s="26" t="s">
        <v>322</v>
      </c>
      <c r="C167" s="26" t="s">
        <v>578</v>
      </c>
      <c r="D167" s="26" t="s">
        <v>351</v>
      </c>
      <c r="E167" s="26" t="s">
        <v>352</v>
      </c>
      <c r="F167" s="26" t="s">
        <v>326</v>
      </c>
      <c r="G167" s="26">
        <v>20</v>
      </c>
      <c r="H167" s="25" t="s">
        <v>95</v>
      </c>
      <c r="I167" s="25" t="s">
        <v>292</v>
      </c>
      <c r="J167" s="25"/>
      <c r="K167" s="26" t="s">
        <v>353</v>
      </c>
    </row>
    <row r="168" spans="1:11" ht="15" customHeight="1" x14ac:dyDescent="0.25">
      <c r="A168" s="26" t="s">
        <v>577</v>
      </c>
      <c r="B168" s="26" t="s">
        <v>322</v>
      </c>
      <c r="C168" s="26" t="s">
        <v>578</v>
      </c>
      <c r="D168" s="26" t="s">
        <v>569</v>
      </c>
      <c r="E168" s="26" t="s">
        <v>579</v>
      </c>
      <c r="F168" s="26" t="s">
        <v>356</v>
      </c>
      <c r="G168" s="26"/>
      <c r="H168" s="25" t="s">
        <v>334</v>
      </c>
      <c r="I168" s="25" t="s">
        <v>290</v>
      </c>
      <c r="J168" s="25"/>
      <c r="K168" s="26" t="s">
        <v>516</v>
      </c>
    </row>
    <row r="169" spans="1:11" ht="15" customHeight="1" x14ac:dyDescent="0.25">
      <c r="A169" s="26" t="s">
        <v>577</v>
      </c>
      <c r="B169" s="26" t="s">
        <v>322</v>
      </c>
      <c r="C169" s="26" t="s">
        <v>578</v>
      </c>
      <c r="D169" s="26" t="s">
        <v>571</v>
      </c>
      <c r="E169" s="26" t="s">
        <v>328</v>
      </c>
      <c r="F169" s="26" t="s">
        <v>329</v>
      </c>
      <c r="G169" s="26">
        <v>0</v>
      </c>
      <c r="H169" s="25" t="s">
        <v>95</v>
      </c>
      <c r="I169" s="25" t="s">
        <v>291</v>
      </c>
      <c r="J169" s="25"/>
      <c r="K169" s="26" t="s">
        <v>572</v>
      </c>
    </row>
    <row r="170" spans="1:11" ht="15" customHeight="1" x14ac:dyDescent="0.25">
      <c r="A170" s="26" t="s">
        <v>577</v>
      </c>
      <c r="B170" s="26" t="s">
        <v>322</v>
      </c>
      <c r="C170" s="26" t="s">
        <v>578</v>
      </c>
      <c r="D170" s="26" t="s">
        <v>573</v>
      </c>
      <c r="E170" s="26" t="s">
        <v>328</v>
      </c>
      <c r="F170" s="26" t="s">
        <v>329</v>
      </c>
      <c r="G170" s="26">
        <v>0</v>
      </c>
      <c r="H170" s="25" t="s">
        <v>95</v>
      </c>
      <c r="I170" s="25" t="s">
        <v>290</v>
      </c>
      <c r="J170" s="25"/>
      <c r="K170" s="26" t="s">
        <v>519</v>
      </c>
    </row>
    <row r="171" spans="1:11" ht="15" customHeight="1" x14ac:dyDescent="0.25">
      <c r="A171" s="26" t="s">
        <v>577</v>
      </c>
      <c r="B171" s="26" t="s">
        <v>322</v>
      </c>
      <c r="C171" s="26" t="s">
        <v>578</v>
      </c>
      <c r="D171" s="26" t="s">
        <v>370</v>
      </c>
      <c r="E171" s="26" t="s">
        <v>328</v>
      </c>
      <c r="F171" s="26" t="s">
        <v>333</v>
      </c>
      <c r="G171" s="26">
        <v>0</v>
      </c>
      <c r="H171" s="25" t="s">
        <v>334</v>
      </c>
      <c r="I171" s="25" t="s">
        <v>290</v>
      </c>
      <c r="J171" s="25"/>
      <c r="K171" s="26"/>
    </row>
    <row r="172" spans="1:11" ht="15" customHeight="1" x14ac:dyDescent="0.25">
      <c r="A172" s="26" t="s">
        <v>577</v>
      </c>
      <c r="B172" s="26" t="s">
        <v>322</v>
      </c>
      <c r="C172" s="26" t="s">
        <v>578</v>
      </c>
      <c r="D172" s="26" t="s">
        <v>371</v>
      </c>
      <c r="E172" s="26" t="s">
        <v>328</v>
      </c>
      <c r="F172" s="26" t="s">
        <v>333</v>
      </c>
      <c r="G172" s="26">
        <v>0</v>
      </c>
      <c r="H172" s="25" t="s">
        <v>334</v>
      </c>
      <c r="I172" s="25" t="s">
        <v>290</v>
      </c>
      <c r="J172" s="25"/>
      <c r="K172" s="26"/>
    </row>
    <row r="173" spans="1:11" ht="15" customHeight="1" x14ac:dyDescent="0.25">
      <c r="A173" s="26" t="s">
        <v>577</v>
      </c>
      <c r="B173" s="26" t="s">
        <v>322</v>
      </c>
      <c r="C173" s="26" t="s">
        <v>578</v>
      </c>
      <c r="D173" s="26" t="s">
        <v>372</v>
      </c>
      <c r="E173" s="26" t="s">
        <v>328</v>
      </c>
      <c r="F173" s="26" t="s">
        <v>333</v>
      </c>
      <c r="G173" s="26">
        <v>15</v>
      </c>
      <c r="H173" s="25" t="s">
        <v>334</v>
      </c>
      <c r="I173" s="25" t="s">
        <v>290</v>
      </c>
      <c r="J173" s="25"/>
      <c r="K173" s="26" t="s">
        <v>574</v>
      </c>
    </row>
    <row r="174" spans="1:11" ht="15" customHeight="1" x14ac:dyDescent="0.25">
      <c r="A174" s="26" t="s">
        <v>577</v>
      </c>
      <c r="B174" s="26" t="s">
        <v>322</v>
      </c>
      <c r="C174" s="26" t="s">
        <v>578</v>
      </c>
      <c r="D174" s="26" t="s">
        <v>580</v>
      </c>
      <c r="E174" s="26" t="s">
        <v>380</v>
      </c>
      <c r="F174" s="26" t="s">
        <v>333</v>
      </c>
      <c r="G174" s="26"/>
      <c r="H174" s="25" t="s">
        <v>334</v>
      </c>
      <c r="I174" s="25" t="s">
        <v>290</v>
      </c>
      <c r="J174" s="25"/>
      <c r="K174" s="26"/>
    </row>
    <row r="175" spans="1:11" ht="15" customHeight="1" x14ac:dyDescent="0.25">
      <c r="A175" s="26" t="s">
        <v>577</v>
      </c>
      <c r="B175" s="26" t="s">
        <v>322</v>
      </c>
      <c r="C175" s="26" t="s">
        <v>578</v>
      </c>
      <c r="D175" s="26" t="s">
        <v>581</v>
      </c>
      <c r="E175" s="26" t="s">
        <v>380</v>
      </c>
      <c r="F175" s="26" t="s">
        <v>333</v>
      </c>
      <c r="G175" s="26"/>
      <c r="H175" s="25" t="s">
        <v>334</v>
      </c>
      <c r="I175" s="25" t="s">
        <v>290</v>
      </c>
      <c r="J175" s="25"/>
      <c r="K175" s="26"/>
    </row>
    <row r="176" spans="1:11" ht="15" customHeight="1" x14ac:dyDescent="0.25">
      <c r="A176" s="26" t="s">
        <v>577</v>
      </c>
      <c r="B176" s="26" t="s">
        <v>322</v>
      </c>
      <c r="C176" s="26" t="s">
        <v>578</v>
      </c>
      <c r="D176" s="26" t="s">
        <v>576</v>
      </c>
      <c r="E176" s="26" t="s">
        <v>380</v>
      </c>
      <c r="F176" s="26" t="s">
        <v>333</v>
      </c>
      <c r="G176" s="26"/>
      <c r="H176" s="25" t="s">
        <v>334</v>
      </c>
      <c r="I176" s="25" t="s">
        <v>290</v>
      </c>
      <c r="J176" s="25"/>
      <c r="K176" s="26"/>
    </row>
    <row r="177" spans="1:11" ht="15" customHeight="1" x14ac:dyDescent="0.25">
      <c r="A177" s="26" t="s">
        <v>582</v>
      </c>
      <c r="B177" s="26" t="s">
        <v>322</v>
      </c>
      <c r="C177" s="26" t="s">
        <v>583</v>
      </c>
      <c r="D177" s="26" t="s">
        <v>349</v>
      </c>
      <c r="E177" s="26" t="s">
        <v>328</v>
      </c>
      <c r="F177" s="26" t="s">
        <v>326</v>
      </c>
      <c r="G177" s="26">
        <v>16</v>
      </c>
      <c r="H177" s="25" t="s">
        <v>95</v>
      </c>
      <c r="I177" s="25" t="s">
        <v>290</v>
      </c>
      <c r="J177" s="25"/>
      <c r="K177" s="26" t="s">
        <v>568</v>
      </c>
    </row>
    <row r="178" spans="1:11" ht="15" customHeight="1" x14ac:dyDescent="0.25">
      <c r="A178" s="26" t="s">
        <v>582</v>
      </c>
      <c r="B178" s="26" t="s">
        <v>322</v>
      </c>
      <c r="C178" s="26" t="s">
        <v>583</v>
      </c>
      <c r="D178" s="26" t="s">
        <v>351</v>
      </c>
      <c r="E178" s="26" t="s">
        <v>352</v>
      </c>
      <c r="F178" s="26" t="s">
        <v>326</v>
      </c>
      <c r="G178" s="26">
        <v>20</v>
      </c>
      <c r="H178" s="25" t="s">
        <v>95</v>
      </c>
      <c r="I178" s="25" t="s">
        <v>292</v>
      </c>
      <c r="J178" s="25"/>
      <c r="K178" s="26" t="s">
        <v>353</v>
      </c>
    </row>
    <row r="179" spans="1:11" ht="15" customHeight="1" x14ac:dyDescent="0.25">
      <c r="A179" s="26" t="s">
        <v>582</v>
      </c>
      <c r="B179" s="26" t="s">
        <v>322</v>
      </c>
      <c r="C179" s="26" t="s">
        <v>583</v>
      </c>
      <c r="D179" s="26" t="s">
        <v>569</v>
      </c>
      <c r="E179" s="26" t="s">
        <v>584</v>
      </c>
      <c r="F179" s="26" t="s">
        <v>356</v>
      </c>
      <c r="G179" s="26"/>
      <c r="H179" s="25" t="s">
        <v>334</v>
      </c>
      <c r="I179" s="25" t="s">
        <v>290</v>
      </c>
      <c r="J179" s="25"/>
      <c r="K179" s="26" t="s">
        <v>516</v>
      </c>
    </row>
    <row r="180" spans="1:11" ht="15" customHeight="1" x14ac:dyDescent="0.25">
      <c r="A180" s="26" t="s">
        <v>582</v>
      </c>
      <c r="B180" s="26" t="s">
        <v>322</v>
      </c>
      <c r="C180" s="26" t="s">
        <v>583</v>
      </c>
      <c r="D180" s="26" t="s">
        <v>571</v>
      </c>
      <c r="E180" s="26" t="s">
        <v>328</v>
      </c>
      <c r="F180" s="26" t="s">
        <v>329</v>
      </c>
      <c r="G180" s="26">
        <v>0</v>
      </c>
      <c r="H180" s="25" t="s">
        <v>95</v>
      </c>
      <c r="I180" s="25" t="s">
        <v>291</v>
      </c>
      <c r="J180" s="25"/>
      <c r="K180" s="26" t="s">
        <v>572</v>
      </c>
    </row>
    <row r="181" spans="1:11" ht="15" customHeight="1" x14ac:dyDescent="0.25">
      <c r="A181" s="26" t="s">
        <v>582</v>
      </c>
      <c r="B181" s="26" t="s">
        <v>322</v>
      </c>
      <c r="C181" s="26" t="s">
        <v>583</v>
      </c>
      <c r="D181" s="26" t="s">
        <v>573</v>
      </c>
      <c r="E181" s="26" t="s">
        <v>328</v>
      </c>
      <c r="F181" s="26" t="s">
        <v>329</v>
      </c>
      <c r="G181" s="26">
        <v>0</v>
      </c>
      <c r="H181" s="25" t="s">
        <v>95</v>
      </c>
      <c r="I181" s="25" t="s">
        <v>290</v>
      </c>
      <c r="J181" s="25"/>
      <c r="K181" s="26" t="s">
        <v>519</v>
      </c>
    </row>
    <row r="182" spans="1:11" ht="15" customHeight="1" x14ac:dyDescent="0.25">
      <c r="A182" s="26" t="s">
        <v>582</v>
      </c>
      <c r="B182" s="26" t="s">
        <v>322</v>
      </c>
      <c r="C182" s="26" t="s">
        <v>583</v>
      </c>
      <c r="D182" s="26" t="s">
        <v>370</v>
      </c>
      <c r="E182" s="26" t="s">
        <v>328</v>
      </c>
      <c r="F182" s="26" t="s">
        <v>333</v>
      </c>
      <c r="G182" s="26">
        <v>0</v>
      </c>
      <c r="H182" s="25" t="s">
        <v>334</v>
      </c>
      <c r="I182" s="25" t="s">
        <v>290</v>
      </c>
      <c r="J182" s="25"/>
      <c r="K182" s="26"/>
    </row>
    <row r="183" spans="1:11" ht="15" customHeight="1" x14ac:dyDescent="0.25">
      <c r="A183" s="26" t="s">
        <v>582</v>
      </c>
      <c r="B183" s="26" t="s">
        <v>322</v>
      </c>
      <c r="C183" s="26" t="s">
        <v>583</v>
      </c>
      <c r="D183" s="26" t="s">
        <v>371</v>
      </c>
      <c r="E183" s="26" t="s">
        <v>328</v>
      </c>
      <c r="F183" s="26" t="s">
        <v>333</v>
      </c>
      <c r="G183" s="26">
        <v>0</v>
      </c>
      <c r="H183" s="25" t="s">
        <v>334</v>
      </c>
      <c r="I183" s="25" t="s">
        <v>290</v>
      </c>
      <c r="J183" s="25"/>
      <c r="K183" s="26"/>
    </row>
    <row r="184" spans="1:11" ht="15" customHeight="1" x14ac:dyDescent="0.25">
      <c r="A184" s="26" t="s">
        <v>582</v>
      </c>
      <c r="B184" s="26" t="s">
        <v>322</v>
      </c>
      <c r="C184" s="26" t="s">
        <v>583</v>
      </c>
      <c r="D184" s="26" t="s">
        <v>372</v>
      </c>
      <c r="E184" s="26" t="s">
        <v>328</v>
      </c>
      <c r="F184" s="26" t="s">
        <v>333</v>
      </c>
      <c r="G184" s="26">
        <v>15</v>
      </c>
      <c r="H184" s="25" t="s">
        <v>334</v>
      </c>
      <c r="I184" s="25" t="s">
        <v>290</v>
      </c>
      <c r="J184" s="25"/>
      <c r="K184" s="26" t="s">
        <v>574</v>
      </c>
    </row>
    <row r="185" spans="1:11" ht="15" customHeight="1" x14ac:dyDescent="0.25">
      <c r="A185" s="26" t="s">
        <v>582</v>
      </c>
      <c r="B185" s="26" t="s">
        <v>322</v>
      </c>
      <c r="C185" s="26" t="s">
        <v>583</v>
      </c>
      <c r="D185" s="26" t="s">
        <v>575</v>
      </c>
      <c r="E185" s="26" t="s">
        <v>380</v>
      </c>
      <c r="F185" s="26" t="s">
        <v>333</v>
      </c>
      <c r="G185" s="26"/>
      <c r="H185" s="25" t="s">
        <v>334</v>
      </c>
      <c r="I185" s="25" t="s">
        <v>292</v>
      </c>
      <c r="J185" s="25"/>
      <c r="K185" s="26"/>
    </row>
    <row r="186" spans="1:11" ht="15" customHeight="1" x14ac:dyDescent="0.25">
      <c r="A186" s="26" t="s">
        <v>582</v>
      </c>
      <c r="B186" s="26" t="s">
        <v>322</v>
      </c>
      <c r="C186" s="26" t="s">
        <v>583</v>
      </c>
      <c r="D186" s="26" t="s">
        <v>585</v>
      </c>
      <c r="E186" s="26" t="s">
        <v>586</v>
      </c>
      <c r="F186" s="26" t="s">
        <v>333</v>
      </c>
      <c r="G186" s="26">
        <v>0</v>
      </c>
      <c r="H186" s="25" t="s">
        <v>334</v>
      </c>
      <c r="I186" s="25" t="s">
        <v>290</v>
      </c>
      <c r="J186" s="25"/>
      <c r="K186" s="26"/>
    </row>
    <row r="187" spans="1:11" ht="15" customHeight="1" x14ac:dyDescent="0.25">
      <c r="A187" s="26" t="s">
        <v>582</v>
      </c>
      <c r="B187" s="26" t="s">
        <v>322</v>
      </c>
      <c r="C187" s="26" t="s">
        <v>583</v>
      </c>
      <c r="D187" s="26" t="s">
        <v>587</v>
      </c>
      <c r="E187" s="26" t="s">
        <v>586</v>
      </c>
      <c r="F187" s="26" t="s">
        <v>333</v>
      </c>
      <c r="G187" s="26">
        <v>0</v>
      </c>
      <c r="H187" s="25" t="s">
        <v>334</v>
      </c>
      <c r="I187" s="25" t="s">
        <v>290</v>
      </c>
      <c r="J187" s="25"/>
      <c r="K187" s="26"/>
    </row>
    <row r="188" spans="1:11" ht="15" customHeight="1" x14ac:dyDescent="0.25">
      <c r="A188" s="26" t="s">
        <v>582</v>
      </c>
      <c r="B188" s="26" t="s">
        <v>322</v>
      </c>
      <c r="C188" s="26" t="s">
        <v>583</v>
      </c>
      <c r="D188" s="26" t="s">
        <v>588</v>
      </c>
      <c r="E188" s="26" t="s">
        <v>586</v>
      </c>
      <c r="F188" s="26" t="s">
        <v>333</v>
      </c>
      <c r="G188" s="26">
        <v>0</v>
      </c>
      <c r="H188" s="25" t="s">
        <v>334</v>
      </c>
      <c r="I188" s="25" t="s">
        <v>290</v>
      </c>
      <c r="J188" s="25"/>
      <c r="K188" s="26"/>
    </row>
    <row r="189" spans="1:11" ht="15" customHeight="1" x14ac:dyDescent="0.25">
      <c r="A189" s="26" t="s">
        <v>589</v>
      </c>
      <c r="B189" s="26" t="s">
        <v>322</v>
      </c>
      <c r="C189" s="26" t="s">
        <v>590</v>
      </c>
      <c r="D189" s="26" t="s">
        <v>349</v>
      </c>
      <c r="E189" s="26" t="s">
        <v>328</v>
      </c>
      <c r="F189" s="26" t="s">
        <v>326</v>
      </c>
      <c r="G189" s="26">
        <v>16</v>
      </c>
      <c r="H189" s="25" t="s">
        <v>95</v>
      </c>
      <c r="I189" s="25" t="s">
        <v>290</v>
      </c>
      <c r="J189" s="25"/>
      <c r="K189" s="26" t="s">
        <v>568</v>
      </c>
    </row>
    <row r="190" spans="1:11" ht="15" customHeight="1" x14ac:dyDescent="0.25">
      <c r="A190" s="26" t="s">
        <v>589</v>
      </c>
      <c r="B190" s="26" t="s">
        <v>322</v>
      </c>
      <c r="C190" s="26" t="s">
        <v>590</v>
      </c>
      <c r="D190" s="26" t="s">
        <v>351</v>
      </c>
      <c r="E190" s="26" t="s">
        <v>352</v>
      </c>
      <c r="F190" s="26" t="s">
        <v>326</v>
      </c>
      <c r="G190" s="26">
        <v>20</v>
      </c>
      <c r="H190" s="25" t="s">
        <v>95</v>
      </c>
      <c r="I190" s="25" t="s">
        <v>292</v>
      </c>
      <c r="J190" s="25"/>
      <c r="K190" s="26" t="s">
        <v>353</v>
      </c>
    </row>
    <row r="191" spans="1:11" ht="15" customHeight="1" x14ac:dyDescent="0.25">
      <c r="A191" s="26" t="s">
        <v>589</v>
      </c>
      <c r="B191" s="26" t="s">
        <v>322</v>
      </c>
      <c r="C191" s="26" t="s">
        <v>590</v>
      </c>
      <c r="D191" s="26" t="s">
        <v>569</v>
      </c>
      <c r="E191" s="26" t="s">
        <v>591</v>
      </c>
      <c r="F191" s="26" t="s">
        <v>356</v>
      </c>
      <c r="G191" s="26"/>
      <c r="H191" s="25" t="s">
        <v>334</v>
      </c>
      <c r="I191" s="25" t="s">
        <v>290</v>
      </c>
      <c r="J191" s="25"/>
      <c r="K191" s="26" t="s">
        <v>516</v>
      </c>
    </row>
    <row r="192" spans="1:11" ht="15" customHeight="1" x14ac:dyDescent="0.25">
      <c r="A192" s="26" t="s">
        <v>589</v>
      </c>
      <c r="B192" s="26" t="s">
        <v>322</v>
      </c>
      <c r="C192" s="26" t="s">
        <v>590</v>
      </c>
      <c r="D192" s="26" t="s">
        <v>571</v>
      </c>
      <c r="E192" s="26" t="s">
        <v>328</v>
      </c>
      <c r="F192" s="26" t="s">
        <v>329</v>
      </c>
      <c r="G192" s="26">
        <v>0</v>
      </c>
      <c r="H192" s="25" t="s">
        <v>95</v>
      </c>
      <c r="I192" s="25" t="s">
        <v>291</v>
      </c>
      <c r="J192" s="25"/>
      <c r="K192" s="26" t="s">
        <v>572</v>
      </c>
    </row>
    <row r="193" spans="1:11" ht="15" customHeight="1" x14ac:dyDescent="0.25">
      <c r="A193" s="26" t="s">
        <v>589</v>
      </c>
      <c r="B193" s="26" t="s">
        <v>322</v>
      </c>
      <c r="C193" s="26" t="s">
        <v>590</v>
      </c>
      <c r="D193" s="26" t="s">
        <v>573</v>
      </c>
      <c r="E193" s="26" t="s">
        <v>328</v>
      </c>
      <c r="F193" s="26" t="s">
        <v>329</v>
      </c>
      <c r="G193" s="26">
        <v>0</v>
      </c>
      <c r="H193" s="25" t="s">
        <v>95</v>
      </c>
      <c r="I193" s="25" t="s">
        <v>290</v>
      </c>
      <c r="J193" s="25"/>
      <c r="K193" s="26" t="s">
        <v>519</v>
      </c>
    </row>
    <row r="194" spans="1:11" ht="15" customHeight="1" x14ac:dyDescent="0.25">
      <c r="A194" s="26" t="s">
        <v>589</v>
      </c>
      <c r="B194" s="26" t="s">
        <v>322</v>
      </c>
      <c r="C194" s="26" t="s">
        <v>590</v>
      </c>
      <c r="D194" s="26" t="s">
        <v>370</v>
      </c>
      <c r="E194" s="26" t="s">
        <v>328</v>
      </c>
      <c r="F194" s="26" t="s">
        <v>333</v>
      </c>
      <c r="G194" s="26">
        <v>0</v>
      </c>
      <c r="H194" s="25" t="s">
        <v>334</v>
      </c>
      <c r="I194" s="25" t="s">
        <v>290</v>
      </c>
      <c r="J194" s="25"/>
      <c r="K194" s="26"/>
    </row>
    <row r="195" spans="1:11" ht="15" customHeight="1" x14ac:dyDescent="0.25">
      <c r="A195" s="26" t="s">
        <v>589</v>
      </c>
      <c r="B195" s="26" t="s">
        <v>322</v>
      </c>
      <c r="C195" s="26" t="s">
        <v>590</v>
      </c>
      <c r="D195" s="26" t="s">
        <v>371</v>
      </c>
      <c r="E195" s="26" t="s">
        <v>328</v>
      </c>
      <c r="F195" s="26" t="s">
        <v>333</v>
      </c>
      <c r="G195" s="26">
        <v>0</v>
      </c>
      <c r="H195" s="25" t="s">
        <v>334</v>
      </c>
      <c r="I195" s="25" t="s">
        <v>290</v>
      </c>
      <c r="J195" s="25"/>
      <c r="K195" s="26"/>
    </row>
    <row r="196" spans="1:11" ht="15" customHeight="1" x14ac:dyDescent="0.25">
      <c r="A196" s="26" t="s">
        <v>589</v>
      </c>
      <c r="B196" s="26" t="s">
        <v>322</v>
      </c>
      <c r="C196" s="26" t="s">
        <v>590</v>
      </c>
      <c r="D196" s="26" t="s">
        <v>372</v>
      </c>
      <c r="E196" s="26" t="s">
        <v>328</v>
      </c>
      <c r="F196" s="26" t="s">
        <v>333</v>
      </c>
      <c r="G196" s="26">
        <v>15</v>
      </c>
      <c r="H196" s="25" t="s">
        <v>334</v>
      </c>
      <c r="I196" s="25" t="s">
        <v>290</v>
      </c>
      <c r="J196" s="25"/>
      <c r="K196" s="26" t="s">
        <v>574</v>
      </c>
    </row>
    <row r="197" spans="1:11" ht="15" customHeight="1" x14ac:dyDescent="0.25">
      <c r="A197" s="26" t="s">
        <v>589</v>
      </c>
      <c r="B197" s="26" t="s">
        <v>322</v>
      </c>
      <c r="C197" s="26" t="s">
        <v>590</v>
      </c>
      <c r="D197" s="26" t="s">
        <v>592</v>
      </c>
      <c r="E197" s="26" t="s">
        <v>328</v>
      </c>
      <c r="F197" s="26" t="s">
        <v>333</v>
      </c>
      <c r="G197" s="26">
        <v>0</v>
      </c>
      <c r="H197" s="25" t="s">
        <v>334</v>
      </c>
      <c r="I197" s="25" t="s">
        <v>290</v>
      </c>
      <c r="J197" s="25"/>
      <c r="K197" s="26"/>
    </row>
    <row r="198" spans="1:11" ht="15" customHeight="1" x14ac:dyDescent="0.25">
      <c r="A198" s="26" t="s">
        <v>589</v>
      </c>
      <c r="B198" s="26" t="s">
        <v>322</v>
      </c>
      <c r="C198" s="26" t="s">
        <v>590</v>
      </c>
      <c r="D198" s="26" t="s">
        <v>593</v>
      </c>
      <c r="E198" s="26" t="s">
        <v>352</v>
      </c>
      <c r="F198" s="26" t="s">
        <v>333</v>
      </c>
      <c r="G198" s="26">
        <v>0</v>
      </c>
      <c r="H198" s="25" t="s">
        <v>334</v>
      </c>
      <c r="I198" s="25" t="s">
        <v>290</v>
      </c>
      <c r="J198" s="25"/>
      <c r="K198" s="26"/>
    </row>
    <row r="199" spans="1:11" ht="15" customHeight="1" x14ac:dyDescent="0.25">
      <c r="A199" s="26" t="s">
        <v>594</v>
      </c>
      <c r="B199" s="26" t="s">
        <v>322</v>
      </c>
      <c r="C199" s="26" t="s">
        <v>595</v>
      </c>
      <c r="D199" s="26" t="s">
        <v>349</v>
      </c>
      <c r="E199" s="26" t="s">
        <v>328</v>
      </c>
      <c r="F199" s="26" t="s">
        <v>326</v>
      </c>
      <c r="G199" s="26">
        <v>16</v>
      </c>
      <c r="H199" s="25" t="s">
        <v>95</v>
      </c>
      <c r="I199" s="25" t="s">
        <v>290</v>
      </c>
      <c r="J199" s="25"/>
      <c r="K199" s="26" t="s">
        <v>568</v>
      </c>
    </row>
    <row r="200" spans="1:11" ht="15" customHeight="1" x14ac:dyDescent="0.25">
      <c r="A200" s="26" t="s">
        <v>594</v>
      </c>
      <c r="B200" s="26" t="s">
        <v>322</v>
      </c>
      <c r="C200" s="26" t="s">
        <v>595</v>
      </c>
      <c r="D200" s="26" t="s">
        <v>351</v>
      </c>
      <c r="E200" s="26" t="s">
        <v>352</v>
      </c>
      <c r="F200" s="26" t="s">
        <v>326</v>
      </c>
      <c r="G200" s="26">
        <v>20</v>
      </c>
      <c r="H200" s="25" t="s">
        <v>95</v>
      </c>
      <c r="I200" s="25" t="s">
        <v>292</v>
      </c>
      <c r="J200" s="25"/>
      <c r="K200" s="26" t="s">
        <v>353</v>
      </c>
    </row>
    <row r="201" spans="1:11" ht="15" customHeight="1" x14ac:dyDescent="0.25">
      <c r="A201" s="26" t="s">
        <v>594</v>
      </c>
      <c r="B201" s="26" t="s">
        <v>322</v>
      </c>
      <c r="C201" s="26" t="s">
        <v>595</v>
      </c>
      <c r="D201" s="26" t="s">
        <v>569</v>
      </c>
      <c r="E201" s="26" t="s">
        <v>596</v>
      </c>
      <c r="F201" s="26" t="s">
        <v>356</v>
      </c>
      <c r="G201" s="26"/>
      <c r="H201" s="25" t="s">
        <v>334</v>
      </c>
      <c r="I201" s="25" t="s">
        <v>290</v>
      </c>
      <c r="J201" s="25"/>
      <c r="K201" s="26" t="s">
        <v>516</v>
      </c>
    </row>
    <row r="202" spans="1:11" ht="15" customHeight="1" x14ac:dyDescent="0.25">
      <c r="A202" s="26" t="s">
        <v>594</v>
      </c>
      <c r="B202" s="26" t="s">
        <v>322</v>
      </c>
      <c r="C202" s="26" t="s">
        <v>595</v>
      </c>
      <c r="D202" s="26" t="s">
        <v>571</v>
      </c>
      <c r="E202" s="26" t="s">
        <v>328</v>
      </c>
      <c r="F202" s="26" t="s">
        <v>329</v>
      </c>
      <c r="G202" s="26">
        <v>0</v>
      </c>
      <c r="H202" s="25" t="s">
        <v>95</v>
      </c>
      <c r="I202" s="25" t="s">
        <v>291</v>
      </c>
      <c r="J202" s="25"/>
      <c r="K202" s="26" t="s">
        <v>572</v>
      </c>
    </row>
    <row r="203" spans="1:11" ht="15" customHeight="1" x14ac:dyDescent="0.25">
      <c r="A203" s="26" t="s">
        <v>594</v>
      </c>
      <c r="B203" s="26" t="s">
        <v>322</v>
      </c>
      <c r="C203" s="26" t="s">
        <v>595</v>
      </c>
      <c r="D203" s="26" t="s">
        <v>573</v>
      </c>
      <c r="E203" s="26" t="s">
        <v>328</v>
      </c>
      <c r="F203" s="26" t="s">
        <v>329</v>
      </c>
      <c r="G203" s="26">
        <v>0</v>
      </c>
      <c r="H203" s="25" t="s">
        <v>95</v>
      </c>
      <c r="I203" s="25" t="s">
        <v>290</v>
      </c>
      <c r="J203" s="25"/>
      <c r="K203" s="26" t="s">
        <v>519</v>
      </c>
    </row>
    <row r="204" spans="1:11" ht="15" customHeight="1" x14ac:dyDescent="0.25">
      <c r="A204" s="26" t="s">
        <v>594</v>
      </c>
      <c r="B204" s="26" t="s">
        <v>322</v>
      </c>
      <c r="C204" s="26" t="s">
        <v>595</v>
      </c>
      <c r="D204" s="26" t="s">
        <v>370</v>
      </c>
      <c r="E204" s="26" t="s">
        <v>328</v>
      </c>
      <c r="F204" s="26" t="s">
        <v>333</v>
      </c>
      <c r="G204" s="26">
        <v>0</v>
      </c>
      <c r="H204" s="25" t="s">
        <v>334</v>
      </c>
      <c r="I204" s="25" t="s">
        <v>290</v>
      </c>
      <c r="J204" s="25"/>
      <c r="K204" s="26"/>
    </row>
    <row r="205" spans="1:11" ht="15" customHeight="1" x14ac:dyDescent="0.25">
      <c r="A205" s="26" t="s">
        <v>594</v>
      </c>
      <c r="B205" s="26" t="s">
        <v>322</v>
      </c>
      <c r="C205" s="26" t="s">
        <v>595</v>
      </c>
      <c r="D205" s="26" t="s">
        <v>371</v>
      </c>
      <c r="E205" s="26" t="s">
        <v>328</v>
      </c>
      <c r="F205" s="26" t="s">
        <v>333</v>
      </c>
      <c r="G205" s="26">
        <v>0</v>
      </c>
      <c r="H205" s="25" t="s">
        <v>334</v>
      </c>
      <c r="I205" s="25" t="s">
        <v>290</v>
      </c>
      <c r="J205" s="25"/>
      <c r="K205" s="26"/>
    </row>
    <row r="206" spans="1:11" ht="15" customHeight="1" x14ac:dyDescent="0.25">
      <c r="A206" s="26" t="s">
        <v>594</v>
      </c>
      <c r="B206" s="26" t="s">
        <v>322</v>
      </c>
      <c r="C206" s="26" t="s">
        <v>595</v>
      </c>
      <c r="D206" s="26" t="s">
        <v>372</v>
      </c>
      <c r="E206" s="26" t="s">
        <v>328</v>
      </c>
      <c r="F206" s="26" t="s">
        <v>333</v>
      </c>
      <c r="G206" s="26">
        <v>15</v>
      </c>
      <c r="H206" s="25" t="s">
        <v>334</v>
      </c>
      <c r="I206" s="25" t="s">
        <v>290</v>
      </c>
      <c r="J206" s="25"/>
      <c r="K206" s="26" t="s">
        <v>574</v>
      </c>
    </row>
    <row r="207" spans="1:11" ht="15" customHeight="1" x14ac:dyDescent="0.25">
      <c r="A207" s="26" t="s">
        <v>594</v>
      </c>
      <c r="B207" s="26" t="s">
        <v>322</v>
      </c>
      <c r="C207" s="26" t="s">
        <v>595</v>
      </c>
      <c r="D207" s="26" t="s">
        <v>575</v>
      </c>
      <c r="E207" s="26" t="s">
        <v>380</v>
      </c>
      <c r="F207" s="26" t="s">
        <v>333</v>
      </c>
      <c r="G207" s="26"/>
      <c r="H207" s="25" t="s">
        <v>334</v>
      </c>
      <c r="I207" s="25" t="s">
        <v>292</v>
      </c>
      <c r="J207" s="25"/>
      <c r="K207" s="26"/>
    </row>
    <row r="208" spans="1:11" ht="15" customHeight="1" x14ac:dyDescent="0.25">
      <c r="A208" s="26" t="s">
        <v>594</v>
      </c>
      <c r="B208" s="26" t="s">
        <v>322</v>
      </c>
      <c r="C208" s="26" t="s">
        <v>595</v>
      </c>
      <c r="D208" s="26" t="s">
        <v>576</v>
      </c>
      <c r="E208" s="26" t="s">
        <v>380</v>
      </c>
      <c r="F208" s="26" t="s">
        <v>333</v>
      </c>
      <c r="G208" s="26"/>
      <c r="H208" s="25" t="s">
        <v>334</v>
      </c>
      <c r="I208" s="25" t="s">
        <v>290</v>
      </c>
      <c r="J208" s="25"/>
      <c r="K208" s="26"/>
    </row>
    <row r="209" spans="1:11" ht="15" customHeight="1" x14ac:dyDescent="0.25">
      <c r="A209" s="26" t="s">
        <v>597</v>
      </c>
      <c r="B209" s="26" t="s">
        <v>322</v>
      </c>
      <c r="C209" s="26" t="s">
        <v>598</v>
      </c>
      <c r="D209" s="26" t="s">
        <v>349</v>
      </c>
      <c r="E209" s="26" t="s">
        <v>328</v>
      </c>
      <c r="F209" s="26" t="s">
        <v>326</v>
      </c>
      <c r="G209" s="26">
        <v>16</v>
      </c>
      <c r="H209" s="25" t="s">
        <v>95</v>
      </c>
      <c r="I209" s="25" t="s">
        <v>290</v>
      </c>
      <c r="J209" s="25"/>
      <c r="K209" s="26" t="s">
        <v>568</v>
      </c>
    </row>
    <row r="210" spans="1:11" ht="15" customHeight="1" x14ac:dyDescent="0.25">
      <c r="A210" s="26" t="s">
        <v>597</v>
      </c>
      <c r="B210" s="26" t="s">
        <v>322</v>
      </c>
      <c r="C210" s="26" t="s">
        <v>598</v>
      </c>
      <c r="D210" s="26" t="s">
        <v>351</v>
      </c>
      <c r="E210" s="26" t="s">
        <v>352</v>
      </c>
      <c r="F210" s="26" t="s">
        <v>326</v>
      </c>
      <c r="G210" s="26">
        <v>20</v>
      </c>
      <c r="H210" s="25" t="s">
        <v>95</v>
      </c>
      <c r="I210" s="25" t="s">
        <v>292</v>
      </c>
      <c r="J210" s="25"/>
      <c r="K210" s="26" t="s">
        <v>353</v>
      </c>
    </row>
    <row r="211" spans="1:11" ht="15" customHeight="1" x14ac:dyDescent="0.25">
      <c r="A211" s="26" t="s">
        <v>597</v>
      </c>
      <c r="B211" s="26" t="s">
        <v>322</v>
      </c>
      <c r="C211" s="26" t="s">
        <v>598</v>
      </c>
      <c r="D211" s="26" t="s">
        <v>569</v>
      </c>
      <c r="E211" s="26" t="s">
        <v>599</v>
      </c>
      <c r="F211" s="26" t="s">
        <v>356</v>
      </c>
      <c r="G211" s="26"/>
      <c r="H211" s="25" t="s">
        <v>334</v>
      </c>
      <c r="I211" s="25" t="s">
        <v>290</v>
      </c>
      <c r="J211" s="25"/>
      <c r="K211" s="26" t="s">
        <v>516</v>
      </c>
    </row>
    <row r="212" spans="1:11" ht="15" customHeight="1" x14ac:dyDescent="0.25">
      <c r="A212" s="26" t="s">
        <v>597</v>
      </c>
      <c r="B212" s="26" t="s">
        <v>322</v>
      </c>
      <c r="C212" s="26" t="s">
        <v>598</v>
      </c>
      <c r="D212" s="26" t="s">
        <v>571</v>
      </c>
      <c r="E212" s="26" t="s">
        <v>328</v>
      </c>
      <c r="F212" s="26" t="s">
        <v>329</v>
      </c>
      <c r="G212" s="26">
        <v>0</v>
      </c>
      <c r="H212" s="25" t="s">
        <v>95</v>
      </c>
      <c r="I212" s="25" t="s">
        <v>291</v>
      </c>
      <c r="J212" s="25"/>
      <c r="K212" s="26" t="s">
        <v>572</v>
      </c>
    </row>
    <row r="213" spans="1:11" ht="15" customHeight="1" x14ac:dyDescent="0.25">
      <c r="A213" s="26" t="s">
        <v>597</v>
      </c>
      <c r="B213" s="26" t="s">
        <v>322</v>
      </c>
      <c r="C213" s="26" t="s">
        <v>598</v>
      </c>
      <c r="D213" s="26" t="s">
        <v>573</v>
      </c>
      <c r="E213" s="26" t="s">
        <v>328</v>
      </c>
      <c r="F213" s="26" t="s">
        <v>329</v>
      </c>
      <c r="G213" s="26">
        <v>0</v>
      </c>
      <c r="H213" s="25" t="s">
        <v>95</v>
      </c>
      <c r="I213" s="25" t="s">
        <v>290</v>
      </c>
      <c r="J213" s="25"/>
      <c r="K213" s="26" t="s">
        <v>519</v>
      </c>
    </row>
    <row r="214" spans="1:11" ht="15" customHeight="1" x14ac:dyDescent="0.25">
      <c r="A214" s="26" t="s">
        <v>597</v>
      </c>
      <c r="B214" s="26" t="s">
        <v>322</v>
      </c>
      <c r="C214" s="26" t="s">
        <v>598</v>
      </c>
      <c r="D214" s="26" t="s">
        <v>370</v>
      </c>
      <c r="E214" s="26" t="s">
        <v>328</v>
      </c>
      <c r="F214" s="26" t="s">
        <v>333</v>
      </c>
      <c r="G214" s="26">
        <v>0</v>
      </c>
      <c r="H214" s="25" t="s">
        <v>334</v>
      </c>
      <c r="I214" s="25" t="s">
        <v>290</v>
      </c>
      <c r="J214" s="25"/>
      <c r="K214" s="26"/>
    </row>
    <row r="215" spans="1:11" ht="15" customHeight="1" x14ac:dyDescent="0.25">
      <c r="A215" s="26" t="s">
        <v>597</v>
      </c>
      <c r="B215" s="26" t="s">
        <v>322</v>
      </c>
      <c r="C215" s="26" t="s">
        <v>598</v>
      </c>
      <c r="D215" s="26" t="s">
        <v>371</v>
      </c>
      <c r="E215" s="26" t="s">
        <v>328</v>
      </c>
      <c r="F215" s="26" t="s">
        <v>333</v>
      </c>
      <c r="G215" s="26">
        <v>0</v>
      </c>
      <c r="H215" s="25" t="s">
        <v>334</v>
      </c>
      <c r="I215" s="25" t="s">
        <v>290</v>
      </c>
      <c r="J215" s="25"/>
      <c r="K215" s="26"/>
    </row>
    <row r="216" spans="1:11" ht="15" customHeight="1" x14ac:dyDescent="0.25">
      <c r="A216" s="26" t="s">
        <v>597</v>
      </c>
      <c r="B216" s="26" t="s">
        <v>322</v>
      </c>
      <c r="C216" s="26" t="s">
        <v>598</v>
      </c>
      <c r="D216" s="26" t="s">
        <v>372</v>
      </c>
      <c r="E216" s="26" t="s">
        <v>328</v>
      </c>
      <c r="F216" s="26" t="s">
        <v>333</v>
      </c>
      <c r="G216" s="26">
        <v>15</v>
      </c>
      <c r="H216" s="25" t="s">
        <v>334</v>
      </c>
      <c r="I216" s="25" t="s">
        <v>290</v>
      </c>
      <c r="J216" s="25"/>
      <c r="K216" s="26" t="s">
        <v>574</v>
      </c>
    </row>
    <row r="217" spans="1:11" ht="15" customHeight="1" x14ac:dyDescent="0.25">
      <c r="A217" s="26" t="s">
        <v>597</v>
      </c>
      <c r="B217" s="26" t="s">
        <v>322</v>
      </c>
      <c r="C217" s="26" t="s">
        <v>598</v>
      </c>
      <c r="D217" s="26" t="s">
        <v>575</v>
      </c>
      <c r="E217" s="26" t="s">
        <v>380</v>
      </c>
      <c r="F217" s="26" t="s">
        <v>333</v>
      </c>
      <c r="G217" s="26"/>
      <c r="H217" s="25" t="s">
        <v>334</v>
      </c>
      <c r="I217" s="25" t="s">
        <v>292</v>
      </c>
      <c r="J217" s="25"/>
      <c r="K217" s="26"/>
    </row>
    <row r="218" spans="1:11" ht="15" customHeight="1" x14ac:dyDescent="0.25">
      <c r="A218" s="26" t="s">
        <v>597</v>
      </c>
      <c r="B218" s="26" t="s">
        <v>322</v>
      </c>
      <c r="C218" s="26" t="s">
        <v>598</v>
      </c>
      <c r="D218" s="26" t="s">
        <v>576</v>
      </c>
      <c r="E218" s="26" t="s">
        <v>380</v>
      </c>
      <c r="F218" s="26" t="s">
        <v>333</v>
      </c>
      <c r="G218" s="26"/>
      <c r="H218" s="25" t="s">
        <v>334</v>
      </c>
      <c r="I218" s="25" t="s">
        <v>290</v>
      </c>
      <c r="J218" s="25"/>
      <c r="K218" s="26"/>
    </row>
    <row r="219" spans="1:11" ht="15" customHeight="1" x14ac:dyDescent="0.25">
      <c r="A219" s="26" t="s">
        <v>600</v>
      </c>
      <c r="B219" s="26" t="s">
        <v>322</v>
      </c>
      <c r="C219" s="26" t="s">
        <v>601</v>
      </c>
      <c r="D219" s="26" t="s">
        <v>349</v>
      </c>
      <c r="E219" s="26" t="s">
        <v>328</v>
      </c>
      <c r="F219" s="26" t="s">
        <v>326</v>
      </c>
      <c r="G219" s="26">
        <v>16</v>
      </c>
      <c r="H219" s="25" t="s">
        <v>95</v>
      </c>
      <c r="I219" s="25" t="s">
        <v>290</v>
      </c>
      <c r="J219" s="25"/>
      <c r="K219" s="26" t="s">
        <v>568</v>
      </c>
    </row>
    <row r="220" spans="1:11" ht="15" customHeight="1" x14ac:dyDescent="0.25">
      <c r="A220" s="26" t="s">
        <v>600</v>
      </c>
      <c r="B220" s="26" t="s">
        <v>322</v>
      </c>
      <c r="C220" s="26" t="s">
        <v>601</v>
      </c>
      <c r="D220" s="26" t="s">
        <v>351</v>
      </c>
      <c r="E220" s="26" t="s">
        <v>352</v>
      </c>
      <c r="F220" s="26" t="s">
        <v>326</v>
      </c>
      <c r="G220" s="26">
        <v>20</v>
      </c>
      <c r="H220" s="25" t="s">
        <v>95</v>
      </c>
      <c r="I220" s="25" t="s">
        <v>292</v>
      </c>
      <c r="J220" s="25"/>
      <c r="K220" s="26" t="s">
        <v>353</v>
      </c>
    </row>
    <row r="221" spans="1:11" ht="15" customHeight="1" x14ac:dyDescent="0.25">
      <c r="A221" s="26" t="s">
        <v>600</v>
      </c>
      <c r="B221" s="26" t="s">
        <v>322</v>
      </c>
      <c r="C221" s="26" t="s">
        <v>601</v>
      </c>
      <c r="D221" s="26" t="s">
        <v>569</v>
      </c>
      <c r="E221" s="26" t="s">
        <v>602</v>
      </c>
      <c r="F221" s="26" t="s">
        <v>356</v>
      </c>
      <c r="G221" s="26"/>
      <c r="H221" s="25" t="s">
        <v>334</v>
      </c>
      <c r="I221" s="25" t="s">
        <v>290</v>
      </c>
      <c r="J221" s="25"/>
      <c r="K221" s="26" t="s">
        <v>516</v>
      </c>
    </row>
    <row r="222" spans="1:11" ht="15" customHeight="1" x14ac:dyDescent="0.25">
      <c r="A222" s="26" t="s">
        <v>600</v>
      </c>
      <c r="B222" s="26" t="s">
        <v>322</v>
      </c>
      <c r="C222" s="26" t="s">
        <v>601</v>
      </c>
      <c r="D222" s="26" t="s">
        <v>571</v>
      </c>
      <c r="E222" s="26" t="s">
        <v>328</v>
      </c>
      <c r="F222" s="26" t="s">
        <v>329</v>
      </c>
      <c r="G222" s="26">
        <v>0</v>
      </c>
      <c r="H222" s="25" t="s">
        <v>95</v>
      </c>
      <c r="I222" s="25" t="s">
        <v>291</v>
      </c>
      <c r="J222" s="25"/>
      <c r="K222" s="26" t="s">
        <v>572</v>
      </c>
    </row>
    <row r="223" spans="1:11" ht="15" customHeight="1" x14ac:dyDescent="0.25">
      <c r="A223" s="26" t="s">
        <v>600</v>
      </c>
      <c r="B223" s="26" t="s">
        <v>322</v>
      </c>
      <c r="C223" s="26" t="s">
        <v>601</v>
      </c>
      <c r="D223" s="26" t="s">
        <v>573</v>
      </c>
      <c r="E223" s="26" t="s">
        <v>328</v>
      </c>
      <c r="F223" s="26" t="s">
        <v>329</v>
      </c>
      <c r="G223" s="26">
        <v>0</v>
      </c>
      <c r="H223" s="25" t="s">
        <v>95</v>
      </c>
      <c r="I223" s="25" t="s">
        <v>290</v>
      </c>
      <c r="J223" s="25"/>
      <c r="K223" s="26" t="s">
        <v>519</v>
      </c>
    </row>
    <row r="224" spans="1:11" ht="15" customHeight="1" x14ac:dyDescent="0.25">
      <c r="A224" s="26" t="s">
        <v>600</v>
      </c>
      <c r="B224" s="26" t="s">
        <v>322</v>
      </c>
      <c r="C224" s="26" t="s">
        <v>601</v>
      </c>
      <c r="D224" s="26" t="s">
        <v>370</v>
      </c>
      <c r="E224" s="26" t="s">
        <v>328</v>
      </c>
      <c r="F224" s="26" t="s">
        <v>333</v>
      </c>
      <c r="G224" s="26">
        <v>0</v>
      </c>
      <c r="H224" s="25" t="s">
        <v>334</v>
      </c>
      <c r="I224" s="25" t="s">
        <v>290</v>
      </c>
      <c r="J224" s="25"/>
      <c r="K224" s="26"/>
    </row>
    <row r="225" spans="1:11" ht="15" customHeight="1" x14ac:dyDescent="0.25">
      <c r="A225" s="26" t="s">
        <v>600</v>
      </c>
      <c r="B225" s="26" t="s">
        <v>322</v>
      </c>
      <c r="C225" s="26" t="s">
        <v>601</v>
      </c>
      <c r="D225" s="26" t="s">
        <v>371</v>
      </c>
      <c r="E225" s="26" t="s">
        <v>328</v>
      </c>
      <c r="F225" s="26" t="s">
        <v>333</v>
      </c>
      <c r="G225" s="26">
        <v>0</v>
      </c>
      <c r="H225" s="25" t="s">
        <v>334</v>
      </c>
      <c r="I225" s="25" t="s">
        <v>290</v>
      </c>
      <c r="J225" s="25"/>
      <c r="K225" s="26"/>
    </row>
    <row r="226" spans="1:11" ht="15" customHeight="1" x14ac:dyDescent="0.25">
      <c r="A226" s="26" t="s">
        <v>600</v>
      </c>
      <c r="B226" s="26" t="s">
        <v>322</v>
      </c>
      <c r="C226" s="26" t="s">
        <v>601</v>
      </c>
      <c r="D226" s="26" t="s">
        <v>372</v>
      </c>
      <c r="E226" s="26" t="s">
        <v>328</v>
      </c>
      <c r="F226" s="26" t="s">
        <v>333</v>
      </c>
      <c r="G226" s="26">
        <v>15</v>
      </c>
      <c r="H226" s="25" t="s">
        <v>334</v>
      </c>
      <c r="I226" s="25" t="s">
        <v>290</v>
      </c>
      <c r="J226" s="25"/>
      <c r="K226" s="26" t="s">
        <v>574</v>
      </c>
    </row>
    <row r="227" spans="1:11" ht="15" customHeight="1" x14ac:dyDescent="0.25">
      <c r="A227" s="26" t="s">
        <v>600</v>
      </c>
      <c r="B227" s="26" t="s">
        <v>322</v>
      </c>
      <c r="C227" s="26" t="s">
        <v>601</v>
      </c>
      <c r="D227" s="26" t="s">
        <v>588</v>
      </c>
      <c r="E227" s="26" t="s">
        <v>586</v>
      </c>
      <c r="F227" s="26" t="s">
        <v>333</v>
      </c>
      <c r="G227" s="26">
        <v>0</v>
      </c>
      <c r="H227" s="25" t="s">
        <v>334</v>
      </c>
      <c r="I227" s="25" t="s">
        <v>290</v>
      </c>
      <c r="J227" s="25"/>
      <c r="K227" s="26"/>
    </row>
    <row r="228" spans="1:11" ht="15" customHeight="1" x14ac:dyDescent="0.25">
      <c r="A228" s="26" t="s">
        <v>603</v>
      </c>
      <c r="B228" s="26" t="s">
        <v>322</v>
      </c>
      <c r="C228" s="26" t="s">
        <v>604</v>
      </c>
      <c r="D228" s="26" t="s">
        <v>349</v>
      </c>
      <c r="E228" s="26" t="s">
        <v>328</v>
      </c>
      <c r="F228" s="26" t="s">
        <v>326</v>
      </c>
      <c r="G228" s="26">
        <v>16</v>
      </c>
      <c r="H228" s="25" t="s">
        <v>95</v>
      </c>
      <c r="I228" s="25" t="s">
        <v>290</v>
      </c>
      <c r="J228" s="25"/>
      <c r="K228" s="26" t="s">
        <v>568</v>
      </c>
    </row>
    <row r="229" spans="1:11" ht="15" customHeight="1" x14ac:dyDescent="0.25">
      <c r="A229" s="26" t="s">
        <v>603</v>
      </c>
      <c r="B229" s="26" t="s">
        <v>322</v>
      </c>
      <c r="C229" s="26" t="s">
        <v>604</v>
      </c>
      <c r="D229" s="26" t="s">
        <v>351</v>
      </c>
      <c r="E229" s="26" t="s">
        <v>352</v>
      </c>
      <c r="F229" s="26" t="s">
        <v>326</v>
      </c>
      <c r="G229" s="26">
        <v>20</v>
      </c>
      <c r="H229" s="25" t="s">
        <v>95</v>
      </c>
      <c r="I229" s="25" t="s">
        <v>292</v>
      </c>
      <c r="J229" s="25"/>
      <c r="K229" s="26" t="s">
        <v>353</v>
      </c>
    </row>
    <row r="230" spans="1:11" ht="15" customHeight="1" x14ac:dyDescent="0.25">
      <c r="A230" s="26" t="s">
        <v>603</v>
      </c>
      <c r="B230" s="26" t="s">
        <v>322</v>
      </c>
      <c r="C230" s="26" t="s">
        <v>604</v>
      </c>
      <c r="D230" s="26" t="s">
        <v>569</v>
      </c>
      <c r="E230" s="26" t="s">
        <v>605</v>
      </c>
      <c r="F230" s="26" t="s">
        <v>356</v>
      </c>
      <c r="G230" s="26"/>
      <c r="H230" s="25" t="s">
        <v>334</v>
      </c>
      <c r="I230" s="25" t="s">
        <v>290</v>
      </c>
      <c r="J230" s="25"/>
      <c r="K230" s="26" t="s">
        <v>516</v>
      </c>
    </row>
    <row r="231" spans="1:11" ht="15" customHeight="1" x14ac:dyDescent="0.25">
      <c r="A231" s="26" t="s">
        <v>603</v>
      </c>
      <c r="B231" s="26" t="s">
        <v>322</v>
      </c>
      <c r="C231" s="26" t="s">
        <v>604</v>
      </c>
      <c r="D231" s="26" t="s">
        <v>571</v>
      </c>
      <c r="E231" s="26" t="s">
        <v>328</v>
      </c>
      <c r="F231" s="26" t="s">
        <v>329</v>
      </c>
      <c r="G231" s="26">
        <v>0</v>
      </c>
      <c r="H231" s="25" t="s">
        <v>95</v>
      </c>
      <c r="I231" s="25" t="s">
        <v>291</v>
      </c>
      <c r="J231" s="25"/>
      <c r="K231" s="26" t="s">
        <v>572</v>
      </c>
    </row>
    <row r="232" spans="1:11" ht="15" customHeight="1" x14ac:dyDescent="0.25">
      <c r="A232" s="26" t="s">
        <v>603</v>
      </c>
      <c r="B232" s="26" t="s">
        <v>322</v>
      </c>
      <c r="C232" s="26" t="s">
        <v>604</v>
      </c>
      <c r="D232" s="26" t="s">
        <v>573</v>
      </c>
      <c r="E232" s="26" t="s">
        <v>328</v>
      </c>
      <c r="F232" s="26" t="s">
        <v>329</v>
      </c>
      <c r="G232" s="26">
        <v>0</v>
      </c>
      <c r="H232" s="25" t="s">
        <v>95</v>
      </c>
      <c r="I232" s="25" t="s">
        <v>290</v>
      </c>
      <c r="J232" s="25"/>
      <c r="K232" s="26" t="s">
        <v>519</v>
      </c>
    </row>
    <row r="233" spans="1:11" ht="15" customHeight="1" x14ac:dyDescent="0.25">
      <c r="A233" s="26" t="s">
        <v>603</v>
      </c>
      <c r="B233" s="26" t="s">
        <v>322</v>
      </c>
      <c r="C233" s="26" t="s">
        <v>604</v>
      </c>
      <c r="D233" s="26" t="s">
        <v>370</v>
      </c>
      <c r="E233" s="26" t="s">
        <v>328</v>
      </c>
      <c r="F233" s="26" t="s">
        <v>333</v>
      </c>
      <c r="G233" s="26">
        <v>0</v>
      </c>
      <c r="H233" s="25" t="s">
        <v>334</v>
      </c>
      <c r="I233" s="25" t="s">
        <v>290</v>
      </c>
      <c r="J233" s="25"/>
      <c r="K233" s="26"/>
    </row>
    <row r="234" spans="1:11" ht="15" customHeight="1" x14ac:dyDescent="0.25">
      <c r="A234" s="26" t="s">
        <v>603</v>
      </c>
      <c r="B234" s="26" t="s">
        <v>322</v>
      </c>
      <c r="C234" s="26" t="s">
        <v>604</v>
      </c>
      <c r="D234" s="26" t="s">
        <v>371</v>
      </c>
      <c r="E234" s="26" t="s">
        <v>328</v>
      </c>
      <c r="F234" s="26" t="s">
        <v>333</v>
      </c>
      <c r="G234" s="26">
        <v>0</v>
      </c>
      <c r="H234" s="25" t="s">
        <v>334</v>
      </c>
      <c r="I234" s="25" t="s">
        <v>290</v>
      </c>
      <c r="J234" s="25"/>
      <c r="K234" s="26"/>
    </row>
    <row r="235" spans="1:11" ht="15" customHeight="1" x14ac:dyDescent="0.25">
      <c r="A235" s="26" t="s">
        <v>603</v>
      </c>
      <c r="B235" s="26" t="s">
        <v>322</v>
      </c>
      <c r="C235" s="26" t="s">
        <v>604</v>
      </c>
      <c r="D235" s="26" t="s">
        <v>372</v>
      </c>
      <c r="E235" s="26" t="s">
        <v>328</v>
      </c>
      <c r="F235" s="26" t="s">
        <v>333</v>
      </c>
      <c r="G235" s="26">
        <v>15</v>
      </c>
      <c r="H235" s="25" t="s">
        <v>334</v>
      </c>
      <c r="I235" s="25" t="s">
        <v>290</v>
      </c>
      <c r="J235" s="25"/>
      <c r="K235" s="26" t="s">
        <v>574</v>
      </c>
    </row>
    <row r="236" spans="1:11" ht="15" customHeight="1" x14ac:dyDescent="0.25">
      <c r="A236" s="26" t="s">
        <v>603</v>
      </c>
      <c r="B236" s="26" t="s">
        <v>322</v>
      </c>
      <c r="C236" s="26" t="s">
        <v>604</v>
      </c>
      <c r="D236" s="26" t="s">
        <v>575</v>
      </c>
      <c r="E236" s="26" t="s">
        <v>328</v>
      </c>
      <c r="F236" s="26" t="s">
        <v>333</v>
      </c>
      <c r="G236" s="26">
        <v>0</v>
      </c>
      <c r="H236" s="25" t="s">
        <v>334</v>
      </c>
      <c r="I236" s="25" t="s">
        <v>292</v>
      </c>
      <c r="J236" s="25"/>
      <c r="K236" s="26"/>
    </row>
    <row r="237" spans="1:11" ht="15" customHeight="1" x14ac:dyDescent="0.25">
      <c r="A237" s="26" t="s">
        <v>603</v>
      </c>
      <c r="B237" s="26" t="s">
        <v>322</v>
      </c>
      <c r="C237" s="26" t="s">
        <v>604</v>
      </c>
      <c r="D237" s="26" t="s">
        <v>606</v>
      </c>
      <c r="E237" s="26" t="s">
        <v>328</v>
      </c>
      <c r="F237" s="26" t="s">
        <v>333</v>
      </c>
      <c r="G237" s="26">
        <v>-1</v>
      </c>
      <c r="H237" s="25" t="s">
        <v>334</v>
      </c>
      <c r="I237" s="25" t="s">
        <v>290</v>
      </c>
      <c r="J237" s="25"/>
      <c r="K237" s="26"/>
    </row>
    <row r="238" spans="1:11" ht="15" customHeight="1" x14ac:dyDescent="0.25">
      <c r="A238" s="26" t="s">
        <v>603</v>
      </c>
      <c r="B238" s="26" t="s">
        <v>322</v>
      </c>
      <c r="C238" s="26" t="s">
        <v>604</v>
      </c>
      <c r="D238" s="26" t="s">
        <v>607</v>
      </c>
      <c r="E238" s="26" t="s">
        <v>328</v>
      </c>
      <c r="F238" s="26" t="s">
        <v>333</v>
      </c>
      <c r="G238" s="26">
        <v>0</v>
      </c>
      <c r="H238" s="25" t="s">
        <v>334</v>
      </c>
      <c r="I238" s="25" t="s">
        <v>290</v>
      </c>
      <c r="J238" s="25"/>
      <c r="K238" s="26"/>
    </row>
    <row r="239" spans="1:11" ht="15" customHeight="1" x14ac:dyDescent="0.25">
      <c r="A239" s="26" t="s">
        <v>603</v>
      </c>
      <c r="B239" s="26" t="s">
        <v>322</v>
      </c>
      <c r="C239" s="26" t="s">
        <v>604</v>
      </c>
      <c r="D239" s="26" t="s">
        <v>476</v>
      </c>
      <c r="E239" s="26" t="s">
        <v>328</v>
      </c>
      <c r="F239" s="26" t="s">
        <v>333</v>
      </c>
      <c r="G239" s="26">
        <v>0</v>
      </c>
      <c r="H239" s="25" t="s">
        <v>334</v>
      </c>
      <c r="I239" s="25" t="s">
        <v>290</v>
      </c>
      <c r="J239" s="25"/>
      <c r="K239" s="26"/>
    </row>
    <row r="240" spans="1:11" ht="15" customHeight="1" x14ac:dyDescent="0.25">
      <c r="A240" s="26" t="s">
        <v>608</v>
      </c>
      <c r="B240" s="26" t="s">
        <v>322</v>
      </c>
      <c r="C240" s="26" t="s">
        <v>609</v>
      </c>
      <c r="D240" s="26" t="s">
        <v>349</v>
      </c>
      <c r="E240" s="26" t="s">
        <v>328</v>
      </c>
      <c r="F240" s="26" t="s">
        <v>326</v>
      </c>
      <c r="G240" s="26">
        <v>16</v>
      </c>
      <c r="H240" s="25" t="s">
        <v>95</v>
      </c>
      <c r="I240" s="25" t="s">
        <v>290</v>
      </c>
      <c r="J240" s="25"/>
      <c r="K240" s="26" t="s">
        <v>568</v>
      </c>
    </row>
    <row r="241" spans="1:11" ht="15" customHeight="1" x14ac:dyDescent="0.25">
      <c r="A241" s="26" t="s">
        <v>608</v>
      </c>
      <c r="B241" s="26" t="s">
        <v>322</v>
      </c>
      <c r="C241" s="26" t="s">
        <v>609</v>
      </c>
      <c r="D241" s="26" t="s">
        <v>351</v>
      </c>
      <c r="E241" s="26" t="s">
        <v>352</v>
      </c>
      <c r="F241" s="26" t="s">
        <v>326</v>
      </c>
      <c r="G241" s="26">
        <v>20</v>
      </c>
      <c r="H241" s="25" t="s">
        <v>95</v>
      </c>
      <c r="I241" s="25" t="s">
        <v>292</v>
      </c>
      <c r="J241" s="25"/>
      <c r="K241" s="26" t="s">
        <v>353</v>
      </c>
    </row>
    <row r="242" spans="1:11" ht="15" customHeight="1" x14ac:dyDescent="0.25">
      <c r="A242" s="26" t="s">
        <v>608</v>
      </c>
      <c r="B242" s="26" t="s">
        <v>322</v>
      </c>
      <c r="C242" s="26" t="s">
        <v>609</v>
      </c>
      <c r="D242" s="26" t="s">
        <v>569</v>
      </c>
      <c r="E242" s="26" t="s">
        <v>610</v>
      </c>
      <c r="F242" s="26" t="s">
        <v>356</v>
      </c>
      <c r="G242" s="26"/>
      <c r="H242" s="25" t="s">
        <v>334</v>
      </c>
      <c r="I242" s="25" t="s">
        <v>290</v>
      </c>
      <c r="J242" s="25"/>
      <c r="K242" s="26" t="s">
        <v>516</v>
      </c>
    </row>
    <row r="243" spans="1:11" ht="15" customHeight="1" x14ac:dyDescent="0.25">
      <c r="A243" s="26" t="s">
        <v>608</v>
      </c>
      <c r="B243" s="26" t="s">
        <v>322</v>
      </c>
      <c r="C243" s="26" t="s">
        <v>609</v>
      </c>
      <c r="D243" s="26" t="s">
        <v>571</v>
      </c>
      <c r="E243" s="26" t="s">
        <v>328</v>
      </c>
      <c r="F243" s="26" t="s">
        <v>329</v>
      </c>
      <c r="G243" s="26">
        <v>0</v>
      </c>
      <c r="H243" s="25" t="s">
        <v>95</v>
      </c>
      <c r="I243" s="25" t="s">
        <v>291</v>
      </c>
      <c r="J243" s="25"/>
      <c r="K243" s="26" t="s">
        <v>572</v>
      </c>
    </row>
    <row r="244" spans="1:11" ht="15" customHeight="1" x14ac:dyDescent="0.25">
      <c r="A244" s="26" t="s">
        <v>608</v>
      </c>
      <c r="B244" s="26" t="s">
        <v>322</v>
      </c>
      <c r="C244" s="26" t="s">
        <v>609</v>
      </c>
      <c r="D244" s="26" t="s">
        <v>573</v>
      </c>
      <c r="E244" s="26" t="s">
        <v>328</v>
      </c>
      <c r="F244" s="26" t="s">
        <v>329</v>
      </c>
      <c r="G244" s="26">
        <v>0</v>
      </c>
      <c r="H244" s="25" t="s">
        <v>95</v>
      </c>
      <c r="I244" s="25" t="s">
        <v>290</v>
      </c>
      <c r="J244" s="25"/>
      <c r="K244" s="26" t="s">
        <v>519</v>
      </c>
    </row>
    <row r="245" spans="1:11" ht="15" customHeight="1" x14ac:dyDescent="0.25">
      <c r="A245" s="26" t="s">
        <v>608</v>
      </c>
      <c r="B245" s="26" t="s">
        <v>322</v>
      </c>
      <c r="C245" s="26" t="s">
        <v>609</v>
      </c>
      <c r="D245" s="26" t="s">
        <v>370</v>
      </c>
      <c r="E245" s="26" t="s">
        <v>328</v>
      </c>
      <c r="F245" s="26" t="s">
        <v>333</v>
      </c>
      <c r="G245" s="26">
        <v>0</v>
      </c>
      <c r="H245" s="25" t="s">
        <v>334</v>
      </c>
      <c r="I245" s="25" t="s">
        <v>290</v>
      </c>
      <c r="J245" s="25"/>
      <c r="K245" s="26"/>
    </row>
    <row r="246" spans="1:11" ht="15" customHeight="1" x14ac:dyDescent="0.25">
      <c r="A246" s="26" t="s">
        <v>608</v>
      </c>
      <c r="B246" s="26" t="s">
        <v>322</v>
      </c>
      <c r="C246" s="26" t="s">
        <v>609</v>
      </c>
      <c r="D246" s="26" t="s">
        <v>371</v>
      </c>
      <c r="E246" s="26" t="s">
        <v>328</v>
      </c>
      <c r="F246" s="26" t="s">
        <v>333</v>
      </c>
      <c r="G246" s="26">
        <v>0</v>
      </c>
      <c r="H246" s="25" t="s">
        <v>334</v>
      </c>
      <c r="I246" s="25" t="s">
        <v>290</v>
      </c>
      <c r="J246" s="25"/>
      <c r="K246" s="26"/>
    </row>
    <row r="247" spans="1:11" ht="15" customHeight="1" x14ac:dyDescent="0.25">
      <c r="A247" s="26" t="s">
        <v>608</v>
      </c>
      <c r="B247" s="26" t="s">
        <v>322</v>
      </c>
      <c r="C247" s="26" t="s">
        <v>609</v>
      </c>
      <c r="D247" s="26" t="s">
        <v>372</v>
      </c>
      <c r="E247" s="26" t="s">
        <v>328</v>
      </c>
      <c r="F247" s="26" t="s">
        <v>333</v>
      </c>
      <c r="G247" s="26">
        <v>15</v>
      </c>
      <c r="H247" s="25" t="s">
        <v>334</v>
      </c>
      <c r="I247" s="25" t="s">
        <v>290</v>
      </c>
      <c r="J247" s="25"/>
      <c r="K247" s="26" t="s">
        <v>574</v>
      </c>
    </row>
    <row r="248" spans="1:11" ht="15" customHeight="1" x14ac:dyDescent="0.25">
      <c r="A248" s="26" t="s">
        <v>608</v>
      </c>
      <c r="B248" s="26" t="s">
        <v>322</v>
      </c>
      <c r="C248" s="26" t="s">
        <v>609</v>
      </c>
      <c r="D248" s="26" t="s">
        <v>575</v>
      </c>
      <c r="E248" s="26" t="s">
        <v>328</v>
      </c>
      <c r="F248" s="26" t="s">
        <v>333</v>
      </c>
      <c r="G248" s="26">
        <v>0</v>
      </c>
      <c r="H248" s="25" t="s">
        <v>334</v>
      </c>
      <c r="I248" s="25" t="s">
        <v>292</v>
      </c>
      <c r="J248" s="25"/>
      <c r="K248" s="26"/>
    </row>
    <row r="249" spans="1:11" ht="15" customHeight="1" x14ac:dyDescent="0.25">
      <c r="A249" s="26" t="s">
        <v>608</v>
      </c>
      <c r="B249" s="26" t="s">
        <v>322</v>
      </c>
      <c r="C249" s="26" t="s">
        <v>609</v>
      </c>
      <c r="D249" s="26" t="s">
        <v>606</v>
      </c>
      <c r="E249" s="26" t="s">
        <v>328</v>
      </c>
      <c r="F249" s="26" t="s">
        <v>333</v>
      </c>
      <c r="G249" s="26">
        <v>-1</v>
      </c>
      <c r="H249" s="25" t="s">
        <v>334</v>
      </c>
      <c r="I249" s="25" t="s">
        <v>290</v>
      </c>
      <c r="J249" s="25"/>
      <c r="K249" s="26"/>
    </row>
    <row r="250" spans="1:11" ht="15" customHeight="1" x14ac:dyDescent="0.25">
      <c r="A250" s="26" t="s">
        <v>608</v>
      </c>
      <c r="B250" s="26" t="s">
        <v>322</v>
      </c>
      <c r="C250" s="26" t="s">
        <v>609</v>
      </c>
      <c r="D250" s="26" t="s">
        <v>607</v>
      </c>
      <c r="E250" s="26" t="s">
        <v>328</v>
      </c>
      <c r="F250" s="26" t="s">
        <v>333</v>
      </c>
      <c r="G250" s="26">
        <v>0</v>
      </c>
      <c r="H250" s="25" t="s">
        <v>334</v>
      </c>
      <c r="I250" s="25" t="s">
        <v>290</v>
      </c>
      <c r="J250" s="25"/>
      <c r="K250" s="26"/>
    </row>
    <row r="251" spans="1:11" ht="15" customHeight="1" x14ac:dyDescent="0.25">
      <c r="A251" s="26" t="s">
        <v>608</v>
      </c>
      <c r="B251" s="26" t="s">
        <v>322</v>
      </c>
      <c r="C251" s="26" t="s">
        <v>609</v>
      </c>
      <c r="D251" s="26" t="s">
        <v>476</v>
      </c>
      <c r="E251" s="26" t="s">
        <v>328</v>
      </c>
      <c r="F251" s="26" t="s">
        <v>333</v>
      </c>
      <c r="G251" s="26">
        <v>0</v>
      </c>
      <c r="H251" s="25" t="s">
        <v>334</v>
      </c>
      <c r="I251" s="25" t="s">
        <v>290</v>
      </c>
      <c r="J251" s="25"/>
      <c r="K251" s="26"/>
    </row>
    <row r="252" spans="1:11" ht="15" customHeight="1" x14ac:dyDescent="0.25">
      <c r="A252" s="26" t="s">
        <v>611</v>
      </c>
      <c r="B252" s="26" t="s">
        <v>322</v>
      </c>
      <c r="C252" s="26" t="s">
        <v>612</v>
      </c>
      <c r="D252" s="26" t="s">
        <v>349</v>
      </c>
      <c r="E252" s="26" t="s">
        <v>328</v>
      </c>
      <c r="F252" s="26" t="s">
        <v>326</v>
      </c>
      <c r="G252" s="26">
        <v>16</v>
      </c>
      <c r="H252" s="25" t="s">
        <v>95</v>
      </c>
      <c r="I252" s="25" t="s">
        <v>290</v>
      </c>
      <c r="J252" s="25"/>
      <c r="K252" s="26" t="s">
        <v>568</v>
      </c>
    </row>
    <row r="253" spans="1:11" ht="15" customHeight="1" x14ac:dyDescent="0.25">
      <c r="A253" s="26" t="s">
        <v>611</v>
      </c>
      <c r="B253" s="26" t="s">
        <v>322</v>
      </c>
      <c r="C253" s="26" t="s">
        <v>612</v>
      </c>
      <c r="D253" s="26" t="s">
        <v>351</v>
      </c>
      <c r="E253" s="26" t="s">
        <v>352</v>
      </c>
      <c r="F253" s="26" t="s">
        <v>326</v>
      </c>
      <c r="G253" s="26">
        <v>20</v>
      </c>
      <c r="H253" s="25" t="s">
        <v>95</v>
      </c>
      <c r="I253" s="25" t="s">
        <v>292</v>
      </c>
      <c r="J253" s="25"/>
      <c r="K253" s="26" t="s">
        <v>353</v>
      </c>
    </row>
    <row r="254" spans="1:11" ht="15" customHeight="1" x14ac:dyDescent="0.25">
      <c r="A254" s="26" t="s">
        <v>611</v>
      </c>
      <c r="B254" s="26" t="s">
        <v>322</v>
      </c>
      <c r="C254" s="26" t="s">
        <v>612</v>
      </c>
      <c r="D254" s="26" t="s">
        <v>569</v>
      </c>
      <c r="E254" s="26" t="s">
        <v>613</v>
      </c>
      <c r="F254" s="26" t="s">
        <v>356</v>
      </c>
      <c r="G254" s="26"/>
      <c r="H254" s="25" t="s">
        <v>334</v>
      </c>
      <c r="I254" s="25" t="s">
        <v>290</v>
      </c>
      <c r="J254" s="25"/>
      <c r="K254" s="26" t="s">
        <v>516</v>
      </c>
    </row>
    <row r="255" spans="1:11" ht="15" customHeight="1" x14ac:dyDescent="0.25">
      <c r="A255" s="26" t="s">
        <v>611</v>
      </c>
      <c r="B255" s="26" t="s">
        <v>322</v>
      </c>
      <c r="C255" s="26" t="s">
        <v>612</v>
      </c>
      <c r="D255" s="26" t="s">
        <v>571</v>
      </c>
      <c r="E255" s="26" t="s">
        <v>328</v>
      </c>
      <c r="F255" s="26" t="s">
        <v>329</v>
      </c>
      <c r="G255" s="26">
        <v>0</v>
      </c>
      <c r="H255" s="25" t="s">
        <v>95</v>
      </c>
      <c r="I255" s="25" t="s">
        <v>291</v>
      </c>
      <c r="J255" s="25"/>
      <c r="K255" s="26" t="s">
        <v>572</v>
      </c>
    </row>
    <row r="256" spans="1:11" ht="15" customHeight="1" x14ac:dyDescent="0.25">
      <c r="A256" s="26" t="s">
        <v>611</v>
      </c>
      <c r="B256" s="26" t="s">
        <v>322</v>
      </c>
      <c r="C256" s="26" t="s">
        <v>612</v>
      </c>
      <c r="D256" s="26" t="s">
        <v>573</v>
      </c>
      <c r="E256" s="26" t="s">
        <v>328</v>
      </c>
      <c r="F256" s="26" t="s">
        <v>329</v>
      </c>
      <c r="G256" s="26">
        <v>0</v>
      </c>
      <c r="H256" s="25" t="s">
        <v>95</v>
      </c>
      <c r="I256" s="25" t="s">
        <v>290</v>
      </c>
      <c r="J256" s="25"/>
      <c r="K256" s="26" t="s">
        <v>519</v>
      </c>
    </row>
    <row r="257" spans="1:11" ht="15" customHeight="1" x14ac:dyDescent="0.25">
      <c r="A257" s="26" t="s">
        <v>611</v>
      </c>
      <c r="B257" s="26" t="s">
        <v>322</v>
      </c>
      <c r="C257" s="26" t="s">
        <v>612</v>
      </c>
      <c r="D257" s="26" t="s">
        <v>370</v>
      </c>
      <c r="E257" s="26" t="s">
        <v>328</v>
      </c>
      <c r="F257" s="26" t="s">
        <v>333</v>
      </c>
      <c r="G257" s="26">
        <v>0</v>
      </c>
      <c r="H257" s="25" t="s">
        <v>334</v>
      </c>
      <c r="I257" s="25" t="s">
        <v>290</v>
      </c>
      <c r="J257" s="25"/>
      <c r="K257" s="26"/>
    </row>
    <row r="258" spans="1:11" ht="15" customHeight="1" x14ac:dyDescent="0.25">
      <c r="A258" s="26" t="s">
        <v>611</v>
      </c>
      <c r="B258" s="26" t="s">
        <v>322</v>
      </c>
      <c r="C258" s="26" t="s">
        <v>612</v>
      </c>
      <c r="D258" s="26" t="s">
        <v>371</v>
      </c>
      <c r="E258" s="26" t="s">
        <v>328</v>
      </c>
      <c r="F258" s="26" t="s">
        <v>333</v>
      </c>
      <c r="G258" s="26">
        <v>0</v>
      </c>
      <c r="H258" s="25" t="s">
        <v>334</v>
      </c>
      <c r="I258" s="25" t="s">
        <v>290</v>
      </c>
      <c r="J258" s="25"/>
      <c r="K258" s="26"/>
    </row>
    <row r="259" spans="1:11" ht="15" customHeight="1" x14ac:dyDescent="0.25">
      <c r="A259" s="26" t="s">
        <v>611</v>
      </c>
      <c r="B259" s="26" t="s">
        <v>322</v>
      </c>
      <c r="C259" s="26" t="s">
        <v>612</v>
      </c>
      <c r="D259" s="26" t="s">
        <v>372</v>
      </c>
      <c r="E259" s="26" t="s">
        <v>328</v>
      </c>
      <c r="F259" s="26" t="s">
        <v>333</v>
      </c>
      <c r="G259" s="26">
        <v>15</v>
      </c>
      <c r="H259" s="25" t="s">
        <v>334</v>
      </c>
      <c r="I259" s="25" t="s">
        <v>290</v>
      </c>
      <c r="J259" s="25"/>
      <c r="K259" s="26" t="s">
        <v>574</v>
      </c>
    </row>
    <row r="260" spans="1:11" ht="15" customHeight="1" x14ac:dyDescent="0.25">
      <c r="A260" s="26" t="s">
        <v>611</v>
      </c>
      <c r="B260" s="26" t="s">
        <v>322</v>
      </c>
      <c r="C260" s="26" t="s">
        <v>612</v>
      </c>
      <c r="D260" s="26" t="s">
        <v>575</v>
      </c>
      <c r="E260" s="26" t="s">
        <v>328</v>
      </c>
      <c r="F260" s="26" t="s">
        <v>333</v>
      </c>
      <c r="G260" s="26">
        <v>0</v>
      </c>
      <c r="H260" s="25" t="s">
        <v>334</v>
      </c>
      <c r="I260" s="25" t="s">
        <v>292</v>
      </c>
      <c r="J260" s="25"/>
      <c r="K260" s="26"/>
    </row>
    <row r="261" spans="1:11" ht="15" customHeight="1" x14ac:dyDescent="0.25">
      <c r="A261" s="26" t="s">
        <v>611</v>
      </c>
      <c r="B261" s="26" t="s">
        <v>322</v>
      </c>
      <c r="C261" s="26" t="s">
        <v>612</v>
      </c>
      <c r="D261" s="26" t="s">
        <v>606</v>
      </c>
      <c r="E261" s="26" t="s">
        <v>328</v>
      </c>
      <c r="F261" s="26" t="s">
        <v>333</v>
      </c>
      <c r="G261" s="26">
        <v>-1</v>
      </c>
      <c r="H261" s="25" t="s">
        <v>334</v>
      </c>
      <c r="I261" s="25" t="s">
        <v>290</v>
      </c>
      <c r="J261" s="25"/>
      <c r="K261" s="26"/>
    </row>
    <row r="262" spans="1:11" ht="15" customHeight="1" x14ac:dyDescent="0.25">
      <c r="A262" s="26" t="s">
        <v>611</v>
      </c>
      <c r="B262" s="26" t="s">
        <v>322</v>
      </c>
      <c r="C262" s="26" t="s">
        <v>612</v>
      </c>
      <c r="D262" s="26" t="s">
        <v>607</v>
      </c>
      <c r="E262" s="26" t="s">
        <v>328</v>
      </c>
      <c r="F262" s="26" t="s">
        <v>333</v>
      </c>
      <c r="G262" s="26">
        <v>0</v>
      </c>
      <c r="H262" s="25" t="s">
        <v>334</v>
      </c>
      <c r="I262" s="25" t="s">
        <v>290</v>
      </c>
      <c r="J262" s="25"/>
      <c r="K262" s="26"/>
    </row>
    <row r="263" spans="1:11" ht="15" customHeight="1" x14ac:dyDescent="0.25">
      <c r="A263" s="26" t="s">
        <v>611</v>
      </c>
      <c r="B263" s="26" t="s">
        <v>322</v>
      </c>
      <c r="C263" s="26" t="s">
        <v>612</v>
      </c>
      <c r="D263" s="26" t="s">
        <v>476</v>
      </c>
      <c r="E263" s="26" t="s">
        <v>328</v>
      </c>
      <c r="F263" s="26" t="s">
        <v>333</v>
      </c>
      <c r="G263" s="26">
        <v>0</v>
      </c>
      <c r="H263" s="25" t="s">
        <v>334</v>
      </c>
      <c r="I263" s="25" t="s">
        <v>290</v>
      </c>
      <c r="J263" s="25"/>
      <c r="K263" s="26"/>
    </row>
    <row r="264" spans="1:11" ht="15" customHeight="1" x14ac:dyDescent="0.25">
      <c r="A264" s="26" t="s">
        <v>614</v>
      </c>
      <c r="B264" s="26" t="s">
        <v>388</v>
      </c>
      <c r="C264" s="26" t="s">
        <v>615</v>
      </c>
      <c r="D264" s="26" t="s">
        <v>537</v>
      </c>
      <c r="E264" s="26" t="s">
        <v>538</v>
      </c>
      <c r="F264" s="26" t="s">
        <v>391</v>
      </c>
      <c r="G264" s="26"/>
      <c r="H264" s="25" t="s">
        <v>334</v>
      </c>
      <c r="I264" s="25" t="s">
        <v>290</v>
      </c>
      <c r="J264" s="25"/>
      <c r="K264" s="26" t="s">
        <v>268</v>
      </c>
    </row>
    <row r="265" spans="1:11" ht="15" customHeight="1" x14ac:dyDescent="0.25">
      <c r="A265" s="26" t="s">
        <v>614</v>
      </c>
      <c r="B265" s="26" t="s">
        <v>388</v>
      </c>
      <c r="C265" s="26" t="s">
        <v>615</v>
      </c>
      <c r="D265" s="26" t="s">
        <v>616</v>
      </c>
      <c r="E265" s="26" t="s">
        <v>380</v>
      </c>
      <c r="F265" s="26" t="s">
        <v>391</v>
      </c>
      <c r="G265" s="26" t="b">
        <v>1</v>
      </c>
      <c r="H265" s="25" t="s">
        <v>95</v>
      </c>
      <c r="I265" s="25" t="s">
        <v>292</v>
      </c>
      <c r="J265" s="25"/>
      <c r="K265" s="26" t="s">
        <v>617</v>
      </c>
    </row>
    <row r="266" spans="1:11" ht="15" customHeight="1" x14ac:dyDescent="0.25">
      <c r="A266" s="26" t="s">
        <v>614</v>
      </c>
      <c r="B266" s="26" t="s">
        <v>388</v>
      </c>
      <c r="C266" s="26" t="s">
        <v>615</v>
      </c>
      <c r="D266" s="26" t="s">
        <v>618</v>
      </c>
      <c r="E266" s="26" t="s">
        <v>380</v>
      </c>
      <c r="F266" s="26" t="s">
        <v>391</v>
      </c>
      <c r="G266" s="26"/>
      <c r="H266" s="25" t="s">
        <v>95</v>
      </c>
      <c r="I266" s="25" t="s">
        <v>292</v>
      </c>
      <c r="J266" s="25"/>
      <c r="K266" s="26" t="s">
        <v>619</v>
      </c>
    </row>
    <row r="267" spans="1:11" ht="15" customHeight="1" x14ac:dyDescent="0.25">
      <c r="A267" s="26" t="s">
        <v>614</v>
      </c>
      <c r="B267" s="26" t="s">
        <v>388</v>
      </c>
      <c r="C267" s="26" t="s">
        <v>615</v>
      </c>
      <c r="D267" s="26" t="s">
        <v>620</v>
      </c>
      <c r="E267" s="26" t="s">
        <v>380</v>
      </c>
      <c r="F267" s="26" t="s">
        <v>391</v>
      </c>
      <c r="G267" s="26"/>
      <c r="H267" s="25" t="s">
        <v>95</v>
      </c>
      <c r="I267" s="25" t="s">
        <v>292</v>
      </c>
      <c r="J267" s="25"/>
      <c r="K267" s="26" t="s">
        <v>621</v>
      </c>
    </row>
    <row r="268" spans="1:11" ht="15" customHeight="1" x14ac:dyDescent="0.25">
      <c r="A268" s="26" t="s">
        <v>614</v>
      </c>
      <c r="B268" s="26" t="s">
        <v>388</v>
      </c>
      <c r="C268" s="26" t="s">
        <v>615</v>
      </c>
      <c r="D268" s="26" t="s">
        <v>384</v>
      </c>
      <c r="E268" s="26" t="s">
        <v>380</v>
      </c>
      <c r="F268" s="26" t="s">
        <v>391</v>
      </c>
      <c r="G268" s="26"/>
      <c r="H268" s="25" t="s">
        <v>334</v>
      </c>
      <c r="I268" s="25" t="s">
        <v>292</v>
      </c>
      <c r="J268" s="25"/>
      <c r="K268" s="26" t="s">
        <v>622</v>
      </c>
    </row>
    <row r="269" spans="1:11" ht="15" customHeight="1" x14ac:dyDescent="0.25">
      <c r="A269" s="26" t="s">
        <v>614</v>
      </c>
      <c r="B269" s="26" t="s">
        <v>388</v>
      </c>
      <c r="C269" s="26" t="s">
        <v>615</v>
      </c>
      <c r="D269" s="26" t="s">
        <v>558</v>
      </c>
      <c r="E269" s="26" t="s">
        <v>380</v>
      </c>
      <c r="F269" s="26" t="s">
        <v>391</v>
      </c>
      <c r="G269" s="26"/>
      <c r="H269" s="25" t="s">
        <v>95</v>
      </c>
      <c r="I269" s="25" t="s">
        <v>292</v>
      </c>
      <c r="J269" s="25"/>
      <c r="K269" s="26" t="s">
        <v>623</v>
      </c>
    </row>
    <row r="270" spans="1:11" ht="15" customHeight="1" x14ac:dyDescent="0.25">
      <c r="A270" s="26" t="s">
        <v>614</v>
      </c>
      <c r="B270" s="26" t="s">
        <v>388</v>
      </c>
      <c r="C270" s="26" t="s">
        <v>615</v>
      </c>
      <c r="D270" s="26" t="s">
        <v>624</v>
      </c>
      <c r="E270" s="26" t="s">
        <v>380</v>
      </c>
      <c r="F270" s="26" t="s">
        <v>391</v>
      </c>
      <c r="G270" s="26"/>
      <c r="H270" s="25" t="s">
        <v>95</v>
      </c>
      <c r="I270" s="25" t="s">
        <v>292</v>
      </c>
      <c r="J270" s="25"/>
      <c r="K270" s="26" t="s">
        <v>625</v>
      </c>
    </row>
    <row r="271" spans="1:11" ht="15" customHeight="1" x14ac:dyDescent="0.25">
      <c r="A271" s="26" t="s">
        <v>614</v>
      </c>
      <c r="B271" s="26" t="s">
        <v>388</v>
      </c>
      <c r="C271" s="26" t="s">
        <v>615</v>
      </c>
      <c r="D271" s="26" t="s">
        <v>626</v>
      </c>
      <c r="E271" s="26" t="s">
        <v>380</v>
      </c>
      <c r="F271" s="26" t="s">
        <v>391</v>
      </c>
      <c r="G271" s="26"/>
      <c r="H271" s="25" t="s">
        <v>95</v>
      </c>
      <c r="I271" s="25" t="s">
        <v>290</v>
      </c>
      <c r="J271" s="25"/>
      <c r="K271" s="26" t="s">
        <v>627</v>
      </c>
    </row>
    <row r="272" spans="1:11" ht="15" customHeight="1" x14ac:dyDescent="0.25">
      <c r="A272" s="26" t="s">
        <v>614</v>
      </c>
      <c r="B272" s="26" t="s">
        <v>388</v>
      </c>
      <c r="C272" s="26" t="s">
        <v>615</v>
      </c>
      <c r="D272" s="26" t="s">
        <v>628</v>
      </c>
      <c r="E272" s="26" t="s">
        <v>380</v>
      </c>
      <c r="F272" s="26" t="s">
        <v>391</v>
      </c>
      <c r="G272" s="26"/>
      <c r="H272" s="25" t="s">
        <v>95</v>
      </c>
      <c r="I272" s="25" t="s">
        <v>290</v>
      </c>
      <c r="J272" s="25" t="s">
        <v>99</v>
      </c>
      <c r="K272" s="26" t="s">
        <v>629</v>
      </c>
    </row>
    <row r="273" spans="1:11" ht="15" customHeight="1" x14ac:dyDescent="0.25">
      <c r="A273" s="26" t="s">
        <v>614</v>
      </c>
      <c r="B273" s="26" t="s">
        <v>388</v>
      </c>
      <c r="C273" s="26" t="s">
        <v>615</v>
      </c>
      <c r="D273" s="26" t="s">
        <v>630</v>
      </c>
      <c r="E273" s="26" t="s">
        <v>380</v>
      </c>
      <c r="F273" s="26" t="s">
        <v>391</v>
      </c>
      <c r="G273" s="26"/>
      <c r="H273" s="25" t="s">
        <v>95</v>
      </c>
      <c r="I273" s="25" t="s">
        <v>290</v>
      </c>
      <c r="J273" s="25" t="s">
        <v>99</v>
      </c>
      <c r="K273" s="26" t="s">
        <v>631</v>
      </c>
    </row>
    <row r="274" spans="1:11" ht="15" customHeight="1" x14ac:dyDescent="0.25">
      <c r="A274" s="26" t="s">
        <v>614</v>
      </c>
      <c r="B274" s="26" t="s">
        <v>388</v>
      </c>
      <c r="C274" s="26" t="s">
        <v>615</v>
      </c>
      <c r="D274" s="26" t="s">
        <v>632</v>
      </c>
      <c r="E274" s="26" t="s">
        <v>380</v>
      </c>
      <c r="F274" s="26" t="s">
        <v>391</v>
      </c>
      <c r="G274" s="26"/>
      <c r="H274" s="25" t="s">
        <v>95</v>
      </c>
      <c r="I274" s="25" t="s">
        <v>290</v>
      </c>
      <c r="J274" s="25"/>
      <c r="K274" s="26"/>
    </row>
    <row r="275" spans="1:11" ht="15" customHeight="1" x14ac:dyDescent="0.25">
      <c r="A275" s="26" t="s">
        <v>614</v>
      </c>
      <c r="B275" s="26" t="s">
        <v>388</v>
      </c>
      <c r="C275" s="26" t="s">
        <v>615</v>
      </c>
      <c r="D275" s="26" t="s">
        <v>633</v>
      </c>
      <c r="E275" s="26" t="s">
        <v>380</v>
      </c>
      <c r="F275" s="26" t="s">
        <v>391</v>
      </c>
      <c r="G275" s="26" t="b">
        <v>1</v>
      </c>
      <c r="H275" s="25" t="s">
        <v>95</v>
      </c>
      <c r="I275" s="25" t="s">
        <v>290</v>
      </c>
      <c r="J275" s="25" t="s">
        <v>93</v>
      </c>
      <c r="K275" s="26" t="s">
        <v>634</v>
      </c>
    </row>
    <row r="276" spans="1:11" ht="15" customHeight="1" x14ac:dyDescent="0.25">
      <c r="A276" s="26" t="s">
        <v>614</v>
      </c>
      <c r="B276" s="26" t="s">
        <v>388</v>
      </c>
      <c r="C276" s="26" t="s">
        <v>615</v>
      </c>
      <c r="D276" s="26" t="s">
        <v>635</v>
      </c>
      <c r="E276" s="26" t="s">
        <v>380</v>
      </c>
      <c r="F276" s="26" t="s">
        <v>391</v>
      </c>
      <c r="G276" s="26"/>
      <c r="H276" s="25" t="s">
        <v>95</v>
      </c>
      <c r="I276" s="25" t="s">
        <v>290</v>
      </c>
      <c r="J276" s="25" t="s">
        <v>93</v>
      </c>
      <c r="K276" s="26" t="s">
        <v>636</v>
      </c>
    </row>
    <row r="277" spans="1:11" ht="15" customHeight="1" x14ac:dyDescent="0.25">
      <c r="A277" s="26" t="s">
        <v>614</v>
      </c>
      <c r="B277" s="26" t="s">
        <v>388</v>
      </c>
      <c r="C277" s="26" t="s">
        <v>615</v>
      </c>
      <c r="D277" s="26" t="s">
        <v>637</v>
      </c>
      <c r="E277" s="26" t="s">
        <v>380</v>
      </c>
      <c r="F277" s="26" t="s">
        <v>391</v>
      </c>
      <c r="G277" s="26"/>
      <c r="H277" s="25" t="s">
        <v>334</v>
      </c>
      <c r="I277" s="25" t="s">
        <v>290</v>
      </c>
      <c r="J277" s="25"/>
      <c r="K277" s="26" t="s">
        <v>638</v>
      </c>
    </row>
    <row r="278" spans="1:11" ht="15" customHeight="1" x14ac:dyDescent="0.25">
      <c r="A278" s="26" t="s">
        <v>614</v>
      </c>
      <c r="B278" s="26" t="s">
        <v>388</v>
      </c>
      <c r="C278" s="26" t="s">
        <v>615</v>
      </c>
      <c r="D278" s="26" t="s">
        <v>639</v>
      </c>
      <c r="E278" s="26" t="s">
        <v>325</v>
      </c>
      <c r="F278" s="26" t="s">
        <v>391</v>
      </c>
      <c r="G278" s="26">
        <v>0</v>
      </c>
      <c r="H278" s="25" t="s">
        <v>95</v>
      </c>
      <c r="I278" s="25" t="s">
        <v>290</v>
      </c>
      <c r="J278" s="25"/>
      <c r="K278" s="26" t="s">
        <v>640</v>
      </c>
    </row>
    <row r="279" spans="1:11" ht="15" customHeight="1" x14ac:dyDescent="0.25">
      <c r="A279" s="26" t="s">
        <v>614</v>
      </c>
      <c r="B279" s="26" t="s">
        <v>388</v>
      </c>
      <c r="C279" s="26" t="s">
        <v>615</v>
      </c>
      <c r="D279" s="26" t="s">
        <v>641</v>
      </c>
      <c r="E279" s="26" t="s">
        <v>352</v>
      </c>
      <c r="F279" s="26" t="s">
        <v>391</v>
      </c>
      <c r="G279" s="26">
        <v>3000</v>
      </c>
      <c r="H279" s="25" t="s">
        <v>95</v>
      </c>
      <c r="I279" s="25" t="s">
        <v>292</v>
      </c>
      <c r="J279" s="25"/>
      <c r="K279" s="26" t="s">
        <v>642</v>
      </c>
    </row>
    <row r="280" spans="1:11" ht="15" customHeight="1" x14ac:dyDescent="0.25">
      <c r="A280" s="26" t="s">
        <v>614</v>
      </c>
      <c r="B280" s="26" t="s">
        <v>388</v>
      </c>
      <c r="C280" s="26" t="s">
        <v>615</v>
      </c>
      <c r="D280" s="26" t="s">
        <v>643</v>
      </c>
      <c r="E280" s="26" t="s">
        <v>352</v>
      </c>
      <c r="F280" s="26" t="s">
        <v>391</v>
      </c>
      <c r="G280" s="26">
        <v>0</v>
      </c>
      <c r="H280" s="25" t="s">
        <v>334</v>
      </c>
      <c r="I280" s="25" t="s">
        <v>290</v>
      </c>
      <c r="J280" s="25"/>
      <c r="K280" s="26" t="s">
        <v>638</v>
      </c>
    </row>
    <row r="281" spans="1:11" ht="15" customHeight="1" x14ac:dyDescent="0.25">
      <c r="A281" s="26" t="s">
        <v>614</v>
      </c>
      <c r="B281" s="26" t="s">
        <v>388</v>
      </c>
      <c r="C281" s="26" t="s">
        <v>615</v>
      </c>
      <c r="D281" s="26" t="s">
        <v>644</v>
      </c>
      <c r="E281" s="26" t="s">
        <v>380</v>
      </c>
      <c r="F281" s="26" t="s">
        <v>391</v>
      </c>
      <c r="G281" s="26"/>
      <c r="H281" s="25" t="s">
        <v>95</v>
      </c>
      <c r="I281" s="25" t="s">
        <v>290</v>
      </c>
      <c r="J281" s="25"/>
      <c r="K281" s="26" t="s">
        <v>645</v>
      </c>
    </row>
    <row r="282" spans="1:11" ht="15" customHeight="1" x14ac:dyDescent="0.25">
      <c r="A282" s="26" t="s">
        <v>614</v>
      </c>
      <c r="B282" s="26" t="s">
        <v>388</v>
      </c>
      <c r="C282" s="26" t="s">
        <v>615</v>
      </c>
      <c r="D282" s="26" t="s">
        <v>646</v>
      </c>
      <c r="E282" s="26" t="s">
        <v>380</v>
      </c>
      <c r="F282" s="26" t="s">
        <v>391</v>
      </c>
      <c r="G282" s="26" t="b">
        <v>1</v>
      </c>
      <c r="H282" s="25" t="s">
        <v>95</v>
      </c>
      <c r="I282" s="25" t="s">
        <v>290</v>
      </c>
      <c r="J282" s="25" t="s">
        <v>93</v>
      </c>
      <c r="K282" s="26" t="s">
        <v>647</v>
      </c>
    </row>
    <row r="283" spans="1:11" ht="15" customHeight="1" x14ac:dyDescent="0.25">
      <c r="A283" s="26" t="s">
        <v>614</v>
      </c>
      <c r="B283" s="26" t="s">
        <v>388</v>
      </c>
      <c r="C283" s="26" t="s">
        <v>615</v>
      </c>
      <c r="D283" s="26" t="s">
        <v>648</v>
      </c>
      <c r="E283" s="26" t="s">
        <v>380</v>
      </c>
      <c r="F283" s="26" t="s">
        <v>391</v>
      </c>
      <c r="G283" s="26"/>
      <c r="H283" s="25" t="s">
        <v>334</v>
      </c>
      <c r="I283" s="25" t="s">
        <v>290</v>
      </c>
      <c r="J283" s="25"/>
      <c r="K283" s="26" t="s">
        <v>638</v>
      </c>
    </row>
    <row r="284" spans="1:11" ht="15" customHeight="1" x14ac:dyDescent="0.25">
      <c r="A284" s="26" t="s">
        <v>614</v>
      </c>
      <c r="B284" s="26" t="s">
        <v>388</v>
      </c>
      <c r="C284" s="26" t="s">
        <v>615</v>
      </c>
      <c r="D284" s="26" t="s">
        <v>649</v>
      </c>
      <c r="E284" s="26" t="s">
        <v>380</v>
      </c>
      <c r="F284" s="26" t="s">
        <v>391</v>
      </c>
      <c r="G284" s="26"/>
      <c r="H284" s="25" t="s">
        <v>95</v>
      </c>
      <c r="I284" s="25" t="s">
        <v>291</v>
      </c>
      <c r="J284" s="25"/>
      <c r="K284" s="26" t="s">
        <v>650</v>
      </c>
    </row>
    <row r="285" spans="1:11" ht="15" customHeight="1" x14ac:dyDescent="0.25">
      <c r="A285" s="26" t="s">
        <v>614</v>
      </c>
      <c r="B285" s="26" t="s">
        <v>388</v>
      </c>
      <c r="C285" s="26" t="s">
        <v>615</v>
      </c>
      <c r="D285" s="26" t="s">
        <v>651</v>
      </c>
      <c r="E285" s="26" t="s">
        <v>328</v>
      </c>
      <c r="F285" s="26" t="s">
        <v>391</v>
      </c>
      <c r="G285" s="26">
        <v>0</v>
      </c>
      <c r="H285" s="25" t="s">
        <v>95</v>
      </c>
      <c r="I285" s="25" t="s">
        <v>291</v>
      </c>
      <c r="J285" s="25"/>
      <c r="K285" s="26" t="s">
        <v>652</v>
      </c>
    </row>
    <row r="286" spans="1:11" ht="15" customHeight="1" x14ac:dyDescent="0.25">
      <c r="A286" s="26" t="s">
        <v>614</v>
      </c>
      <c r="B286" s="26" t="s">
        <v>388</v>
      </c>
      <c r="C286" s="26" t="s">
        <v>615</v>
      </c>
      <c r="D286" s="26" t="s">
        <v>653</v>
      </c>
      <c r="E286" s="26" t="s">
        <v>380</v>
      </c>
      <c r="F286" s="26" t="s">
        <v>391</v>
      </c>
      <c r="G286" s="26"/>
      <c r="H286" s="25" t="s">
        <v>95</v>
      </c>
      <c r="I286" s="25" t="s">
        <v>291</v>
      </c>
      <c r="J286" s="25"/>
      <c r="K286" s="26" t="s">
        <v>654</v>
      </c>
    </row>
    <row r="287" spans="1:11" ht="15" customHeight="1" x14ac:dyDescent="0.25">
      <c r="A287" s="26" t="s">
        <v>614</v>
      </c>
      <c r="B287" s="26" t="s">
        <v>388</v>
      </c>
      <c r="C287" s="26" t="s">
        <v>615</v>
      </c>
      <c r="D287" s="26" t="s">
        <v>655</v>
      </c>
      <c r="E287" s="26" t="s">
        <v>380</v>
      </c>
      <c r="F287" s="26" t="s">
        <v>391</v>
      </c>
      <c r="G287" s="26"/>
      <c r="H287" s="25" t="s">
        <v>95</v>
      </c>
      <c r="I287" s="25" t="s">
        <v>290</v>
      </c>
      <c r="J287" s="25"/>
      <c r="K287" s="26" t="s">
        <v>656</v>
      </c>
    </row>
    <row r="288" spans="1:11" ht="15" customHeight="1" x14ac:dyDescent="0.25">
      <c r="A288" s="26" t="s">
        <v>614</v>
      </c>
      <c r="B288" s="26" t="s">
        <v>388</v>
      </c>
      <c r="C288" s="26" t="s">
        <v>615</v>
      </c>
      <c r="D288" s="26" t="s">
        <v>560</v>
      </c>
      <c r="E288" s="26" t="s">
        <v>352</v>
      </c>
      <c r="F288" s="26" t="s">
        <v>391</v>
      </c>
      <c r="G288" s="26">
        <v>0</v>
      </c>
      <c r="H288" s="25" t="s">
        <v>95</v>
      </c>
      <c r="I288" s="25" t="s">
        <v>290</v>
      </c>
      <c r="J288" s="25"/>
      <c r="K288" s="26" t="s">
        <v>657</v>
      </c>
    </row>
    <row r="289" spans="1:11" ht="15" customHeight="1" x14ac:dyDescent="0.25">
      <c r="A289" s="26" t="s">
        <v>614</v>
      </c>
      <c r="B289" s="26" t="s">
        <v>388</v>
      </c>
      <c r="C289" s="26" t="s">
        <v>615</v>
      </c>
      <c r="D289" s="26" t="s">
        <v>658</v>
      </c>
      <c r="E289" s="26" t="s">
        <v>325</v>
      </c>
      <c r="F289" s="26" t="s">
        <v>391</v>
      </c>
      <c r="G289" s="26">
        <v>0</v>
      </c>
      <c r="H289" s="25" t="s">
        <v>95</v>
      </c>
      <c r="I289" s="25" t="s">
        <v>290</v>
      </c>
      <c r="J289" s="25"/>
      <c r="K289" s="26" t="s">
        <v>659</v>
      </c>
    </row>
    <row r="290" spans="1:11" ht="15" customHeight="1" x14ac:dyDescent="0.25">
      <c r="A290" s="26" t="s">
        <v>614</v>
      </c>
      <c r="B290" s="26" t="s">
        <v>388</v>
      </c>
      <c r="C290" s="26" t="s">
        <v>615</v>
      </c>
      <c r="D290" s="26" t="s">
        <v>660</v>
      </c>
      <c r="E290" s="26" t="s">
        <v>352</v>
      </c>
      <c r="F290" s="26" t="s">
        <v>391</v>
      </c>
      <c r="G290" s="26">
        <v>0</v>
      </c>
      <c r="H290" s="25" t="s">
        <v>95</v>
      </c>
      <c r="I290" s="25" t="s">
        <v>292</v>
      </c>
      <c r="J290" s="25"/>
      <c r="K290" s="26" t="s">
        <v>661</v>
      </c>
    </row>
    <row r="291" spans="1:11" ht="15" customHeight="1" x14ac:dyDescent="0.25">
      <c r="A291" s="26" t="s">
        <v>662</v>
      </c>
      <c r="B291" s="26" t="s">
        <v>388</v>
      </c>
      <c r="C291" s="26" t="s">
        <v>663</v>
      </c>
      <c r="D291" s="26" t="s">
        <v>537</v>
      </c>
      <c r="E291" s="26" t="s">
        <v>538</v>
      </c>
      <c r="F291" s="26" t="s">
        <v>391</v>
      </c>
      <c r="G291" s="26"/>
      <c r="H291" s="25" t="s">
        <v>334</v>
      </c>
      <c r="I291" s="25" t="s">
        <v>290</v>
      </c>
      <c r="J291" s="25"/>
      <c r="K291" s="26" t="s">
        <v>268</v>
      </c>
    </row>
    <row r="292" spans="1:11" ht="15" customHeight="1" x14ac:dyDescent="0.25">
      <c r="A292" s="26" t="s">
        <v>662</v>
      </c>
      <c r="B292" s="26" t="s">
        <v>388</v>
      </c>
      <c r="C292" s="26" t="s">
        <v>663</v>
      </c>
      <c r="D292" s="26" t="s">
        <v>616</v>
      </c>
      <c r="E292" s="26" t="s">
        <v>380</v>
      </c>
      <c r="F292" s="26" t="s">
        <v>391</v>
      </c>
      <c r="G292" s="26" t="b">
        <v>1</v>
      </c>
      <c r="H292" s="25" t="s">
        <v>95</v>
      </c>
      <c r="I292" s="25" t="s">
        <v>292</v>
      </c>
      <c r="J292" s="25"/>
      <c r="K292" s="26" t="s">
        <v>617</v>
      </c>
    </row>
    <row r="293" spans="1:11" ht="15" customHeight="1" x14ac:dyDescent="0.25">
      <c r="A293" s="26" t="s">
        <v>662</v>
      </c>
      <c r="B293" s="26" t="s">
        <v>388</v>
      </c>
      <c r="C293" s="26" t="s">
        <v>663</v>
      </c>
      <c r="D293" s="26" t="s">
        <v>618</v>
      </c>
      <c r="E293" s="26" t="s">
        <v>380</v>
      </c>
      <c r="F293" s="26" t="s">
        <v>391</v>
      </c>
      <c r="G293" s="26"/>
      <c r="H293" s="25" t="s">
        <v>95</v>
      </c>
      <c r="I293" s="25" t="s">
        <v>292</v>
      </c>
      <c r="J293" s="25"/>
      <c r="K293" s="26" t="s">
        <v>619</v>
      </c>
    </row>
    <row r="294" spans="1:11" ht="15" customHeight="1" x14ac:dyDescent="0.25">
      <c r="A294" s="26" t="s">
        <v>662</v>
      </c>
      <c r="B294" s="26" t="s">
        <v>388</v>
      </c>
      <c r="C294" s="26" t="s">
        <v>663</v>
      </c>
      <c r="D294" s="26" t="s">
        <v>620</v>
      </c>
      <c r="E294" s="26" t="s">
        <v>380</v>
      </c>
      <c r="F294" s="26" t="s">
        <v>391</v>
      </c>
      <c r="G294" s="26"/>
      <c r="H294" s="25" t="s">
        <v>95</v>
      </c>
      <c r="I294" s="25" t="s">
        <v>292</v>
      </c>
      <c r="J294" s="25"/>
      <c r="K294" s="26" t="s">
        <v>621</v>
      </c>
    </row>
    <row r="295" spans="1:11" ht="15" customHeight="1" x14ac:dyDescent="0.25">
      <c r="A295" s="26" t="s">
        <v>662</v>
      </c>
      <c r="B295" s="26" t="s">
        <v>388</v>
      </c>
      <c r="C295" s="26" t="s">
        <v>663</v>
      </c>
      <c r="D295" s="26" t="s">
        <v>384</v>
      </c>
      <c r="E295" s="26" t="s">
        <v>380</v>
      </c>
      <c r="F295" s="26" t="s">
        <v>391</v>
      </c>
      <c r="G295" s="26"/>
      <c r="H295" s="25" t="s">
        <v>334</v>
      </c>
      <c r="I295" s="25" t="s">
        <v>292</v>
      </c>
      <c r="J295" s="25"/>
      <c r="K295" s="26" t="s">
        <v>622</v>
      </c>
    </row>
    <row r="296" spans="1:11" ht="15" customHeight="1" x14ac:dyDescent="0.25">
      <c r="A296" s="26" t="s">
        <v>662</v>
      </c>
      <c r="B296" s="26" t="s">
        <v>388</v>
      </c>
      <c r="C296" s="26" t="s">
        <v>663</v>
      </c>
      <c r="D296" s="26" t="s">
        <v>664</v>
      </c>
      <c r="E296" s="26" t="s">
        <v>380</v>
      </c>
      <c r="F296" s="26" t="s">
        <v>391</v>
      </c>
      <c r="G296" s="26"/>
      <c r="H296" s="25" t="s">
        <v>95</v>
      </c>
      <c r="I296" s="25" t="s">
        <v>292</v>
      </c>
      <c r="J296" s="25"/>
      <c r="K296" s="26" t="s">
        <v>665</v>
      </c>
    </row>
    <row r="297" spans="1:11" ht="15" customHeight="1" x14ac:dyDescent="0.25">
      <c r="A297" s="26" t="s">
        <v>662</v>
      </c>
      <c r="B297" s="26" t="s">
        <v>388</v>
      </c>
      <c r="C297" s="26" t="s">
        <v>663</v>
      </c>
      <c r="D297" s="26" t="s">
        <v>666</v>
      </c>
      <c r="E297" s="26" t="s">
        <v>380</v>
      </c>
      <c r="F297" s="26" t="s">
        <v>391</v>
      </c>
      <c r="G297" s="26"/>
      <c r="H297" s="25" t="s">
        <v>95</v>
      </c>
      <c r="I297" s="25" t="s">
        <v>292</v>
      </c>
      <c r="J297" s="25"/>
      <c r="K297" s="26" t="s">
        <v>667</v>
      </c>
    </row>
    <row r="298" spans="1:11" ht="15" customHeight="1" x14ac:dyDescent="0.25">
      <c r="A298" s="26" t="s">
        <v>662</v>
      </c>
      <c r="B298" s="26" t="s">
        <v>388</v>
      </c>
      <c r="C298" s="26" t="s">
        <v>663</v>
      </c>
      <c r="D298" s="26" t="s">
        <v>668</v>
      </c>
      <c r="E298" s="26" t="s">
        <v>380</v>
      </c>
      <c r="F298" s="26" t="s">
        <v>391</v>
      </c>
      <c r="G298" s="26"/>
      <c r="H298" s="25" t="s">
        <v>95</v>
      </c>
      <c r="I298" s="25" t="s">
        <v>292</v>
      </c>
      <c r="J298" s="25"/>
      <c r="K298" s="26"/>
    </row>
    <row r="299" spans="1:11" ht="15" customHeight="1" x14ac:dyDescent="0.25">
      <c r="A299" s="26" t="s">
        <v>662</v>
      </c>
      <c r="B299" s="26" t="s">
        <v>388</v>
      </c>
      <c r="C299" s="26" t="s">
        <v>663</v>
      </c>
      <c r="D299" s="26" t="s">
        <v>669</v>
      </c>
      <c r="E299" s="26" t="s">
        <v>380</v>
      </c>
      <c r="F299" s="26" t="s">
        <v>391</v>
      </c>
      <c r="G299" s="26"/>
      <c r="H299" s="25" t="s">
        <v>95</v>
      </c>
      <c r="I299" s="25" t="s">
        <v>292</v>
      </c>
      <c r="J299" s="25"/>
      <c r="K299" s="26"/>
    </row>
    <row r="300" spans="1:11" ht="15" customHeight="1" x14ac:dyDescent="0.25">
      <c r="A300" s="26" t="s">
        <v>662</v>
      </c>
      <c r="B300" s="26" t="s">
        <v>388</v>
      </c>
      <c r="C300" s="26" t="s">
        <v>663</v>
      </c>
      <c r="D300" s="26" t="s">
        <v>670</v>
      </c>
      <c r="E300" s="26" t="s">
        <v>380</v>
      </c>
      <c r="F300" s="26" t="s">
        <v>391</v>
      </c>
      <c r="G300" s="26"/>
      <c r="H300" s="25" t="s">
        <v>95</v>
      </c>
      <c r="I300" s="25" t="s">
        <v>290</v>
      </c>
      <c r="J300" s="25" t="s">
        <v>93</v>
      </c>
      <c r="K300" s="26" t="s">
        <v>671</v>
      </c>
    </row>
    <row r="301" spans="1:11" ht="15" customHeight="1" x14ac:dyDescent="0.25">
      <c r="A301" s="26" t="s">
        <v>662</v>
      </c>
      <c r="B301" s="26" t="s">
        <v>388</v>
      </c>
      <c r="C301" s="26" t="s">
        <v>663</v>
      </c>
      <c r="D301" s="26" t="s">
        <v>672</v>
      </c>
      <c r="E301" s="26" t="s">
        <v>380</v>
      </c>
      <c r="F301" s="26" t="s">
        <v>391</v>
      </c>
      <c r="G301" s="26"/>
      <c r="H301" s="25" t="s">
        <v>95</v>
      </c>
      <c r="I301" s="25" t="s">
        <v>290</v>
      </c>
      <c r="J301" s="25" t="s">
        <v>93</v>
      </c>
      <c r="K301" s="26" t="s">
        <v>673</v>
      </c>
    </row>
    <row r="302" spans="1:11" ht="15" customHeight="1" x14ac:dyDescent="0.25">
      <c r="A302" s="26" t="s">
        <v>662</v>
      </c>
      <c r="B302" s="26" t="s">
        <v>388</v>
      </c>
      <c r="C302" s="26" t="s">
        <v>663</v>
      </c>
      <c r="D302" s="26" t="s">
        <v>674</v>
      </c>
      <c r="E302" s="26" t="s">
        <v>380</v>
      </c>
      <c r="F302" s="26" t="s">
        <v>391</v>
      </c>
      <c r="G302" s="26"/>
      <c r="H302" s="25" t="s">
        <v>95</v>
      </c>
      <c r="I302" s="25" t="s">
        <v>292</v>
      </c>
      <c r="J302" s="25" t="s">
        <v>99</v>
      </c>
      <c r="K302" s="26" t="s">
        <v>675</v>
      </c>
    </row>
    <row r="303" spans="1:11" ht="15" customHeight="1" x14ac:dyDescent="0.25">
      <c r="A303" s="26" t="s">
        <v>662</v>
      </c>
      <c r="B303" s="26" t="s">
        <v>388</v>
      </c>
      <c r="C303" s="26" t="s">
        <v>663</v>
      </c>
      <c r="D303" s="26" t="s">
        <v>676</v>
      </c>
      <c r="E303" s="26" t="s">
        <v>380</v>
      </c>
      <c r="F303" s="26" t="s">
        <v>391</v>
      </c>
      <c r="G303" s="26"/>
      <c r="H303" s="25" t="s">
        <v>95</v>
      </c>
      <c r="I303" s="25" t="s">
        <v>292</v>
      </c>
      <c r="J303" s="25" t="s">
        <v>99</v>
      </c>
      <c r="K303" s="26" t="s">
        <v>675</v>
      </c>
    </row>
    <row r="304" spans="1:11" ht="15" customHeight="1" x14ac:dyDescent="0.25">
      <c r="A304" s="26" t="s">
        <v>662</v>
      </c>
      <c r="B304" s="26" t="s">
        <v>388</v>
      </c>
      <c r="C304" s="26" t="s">
        <v>663</v>
      </c>
      <c r="D304" s="26" t="s">
        <v>677</v>
      </c>
      <c r="E304" s="26" t="s">
        <v>380</v>
      </c>
      <c r="F304" s="26" t="s">
        <v>391</v>
      </c>
      <c r="G304" s="26"/>
      <c r="H304" s="25" t="s">
        <v>95</v>
      </c>
      <c r="I304" s="25" t="s">
        <v>290</v>
      </c>
      <c r="J304" s="25"/>
      <c r="K304" s="26"/>
    </row>
    <row r="305" spans="1:11" ht="15" customHeight="1" x14ac:dyDescent="0.25">
      <c r="A305" s="26" t="s">
        <v>662</v>
      </c>
      <c r="B305" s="26" t="s">
        <v>388</v>
      </c>
      <c r="C305" s="26" t="s">
        <v>663</v>
      </c>
      <c r="D305" s="26" t="s">
        <v>678</v>
      </c>
      <c r="E305" s="26" t="s">
        <v>380</v>
      </c>
      <c r="F305" s="26" t="s">
        <v>391</v>
      </c>
      <c r="G305" s="26"/>
      <c r="H305" s="25" t="s">
        <v>95</v>
      </c>
      <c r="I305" s="25" t="s">
        <v>290</v>
      </c>
      <c r="J305" s="25"/>
      <c r="K305" s="26"/>
    </row>
    <row r="306" spans="1:11" ht="15" customHeight="1" x14ac:dyDescent="0.25">
      <c r="A306" s="26" t="s">
        <v>662</v>
      </c>
      <c r="B306" s="26" t="s">
        <v>388</v>
      </c>
      <c r="C306" s="26" t="s">
        <v>663</v>
      </c>
      <c r="D306" s="26" t="s">
        <v>679</v>
      </c>
      <c r="E306" s="26" t="s">
        <v>380</v>
      </c>
      <c r="F306" s="26" t="s">
        <v>391</v>
      </c>
      <c r="G306" s="26"/>
      <c r="H306" s="25" t="s">
        <v>95</v>
      </c>
      <c r="I306" s="25" t="s">
        <v>290</v>
      </c>
      <c r="J306" s="25"/>
      <c r="K306" s="26"/>
    </row>
    <row r="307" spans="1:11" ht="15" customHeight="1" x14ac:dyDescent="0.25">
      <c r="A307" s="26" t="s">
        <v>662</v>
      </c>
      <c r="B307" s="26" t="s">
        <v>388</v>
      </c>
      <c r="C307" s="26" t="s">
        <v>663</v>
      </c>
      <c r="D307" s="26" t="s">
        <v>680</v>
      </c>
      <c r="E307" s="26" t="s">
        <v>352</v>
      </c>
      <c r="F307" s="26" t="s">
        <v>391</v>
      </c>
      <c r="G307" s="26">
        <v>3000</v>
      </c>
      <c r="H307" s="25" t="s">
        <v>95</v>
      </c>
      <c r="I307" s="25" t="s">
        <v>292</v>
      </c>
      <c r="J307" s="25"/>
      <c r="K307" s="26" t="s">
        <v>681</v>
      </c>
    </row>
    <row r="308" spans="1:11" ht="15" customHeight="1" x14ac:dyDescent="0.25">
      <c r="A308" s="26" t="s">
        <v>662</v>
      </c>
      <c r="B308" s="26" t="s">
        <v>388</v>
      </c>
      <c r="C308" s="26" t="s">
        <v>663</v>
      </c>
      <c r="D308" s="26" t="s">
        <v>682</v>
      </c>
      <c r="E308" s="26" t="s">
        <v>352</v>
      </c>
      <c r="F308" s="26" t="s">
        <v>391</v>
      </c>
      <c r="G308" s="26">
        <v>0</v>
      </c>
      <c r="H308" s="25" t="s">
        <v>334</v>
      </c>
      <c r="I308" s="25" t="s">
        <v>290</v>
      </c>
      <c r="J308" s="25"/>
      <c r="K308" s="26" t="s">
        <v>638</v>
      </c>
    </row>
    <row r="309" spans="1:11" ht="15" customHeight="1" x14ac:dyDescent="0.25">
      <c r="A309" s="26" t="s">
        <v>662</v>
      </c>
      <c r="B309" s="26" t="s">
        <v>388</v>
      </c>
      <c r="C309" s="26" t="s">
        <v>663</v>
      </c>
      <c r="D309" s="26" t="s">
        <v>683</v>
      </c>
      <c r="E309" s="26" t="s">
        <v>380</v>
      </c>
      <c r="F309" s="26" t="s">
        <v>391</v>
      </c>
      <c r="G309" s="26"/>
      <c r="H309" s="25" t="s">
        <v>95</v>
      </c>
      <c r="I309" s="25" t="s">
        <v>290</v>
      </c>
      <c r="J309" s="25"/>
      <c r="K309" s="26" t="s">
        <v>684</v>
      </c>
    </row>
    <row r="310" spans="1:11" ht="15" customHeight="1" x14ac:dyDescent="0.25">
      <c r="A310" s="26" t="s">
        <v>662</v>
      </c>
      <c r="B310" s="26" t="s">
        <v>388</v>
      </c>
      <c r="C310" s="26" t="s">
        <v>663</v>
      </c>
      <c r="D310" s="26" t="s">
        <v>685</v>
      </c>
      <c r="E310" s="26" t="s">
        <v>380</v>
      </c>
      <c r="F310" s="26" t="s">
        <v>391</v>
      </c>
      <c r="G310" s="26"/>
      <c r="H310" s="25" t="s">
        <v>334</v>
      </c>
      <c r="I310" s="25" t="s">
        <v>290</v>
      </c>
      <c r="J310" s="25"/>
      <c r="K310" s="26" t="s">
        <v>638</v>
      </c>
    </row>
    <row r="311" spans="1:11" ht="15" customHeight="1" x14ac:dyDescent="0.25">
      <c r="A311" s="26" t="s">
        <v>662</v>
      </c>
      <c r="B311" s="26" t="s">
        <v>388</v>
      </c>
      <c r="C311" s="26" t="s">
        <v>663</v>
      </c>
      <c r="D311" s="26" t="s">
        <v>649</v>
      </c>
      <c r="E311" s="26" t="s">
        <v>380</v>
      </c>
      <c r="F311" s="26" t="s">
        <v>391</v>
      </c>
      <c r="G311" s="26"/>
      <c r="H311" s="25" t="s">
        <v>95</v>
      </c>
      <c r="I311" s="25" t="s">
        <v>291</v>
      </c>
      <c r="J311" s="25"/>
      <c r="K311" s="26" t="s">
        <v>650</v>
      </c>
    </row>
    <row r="312" spans="1:11" ht="15" customHeight="1" x14ac:dyDescent="0.25">
      <c r="A312" s="26" t="s">
        <v>662</v>
      </c>
      <c r="B312" s="26" t="s">
        <v>388</v>
      </c>
      <c r="C312" s="26" t="s">
        <v>663</v>
      </c>
      <c r="D312" s="26" t="s">
        <v>651</v>
      </c>
      <c r="E312" s="26" t="s">
        <v>328</v>
      </c>
      <c r="F312" s="26" t="s">
        <v>391</v>
      </c>
      <c r="G312" s="26">
        <v>0</v>
      </c>
      <c r="H312" s="25" t="s">
        <v>95</v>
      </c>
      <c r="I312" s="25" t="s">
        <v>291</v>
      </c>
      <c r="J312" s="25"/>
      <c r="K312" s="26" t="s">
        <v>652</v>
      </c>
    </row>
    <row r="313" spans="1:11" ht="15" customHeight="1" x14ac:dyDescent="0.25">
      <c r="A313" s="26" t="s">
        <v>662</v>
      </c>
      <c r="B313" s="26" t="s">
        <v>388</v>
      </c>
      <c r="C313" s="26" t="s">
        <v>663</v>
      </c>
      <c r="D313" s="26" t="s">
        <v>653</v>
      </c>
      <c r="E313" s="26" t="s">
        <v>380</v>
      </c>
      <c r="F313" s="26" t="s">
        <v>391</v>
      </c>
      <c r="G313" s="26"/>
      <c r="H313" s="25" t="s">
        <v>95</v>
      </c>
      <c r="I313" s="25" t="s">
        <v>291</v>
      </c>
      <c r="J313" s="25"/>
      <c r="K313" s="26" t="s">
        <v>654</v>
      </c>
    </row>
    <row r="314" spans="1:11" ht="15" customHeight="1" x14ac:dyDescent="0.25">
      <c r="A314" s="26" t="s">
        <v>662</v>
      </c>
      <c r="B314" s="26" t="s">
        <v>388</v>
      </c>
      <c r="C314" s="26" t="s">
        <v>663</v>
      </c>
      <c r="D314" s="26" t="s">
        <v>655</v>
      </c>
      <c r="E314" s="26" t="s">
        <v>380</v>
      </c>
      <c r="F314" s="26" t="s">
        <v>391</v>
      </c>
      <c r="G314" s="26"/>
      <c r="H314" s="25" t="s">
        <v>95</v>
      </c>
      <c r="I314" s="25" t="s">
        <v>290</v>
      </c>
      <c r="J314" s="25"/>
      <c r="K314" s="26" t="s">
        <v>656</v>
      </c>
    </row>
    <row r="315" spans="1:11" ht="15" customHeight="1" x14ac:dyDescent="0.25">
      <c r="A315" s="26" t="s">
        <v>662</v>
      </c>
      <c r="B315" s="26" t="s">
        <v>388</v>
      </c>
      <c r="C315" s="26" t="s">
        <v>663</v>
      </c>
      <c r="D315" s="26" t="s">
        <v>560</v>
      </c>
      <c r="E315" s="26" t="s">
        <v>352</v>
      </c>
      <c r="F315" s="26" t="s">
        <v>391</v>
      </c>
      <c r="G315" s="26">
        <v>0</v>
      </c>
      <c r="H315" s="25" t="s">
        <v>95</v>
      </c>
      <c r="I315" s="25" t="s">
        <v>290</v>
      </c>
      <c r="J315" s="25"/>
      <c r="K315" s="26" t="s">
        <v>657</v>
      </c>
    </row>
    <row r="316" spans="1:11" ht="15" customHeight="1" x14ac:dyDescent="0.25">
      <c r="A316" s="26" t="s">
        <v>662</v>
      </c>
      <c r="B316" s="26" t="s">
        <v>388</v>
      </c>
      <c r="C316" s="26" t="s">
        <v>663</v>
      </c>
      <c r="D316" s="26" t="s">
        <v>658</v>
      </c>
      <c r="E316" s="26" t="s">
        <v>325</v>
      </c>
      <c r="F316" s="26" t="s">
        <v>391</v>
      </c>
      <c r="G316" s="26">
        <v>0</v>
      </c>
      <c r="H316" s="25" t="s">
        <v>95</v>
      </c>
      <c r="I316" s="25" t="s">
        <v>290</v>
      </c>
      <c r="J316" s="25"/>
      <c r="K316" s="26" t="s">
        <v>659</v>
      </c>
    </row>
    <row r="317" spans="1:11" ht="15" customHeight="1" x14ac:dyDescent="0.25">
      <c r="A317" s="26" t="s">
        <v>662</v>
      </c>
      <c r="B317" s="26" t="s">
        <v>388</v>
      </c>
      <c r="C317" s="26" t="s">
        <v>663</v>
      </c>
      <c r="D317" s="26" t="s">
        <v>660</v>
      </c>
      <c r="E317" s="26" t="s">
        <v>352</v>
      </c>
      <c r="F317" s="26" t="s">
        <v>391</v>
      </c>
      <c r="G317" s="26">
        <v>0</v>
      </c>
      <c r="H317" s="25" t="s">
        <v>95</v>
      </c>
      <c r="I317" s="25" t="s">
        <v>292</v>
      </c>
      <c r="J317" s="25"/>
      <c r="K317" s="26" t="s">
        <v>661</v>
      </c>
    </row>
    <row r="318" spans="1:11" ht="15" customHeight="1" x14ac:dyDescent="0.25">
      <c r="A318" s="26" t="s">
        <v>686</v>
      </c>
      <c r="B318" s="26" t="s">
        <v>388</v>
      </c>
      <c r="C318" s="26" t="s">
        <v>687</v>
      </c>
      <c r="D318" s="26" t="s">
        <v>537</v>
      </c>
      <c r="E318" s="26" t="s">
        <v>538</v>
      </c>
      <c r="F318" s="26" t="s">
        <v>391</v>
      </c>
      <c r="G318" s="26"/>
      <c r="H318" s="25" t="s">
        <v>334</v>
      </c>
      <c r="I318" s="25" t="s">
        <v>290</v>
      </c>
      <c r="J318" s="25"/>
      <c r="K318" s="26" t="s">
        <v>268</v>
      </c>
    </row>
    <row r="319" spans="1:11" ht="15" customHeight="1" x14ac:dyDescent="0.25">
      <c r="A319" s="26" t="s">
        <v>686</v>
      </c>
      <c r="B319" s="26" t="s">
        <v>388</v>
      </c>
      <c r="C319" s="26" t="s">
        <v>687</v>
      </c>
      <c r="D319" s="26" t="s">
        <v>616</v>
      </c>
      <c r="E319" s="26" t="s">
        <v>380</v>
      </c>
      <c r="F319" s="26" t="s">
        <v>391</v>
      </c>
      <c r="G319" s="26" t="b">
        <v>1</v>
      </c>
      <c r="H319" s="25" t="s">
        <v>95</v>
      </c>
      <c r="I319" s="25" t="s">
        <v>292</v>
      </c>
      <c r="J319" s="25"/>
      <c r="K319" s="26" t="s">
        <v>617</v>
      </c>
    </row>
    <row r="320" spans="1:11" ht="15" customHeight="1" x14ac:dyDescent="0.25">
      <c r="A320" s="26" t="s">
        <v>686</v>
      </c>
      <c r="B320" s="26" t="s">
        <v>388</v>
      </c>
      <c r="C320" s="26" t="s">
        <v>687</v>
      </c>
      <c r="D320" s="26" t="s">
        <v>618</v>
      </c>
      <c r="E320" s="26" t="s">
        <v>380</v>
      </c>
      <c r="F320" s="26" t="s">
        <v>391</v>
      </c>
      <c r="G320" s="26"/>
      <c r="H320" s="25" t="s">
        <v>95</v>
      </c>
      <c r="I320" s="25" t="s">
        <v>292</v>
      </c>
      <c r="J320" s="25"/>
      <c r="K320" s="26" t="s">
        <v>619</v>
      </c>
    </row>
    <row r="321" spans="1:11" ht="15" customHeight="1" x14ac:dyDescent="0.25">
      <c r="A321" s="26" t="s">
        <v>686</v>
      </c>
      <c r="B321" s="26" t="s">
        <v>388</v>
      </c>
      <c r="C321" s="26" t="s">
        <v>687</v>
      </c>
      <c r="D321" s="26" t="s">
        <v>620</v>
      </c>
      <c r="E321" s="26" t="s">
        <v>380</v>
      </c>
      <c r="F321" s="26" t="s">
        <v>391</v>
      </c>
      <c r="G321" s="26"/>
      <c r="H321" s="25" t="s">
        <v>95</v>
      </c>
      <c r="I321" s="25" t="s">
        <v>292</v>
      </c>
      <c r="J321" s="25"/>
      <c r="K321" s="26" t="s">
        <v>621</v>
      </c>
    </row>
    <row r="322" spans="1:11" ht="15" customHeight="1" x14ac:dyDescent="0.25">
      <c r="A322" s="26" t="s">
        <v>686</v>
      </c>
      <c r="B322" s="26" t="s">
        <v>388</v>
      </c>
      <c r="C322" s="26" t="s">
        <v>687</v>
      </c>
      <c r="D322" s="26" t="s">
        <v>384</v>
      </c>
      <c r="E322" s="26" t="s">
        <v>380</v>
      </c>
      <c r="F322" s="26" t="s">
        <v>391</v>
      </c>
      <c r="G322" s="26"/>
      <c r="H322" s="25" t="s">
        <v>334</v>
      </c>
      <c r="I322" s="25" t="s">
        <v>292</v>
      </c>
      <c r="J322" s="25"/>
      <c r="K322" s="26" t="s">
        <v>622</v>
      </c>
    </row>
    <row r="323" spans="1:11" ht="15" customHeight="1" x14ac:dyDescent="0.25">
      <c r="A323" s="26" t="s">
        <v>686</v>
      </c>
      <c r="B323" s="26" t="s">
        <v>388</v>
      </c>
      <c r="C323" s="26" t="s">
        <v>687</v>
      </c>
      <c r="D323" s="26" t="s">
        <v>558</v>
      </c>
      <c r="E323" s="26" t="s">
        <v>380</v>
      </c>
      <c r="F323" s="26" t="s">
        <v>391</v>
      </c>
      <c r="G323" s="26"/>
      <c r="H323" s="25" t="s">
        <v>95</v>
      </c>
      <c r="I323" s="25" t="s">
        <v>292</v>
      </c>
      <c r="J323" s="25"/>
      <c r="K323" s="26" t="s">
        <v>623</v>
      </c>
    </row>
    <row r="324" spans="1:11" ht="15" customHeight="1" x14ac:dyDescent="0.25">
      <c r="A324" s="26" t="s">
        <v>686</v>
      </c>
      <c r="B324" s="26" t="s">
        <v>388</v>
      </c>
      <c r="C324" s="26" t="s">
        <v>687</v>
      </c>
      <c r="D324" s="26" t="s">
        <v>624</v>
      </c>
      <c r="E324" s="26" t="s">
        <v>380</v>
      </c>
      <c r="F324" s="26" t="s">
        <v>391</v>
      </c>
      <c r="G324" s="26"/>
      <c r="H324" s="25" t="s">
        <v>95</v>
      </c>
      <c r="I324" s="25" t="s">
        <v>292</v>
      </c>
      <c r="J324" s="25"/>
      <c r="K324" s="26" t="s">
        <v>625</v>
      </c>
    </row>
    <row r="325" spans="1:11" ht="15" customHeight="1" x14ac:dyDescent="0.25">
      <c r="A325" s="26" t="s">
        <v>686</v>
      </c>
      <c r="B325" s="26" t="s">
        <v>388</v>
      </c>
      <c r="C325" s="26" t="s">
        <v>687</v>
      </c>
      <c r="D325" s="26" t="s">
        <v>626</v>
      </c>
      <c r="E325" s="26" t="s">
        <v>380</v>
      </c>
      <c r="F325" s="26" t="s">
        <v>391</v>
      </c>
      <c r="G325" s="26"/>
      <c r="H325" s="25" t="s">
        <v>95</v>
      </c>
      <c r="I325" s="25" t="s">
        <v>290</v>
      </c>
      <c r="J325" s="25"/>
      <c r="K325" s="26" t="s">
        <v>627</v>
      </c>
    </row>
    <row r="326" spans="1:11" ht="15" customHeight="1" x14ac:dyDescent="0.25">
      <c r="A326" s="26" t="s">
        <v>686</v>
      </c>
      <c r="B326" s="26" t="s">
        <v>388</v>
      </c>
      <c r="C326" s="26" t="s">
        <v>687</v>
      </c>
      <c r="D326" s="26" t="s">
        <v>688</v>
      </c>
      <c r="E326" s="26" t="s">
        <v>586</v>
      </c>
      <c r="F326" s="26" t="s">
        <v>391</v>
      </c>
      <c r="G326" s="26">
        <v>0</v>
      </c>
      <c r="H326" s="25" t="s">
        <v>95</v>
      </c>
      <c r="I326" s="25" t="s">
        <v>292</v>
      </c>
      <c r="J326" s="25"/>
      <c r="K326" s="26" t="s">
        <v>689</v>
      </c>
    </row>
    <row r="327" spans="1:11" ht="15" customHeight="1" x14ac:dyDescent="0.25">
      <c r="A327" s="26" t="s">
        <v>686</v>
      </c>
      <c r="B327" s="26" t="s">
        <v>388</v>
      </c>
      <c r="C327" s="26" t="s">
        <v>687</v>
      </c>
      <c r="D327" s="26" t="s">
        <v>690</v>
      </c>
      <c r="E327" s="26" t="s">
        <v>586</v>
      </c>
      <c r="F327" s="26" t="s">
        <v>391</v>
      </c>
      <c r="G327" s="26">
        <v>0</v>
      </c>
      <c r="H327" s="25" t="s">
        <v>95</v>
      </c>
      <c r="I327" s="25" t="s">
        <v>292</v>
      </c>
      <c r="J327" s="25"/>
      <c r="K327" s="26" t="s">
        <v>691</v>
      </c>
    </row>
    <row r="328" spans="1:11" ht="15" customHeight="1" x14ac:dyDescent="0.25">
      <c r="A328" s="26" t="s">
        <v>686</v>
      </c>
      <c r="B328" s="26" t="s">
        <v>388</v>
      </c>
      <c r="C328" s="26" t="s">
        <v>687</v>
      </c>
      <c r="D328" s="26" t="s">
        <v>692</v>
      </c>
      <c r="E328" s="26" t="s">
        <v>586</v>
      </c>
      <c r="F328" s="26" t="s">
        <v>391</v>
      </c>
      <c r="G328" s="26">
        <v>0</v>
      </c>
      <c r="H328" s="25" t="s">
        <v>95</v>
      </c>
      <c r="I328" s="25" t="s">
        <v>292</v>
      </c>
      <c r="J328" s="25"/>
      <c r="K328" s="26" t="s">
        <v>693</v>
      </c>
    </row>
    <row r="329" spans="1:11" ht="15" customHeight="1" x14ac:dyDescent="0.25">
      <c r="A329" s="26" t="s">
        <v>686</v>
      </c>
      <c r="B329" s="26" t="s">
        <v>388</v>
      </c>
      <c r="C329" s="26" t="s">
        <v>687</v>
      </c>
      <c r="D329" s="26" t="s">
        <v>694</v>
      </c>
      <c r="E329" s="26" t="s">
        <v>586</v>
      </c>
      <c r="F329" s="26" t="s">
        <v>391</v>
      </c>
      <c r="G329" s="26">
        <v>50</v>
      </c>
      <c r="H329" s="25" t="s">
        <v>95</v>
      </c>
      <c r="I329" s="25" t="s">
        <v>292</v>
      </c>
      <c r="J329" s="25"/>
      <c r="K329" s="26"/>
    </row>
    <row r="330" spans="1:11" ht="15" customHeight="1" x14ac:dyDescent="0.25">
      <c r="A330" s="26" t="s">
        <v>686</v>
      </c>
      <c r="B330" s="26" t="s">
        <v>388</v>
      </c>
      <c r="C330" s="26" t="s">
        <v>687</v>
      </c>
      <c r="D330" s="26" t="s">
        <v>695</v>
      </c>
      <c r="E330" s="26" t="s">
        <v>352</v>
      </c>
      <c r="F330" s="26" t="s">
        <v>391</v>
      </c>
      <c r="G330" s="26">
        <v>0</v>
      </c>
      <c r="H330" s="25" t="s">
        <v>95</v>
      </c>
      <c r="I330" s="25" t="s">
        <v>292</v>
      </c>
      <c r="J330" s="25"/>
      <c r="K330" s="26" t="s">
        <v>696</v>
      </c>
    </row>
    <row r="331" spans="1:11" ht="15" customHeight="1" x14ac:dyDescent="0.25">
      <c r="A331" s="26" t="s">
        <v>686</v>
      </c>
      <c r="B331" s="26" t="s">
        <v>388</v>
      </c>
      <c r="C331" s="26" t="s">
        <v>687</v>
      </c>
      <c r="D331" s="26" t="s">
        <v>697</v>
      </c>
      <c r="E331" s="26" t="s">
        <v>586</v>
      </c>
      <c r="F331" s="26" t="s">
        <v>391</v>
      </c>
      <c r="G331" s="26">
        <v>0</v>
      </c>
      <c r="H331" s="25" t="s">
        <v>95</v>
      </c>
      <c r="I331" s="25" t="s">
        <v>290</v>
      </c>
      <c r="J331" s="25"/>
      <c r="K331" s="26" t="s">
        <v>698</v>
      </c>
    </row>
    <row r="332" spans="1:11" ht="15" customHeight="1" x14ac:dyDescent="0.25">
      <c r="A332" s="26" t="s">
        <v>686</v>
      </c>
      <c r="B332" s="26" t="s">
        <v>388</v>
      </c>
      <c r="C332" s="26" t="s">
        <v>687</v>
      </c>
      <c r="D332" s="26" t="s">
        <v>699</v>
      </c>
      <c r="E332" s="26" t="s">
        <v>586</v>
      </c>
      <c r="F332" s="26" t="s">
        <v>391</v>
      </c>
      <c r="G332" s="26">
        <v>0</v>
      </c>
      <c r="H332" s="25" t="s">
        <v>95</v>
      </c>
      <c r="I332" s="25" t="s">
        <v>290</v>
      </c>
      <c r="J332" s="25" t="s">
        <v>110</v>
      </c>
      <c r="K332" s="26" t="s">
        <v>700</v>
      </c>
    </row>
    <row r="333" spans="1:11" ht="15" customHeight="1" x14ac:dyDescent="0.25">
      <c r="A333" s="26" t="s">
        <v>686</v>
      </c>
      <c r="B333" s="26" t="s">
        <v>388</v>
      </c>
      <c r="C333" s="26" t="s">
        <v>687</v>
      </c>
      <c r="D333" s="26" t="s">
        <v>701</v>
      </c>
      <c r="E333" s="26" t="s">
        <v>586</v>
      </c>
      <c r="F333" s="26" t="s">
        <v>391</v>
      </c>
      <c r="G333" s="26">
        <v>0</v>
      </c>
      <c r="H333" s="25" t="s">
        <v>95</v>
      </c>
      <c r="I333" s="25" t="s">
        <v>290</v>
      </c>
      <c r="J333" s="25"/>
      <c r="K333" s="26" t="s">
        <v>702</v>
      </c>
    </row>
    <row r="334" spans="1:11" ht="15" customHeight="1" x14ac:dyDescent="0.25">
      <c r="A334" s="26" t="s">
        <v>686</v>
      </c>
      <c r="B334" s="26" t="s">
        <v>388</v>
      </c>
      <c r="C334" s="26" t="s">
        <v>687</v>
      </c>
      <c r="D334" s="26" t="s">
        <v>703</v>
      </c>
      <c r="E334" s="26" t="s">
        <v>586</v>
      </c>
      <c r="F334" s="26" t="s">
        <v>391</v>
      </c>
      <c r="G334" s="26">
        <v>0</v>
      </c>
      <c r="H334" s="25" t="s">
        <v>95</v>
      </c>
      <c r="I334" s="25" t="s">
        <v>290</v>
      </c>
      <c r="J334" s="25"/>
      <c r="K334" s="26" t="s">
        <v>704</v>
      </c>
    </row>
    <row r="335" spans="1:11" ht="15" customHeight="1" x14ac:dyDescent="0.25">
      <c r="A335" s="26" t="s">
        <v>686</v>
      </c>
      <c r="B335" s="26" t="s">
        <v>388</v>
      </c>
      <c r="C335" s="26" t="s">
        <v>687</v>
      </c>
      <c r="D335" s="26" t="s">
        <v>705</v>
      </c>
      <c r="E335" s="26" t="s">
        <v>352</v>
      </c>
      <c r="F335" s="26" t="s">
        <v>391</v>
      </c>
      <c r="G335" s="26">
        <v>3000</v>
      </c>
      <c r="H335" s="25" t="s">
        <v>95</v>
      </c>
      <c r="I335" s="25" t="s">
        <v>292</v>
      </c>
      <c r="J335" s="25"/>
      <c r="K335" s="26"/>
    </row>
    <row r="336" spans="1:11" ht="15" customHeight="1" x14ac:dyDescent="0.25">
      <c r="A336" s="26" t="s">
        <v>686</v>
      </c>
      <c r="B336" s="26" t="s">
        <v>388</v>
      </c>
      <c r="C336" s="26" t="s">
        <v>687</v>
      </c>
      <c r="D336" s="26" t="s">
        <v>706</v>
      </c>
      <c r="E336" s="26" t="s">
        <v>352</v>
      </c>
      <c r="F336" s="26" t="s">
        <v>391</v>
      </c>
      <c r="G336" s="26">
        <v>0</v>
      </c>
      <c r="H336" s="25" t="s">
        <v>334</v>
      </c>
      <c r="I336" s="25" t="s">
        <v>290</v>
      </c>
      <c r="J336" s="25"/>
      <c r="K336" s="26" t="s">
        <v>638</v>
      </c>
    </row>
    <row r="337" spans="1:11" ht="15" customHeight="1" x14ac:dyDescent="0.25">
      <c r="A337" s="26" t="s">
        <v>686</v>
      </c>
      <c r="B337" s="26" t="s">
        <v>388</v>
      </c>
      <c r="C337" s="26" t="s">
        <v>687</v>
      </c>
      <c r="D337" s="26" t="s">
        <v>628</v>
      </c>
      <c r="E337" s="26" t="s">
        <v>380</v>
      </c>
      <c r="F337" s="26" t="s">
        <v>391</v>
      </c>
      <c r="G337" s="26"/>
      <c r="H337" s="25" t="s">
        <v>95</v>
      </c>
      <c r="I337" s="25" t="s">
        <v>290</v>
      </c>
      <c r="J337" s="25" t="s">
        <v>99</v>
      </c>
      <c r="K337" s="26" t="s">
        <v>707</v>
      </c>
    </row>
    <row r="338" spans="1:11" ht="15" customHeight="1" x14ac:dyDescent="0.25">
      <c r="A338" s="26" t="s">
        <v>686</v>
      </c>
      <c r="B338" s="26" t="s">
        <v>388</v>
      </c>
      <c r="C338" s="26" t="s">
        <v>687</v>
      </c>
      <c r="D338" s="26" t="s">
        <v>632</v>
      </c>
      <c r="E338" s="26" t="s">
        <v>380</v>
      </c>
      <c r="F338" s="26" t="s">
        <v>391</v>
      </c>
      <c r="G338" s="26"/>
      <c r="H338" s="25" t="s">
        <v>95</v>
      </c>
      <c r="I338" s="25" t="s">
        <v>290</v>
      </c>
      <c r="J338" s="25"/>
      <c r="K338" s="26" t="s">
        <v>708</v>
      </c>
    </row>
    <row r="339" spans="1:11" ht="15" customHeight="1" x14ac:dyDescent="0.25">
      <c r="A339" s="26" t="s">
        <v>686</v>
      </c>
      <c r="B339" s="26" t="s">
        <v>388</v>
      </c>
      <c r="C339" s="26" t="s">
        <v>687</v>
      </c>
      <c r="D339" s="26" t="s">
        <v>709</v>
      </c>
      <c r="E339" s="26" t="s">
        <v>380</v>
      </c>
      <c r="F339" s="26" t="s">
        <v>391</v>
      </c>
      <c r="G339" s="26"/>
      <c r="H339" s="25" t="s">
        <v>95</v>
      </c>
      <c r="I339" s="25" t="s">
        <v>290</v>
      </c>
      <c r="J339" s="25" t="s">
        <v>93</v>
      </c>
      <c r="K339" s="26" t="s">
        <v>710</v>
      </c>
    </row>
    <row r="340" spans="1:11" ht="15" customHeight="1" x14ac:dyDescent="0.25">
      <c r="A340" s="26" t="s">
        <v>686</v>
      </c>
      <c r="B340" s="26" t="s">
        <v>388</v>
      </c>
      <c r="C340" s="26" t="s">
        <v>687</v>
      </c>
      <c r="D340" s="26" t="s">
        <v>711</v>
      </c>
      <c r="E340" s="26" t="s">
        <v>380</v>
      </c>
      <c r="F340" s="26" t="s">
        <v>391</v>
      </c>
      <c r="G340" s="26"/>
      <c r="H340" s="25" t="s">
        <v>95</v>
      </c>
      <c r="I340" s="25" t="s">
        <v>291</v>
      </c>
      <c r="J340" s="25" t="s">
        <v>93</v>
      </c>
      <c r="K340" s="26" t="s">
        <v>712</v>
      </c>
    </row>
    <row r="341" spans="1:11" ht="15" customHeight="1" x14ac:dyDescent="0.25">
      <c r="A341" s="26" t="s">
        <v>686</v>
      </c>
      <c r="B341" s="26" t="s">
        <v>388</v>
      </c>
      <c r="C341" s="26" t="s">
        <v>687</v>
      </c>
      <c r="D341" s="26" t="s">
        <v>713</v>
      </c>
      <c r="E341" s="26" t="s">
        <v>328</v>
      </c>
      <c r="F341" s="26" t="s">
        <v>391</v>
      </c>
      <c r="G341" s="26">
        <v>0</v>
      </c>
      <c r="H341" s="25" t="s">
        <v>95</v>
      </c>
      <c r="I341" s="25" t="s">
        <v>290</v>
      </c>
      <c r="J341" s="25" t="s">
        <v>138</v>
      </c>
      <c r="K341" s="26" t="s">
        <v>714</v>
      </c>
    </row>
    <row r="342" spans="1:11" ht="15" customHeight="1" x14ac:dyDescent="0.25">
      <c r="A342" s="26" t="s">
        <v>686</v>
      </c>
      <c r="B342" s="26" t="s">
        <v>388</v>
      </c>
      <c r="C342" s="26" t="s">
        <v>687</v>
      </c>
      <c r="D342" s="26" t="s">
        <v>163</v>
      </c>
      <c r="E342" s="26" t="s">
        <v>328</v>
      </c>
      <c r="F342" s="26" t="s">
        <v>391</v>
      </c>
      <c r="G342" s="26">
        <v>0</v>
      </c>
      <c r="H342" s="25" t="s">
        <v>95</v>
      </c>
      <c r="I342" s="25" t="s">
        <v>292</v>
      </c>
      <c r="J342" s="25"/>
      <c r="K342" s="26" t="s">
        <v>715</v>
      </c>
    </row>
    <row r="343" spans="1:11" ht="15" customHeight="1" x14ac:dyDescent="0.25">
      <c r="A343" s="26" t="s">
        <v>686</v>
      </c>
      <c r="B343" s="26" t="s">
        <v>388</v>
      </c>
      <c r="C343" s="26" t="s">
        <v>687</v>
      </c>
      <c r="D343" s="26" t="s">
        <v>164</v>
      </c>
      <c r="E343" s="26" t="s">
        <v>328</v>
      </c>
      <c r="F343" s="26" t="s">
        <v>391</v>
      </c>
      <c r="G343" s="26">
        <v>10000</v>
      </c>
      <c r="H343" s="25" t="s">
        <v>95</v>
      </c>
      <c r="I343" s="25" t="s">
        <v>292</v>
      </c>
      <c r="J343" s="25"/>
      <c r="K343" s="26"/>
    </row>
    <row r="344" spans="1:11" ht="15" customHeight="1" x14ac:dyDescent="0.25">
      <c r="A344" s="26" t="s">
        <v>686</v>
      </c>
      <c r="B344" s="26" t="s">
        <v>388</v>
      </c>
      <c r="C344" s="26" t="s">
        <v>687</v>
      </c>
      <c r="D344" s="26" t="s">
        <v>648</v>
      </c>
      <c r="E344" s="26" t="s">
        <v>380</v>
      </c>
      <c r="F344" s="26" t="s">
        <v>391</v>
      </c>
      <c r="G344" s="26"/>
      <c r="H344" s="25" t="s">
        <v>334</v>
      </c>
      <c r="I344" s="25" t="s">
        <v>290</v>
      </c>
      <c r="J344" s="25"/>
      <c r="K344" s="26" t="s">
        <v>638</v>
      </c>
    </row>
    <row r="345" spans="1:11" ht="15" customHeight="1" x14ac:dyDescent="0.25">
      <c r="A345" s="26" t="s">
        <v>686</v>
      </c>
      <c r="B345" s="26" t="s">
        <v>388</v>
      </c>
      <c r="C345" s="26" t="s">
        <v>687</v>
      </c>
      <c r="D345" s="26" t="s">
        <v>649</v>
      </c>
      <c r="E345" s="26" t="s">
        <v>380</v>
      </c>
      <c r="F345" s="26" t="s">
        <v>391</v>
      </c>
      <c r="G345" s="26"/>
      <c r="H345" s="25" t="s">
        <v>95</v>
      </c>
      <c r="I345" s="25" t="s">
        <v>291</v>
      </c>
      <c r="J345" s="25"/>
      <c r="K345" s="26" t="s">
        <v>650</v>
      </c>
    </row>
    <row r="346" spans="1:11" ht="15" customHeight="1" x14ac:dyDescent="0.25">
      <c r="A346" s="26" t="s">
        <v>686</v>
      </c>
      <c r="B346" s="26" t="s">
        <v>388</v>
      </c>
      <c r="C346" s="26" t="s">
        <v>687</v>
      </c>
      <c r="D346" s="26" t="s">
        <v>651</v>
      </c>
      <c r="E346" s="26" t="s">
        <v>328</v>
      </c>
      <c r="F346" s="26" t="s">
        <v>391</v>
      </c>
      <c r="G346" s="26">
        <v>0</v>
      </c>
      <c r="H346" s="25" t="s">
        <v>95</v>
      </c>
      <c r="I346" s="25" t="s">
        <v>291</v>
      </c>
      <c r="J346" s="25"/>
      <c r="K346" s="26" t="s">
        <v>652</v>
      </c>
    </row>
    <row r="347" spans="1:11" ht="15" customHeight="1" x14ac:dyDescent="0.25">
      <c r="A347" s="26" t="s">
        <v>686</v>
      </c>
      <c r="B347" s="26" t="s">
        <v>388</v>
      </c>
      <c r="C347" s="26" t="s">
        <v>687</v>
      </c>
      <c r="D347" s="26" t="s">
        <v>653</v>
      </c>
      <c r="E347" s="26" t="s">
        <v>380</v>
      </c>
      <c r="F347" s="26" t="s">
        <v>391</v>
      </c>
      <c r="G347" s="26"/>
      <c r="H347" s="25" t="s">
        <v>95</v>
      </c>
      <c r="I347" s="25" t="s">
        <v>291</v>
      </c>
      <c r="J347" s="25"/>
      <c r="K347" s="26" t="s">
        <v>654</v>
      </c>
    </row>
    <row r="348" spans="1:11" ht="15" customHeight="1" x14ac:dyDescent="0.25">
      <c r="A348" s="26" t="s">
        <v>686</v>
      </c>
      <c r="B348" s="26" t="s">
        <v>388</v>
      </c>
      <c r="C348" s="26" t="s">
        <v>687</v>
      </c>
      <c r="D348" s="26" t="s">
        <v>655</v>
      </c>
      <c r="E348" s="26" t="s">
        <v>380</v>
      </c>
      <c r="F348" s="26" t="s">
        <v>391</v>
      </c>
      <c r="G348" s="26"/>
      <c r="H348" s="25" t="s">
        <v>95</v>
      </c>
      <c r="I348" s="25" t="s">
        <v>290</v>
      </c>
      <c r="J348" s="25"/>
      <c r="K348" s="26" t="s">
        <v>656</v>
      </c>
    </row>
    <row r="349" spans="1:11" ht="15" customHeight="1" x14ac:dyDescent="0.25">
      <c r="A349" s="26" t="s">
        <v>686</v>
      </c>
      <c r="B349" s="26" t="s">
        <v>388</v>
      </c>
      <c r="C349" s="26" t="s">
        <v>687</v>
      </c>
      <c r="D349" s="26" t="s">
        <v>560</v>
      </c>
      <c r="E349" s="26" t="s">
        <v>352</v>
      </c>
      <c r="F349" s="26" t="s">
        <v>391</v>
      </c>
      <c r="G349" s="26">
        <v>0</v>
      </c>
      <c r="H349" s="25" t="s">
        <v>95</v>
      </c>
      <c r="I349" s="25" t="s">
        <v>290</v>
      </c>
      <c r="J349" s="25"/>
      <c r="K349" s="26" t="s">
        <v>657</v>
      </c>
    </row>
    <row r="350" spans="1:11" ht="15" customHeight="1" x14ac:dyDescent="0.25">
      <c r="A350" s="26" t="s">
        <v>686</v>
      </c>
      <c r="B350" s="26" t="s">
        <v>388</v>
      </c>
      <c r="C350" s="26" t="s">
        <v>687</v>
      </c>
      <c r="D350" s="26" t="s">
        <v>658</v>
      </c>
      <c r="E350" s="26" t="s">
        <v>325</v>
      </c>
      <c r="F350" s="26" t="s">
        <v>391</v>
      </c>
      <c r="G350" s="26">
        <v>0</v>
      </c>
      <c r="H350" s="25" t="s">
        <v>95</v>
      </c>
      <c r="I350" s="25" t="s">
        <v>290</v>
      </c>
      <c r="J350" s="25"/>
      <c r="K350" s="26" t="s">
        <v>659</v>
      </c>
    </row>
    <row r="351" spans="1:11" ht="15" customHeight="1" x14ac:dyDescent="0.25">
      <c r="A351" s="26" t="s">
        <v>686</v>
      </c>
      <c r="B351" s="26" t="s">
        <v>388</v>
      </c>
      <c r="C351" s="26" t="s">
        <v>687</v>
      </c>
      <c r="D351" s="26" t="s">
        <v>660</v>
      </c>
      <c r="E351" s="26" t="s">
        <v>352</v>
      </c>
      <c r="F351" s="26" t="s">
        <v>391</v>
      </c>
      <c r="G351" s="26">
        <v>0</v>
      </c>
      <c r="H351" s="25" t="s">
        <v>95</v>
      </c>
      <c r="I351" s="25" t="s">
        <v>292</v>
      </c>
      <c r="J351" s="25"/>
      <c r="K351" s="26" t="s">
        <v>661</v>
      </c>
    </row>
    <row r="352" spans="1:11" ht="15" customHeight="1" x14ac:dyDescent="0.25">
      <c r="A352" s="26" t="s">
        <v>716</v>
      </c>
      <c r="B352" s="26" t="s">
        <v>388</v>
      </c>
      <c r="C352" s="26" t="s">
        <v>717</v>
      </c>
      <c r="D352" s="26" t="s">
        <v>537</v>
      </c>
      <c r="E352" s="26" t="s">
        <v>538</v>
      </c>
      <c r="F352" s="26" t="s">
        <v>391</v>
      </c>
      <c r="G352" s="26"/>
      <c r="H352" s="25" t="s">
        <v>334</v>
      </c>
      <c r="I352" s="25" t="s">
        <v>290</v>
      </c>
      <c r="J352" s="25"/>
      <c r="K352" s="26" t="s">
        <v>268</v>
      </c>
    </row>
    <row r="353" spans="1:11" ht="15" customHeight="1" x14ac:dyDescent="0.25">
      <c r="A353" s="26" t="s">
        <v>716</v>
      </c>
      <c r="B353" s="26" t="s">
        <v>388</v>
      </c>
      <c r="C353" s="26" t="s">
        <v>717</v>
      </c>
      <c r="D353" s="26" t="s">
        <v>616</v>
      </c>
      <c r="E353" s="26" t="s">
        <v>380</v>
      </c>
      <c r="F353" s="26" t="s">
        <v>391</v>
      </c>
      <c r="G353" s="26" t="b">
        <v>1</v>
      </c>
      <c r="H353" s="25" t="s">
        <v>95</v>
      </c>
      <c r="I353" s="25" t="s">
        <v>292</v>
      </c>
      <c r="J353" s="25"/>
      <c r="K353" s="26" t="s">
        <v>617</v>
      </c>
    </row>
    <row r="354" spans="1:11" ht="15" customHeight="1" x14ac:dyDescent="0.25">
      <c r="A354" s="26" t="s">
        <v>716</v>
      </c>
      <c r="B354" s="26" t="s">
        <v>388</v>
      </c>
      <c r="C354" s="26" t="s">
        <v>717</v>
      </c>
      <c r="D354" s="26" t="s">
        <v>618</v>
      </c>
      <c r="E354" s="26" t="s">
        <v>380</v>
      </c>
      <c r="F354" s="26" t="s">
        <v>391</v>
      </c>
      <c r="G354" s="26"/>
      <c r="H354" s="25" t="s">
        <v>95</v>
      </c>
      <c r="I354" s="25" t="s">
        <v>292</v>
      </c>
      <c r="J354" s="25"/>
      <c r="K354" s="26" t="s">
        <v>619</v>
      </c>
    </row>
    <row r="355" spans="1:11" ht="15" customHeight="1" x14ac:dyDescent="0.25">
      <c r="A355" s="26" t="s">
        <v>716</v>
      </c>
      <c r="B355" s="26" t="s">
        <v>388</v>
      </c>
      <c r="C355" s="26" t="s">
        <v>717</v>
      </c>
      <c r="D355" s="26" t="s">
        <v>620</v>
      </c>
      <c r="E355" s="26" t="s">
        <v>380</v>
      </c>
      <c r="F355" s="26" t="s">
        <v>391</v>
      </c>
      <c r="G355" s="26"/>
      <c r="H355" s="25" t="s">
        <v>95</v>
      </c>
      <c r="I355" s="25" t="s">
        <v>292</v>
      </c>
      <c r="J355" s="25"/>
      <c r="K355" s="26" t="s">
        <v>621</v>
      </c>
    </row>
    <row r="356" spans="1:11" ht="15" customHeight="1" x14ac:dyDescent="0.25">
      <c r="A356" s="26" t="s">
        <v>716</v>
      </c>
      <c r="B356" s="26" t="s">
        <v>388</v>
      </c>
      <c r="C356" s="26" t="s">
        <v>717</v>
      </c>
      <c r="D356" s="26" t="s">
        <v>384</v>
      </c>
      <c r="E356" s="26" t="s">
        <v>380</v>
      </c>
      <c r="F356" s="26" t="s">
        <v>391</v>
      </c>
      <c r="G356" s="26"/>
      <c r="H356" s="25" t="s">
        <v>334</v>
      </c>
      <c r="I356" s="25" t="s">
        <v>292</v>
      </c>
      <c r="J356" s="25"/>
      <c r="K356" s="26" t="s">
        <v>622</v>
      </c>
    </row>
    <row r="357" spans="1:11" ht="15" customHeight="1" x14ac:dyDescent="0.25">
      <c r="A357" s="26" t="s">
        <v>716</v>
      </c>
      <c r="B357" s="26" t="s">
        <v>388</v>
      </c>
      <c r="C357" s="26" t="s">
        <v>717</v>
      </c>
      <c r="D357" s="26" t="s">
        <v>288</v>
      </c>
      <c r="E357" s="26" t="s">
        <v>328</v>
      </c>
      <c r="F357" s="26" t="s">
        <v>391</v>
      </c>
      <c r="G357" s="26">
        <v>0</v>
      </c>
      <c r="H357" s="25" t="s">
        <v>95</v>
      </c>
      <c r="I357" s="25" t="s">
        <v>290</v>
      </c>
      <c r="J357" s="25"/>
      <c r="K357" s="26" t="s">
        <v>718</v>
      </c>
    </row>
    <row r="358" spans="1:11" ht="15" customHeight="1" x14ac:dyDescent="0.25">
      <c r="A358" s="26" t="s">
        <v>716</v>
      </c>
      <c r="B358" s="26" t="s">
        <v>388</v>
      </c>
      <c r="C358" s="26" t="s">
        <v>717</v>
      </c>
      <c r="D358" s="26" t="s">
        <v>719</v>
      </c>
      <c r="E358" s="26" t="s">
        <v>328</v>
      </c>
      <c r="F358" s="26" t="s">
        <v>391</v>
      </c>
      <c r="G358" s="26">
        <v>0</v>
      </c>
      <c r="H358" s="25" t="s">
        <v>95</v>
      </c>
      <c r="I358" s="25" t="s">
        <v>290</v>
      </c>
      <c r="J358" s="25"/>
      <c r="K358" s="26" t="s">
        <v>720</v>
      </c>
    </row>
    <row r="359" spans="1:11" ht="15" customHeight="1" x14ac:dyDescent="0.25">
      <c r="A359" s="26" t="s">
        <v>716</v>
      </c>
      <c r="B359" s="26" t="s">
        <v>388</v>
      </c>
      <c r="C359" s="26" t="s">
        <v>717</v>
      </c>
      <c r="D359" s="26" t="s">
        <v>721</v>
      </c>
      <c r="E359" s="26" t="s">
        <v>352</v>
      </c>
      <c r="F359" s="26" t="s">
        <v>391</v>
      </c>
      <c r="G359" s="26">
        <v>1000</v>
      </c>
      <c r="H359" s="25" t="s">
        <v>95</v>
      </c>
      <c r="I359" s="25" t="s">
        <v>292</v>
      </c>
      <c r="J359" s="25"/>
      <c r="K359" s="26" t="s">
        <v>722</v>
      </c>
    </row>
    <row r="360" spans="1:11" ht="15" customHeight="1" x14ac:dyDescent="0.25">
      <c r="A360" s="26" t="s">
        <v>716</v>
      </c>
      <c r="B360" s="26" t="s">
        <v>388</v>
      </c>
      <c r="C360" s="26" t="s">
        <v>717</v>
      </c>
      <c r="D360" s="26" t="s">
        <v>723</v>
      </c>
      <c r="E360" s="26" t="s">
        <v>352</v>
      </c>
      <c r="F360" s="26" t="s">
        <v>391</v>
      </c>
      <c r="G360" s="26">
        <v>250</v>
      </c>
      <c r="H360" s="25" t="s">
        <v>95</v>
      </c>
      <c r="I360" s="25" t="s">
        <v>292</v>
      </c>
      <c r="J360" s="25"/>
      <c r="K360" s="26" t="s">
        <v>724</v>
      </c>
    </row>
    <row r="361" spans="1:11" ht="15" customHeight="1" x14ac:dyDescent="0.25">
      <c r="A361" s="26" t="s">
        <v>716</v>
      </c>
      <c r="B361" s="26" t="s">
        <v>388</v>
      </c>
      <c r="C361" s="26" t="s">
        <v>717</v>
      </c>
      <c r="D361" s="26" t="s">
        <v>725</v>
      </c>
      <c r="E361" s="26" t="s">
        <v>352</v>
      </c>
      <c r="F361" s="26" t="s">
        <v>391</v>
      </c>
      <c r="G361" s="26">
        <v>200</v>
      </c>
      <c r="H361" s="25" t="s">
        <v>95</v>
      </c>
      <c r="I361" s="25" t="s">
        <v>292</v>
      </c>
      <c r="J361" s="25"/>
      <c r="K361" s="26" t="s">
        <v>726</v>
      </c>
    </row>
    <row r="362" spans="1:11" ht="15" customHeight="1" x14ac:dyDescent="0.25">
      <c r="A362" s="26" t="s">
        <v>716</v>
      </c>
      <c r="B362" s="26" t="s">
        <v>388</v>
      </c>
      <c r="C362" s="26" t="s">
        <v>717</v>
      </c>
      <c r="D362" s="26" t="s">
        <v>727</v>
      </c>
      <c r="E362" s="26" t="s">
        <v>380</v>
      </c>
      <c r="F362" s="26" t="s">
        <v>391</v>
      </c>
      <c r="G362" s="26"/>
      <c r="H362" s="25" t="s">
        <v>95</v>
      </c>
      <c r="I362" s="25" t="s">
        <v>290</v>
      </c>
      <c r="J362" s="25"/>
      <c r="K362" s="26" t="s">
        <v>728</v>
      </c>
    </row>
    <row r="363" spans="1:11" ht="15" customHeight="1" x14ac:dyDescent="0.25">
      <c r="A363" s="26" t="s">
        <v>716</v>
      </c>
      <c r="B363" s="26" t="s">
        <v>388</v>
      </c>
      <c r="C363" s="26" t="s">
        <v>717</v>
      </c>
      <c r="D363" s="26" t="s">
        <v>729</v>
      </c>
      <c r="E363" s="26" t="s">
        <v>380</v>
      </c>
      <c r="F363" s="26" t="s">
        <v>391</v>
      </c>
      <c r="G363" s="26"/>
      <c r="H363" s="25" t="s">
        <v>334</v>
      </c>
      <c r="I363" s="25" t="s">
        <v>290</v>
      </c>
      <c r="J363" s="25"/>
      <c r="K363" s="26" t="s">
        <v>638</v>
      </c>
    </row>
    <row r="364" spans="1:11" ht="15" customHeight="1" x14ac:dyDescent="0.25">
      <c r="A364" s="26" t="s">
        <v>716</v>
      </c>
      <c r="B364" s="26" t="s">
        <v>388</v>
      </c>
      <c r="C364" s="26" t="s">
        <v>717</v>
      </c>
      <c r="D364" s="26" t="s">
        <v>730</v>
      </c>
      <c r="E364" s="26" t="s">
        <v>380</v>
      </c>
      <c r="F364" s="26" t="s">
        <v>391</v>
      </c>
      <c r="G364" s="26"/>
      <c r="H364" s="25" t="s">
        <v>95</v>
      </c>
      <c r="I364" s="25" t="s">
        <v>290</v>
      </c>
      <c r="J364" s="25" t="s">
        <v>99</v>
      </c>
      <c r="K364" s="26" t="s">
        <v>731</v>
      </c>
    </row>
    <row r="365" spans="1:11" ht="15" customHeight="1" x14ac:dyDescent="0.25">
      <c r="A365" s="26" t="s">
        <v>716</v>
      </c>
      <c r="B365" s="26" t="s">
        <v>388</v>
      </c>
      <c r="C365" s="26" t="s">
        <v>717</v>
      </c>
      <c r="D365" s="26" t="s">
        <v>732</v>
      </c>
      <c r="E365" s="26" t="s">
        <v>352</v>
      </c>
      <c r="F365" s="26" t="s">
        <v>391</v>
      </c>
      <c r="G365" s="26">
        <v>0</v>
      </c>
      <c r="H365" s="25" t="s">
        <v>334</v>
      </c>
      <c r="I365" s="25" t="s">
        <v>292</v>
      </c>
      <c r="J365" s="25"/>
      <c r="K365" s="26" t="s">
        <v>638</v>
      </c>
    </row>
    <row r="366" spans="1:11" ht="15" customHeight="1" x14ac:dyDescent="0.25">
      <c r="A366" s="26" t="s">
        <v>716</v>
      </c>
      <c r="B366" s="26" t="s">
        <v>388</v>
      </c>
      <c r="C366" s="26" t="s">
        <v>717</v>
      </c>
      <c r="D366" s="26" t="s">
        <v>733</v>
      </c>
      <c r="E366" s="26" t="s">
        <v>352</v>
      </c>
      <c r="F366" s="26" t="s">
        <v>391</v>
      </c>
      <c r="G366" s="26">
        <v>0</v>
      </c>
      <c r="H366" s="25" t="s">
        <v>334</v>
      </c>
      <c r="I366" s="25" t="s">
        <v>290</v>
      </c>
      <c r="J366" s="25"/>
      <c r="K366" s="26" t="s">
        <v>638</v>
      </c>
    </row>
    <row r="367" spans="1:11" ht="15" customHeight="1" x14ac:dyDescent="0.25">
      <c r="A367" s="26" t="s">
        <v>716</v>
      </c>
      <c r="B367" s="26" t="s">
        <v>388</v>
      </c>
      <c r="C367" s="26" t="s">
        <v>717</v>
      </c>
      <c r="D367" s="26" t="s">
        <v>649</v>
      </c>
      <c r="E367" s="26" t="s">
        <v>380</v>
      </c>
      <c r="F367" s="26" t="s">
        <v>391</v>
      </c>
      <c r="G367" s="26"/>
      <c r="H367" s="25" t="s">
        <v>95</v>
      </c>
      <c r="I367" s="25" t="s">
        <v>291</v>
      </c>
      <c r="J367" s="25"/>
      <c r="K367" s="26" t="s">
        <v>650</v>
      </c>
    </row>
    <row r="368" spans="1:11" ht="15" customHeight="1" x14ac:dyDescent="0.25">
      <c r="A368" s="26" t="s">
        <v>716</v>
      </c>
      <c r="B368" s="26" t="s">
        <v>388</v>
      </c>
      <c r="C368" s="26" t="s">
        <v>717</v>
      </c>
      <c r="D368" s="26" t="s">
        <v>651</v>
      </c>
      <c r="E368" s="26" t="s">
        <v>328</v>
      </c>
      <c r="F368" s="26" t="s">
        <v>391</v>
      </c>
      <c r="G368" s="26">
        <v>0</v>
      </c>
      <c r="H368" s="25" t="s">
        <v>95</v>
      </c>
      <c r="I368" s="25" t="s">
        <v>291</v>
      </c>
      <c r="J368" s="25"/>
      <c r="K368" s="26" t="s">
        <v>652</v>
      </c>
    </row>
    <row r="369" spans="1:11" ht="15" customHeight="1" x14ac:dyDescent="0.25">
      <c r="A369" s="26" t="s">
        <v>716</v>
      </c>
      <c r="B369" s="26" t="s">
        <v>388</v>
      </c>
      <c r="C369" s="26" t="s">
        <v>717</v>
      </c>
      <c r="D369" s="26" t="s">
        <v>653</v>
      </c>
      <c r="E369" s="26" t="s">
        <v>380</v>
      </c>
      <c r="F369" s="26" t="s">
        <v>391</v>
      </c>
      <c r="G369" s="26"/>
      <c r="H369" s="25" t="s">
        <v>95</v>
      </c>
      <c r="I369" s="25" t="s">
        <v>291</v>
      </c>
      <c r="J369" s="25"/>
      <c r="K369" s="26" t="s">
        <v>654</v>
      </c>
    </row>
    <row r="370" spans="1:11" ht="15" customHeight="1" x14ac:dyDescent="0.25">
      <c r="A370" s="26" t="s">
        <v>716</v>
      </c>
      <c r="B370" s="26" t="s">
        <v>388</v>
      </c>
      <c r="C370" s="26" t="s">
        <v>717</v>
      </c>
      <c r="D370" s="26" t="s">
        <v>655</v>
      </c>
      <c r="E370" s="26" t="s">
        <v>380</v>
      </c>
      <c r="F370" s="26" t="s">
        <v>391</v>
      </c>
      <c r="G370" s="26"/>
      <c r="H370" s="25" t="s">
        <v>95</v>
      </c>
      <c r="I370" s="25" t="s">
        <v>290</v>
      </c>
      <c r="J370" s="25"/>
      <c r="K370" s="26" t="s">
        <v>656</v>
      </c>
    </row>
    <row r="371" spans="1:11" ht="15" customHeight="1" x14ac:dyDescent="0.25">
      <c r="A371" s="26" t="s">
        <v>716</v>
      </c>
      <c r="B371" s="26" t="s">
        <v>388</v>
      </c>
      <c r="C371" s="26" t="s">
        <v>717</v>
      </c>
      <c r="D371" s="26" t="s">
        <v>560</v>
      </c>
      <c r="E371" s="26" t="s">
        <v>352</v>
      </c>
      <c r="F371" s="26" t="s">
        <v>391</v>
      </c>
      <c r="G371" s="26">
        <v>0</v>
      </c>
      <c r="H371" s="25" t="s">
        <v>95</v>
      </c>
      <c r="I371" s="25" t="s">
        <v>290</v>
      </c>
      <c r="J371" s="25"/>
      <c r="K371" s="26" t="s">
        <v>657</v>
      </c>
    </row>
    <row r="372" spans="1:11" ht="15" customHeight="1" x14ac:dyDescent="0.25">
      <c r="A372" s="26" t="s">
        <v>716</v>
      </c>
      <c r="B372" s="26" t="s">
        <v>388</v>
      </c>
      <c r="C372" s="26" t="s">
        <v>717</v>
      </c>
      <c r="D372" s="26" t="s">
        <v>658</v>
      </c>
      <c r="E372" s="26" t="s">
        <v>325</v>
      </c>
      <c r="F372" s="26" t="s">
        <v>391</v>
      </c>
      <c r="G372" s="26">
        <v>0</v>
      </c>
      <c r="H372" s="25" t="s">
        <v>95</v>
      </c>
      <c r="I372" s="25" t="s">
        <v>290</v>
      </c>
      <c r="J372" s="25"/>
      <c r="K372" s="26" t="s">
        <v>659</v>
      </c>
    </row>
    <row r="373" spans="1:11" ht="15" customHeight="1" x14ac:dyDescent="0.25">
      <c r="A373" s="26" t="s">
        <v>716</v>
      </c>
      <c r="B373" s="26" t="s">
        <v>388</v>
      </c>
      <c r="C373" s="26" t="s">
        <v>717</v>
      </c>
      <c r="D373" s="26" t="s">
        <v>660</v>
      </c>
      <c r="E373" s="26" t="s">
        <v>352</v>
      </c>
      <c r="F373" s="26" t="s">
        <v>391</v>
      </c>
      <c r="G373" s="26">
        <v>0</v>
      </c>
      <c r="H373" s="25" t="s">
        <v>95</v>
      </c>
      <c r="I373" s="25" t="s">
        <v>292</v>
      </c>
      <c r="J373" s="25"/>
      <c r="K373" s="26" t="s">
        <v>661</v>
      </c>
    </row>
    <row r="374" spans="1:11" ht="15" customHeight="1" x14ac:dyDescent="0.25">
      <c r="A374" s="26" t="s">
        <v>734</v>
      </c>
      <c r="B374" s="26" t="s">
        <v>388</v>
      </c>
      <c r="C374" s="26" t="s">
        <v>735</v>
      </c>
      <c r="D374" s="26" t="s">
        <v>537</v>
      </c>
      <c r="E374" s="26" t="s">
        <v>538</v>
      </c>
      <c r="F374" s="26" t="s">
        <v>391</v>
      </c>
      <c r="G374" s="26"/>
      <c r="H374" s="25" t="s">
        <v>334</v>
      </c>
      <c r="I374" s="25" t="s">
        <v>290</v>
      </c>
      <c r="J374" s="25"/>
      <c r="K374" s="26" t="s">
        <v>268</v>
      </c>
    </row>
    <row r="375" spans="1:11" ht="15" customHeight="1" x14ac:dyDescent="0.25">
      <c r="A375" s="26" t="s">
        <v>734</v>
      </c>
      <c r="B375" s="26" t="s">
        <v>388</v>
      </c>
      <c r="C375" s="26" t="s">
        <v>735</v>
      </c>
      <c r="D375" s="26" t="s">
        <v>616</v>
      </c>
      <c r="E375" s="26" t="s">
        <v>380</v>
      </c>
      <c r="F375" s="26" t="s">
        <v>391</v>
      </c>
      <c r="G375" s="26" t="b">
        <v>1</v>
      </c>
      <c r="H375" s="25" t="s">
        <v>95</v>
      </c>
      <c r="I375" s="25" t="s">
        <v>292</v>
      </c>
      <c r="J375" s="25"/>
      <c r="K375" s="26" t="s">
        <v>617</v>
      </c>
    </row>
    <row r="376" spans="1:11" ht="15" customHeight="1" x14ac:dyDescent="0.25">
      <c r="A376" s="26" t="s">
        <v>734</v>
      </c>
      <c r="B376" s="26" t="s">
        <v>388</v>
      </c>
      <c r="C376" s="26" t="s">
        <v>735</v>
      </c>
      <c r="D376" s="26" t="s">
        <v>618</v>
      </c>
      <c r="E376" s="26" t="s">
        <v>380</v>
      </c>
      <c r="F376" s="26" t="s">
        <v>391</v>
      </c>
      <c r="G376" s="26"/>
      <c r="H376" s="25" t="s">
        <v>95</v>
      </c>
      <c r="I376" s="25" t="s">
        <v>292</v>
      </c>
      <c r="J376" s="25"/>
      <c r="K376" s="26" t="s">
        <v>619</v>
      </c>
    </row>
    <row r="377" spans="1:11" ht="15" customHeight="1" x14ac:dyDescent="0.25">
      <c r="A377" s="26" t="s">
        <v>734</v>
      </c>
      <c r="B377" s="26" t="s">
        <v>388</v>
      </c>
      <c r="C377" s="26" t="s">
        <v>735</v>
      </c>
      <c r="D377" s="26" t="s">
        <v>620</v>
      </c>
      <c r="E377" s="26" t="s">
        <v>380</v>
      </c>
      <c r="F377" s="26" t="s">
        <v>391</v>
      </c>
      <c r="G377" s="26"/>
      <c r="H377" s="25" t="s">
        <v>95</v>
      </c>
      <c r="I377" s="25" t="s">
        <v>292</v>
      </c>
      <c r="J377" s="25"/>
      <c r="K377" s="26" t="s">
        <v>621</v>
      </c>
    </row>
    <row r="378" spans="1:11" ht="15" customHeight="1" x14ac:dyDescent="0.25">
      <c r="A378" s="26" t="s">
        <v>734</v>
      </c>
      <c r="B378" s="26" t="s">
        <v>388</v>
      </c>
      <c r="C378" s="26" t="s">
        <v>735</v>
      </c>
      <c r="D378" s="26" t="s">
        <v>384</v>
      </c>
      <c r="E378" s="26" t="s">
        <v>380</v>
      </c>
      <c r="F378" s="26" t="s">
        <v>391</v>
      </c>
      <c r="G378" s="26"/>
      <c r="H378" s="25" t="s">
        <v>334</v>
      </c>
      <c r="I378" s="25" t="s">
        <v>292</v>
      </c>
      <c r="J378" s="25"/>
      <c r="K378" s="26" t="s">
        <v>622</v>
      </c>
    </row>
    <row r="379" spans="1:11" ht="15" customHeight="1" x14ac:dyDescent="0.25">
      <c r="A379" s="26" t="s">
        <v>734</v>
      </c>
      <c r="B379" s="26" t="s">
        <v>388</v>
      </c>
      <c r="C379" s="26" t="s">
        <v>735</v>
      </c>
      <c r="D379" s="26" t="s">
        <v>558</v>
      </c>
      <c r="E379" s="26" t="s">
        <v>380</v>
      </c>
      <c r="F379" s="26" t="s">
        <v>391</v>
      </c>
      <c r="G379" s="26"/>
      <c r="H379" s="25" t="s">
        <v>95</v>
      </c>
      <c r="I379" s="25" t="s">
        <v>292</v>
      </c>
      <c r="J379" s="25"/>
      <c r="K379" s="26" t="s">
        <v>736</v>
      </c>
    </row>
    <row r="380" spans="1:11" ht="15" customHeight="1" x14ac:dyDescent="0.25">
      <c r="A380" s="26" t="s">
        <v>734</v>
      </c>
      <c r="B380" s="26" t="s">
        <v>388</v>
      </c>
      <c r="C380" s="26" t="s">
        <v>735</v>
      </c>
      <c r="D380" s="26" t="s">
        <v>624</v>
      </c>
      <c r="E380" s="26" t="s">
        <v>380</v>
      </c>
      <c r="F380" s="26" t="s">
        <v>391</v>
      </c>
      <c r="G380" s="26"/>
      <c r="H380" s="25" t="s">
        <v>95</v>
      </c>
      <c r="I380" s="25" t="s">
        <v>292</v>
      </c>
      <c r="J380" s="25"/>
      <c r="K380" s="26" t="s">
        <v>737</v>
      </c>
    </row>
    <row r="381" spans="1:11" ht="15" customHeight="1" x14ac:dyDescent="0.25">
      <c r="A381" s="26" t="s">
        <v>734</v>
      </c>
      <c r="B381" s="26" t="s">
        <v>388</v>
      </c>
      <c r="C381" s="26" t="s">
        <v>735</v>
      </c>
      <c r="D381" s="26" t="s">
        <v>738</v>
      </c>
      <c r="E381" s="26" t="s">
        <v>380</v>
      </c>
      <c r="F381" s="26" t="s">
        <v>391</v>
      </c>
      <c r="G381" s="26"/>
      <c r="H381" s="25" t="s">
        <v>95</v>
      </c>
      <c r="I381" s="25" t="s">
        <v>290</v>
      </c>
      <c r="J381" s="25" t="s">
        <v>93</v>
      </c>
      <c r="K381" s="26" t="s">
        <v>739</v>
      </c>
    </row>
    <row r="382" spans="1:11" ht="15" customHeight="1" x14ac:dyDescent="0.25">
      <c r="A382" s="26" t="s">
        <v>734</v>
      </c>
      <c r="B382" s="26" t="s">
        <v>388</v>
      </c>
      <c r="C382" s="26" t="s">
        <v>735</v>
      </c>
      <c r="D382" s="26" t="s">
        <v>633</v>
      </c>
      <c r="E382" s="26" t="s">
        <v>380</v>
      </c>
      <c r="F382" s="26" t="s">
        <v>391</v>
      </c>
      <c r="G382" s="26"/>
      <c r="H382" s="25" t="s">
        <v>95</v>
      </c>
      <c r="I382" s="25" t="s">
        <v>290</v>
      </c>
      <c r="J382" s="25" t="s">
        <v>93</v>
      </c>
      <c r="K382" s="26" t="s">
        <v>740</v>
      </c>
    </row>
    <row r="383" spans="1:11" ht="15" customHeight="1" x14ac:dyDescent="0.25">
      <c r="A383" s="26" t="s">
        <v>734</v>
      </c>
      <c r="B383" s="26" t="s">
        <v>388</v>
      </c>
      <c r="C383" s="26" t="s">
        <v>735</v>
      </c>
      <c r="D383" s="26" t="s">
        <v>628</v>
      </c>
      <c r="E383" s="26" t="s">
        <v>380</v>
      </c>
      <c r="F383" s="26" t="s">
        <v>391</v>
      </c>
      <c r="G383" s="26"/>
      <c r="H383" s="25" t="s">
        <v>95</v>
      </c>
      <c r="I383" s="25" t="s">
        <v>290</v>
      </c>
      <c r="J383" s="25" t="s">
        <v>99</v>
      </c>
      <c r="K383" s="26" t="s">
        <v>741</v>
      </c>
    </row>
    <row r="384" spans="1:11" ht="15" customHeight="1" x14ac:dyDescent="0.25">
      <c r="A384" s="26" t="s">
        <v>734</v>
      </c>
      <c r="B384" s="26" t="s">
        <v>388</v>
      </c>
      <c r="C384" s="26" t="s">
        <v>735</v>
      </c>
      <c r="D384" s="26" t="s">
        <v>632</v>
      </c>
      <c r="E384" s="26" t="s">
        <v>380</v>
      </c>
      <c r="F384" s="26" t="s">
        <v>391</v>
      </c>
      <c r="G384" s="26"/>
      <c r="H384" s="25" t="s">
        <v>95</v>
      </c>
      <c r="I384" s="25" t="s">
        <v>290</v>
      </c>
      <c r="J384" s="25"/>
      <c r="K384" s="26" t="s">
        <v>742</v>
      </c>
    </row>
    <row r="385" spans="1:11" ht="15" customHeight="1" x14ac:dyDescent="0.25">
      <c r="A385" s="26" t="s">
        <v>734</v>
      </c>
      <c r="B385" s="26" t="s">
        <v>388</v>
      </c>
      <c r="C385" s="26" t="s">
        <v>735</v>
      </c>
      <c r="D385" s="26" t="s">
        <v>743</v>
      </c>
      <c r="E385" s="26" t="s">
        <v>352</v>
      </c>
      <c r="F385" s="26" t="s">
        <v>391</v>
      </c>
      <c r="G385" s="26">
        <v>2000</v>
      </c>
      <c r="H385" s="25" t="s">
        <v>95</v>
      </c>
      <c r="I385" s="25" t="s">
        <v>292</v>
      </c>
      <c r="J385" s="25"/>
      <c r="K385" s="26" t="s">
        <v>744</v>
      </c>
    </row>
    <row r="386" spans="1:11" ht="15" customHeight="1" x14ac:dyDescent="0.25">
      <c r="A386" s="26" t="s">
        <v>734</v>
      </c>
      <c r="B386" s="26" t="s">
        <v>388</v>
      </c>
      <c r="C386" s="26" t="s">
        <v>735</v>
      </c>
      <c r="D386" s="26" t="s">
        <v>745</v>
      </c>
      <c r="E386" s="26" t="s">
        <v>352</v>
      </c>
      <c r="F386" s="26" t="s">
        <v>391</v>
      </c>
      <c r="G386" s="26">
        <v>0</v>
      </c>
      <c r="H386" s="25" t="s">
        <v>334</v>
      </c>
      <c r="I386" s="25" t="s">
        <v>290</v>
      </c>
      <c r="J386" s="25"/>
      <c r="K386" s="26" t="s">
        <v>638</v>
      </c>
    </row>
    <row r="387" spans="1:11" ht="15" customHeight="1" x14ac:dyDescent="0.25">
      <c r="A387" s="26" t="s">
        <v>734</v>
      </c>
      <c r="B387" s="26" t="s">
        <v>388</v>
      </c>
      <c r="C387" s="26" t="s">
        <v>735</v>
      </c>
      <c r="D387" s="26" t="s">
        <v>746</v>
      </c>
      <c r="E387" s="26" t="s">
        <v>352</v>
      </c>
      <c r="F387" s="26" t="s">
        <v>391</v>
      </c>
      <c r="G387" s="26">
        <v>0</v>
      </c>
      <c r="H387" s="25" t="s">
        <v>95</v>
      </c>
      <c r="I387" s="25" t="s">
        <v>292</v>
      </c>
      <c r="J387" s="25"/>
      <c r="K387" s="26" t="s">
        <v>747</v>
      </c>
    </row>
    <row r="388" spans="1:11" ht="15" customHeight="1" x14ac:dyDescent="0.25">
      <c r="A388" s="26" t="s">
        <v>734</v>
      </c>
      <c r="B388" s="26" t="s">
        <v>388</v>
      </c>
      <c r="C388" s="26" t="s">
        <v>735</v>
      </c>
      <c r="D388" s="26" t="s">
        <v>748</v>
      </c>
      <c r="E388" s="26" t="s">
        <v>352</v>
      </c>
      <c r="F388" s="26" t="s">
        <v>391</v>
      </c>
      <c r="G388" s="26">
        <v>0</v>
      </c>
      <c r="H388" s="25" t="s">
        <v>334</v>
      </c>
      <c r="I388" s="25" t="s">
        <v>290</v>
      </c>
      <c r="J388" s="25"/>
      <c r="K388" s="26" t="s">
        <v>638</v>
      </c>
    </row>
    <row r="389" spans="1:11" ht="15" customHeight="1" x14ac:dyDescent="0.25">
      <c r="A389" s="26" t="s">
        <v>734</v>
      </c>
      <c r="B389" s="26" t="s">
        <v>388</v>
      </c>
      <c r="C389" s="26" t="s">
        <v>735</v>
      </c>
      <c r="D389" s="26" t="s">
        <v>749</v>
      </c>
      <c r="E389" s="26" t="s">
        <v>380</v>
      </c>
      <c r="F389" s="26" t="s">
        <v>391</v>
      </c>
      <c r="G389" s="26" t="b">
        <v>1</v>
      </c>
      <c r="H389" s="25" t="s">
        <v>95</v>
      </c>
      <c r="I389" s="25" t="s">
        <v>290</v>
      </c>
      <c r="J389" s="25"/>
      <c r="K389" s="26" t="s">
        <v>750</v>
      </c>
    </row>
    <row r="390" spans="1:11" ht="15" customHeight="1" x14ac:dyDescent="0.25">
      <c r="A390" s="26" t="s">
        <v>734</v>
      </c>
      <c r="B390" s="26" t="s">
        <v>388</v>
      </c>
      <c r="C390" s="26" t="s">
        <v>735</v>
      </c>
      <c r="D390" s="26" t="s">
        <v>648</v>
      </c>
      <c r="E390" s="26" t="s">
        <v>380</v>
      </c>
      <c r="F390" s="26" t="s">
        <v>391</v>
      </c>
      <c r="G390" s="26"/>
      <c r="H390" s="25" t="s">
        <v>334</v>
      </c>
      <c r="I390" s="25" t="s">
        <v>290</v>
      </c>
      <c r="J390" s="25"/>
      <c r="K390" s="26" t="s">
        <v>638</v>
      </c>
    </row>
    <row r="391" spans="1:11" ht="15" customHeight="1" x14ac:dyDescent="0.25">
      <c r="A391" s="26" t="s">
        <v>734</v>
      </c>
      <c r="B391" s="26" t="s">
        <v>388</v>
      </c>
      <c r="C391" s="26" t="s">
        <v>735</v>
      </c>
      <c r="D391" s="26" t="s">
        <v>649</v>
      </c>
      <c r="E391" s="26" t="s">
        <v>380</v>
      </c>
      <c r="F391" s="26" t="s">
        <v>391</v>
      </c>
      <c r="G391" s="26"/>
      <c r="H391" s="25" t="s">
        <v>95</v>
      </c>
      <c r="I391" s="25" t="s">
        <v>291</v>
      </c>
      <c r="J391" s="25"/>
      <c r="K391" s="26" t="s">
        <v>650</v>
      </c>
    </row>
    <row r="392" spans="1:11" ht="15" customHeight="1" x14ac:dyDescent="0.25">
      <c r="A392" s="26" t="s">
        <v>734</v>
      </c>
      <c r="B392" s="26" t="s">
        <v>388</v>
      </c>
      <c r="C392" s="26" t="s">
        <v>735</v>
      </c>
      <c r="D392" s="26" t="s">
        <v>651</v>
      </c>
      <c r="E392" s="26" t="s">
        <v>328</v>
      </c>
      <c r="F392" s="26" t="s">
        <v>391</v>
      </c>
      <c r="G392" s="26">
        <v>0</v>
      </c>
      <c r="H392" s="25" t="s">
        <v>95</v>
      </c>
      <c r="I392" s="25" t="s">
        <v>291</v>
      </c>
      <c r="J392" s="25"/>
      <c r="K392" s="26" t="s">
        <v>652</v>
      </c>
    </row>
    <row r="393" spans="1:11" ht="15" customHeight="1" x14ac:dyDescent="0.25">
      <c r="A393" s="26" t="s">
        <v>734</v>
      </c>
      <c r="B393" s="26" t="s">
        <v>388</v>
      </c>
      <c r="C393" s="26" t="s">
        <v>735</v>
      </c>
      <c r="D393" s="26" t="s">
        <v>653</v>
      </c>
      <c r="E393" s="26" t="s">
        <v>380</v>
      </c>
      <c r="F393" s="26" t="s">
        <v>391</v>
      </c>
      <c r="G393" s="26"/>
      <c r="H393" s="25" t="s">
        <v>95</v>
      </c>
      <c r="I393" s="25" t="s">
        <v>291</v>
      </c>
      <c r="J393" s="25"/>
      <c r="K393" s="26" t="s">
        <v>654</v>
      </c>
    </row>
    <row r="394" spans="1:11" ht="15" customHeight="1" x14ac:dyDescent="0.25">
      <c r="A394" s="26" t="s">
        <v>734</v>
      </c>
      <c r="B394" s="26" t="s">
        <v>388</v>
      </c>
      <c r="C394" s="26" t="s">
        <v>735</v>
      </c>
      <c r="D394" s="26" t="s">
        <v>655</v>
      </c>
      <c r="E394" s="26" t="s">
        <v>380</v>
      </c>
      <c r="F394" s="26" t="s">
        <v>391</v>
      </c>
      <c r="G394" s="26"/>
      <c r="H394" s="25" t="s">
        <v>95</v>
      </c>
      <c r="I394" s="25" t="s">
        <v>290</v>
      </c>
      <c r="J394" s="25"/>
      <c r="K394" s="26" t="s">
        <v>656</v>
      </c>
    </row>
    <row r="395" spans="1:11" ht="15" customHeight="1" x14ac:dyDescent="0.25">
      <c r="A395" s="26" t="s">
        <v>734</v>
      </c>
      <c r="B395" s="26" t="s">
        <v>388</v>
      </c>
      <c r="C395" s="26" t="s">
        <v>735</v>
      </c>
      <c r="D395" s="26" t="s">
        <v>560</v>
      </c>
      <c r="E395" s="26" t="s">
        <v>352</v>
      </c>
      <c r="F395" s="26" t="s">
        <v>391</v>
      </c>
      <c r="G395" s="26">
        <v>0</v>
      </c>
      <c r="H395" s="25" t="s">
        <v>95</v>
      </c>
      <c r="I395" s="25" t="s">
        <v>290</v>
      </c>
      <c r="J395" s="25"/>
      <c r="K395" s="26" t="s">
        <v>657</v>
      </c>
    </row>
    <row r="396" spans="1:11" ht="15" customHeight="1" x14ac:dyDescent="0.25">
      <c r="A396" s="26" t="s">
        <v>734</v>
      </c>
      <c r="B396" s="26" t="s">
        <v>388</v>
      </c>
      <c r="C396" s="26" t="s">
        <v>735</v>
      </c>
      <c r="D396" s="26" t="s">
        <v>658</v>
      </c>
      <c r="E396" s="26" t="s">
        <v>325</v>
      </c>
      <c r="F396" s="26" t="s">
        <v>391</v>
      </c>
      <c r="G396" s="26">
        <v>0</v>
      </c>
      <c r="H396" s="25" t="s">
        <v>95</v>
      </c>
      <c r="I396" s="25" t="s">
        <v>290</v>
      </c>
      <c r="J396" s="25"/>
      <c r="K396" s="26" t="s">
        <v>659</v>
      </c>
    </row>
    <row r="397" spans="1:11" ht="15" customHeight="1" x14ac:dyDescent="0.25">
      <c r="A397" s="26" t="s">
        <v>734</v>
      </c>
      <c r="B397" s="26" t="s">
        <v>388</v>
      </c>
      <c r="C397" s="26" t="s">
        <v>735</v>
      </c>
      <c r="D397" s="26" t="s">
        <v>660</v>
      </c>
      <c r="E397" s="26" t="s">
        <v>352</v>
      </c>
      <c r="F397" s="26" t="s">
        <v>391</v>
      </c>
      <c r="G397" s="26">
        <v>0</v>
      </c>
      <c r="H397" s="25" t="s">
        <v>95</v>
      </c>
      <c r="I397" s="25" t="s">
        <v>292</v>
      </c>
      <c r="J397" s="25"/>
      <c r="K397" s="26" t="s">
        <v>661</v>
      </c>
    </row>
    <row r="398" spans="1:11" ht="15" customHeight="1" x14ac:dyDescent="0.25">
      <c r="A398" s="26" t="s">
        <v>751</v>
      </c>
      <c r="B398" s="26" t="s">
        <v>388</v>
      </c>
      <c r="C398" s="26" t="s">
        <v>752</v>
      </c>
      <c r="D398" s="26" t="s">
        <v>537</v>
      </c>
      <c r="E398" s="26" t="s">
        <v>538</v>
      </c>
      <c r="F398" s="26" t="s">
        <v>391</v>
      </c>
      <c r="G398" s="26"/>
      <c r="H398" s="25" t="s">
        <v>334</v>
      </c>
      <c r="I398" s="25" t="s">
        <v>290</v>
      </c>
      <c r="J398" s="25"/>
      <c r="K398" s="26" t="s">
        <v>268</v>
      </c>
    </row>
    <row r="399" spans="1:11" ht="15" customHeight="1" x14ac:dyDescent="0.25">
      <c r="A399" s="26" t="s">
        <v>751</v>
      </c>
      <c r="B399" s="26" t="s">
        <v>388</v>
      </c>
      <c r="C399" s="26" t="s">
        <v>752</v>
      </c>
      <c r="D399" s="26" t="s">
        <v>616</v>
      </c>
      <c r="E399" s="26" t="s">
        <v>380</v>
      </c>
      <c r="F399" s="26" t="s">
        <v>391</v>
      </c>
      <c r="G399" s="26" t="b">
        <v>1</v>
      </c>
      <c r="H399" s="25" t="s">
        <v>95</v>
      </c>
      <c r="I399" s="25" t="s">
        <v>292</v>
      </c>
      <c r="J399" s="25"/>
      <c r="K399" s="26" t="s">
        <v>617</v>
      </c>
    </row>
    <row r="400" spans="1:11" ht="15" customHeight="1" x14ac:dyDescent="0.25">
      <c r="A400" s="26" t="s">
        <v>751</v>
      </c>
      <c r="B400" s="26" t="s">
        <v>388</v>
      </c>
      <c r="C400" s="26" t="s">
        <v>752</v>
      </c>
      <c r="D400" s="26" t="s">
        <v>618</v>
      </c>
      <c r="E400" s="26" t="s">
        <v>380</v>
      </c>
      <c r="F400" s="26" t="s">
        <v>391</v>
      </c>
      <c r="G400" s="26"/>
      <c r="H400" s="25" t="s">
        <v>95</v>
      </c>
      <c r="I400" s="25" t="s">
        <v>292</v>
      </c>
      <c r="J400" s="25"/>
      <c r="K400" s="26" t="s">
        <v>619</v>
      </c>
    </row>
    <row r="401" spans="1:11" ht="15" customHeight="1" x14ac:dyDescent="0.25">
      <c r="A401" s="26" t="s">
        <v>751</v>
      </c>
      <c r="B401" s="26" t="s">
        <v>388</v>
      </c>
      <c r="C401" s="26" t="s">
        <v>752</v>
      </c>
      <c r="D401" s="26" t="s">
        <v>620</v>
      </c>
      <c r="E401" s="26" t="s">
        <v>380</v>
      </c>
      <c r="F401" s="26" t="s">
        <v>391</v>
      </c>
      <c r="G401" s="26"/>
      <c r="H401" s="25" t="s">
        <v>95</v>
      </c>
      <c r="I401" s="25" t="s">
        <v>292</v>
      </c>
      <c r="J401" s="25"/>
      <c r="K401" s="26" t="s">
        <v>621</v>
      </c>
    </row>
    <row r="402" spans="1:11" ht="15" customHeight="1" x14ac:dyDescent="0.25">
      <c r="A402" s="26" t="s">
        <v>751</v>
      </c>
      <c r="B402" s="26" t="s">
        <v>388</v>
      </c>
      <c r="C402" s="26" t="s">
        <v>752</v>
      </c>
      <c r="D402" s="26" t="s">
        <v>384</v>
      </c>
      <c r="E402" s="26" t="s">
        <v>380</v>
      </c>
      <c r="F402" s="26" t="s">
        <v>391</v>
      </c>
      <c r="G402" s="26"/>
      <c r="H402" s="25" t="s">
        <v>334</v>
      </c>
      <c r="I402" s="25" t="s">
        <v>292</v>
      </c>
      <c r="J402" s="25"/>
      <c r="K402" s="26" t="s">
        <v>622</v>
      </c>
    </row>
    <row r="403" spans="1:11" ht="15" customHeight="1" x14ac:dyDescent="0.25">
      <c r="A403" s="26" t="s">
        <v>751</v>
      </c>
      <c r="B403" s="26" t="s">
        <v>388</v>
      </c>
      <c r="C403" s="26" t="s">
        <v>752</v>
      </c>
      <c r="D403" s="26" t="s">
        <v>558</v>
      </c>
      <c r="E403" s="26" t="s">
        <v>380</v>
      </c>
      <c r="F403" s="26" t="s">
        <v>391</v>
      </c>
      <c r="G403" s="26"/>
      <c r="H403" s="25" t="s">
        <v>95</v>
      </c>
      <c r="I403" s="25" t="s">
        <v>292</v>
      </c>
      <c r="J403" s="25"/>
      <c r="K403" s="26" t="s">
        <v>736</v>
      </c>
    </row>
    <row r="404" spans="1:11" ht="15" customHeight="1" x14ac:dyDescent="0.25">
      <c r="A404" s="26" t="s">
        <v>751</v>
      </c>
      <c r="B404" s="26" t="s">
        <v>388</v>
      </c>
      <c r="C404" s="26" t="s">
        <v>752</v>
      </c>
      <c r="D404" s="26" t="s">
        <v>624</v>
      </c>
      <c r="E404" s="26" t="s">
        <v>380</v>
      </c>
      <c r="F404" s="26" t="s">
        <v>391</v>
      </c>
      <c r="G404" s="26"/>
      <c r="H404" s="25" t="s">
        <v>95</v>
      </c>
      <c r="I404" s="25" t="s">
        <v>292</v>
      </c>
      <c r="J404" s="25"/>
      <c r="K404" s="26" t="s">
        <v>737</v>
      </c>
    </row>
    <row r="405" spans="1:11" ht="15" customHeight="1" x14ac:dyDescent="0.25">
      <c r="A405" s="26" t="s">
        <v>751</v>
      </c>
      <c r="B405" s="26" t="s">
        <v>388</v>
      </c>
      <c r="C405" s="26" t="s">
        <v>752</v>
      </c>
      <c r="D405" s="26" t="s">
        <v>738</v>
      </c>
      <c r="E405" s="26" t="s">
        <v>380</v>
      </c>
      <c r="F405" s="26" t="s">
        <v>391</v>
      </c>
      <c r="G405" s="26"/>
      <c r="H405" s="25" t="s">
        <v>95</v>
      </c>
      <c r="I405" s="25" t="s">
        <v>290</v>
      </c>
      <c r="J405" s="25" t="s">
        <v>93</v>
      </c>
      <c r="K405" s="26" t="s">
        <v>739</v>
      </c>
    </row>
    <row r="406" spans="1:11" ht="15" customHeight="1" x14ac:dyDescent="0.25">
      <c r="A406" s="26" t="s">
        <v>751</v>
      </c>
      <c r="B406" s="26" t="s">
        <v>388</v>
      </c>
      <c r="C406" s="26" t="s">
        <v>752</v>
      </c>
      <c r="D406" s="26" t="s">
        <v>633</v>
      </c>
      <c r="E406" s="26" t="s">
        <v>380</v>
      </c>
      <c r="F406" s="26" t="s">
        <v>391</v>
      </c>
      <c r="G406" s="26"/>
      <c r="H406" s="25" t="s">
        <v>95</v>
      </c>
      <c r="I406" s="25" t="s">
        <v>290</v>
      </c>
      <c r="J406" s="25" t="s">
        <v>93</v>
      </c>
      <c r="K406" s="26" t="s">
        <v>740</v>
      </c>
    </row>
    <row r="407" spans="1:11" ht="15" customHeight="1" x14ac:dyDescent="0.25">
      <c r="A407" s="26" t="s">
        <v>751</v>
      </c>
      <c r="B407" s="26" t="s">
        <v>388</v>
      </c>
      <c r="C407" s="26" t="s">
        <v>752</v>
      </c>
      <c r="D407" s="26" t="s">
        <v>628</v>
      </c>
      <c r="E407" s="26" t="s">
        <v>380</v>
      </c>
      <c r="F407" s="26" t="s">
        <v>391</v>
      </c>
      <c r="G407" s="26"/>
      <c r="H407" s="25" t="s">
        <v>95</v>
      </c>
      <c r="I407" s="25" t="s">
        <v>290</v>
      </c>
      <c r="J407" s="25" t="s">
        <v>99</v>
      </c>
      <c r="K407" s="26" t="s">
        <v>741</v>
      </c>
    </row>
    <row r="408" spans="1:11" ht="15" customHeight="1" x14ac:dyDescent="0.25">
      <c r="A408" s="26" t="s">
        <v>751</v>
      </c>
      <c r="B408" s="26" t="s">
        <v>388</v>
      </c>
      <c r="C408" s="26" t="s">
        <v>752</v>
      </c>
      <c r="D408" s="26" t="s">
        <v>632</v>
      </c>
      <c r="E408" s="26" t="s">
        <v>380</v>
      </c>
      <c r="F408" s="26" t="s">
        <v>391</v>
      </c>
      <c r="G408" s="26"/>
      <c r="H408" s="25" t="s">
        <v>95</v>
      </c>
      <c r="I408" s="25" t="s">
        <v>290</v>
      </c>
      <c r="J408" s="25"/>
      <c r="K408" s="26" t="s">
        <v>742</v>
      </c>
    </row>
    <row r="409" spans="1:11" ht="15" customHeight="1" x14ac:dyDescent="0.25">
      <c r="A409" s="26" t="s">
        <v>751</v>
      </c>
      <c r="B409" s="26" t="s">
        <v>388</v>
      </c>
      <c r="C409" s="26" t="s">
        <v>752</v>
      </c>
      <c r="D409" s="26" t="s">
        <v>743</v>
      </c>
      <c r="E409" s="26" t="s">
        <v>352</v>
      </c>
      <c r="F409" s="26" t="s">
        <v>391</v>
      </c>
      <c r="G409" s="26">
        <v>2000</v>
      </c>
      <c r="H409" s="25" t="s">
        <v>95</v>
      </c>
      <c r="I409" s="25" t="s">
        <v>292</v>
      </c>
      <c r="J409" s="25"/>
      <c r="K409" s="26" t="s">
        <v>744</v>
      </c>
    </row>
    <row r="410" spans="1:11" ht="15" customHeight="1" x14ac:dyDescent="0.25">
      <c r="A410" s="26" t="s">
        <v>751</v>
      </c>
      <c r="B410" s="26" t="s">
        <v>388</v>
      </c>
      <c r="C410" s="26" t="s">
        <v>752</v>
      </c>
      <c r="D410" s="26" t="s">
        <v>745</v>
      </c>
      <c r="E410" s="26" t="s">
        <v>352</v>
      </c>
      <c r="F410" s="26" t="s">
        <v>391</v>
      </c>
      <c r="G410" s="26">
        <v>0</v>
      </c>
      <c r="H410" s="25" t="s">
        <v>334</v>
      </c>
      <c r="I410" s="25" t="s">
        <v>290</v>
      </c>
      <c r="J410" s="25"/>
      <c r="K410" s="26" t="s">
        <v>638</v>
      </c>
    </row>
    <row r="411" spans="1:11" ht="15" customHeight="1" x14ac:dyDescent="0.25">
      <c r="A411" s="26" t="s">
        <v>751</v>
      </c>
      <c r="B411" s="26" t="s">
        <v>388</v>
      </c>
      <c r="C411" s="26" t="s">
        <v>752</v>
      </c>
      <c r="D411" s="26" t="s">
        <v>746</v>
      </c>
      <c r="E411" s="26" t="s">
        <v>352</v>
      </c>
      <c r="F411" s="26" t="s">
        <v>391</v>
      </c>
      <c r="G411" s="26">
        <v>0</v>
      </c>
      <c r="H411" s="25" t="s">
        <v>95</v>
      </c>
      <c r="I411" s="25" t="s">
        <v>292</v>
      </c>
      <c r="J411" s="25"/>
      <c r="K411" s="26" t="s">
        <v>747</v>
      </c>
    </row>
    <row r="412" spans="1:11" ht="15" customHeight="1" x14ac:dyDescent="0.25">
      <c r="A412" s="26" t="s">
        <v>751</v>
      </c>
      <c r="B412" s="26" t="s">
        <v>388</v>
      </c>
      <c r="C412" s="26" t="s">
        <v>752</v>
      </c>
      <c r="D412" s="26" t="s">
        <v>748</v>
      </c>
      <c r="E412" s="26" t="s">
        <v>352</v>
      </c>
      <c r="F412" s="26" t="s">
        <v>391</v>
      </c>
      <c r="G412" s="26">
        <v>0</v>
      </c>
      <c r="H412" s="25" t="s">
        <v>334</v>
      </c>
      <c r="I412" s="25" t="s">
        <v>290</v>
      </c>
      <c r="J412" s="25"/>
      <c r="K412" s="26" t="s">
        <v>638</v>
      </c>
    </row>
    <row r="413" spans="1:11" ht="15" customHeight="1" x14ac:dyDescent="0.25">
      <c r="A413" s="26" t="s">
        <v>751</v>
      </c>
      <c r="B413" s="26" t="s">
        <v>388</v>
      </c>
      <c r="C413" s="26" t="s">
        <v>752</v>
      </c>
      <c r="D413" s="26" t="s">
        <v>749</v>
      </c>
      <c r="E413" s="26" t="s">
        <v>380</v>
      </c>
      <c r="F413" s="26" t="s">
        <v>391</v>
      </c>
      <c r="G413" s="26" t="b">
        <v>1</v>
      </c>
      <c r="H413" s="25" t="s">
        <v>95</v>
      </c>
      <c r="I413" s="25" t="s">
        <v>290</v>
      </c>
      <c r="J413" s="25"/>
      <c r="K413" s="26" t="s">
        <v>750</v>
      </c>
    </row>
    <row r="414" spans="1:11" ht="15" customHeight="1" x14ac:dyDescent="0.25">
      <c r="A414" s="26" t="s">
        <v>751</v>
      </c>
      <c r="B414" s="26" t="s">
        <v>388</v>
      </c>
      <c r="C414" s="26" t="s">
        <v>752</v>
      </c>
      <c r="D414" s="26" t="s">
        <v>648</v>
      </c>
      <c r="E414" s="26" t="s">
        <v>380</v>
      </c>
      <c r="F414" s="26" t="s">
        <v>391</v>
      </c>
      <c r="G414" s="26"/>
      <c r="H414" s="25" t="s">
        <v>334</v>
      </c>
      <c r="I414" s="25" t="s">
        <v>290</v>
      </c>
      <c r="J414" s="25"/>
      <c r="K414" s="26" t="s">
        <v>638</v>
      </c>
    </row>
    <row r="415" spans="1:11" ht="15" customHeight="1" x14ac:dyDescent="0.25">
      <c r="A415" s="26" t="s">
        <v>751</v>
      </c>
      <c r="B415" s="26" t="s">
        <v>388</v>
      </c>
      <c r="C415" s="26" t="s">
        <v>752</v>
      </c>
      <c r="D415" s="26" t="s">
        <v>753</v>
      </c>
      <c r="E415" s="26" t="s">
        <v>586</v>
      </c>
      <c r="F415" s="26" t="s">
        <v>391</v>
      </c>
      <c r="G415" s="26">
        <v>0</v>
      </c>
      <c r="H415" s="25" t="s">
        <v>95</v>
      </c>
      <c r="I415" s="25" t="s">
        <v>292</v>
      </c>
      <c r="J415" s="25" t="s">
        <v>110</v>
      </c>
      <c r="K415" s="26" t="s">
        <v>754</v>
      </c>
    </row>
    <row r="416" spans="1:11" ht="15" customHeight="1" x14ac:dyDescent="0.25">
      <c r="A416" s="26" t="s">
        <v>751</v>
      </c>
      <c r="B416" s="26" t="s">
        <v>388</v>
      </c>
      <c r="C416" s="26" t="s">
        <v>752</v>
      </c>
      <c r="D416" s="26" t="s">
        <v>755</v>
      </c>
      <c r="E416" s="26" t="s">
        <v>586</v>
      </c>
      <c r="F416" s="26" t="s">
        <v>391</v>
      </c>
      <c r="G416" s="26">
        <v>0</v>
      </c>
      <c r="H416" s="25" t="s">
        <v>95</v>
      </c>
      <c r="I416" s="25" t="s">
        <v>292</v>
      </c>
      <c r="J416" s="25"/>
      <c r="K416" s="26" t="s">
        <v>756</v>
      </c>
    </row>
    <row r="417" spans="1:11" ht="15" customHeight="1" x14ac:dyDescent="0.25">
      <c r="A417" s="26" t="s">
        <v>751</v>
      </c>
      <c r="B417" s="26" t="s">
        <v>388</v>
      </c>
      <c r="C417" s="26" t="s">
        <v>752</v>
      </c>
      <c r="D417" s="26" t="s">
        <v>757</v>
      </c>
      <c r="E417" s="26" t="s">
        <v>352</v>
      </c>
      <c r="F417" s="26" t="s">
        <v>391</v>
      </c>
      <c r="G417" s="26">
        <v>5000</v>
      </c>
      <c r="H417" s="25" t="s">
        <v>95</v>
      </c>
      <c r="I417" s="25" t="s">
        <v>292</v>
      </c>
      <c r="J417" s="25"/>
      <c r="K417" s="26" t="s">
        <v>758</v>
      </c>
    </row>
    <row r="418" spans="1:11" ht="15" customHeight="1" x14ac:dyDescent="0.25">
      <c r="A418" s="26" t="s">
        <v>751</v>
      </c>
      <c r="B418" s="26" t="s">
        <v>388</v>
      </c>
      <c r="C418" s="26" t="s">
        <v>752</v>
      </c>
      <c r="D418" s="26" t="s">
        <v>759</v>
      </c>
      <c r="E418" s="26" t="s">
        <v>352</v>
      </c>
      <c r="F418" s="26" t="s">
        <v>391</v>
      </c>
      <c r="G418" s="26">
        <v>0</v>
      </c>
      <c r="H418" s="25" t="s">
        <v>334</v>
      </c>
      <c r="I418" s="25" t="s">
        <v>290</v>
      </c>
      <c r="J418" s="25"/>
      <c r="K418" s="26" t="s">
        <v>638</v>
      </c>
    </row>
    <row r="419" spans="1:11" ht="15" customHeight="1" x14ac:dyDescent="0.25">
      <c r="A419" s="26" t="s">
        <v>751</v>
      </c>
      <c r="B419" s="26" t="s">
        <v>388</v>
      </c>
      <c r="C419" s="26" t="s">
        <v>752</v>
      </c>
      <c r="D419" s="26" t="s">
        <v>760</v>
      </c>
      <c r="E419" s="26" t="s">
        <v>380</v>
      </c>
      <c r="F419" s="26" t="s">
        <v>391</v>
      </c>
      <c r="G419" s="26" t="b">
        <v>1</v>
      </c>
      <c r="H419" s="25" t="s">
        <v>95</v>
      </c>
      <c r="I419" s="25" t="s">
        <v>290</v>
      </c>
      <c r="J419" s="25" t="s">
        <v>93</v>
      </c>
      <c r="K419" s="26" t="s">
        <v>761</v>
      </c>
    </row>
    <row r="420" spans="1:11" ht="15" customHeight="1" x14ac:dyDescent="0.25">
      <c r="A420" s="26" t="s">
        <v>751</v>
      </c>
      <c r="B420" s="26" t="s">
        <v>388</v>
      </c>
      <c r="C420" s="26" t="s">
        <v>752</v>
      </c>
      <c r="D420" s="26" t="s">
        <v>762</v>
      </c>
      <c r="E420" s="26" t="s">
        <v>586</v>
      </c>
      <c r="F420" s="26" t="s">
        <v>391</v>
      </c>
      <c r="G420" s="26">
        <v>0</v>
      </c>
      <c r="H420" s="25" t="s">
        <v>95</v>
      </c>
      <c r="I420" s="25" t="s">
        <v>290</v>
      </c>
      <c r="J420" s="25" t="s">
        <v>110</v>
      </c>
      <c r="K420" s="26" t="s">
        <v>763</v>
      </c>
    </row>
    <row r="421" spans="1:11" ht="15" customHeight="1" x14ac:dyDescent="0.25">
      <c r="A421" s="26" t="s">
        <v>751</v>
      </c>
      <c r="B421" s="26" t="s">
        <v>388</v>
      </c>
      <c r="C421" s="26" t="s">
        <v>752</v>
      </c>
      <c r="D421" s="26" t="s">
        <v>764</v>
      </c>
      <c r="E421" s="26" t="s">
        <v>586</v>
      </c>
      <c r="F421" s="26" t="s">
        <v>391</v>
      </c>
      <c r="G421" s="26">
        <v>0</v>
      </c>
      <c r="H421" s="25" t="s">
        <v>95</v>
      </c>
      <c r="I421" s="25" t="s">
        <v>290</v>
      </c>
      <c r="J421" s="25"/>
      <c r="K421" s="26" t="s">
        <v>765</v>
      </c>
    </row>
    <row r="422" spans="1:11" ht="15" customHeight="1" x14ac:dyDescent="0.25">
      <c r="A422" s="26" t="s">
        <v>751</v>
      </c>
      <c r="B422" s="26" t="s">
        <v>388</v>
      </c>
      <c r="C422" s="26" t="s">
        <v>752</v>
      </c>
      <c r="D422" s="26" t="s">
        <v>649</v>
      </c>
      <c r="E422" s="26" t="s">
        <v>380</v>
      </c>
      <c r="F422" s="26" t="s">
        <v>391</v>
      </c>
      <c r="G422" s="26"/>
      <c r="H422" s="25" t="s">
        <v>95</v>
      </c>
      <c r="I422" s="25" t="s">
        <v>291</v>
      </c>
      <c r="J422" s="25"/>
      <c r="K422" s="26" t="s">
        <v>650</v>
      </c>
    </row>
    <row r="423" spans="1:11" ht="15" customHeight="1" x14ac:dyDescent="0.25">
      <c r="A423" s="26" t="s">
        <v>751</v>
      </c>
      <c r="B423" s="26" t="s">
        <v>388</v>
      </c>
      <c r="C423" s="26" t="s">
        <v>752</v>
      </c>
      <c r="D423" s="26" t="s">
        <v>651</v>
      </c>
      <c r="E423" s="26" t="s">
        <v>328</v>
      </c>
      <c r="F423" s="26" t="s">
        <v>391</v>
      </c>
      <c r="G423" s="26">
        <v>0</v>
      </c>
      <c r="H423" s="25" t="s">
        <v>95</v>
      </c>
      <c r="I423" s="25" t="s">
        <v>291</v>
      </c>
      <c r="J423" s="25"/>
      <c r="K423" s="26" t="s">
        <v>652</v>
      </c>
    </row>
    <row r="424" spans="1:11" ht="15" customHeight="1" x14ac:dyDescent="0.25">
      <c r="A424" s="26" t="s">
        <v>751</v>
      </c>
      <c r="B424" s="26" t="s">
        <v>388</v>
      </c>
      <c r="C424" s="26" t="s">
        <v>752</v>
      </c>
      <c r="D424" s="26" t="s">
        <v>653</v>
      </c>
      <c r="E424" s="26" t="s">
        <v>380</v>
      </c>
      <c r="F424" s="26" t="s">
        <v>391</v>
      </c>
      <c r="G424" s="26"/>
      <c r="H424" s="25" t="s">
        <v>95</v>
      </c>
      <c r="I424" s="25" t="s">
        <v>291</v>
      </c>
      <c r="J424" s="25"/>
      <c r="K424" s="26" t="s">
        <v>654</v>
      </c>
    </row>
    <row r="425" spans="1:11" ht="15" customHeight="1" x14ac:dyDescent="0.25">
      <c r="A425" s="26" t="s">
        <v>751</v>
      </c>
      <c r="B425" s="26" t="s">
        <v>388</v>
      </c>
      <c r="C425" s="26" t="s">
        <v>752</v>
      </c>
      <c r="D425" s="26" t="s">
        <v>655</v>
      </c>
      <c r="E425" s="26" t="s">
        <v>380</v>
      </c>
      <c r="F425" s="26" t="s">
        <v>391</v>
      </c>
      <c r="G425" s="26"/>
      <c r="H425" s="25" t="s">
        <v>95</v>
      </c>
      <c r="I425" s="25" t="s">
        <v>290</v>
      </c>
      <c r="J425" s="25"/>
      <c r="K425" s="26" t="s">
        <v>656</v>
      </c>
    </row>
    <row r="426" spans="1:11" ht="15" customHeight="1" x14ac:dyDescent="0.25">
      <c r="A426" s="26" t="s">
        <v>751</v>
      </c>
      <c r="B426" s="26" t="s">
        <v>388</v>
      </c>
      <c r="C426" s="26" t="s">
        <v>752</v>
      </c>
      <c r="D426" s="26" t="s">
        <v>560</v>
      </c>
      <c r="E426" s="26" t="s">
        <v>352</v>
      </c>
      <c r="F426" s="26" t="s">
        <v>391</v>
      </c>
      <c r="G426" s="26">
        <v>0</v>
      </c>
      <c r="H426" s="25" t="s">
        <v>95</v>
      </c>
      <c r="I426" s="25" t="s">
        <v>290</v>
      </c>
      <c r="J426" s="25"/>
      <c r="K426" s="26" t="s">
        <v>657</v>
      </c>
    </row>
    <row r="427" spans="1:11" ht="15" customHeight="1" x14ac:dyDescent="0.25">
      <c r="A427" s="26" t="s">
        <v>751</v>
      </c>
      <c r="B427" s="26" t="s">
        <v>388</v>
      </c>
      <c r="C427" s="26" t="s">
        <v>752</v>
      </c>
      <c r="D427" s="26" t="s">
        <v>658</v>
      </c>
      <c r="E427" s="26" t="s">
        <v>325</v>
      </c>
      <c r="F427" s="26" t="s">
        <v>391</v>
      </c>
      <c r="G427" s="26">
        <v>0</v>
      </c>
      <c r="H427" s="25" t="s">
        <v>95</v>
      </c>
      <c r="I427" s="25" t="s">
        <v>290</v>
      </c>
      <c r="J427" s="25"/>
      <c r="K427" s="26" t="s">
        <v>659</v>
      </c>
    </row>
    <row r="428" spans="1:11" ht="15" customHeight="1" x14ac:dyDescent="0.25">
      <c r="A428" s="26" t="s">
        <v>751</v>
      </c>
      <c r="B428" s="26" t="s">
        <v>388</v>
      </c>
      <c r="C428" s="26" t="s">
        <v>752</v>
      </c>
      <c r="D428" s="26" t="s">
        <v>660</v>
      </c>
      <c r="E428" s="26" t="s">
        <v>352</v>
      </c>
      <c r="F428" s="26" t="s">
        <v>391</v>
      </c>
      <c r="G428" s="26">
        <v>0</v>
      </c>
      <c r="H428" s="25" t="s">
        <v>95</v>
      </c>
      <c r="I428" s="25" t="s">
        <v>292</v>
      </c>
      <c r="J428" s="25"/>
      <c r="K428" s="26" t="s">
        <v>661</v>
      </c>
    </row>
    <row r="429" spans="1:11" ht="15" customHeight="1" x14ac:dyDescent="0.25">
      <c r="A429" s="26" t="s">
        <v>766</v>
      </c>
      <c r="B429" s="26" t="s">
        <v>388</v>
      </c>
      <c r="C429" s="26" t="s">
        <v>767</v>
      </c>
      <c r="D429" s="26" t="s">
        <v>537</v>
      </c>
      <c r="E429" s="26" t="s">
        <v>538</v>
      </c>
      <c r="F429" s="26" t="s">
        <v>391</v>
      </c>
      <c r="G429" s="26"/>
      <c r="H429" s="25" t="s">
        <v>334</v>
      </c>
      <c r="I429" s="25" t="s">
        <v>290</v>
      </c>
      <c r="J429" s="25"/>
      <c r="K429" s="26" t="s">
        <v>268</v>
      </c>
    </row>
    <row r="430" spans="1:11" ht="15" customHeight="1" x14ac:dyDescent="0.25">
      <c r="A430" s="26" t="s">
        <v>766</v>
      </c>
      <c r="B430" s="26" t="s">
        <v>388</v>
      </c>
      <c r="C430" s="26" t="s">
        <v>767</v>
      </c>
      <c r="D430" s="26" t="s">
        <v>616</v>
      </c>
      <c r="E430" s="26" t="s">
        <v>380</v>
      </c>
      <c r="F430" s="26" t="s">
        <v>391</v>
      </c>
      <c r="G430" s="26" t="b">
        <v>1</v>
      </c>
      <c r="H430" s="25" t="s">
        <v>95</v>
      </c>
      <c r="I430" s="25" t="s">
        <v>292</v>
      </c>
      <c r="J430" s="25"/>
      <c r="K430" s="26" t="s">
        <v>617</v>
      </c>
    </row>
    <row r="431" spans="1:11" ht="15" customHeight="1" x14ac:dyDescent="0.25">
      <c r="A431" s="26" t="s">
        <v>766</v>
      </c>
      <c r="B431" s="26" t="s">
        <v>388</v>
      </c>
      <c r="C431" s="26" t="s">
        <v>767</v>
      </c>
      <c r="D431" s="26" t="s">
        <v>618</v>
      </c>
      <c r="E431" s="26" t="s">
        <v>380</v>
      </c>
      <c r="F431" s="26" t="s">
        <v>391</v>
      </c>
      <c r="G431" s="26"/>
      <c r="H431" s="25" t="s">
        <v>95</v>
      </c>
      <c r="I431" s="25" t="s">
        <v>292</v>
      </c>
      <c r="J431" s="25"/>
      <c r="K431" s="26" t="s">
        <v>619</v>
      </c>
    </row>
    <row r="432" spans="1:11" ht="15" customHeight="1" x14ac:dyDescent="0.25">
      <c r="A432" s="26" t="s">
        <v>766</v>
      </c>
      <c r="B432" s="26" t="s">
        <v>388</v>
      </c>
      <c r="C432" s="26" t="s">
        <v>767</v>
      </c>
      <c r="D432" s="26" t="s">
        <v>620</v>
      </c>
      <c r="E432" s="26" t="s">
        <v>380</v>
      </c>
      <c r="F432" s="26" t="s">
        <v>391</v>
      </c>
      <c r="G432" s="26"/>
      <c r="H432" s="25" t="s">
        <v>95</v>
      </c>
      <c r="I432" s="25" t="s">
        <v>292</v>
      </c>
      <c r="J432" s="25"/>
      <c r="K432" s="26" t="s">
        <v>621</v>
      </c>
    </row>
    <row r="433" spans="1:11" ht="15" customHeight="1" x14ac:dyDescent="0.25">
      <c r="A433" s="26" t="s">
        <v>766</v>
      </c>
      <c r="B433" s="26" t="s">
        <v>388</v>
      </c>
      <c r="C433" s="26" t="s">
        <v>767</v>
      </c>
      <c r="D433" s="26" t="s">
        <v>384</v>
      </c>
      <c r="E433" s="26" t="s">
        <v>380</v>
      </c>
      <c r="F433" s="26" t="s">
        <v>391</v>
      </c>
      <c r="G433" s="26"/>
      <c r="H433" s="25" t="s">
        <v>334</v>
      </c>
      <c r="I433" s="25" t="s">
        <v>292</v>
      </c>
      <c r="J433" s="25"/>
      <c r="K433" s="26" t="s">
        <v>622</v>
      </c>
    </row>
    <row r="434" spans="1:11" ht="15" customHeight="1" x14ac:dyDescent="0.25">
      <c r="A434" s="26" t="s">
        <v>766</v>
      </c>
      <c r="B434" s="26" t="s">
        <v>388</v>
      </c>
      <c r="C434" s="26" t="s">
        <v>767</v>
      </c>
      <c r="D434" s="26" t="s">
        <v>768</v>
      </c>
      <c r="E434" s="26" t="s">
        <v>586</v>
      </c>
      <c r="F434" s="26" t="s">
        <v>391</v>
      </c>
      <c r="G434" s="26">
        <v>0</v>
      </c>
      <c r="H434" s="25" t="s">
        <v>95</v>
      </c>
      <c r="I434" s="25" t="s">
        <v>290</v>
      </c>
      <c r="J434" s="25" t="s">
        <v>110</v>
      </c>
      <c r="K434" s="26" t="s">
        <v>769</v>
      </c>
    </row>
    <row r="435" spans="1:11" ht="15" customHeight="1" x14ac:dyDescent="0.25">
      <c r="A435" s="26" t="s">
        <v>766</v>
      </c>
      <c r="B435" s="26" t="s">
        <v>388</v>
      </c>
      <c r="C435" s="26" t="s">
        <v>767</v>
      </c>
      <c r="D435" s="26" t="s">
        <v>770</v>
      </c>
      <c r="E435" s="26" t="s">
        <v>586</v>
      </c>
      <c r="F435" s="26" t="s">
        <v>391</v>
      </c>
      <c r="G435" s="26">
        <v>0</v>
      </c>
      <c r="H435" s="25" t="s">
        <v>95</v>
      </c>
      <c r="I435" s="25" t="s">
        <v>292</v>
      </c>
      <c r="J435" s="25"/>
      <c r="K435" s="26" t="s">
        <v>771</v>
      </c>
    </row>
    <row r="436" spans="1:11" ht="15" customHeight="1" x14ac:dyDescent="0.25">
      <c r="A436" s="26" t="s">
        <v>766</v>
      </c>
      <c r="B436" s="26" t="s">
        <v>388</v>
      </c>
      <c r="C436" s="26" t="s">
        <v>767</v>
      </c>
      <c r="D436" s="26" t="s">
        <v>772</v>
      </c>
      <c r="E436" s="26" t="s">
        <v>586</v>
      </c>
      <c r="F436" s="26" t="s">
        <v>391</v>
      </c>
      <c r="G436" s="26">
        <v>100</v>
      </c>
      <c r="H436" s="25" t="s">
        <v>95</v>
      </c>
      <c r="I436" s="25" t="s">
        <v>292</v>
      </c>
      <c r="J436" s="25"/>
      <c r="K436" s="26" t="s">
        <v>773</v>
      </c>
    </row>
    <row r="437" spans="1:11" ht="15" customHeight="1" x14ac:dyDescent="0.25">
      <c r="A437" s="26" t="s">
        <v>766</v>
      </c>
      <c r="B437" s="26" t="s">
        <v>388</v>
      </c>
      <c r="C437" s="26" t="s">
        <v>767</v>
      </c>
      <c r="D437" s="26" t="s">
        <v>774</v>
      </c>
      <c r="E437" s="26" t="s">
        <v>586</v>
      </c>
      <c r="F437" s="26" t="s">
        <v>391</v>
      </c>
      <c r="G437" s="26">
        <v>0</v>
      </c>
      <c r="H437" s="25" t="s">
        <v>95</v>
      </c>
      <c r="I437" s="25" t="s">
        <v>292</v>
      </c>
      <c r="J437" s="25"/>
      <c r="K437" s="26" t="s">
        <v>775</v>
      </c>
    </row>
    <row r="438" spans="1:11" ht="15" customHeight="1" x14ac:dyDescent="0.25">
      <c r="A438" s="26" t="s">
        <v>766</v>
      </c>
      <c r="B438" s="26" t="s">
        <v>388</v>
      </c>
      <c r="C438" s="26" t="s">
        <v>767</v>
      </c>
      <c r="D438" s="26" t="s">
        <v>776</v>
      </c>
      <c r="E438" s="26" t="s">
        <v>586</v>
      </c>
      <c r="F438" s="26" t="s">
        <v>391</v>
      </c>
      <c r="G438" s="26">
        <v>0</v>
      </c>
      <c r="H438" s="25" t="s">
        <v>95</v>
      </c>
      <c r="I438" s="25" t="s">
        <v>290</v>
      </c>
      <c r="J438" s="25"/>
      <c r="K438" s="26" t="s">
        <v>777</v>
      </c>
    </row>
    <row r="439" spans="1:11" ht="15" customHeight="1" x14ac:dyDescent="0.25">
      <c r="A439" s="26" t="s">
        <v>766</v>
      </c>
      <c r="B439" s="26" t="s">
        <v>388</v>
      </c>
      <c r="C439" s="26" t="s">
        <v>767</v>
      </c>
      <c r="D439" s="26" t="s">
        <v>778</v>
      </c>
      <c r="E439" s="26" t="s">
        <v>586</v>
      </c>
      <c r="F439" s="26" t="s">
        <v>391</v>
      </c>
      <c r="G439" s="26">
        <v>0</v>
      </c>
      <c r="H439" s="25" t="s">
        <v>95</v>
      </c>
      <c r="I439" s="25" t="s">
        <v>290</v>
      </c>
      <c r="J439" s="25"/>
      <c r="K439" s="26" t="s">
        <v>779</v>
      </c>
    </row>
    <row r="440" spans="1:11" ht="15" customHeight="1" x14ac:dyDescent="0.25">
      <c r="A440" s="26" t="s">
        <v>766</v>
      </c>
      <c r="B440" s="26" t="s">
        <v>388</v>
      </c>
      <c r="C440" s="26" t="s">
        <v>767</v>
      </c>
      <c r="D440" s="26" t="s">
        <v>780</v>
      </c>
      <c r="E440" s="26" t="s">
        <v>586</v>
      </c>
      <c r="F440" s="26" t="s">
        <v>391</v>
      </c>
      <c r="G440" s="26">
        <v>0</v>
      </c>
      <c r="H440" s="25" t="s">
        <v>95</v>
      </c>
      <c r="I440" s="25" t="s">
        <v>292</v>
      </c>
      <c r="J440" s="25"/>
      <c r="K440" s="26" t="s">
        <v>781</v>
      </c>
    </row>
    <row r="441" spans="1:11" ht="15" customHeight="1" x14ac:dyDescent="0.25">
      <c r="A441" s="26" t="s">
        <v>766</v>
      </c>
      <c r="B441" s="26" t="s">
        <v>388</v>
      </c>
      <c r="C441" s="26" t="s">
        <v>767</v>
      </c>
      <c r="D441" s="26" t="s">
        <v>782</v>
      </c>
      <c r="E441" s="26" t="s">
        <v>586</v>
      </c>
      <c r="F441" s="26" t="s">
        <v>391</v>
      </c>
      <c r="G441" s="26">
        <v>0</v>
      </c>
      <c r="H441" s="25" t="s">
        <v>95</v>
      </c>
      <c r="I441" s="25" t="s">
        <v>292</v>
      </c>
      <c r="J441" s="25"/>
      <c r="K441" s="26"/>
    </row>
    <row r="442" spans="1:11" ht="15" customHeight="1" x14ac:dyDescent="0.25">
      <c r="A442" s="26" t="s">
        <v>766</v>
      </c>
      <c r="B442" s="26" t="s">
        <v>388</v>
      </c>
      <c r="C442" s="26" t="s">
        <v>767</v>
      </c>
      <c r="D442" s="26" t="s">
        <v>783</v>
      </c>
      <c r="E442" s="26" t="s">
        <v>586</v>
      </c>
      <c r="F442" s="26" t="s">
        <v>391</v>
      </c>
      <c r="G442" s="26">
        <v>0</v>
      </c>
      <c r="H442" s="25" t="s">
        <v>95</v>
      </c>
      <c r="I442" s="25" t="s">
        <v>292</v>
      </c>
      <c r="J442" s="25"/>
      <c r="K442" s="26"/>
    </row>
    <row r="443" spans="1:11" ht="15" customHeight="1" x14ac:dyDescent="0.25">
      <c r="A443" s="26" t="s">
        <v>766</v>
      </c>
      <c r="B443" s="26" t="s">
        <v>388</v>
      </c>
      <c r="C443" s="26" t="s">
        <v>767</v>
      </c>
      <c r="D443" s="26" t="s">
        <v>784</v>
      </c>
      <c r="E443" s="26" t="s">
        <v>586</v>
      </c>
      <c r="F443" s="26" t="s">
        <v>391</v>
      </c>
      <c r="G443" s="26">
        <v>0</v>
      </c>
      <c r="H443" s="25" t="s">
        <v>95</v>
      </c>
      <c r="I443" s="25" t="s">
        <v>292</v>
      </c>
      <c r="J443" s="25"/>
      <c r="K443" s="26"/>
    </row>
    <row r="444" spans="1:11" ht="15" customHeight="1" x14ac:dyDescent="0.25">
      <c r="A444" s="26" t="s">
        <v>766</v>
      </c>
      <c r="B444" s="26" t="s">
        <v>388</v>
      </c>
      <c r="C444" s="26" t="s">
        <v>767</v>
      </c>
      <c r="D444" s="26" t="s">
        <v>785</v>
      </c>
      <c r="E444" s="26" t="s">
        <v>586</v>
      </c>
      <c r="F444" s="26" t="s">
        <v>391</v>
      </c>
      <c r="G444" s="26">
        <v>0</v>
      </c>
      <c r="H444" s="25" t="s">
        <v>95</v>
      </c>
      <c r="I444" s="25" t="s">
        <v>292</v>
      </c>
      <c r="J444" s="25"/>
      <c r="K444" s="26" t="s">
        <v>786</v>
      </c>
    </row>
    <row r="445" spans="1:11" ht="15" customHeight="1" x14ac:dyDescent="0.25">
      <c r="A445" s="26" t="s">
        <v>766</v>
      </c>
      <c r="B445" s="26" t="s">
        <v>388</v>
      </c>
      <c r="C445" s="26" t="s">
        <v>767</v>
      </c>
      <c r="D445" s="26" t="s">
        <v>787</v>
      </c>
      <c r="E445" s="26" t="s">
        <v>380</v>
      </c>
      <c r="F445" s="26" t="s">
        <v>391</v>
      </c>
      <c r="G445" s="26"/>
      <c r="H445" s="25" t="s">
        <v>95</v>
      </c>
      <c r="I445" s="25" t="s">
        <v>290</v>
      </c>
      <c r="J445" s="25"/>
      <c r="K445" s="26"/>
    </row>
    <row r="446" spans="1:11" ht="15" customHeight="1" x14ac:dyDescent="0.25">
      <c r="A446" s="26" t="s">
        <v>766</v>
      </c>
      <c r="B446" s="26" t="s">
        <v>388</v>
      </c>
      <c r="C446" s="26" t="s">
        <v>767</v>
      </c>
      <c r="D446" s="26" t="s">
        <v>788</v>
      </c>
      <c r="E446" s="26" t="s">
        <v>380</v>
      </c>
      <c r="F446" s="26" t="s">
        <v>391</v>
      </c>
      <c r="G446" s="26"/>
      <c r="H446" s="25" t="s">
        <v>95</v>
      </c>
      <c r="I446" s="25" t="s">
        <v>290</v>
      </c>
      <c r="J446" s="25"/>
      <c r="K446" s="26"/>
    </row>
    <row r="447" spans="1:11" ht="15" customHeight="1" x14ac:dyDescent="0.25">
      <c r="A447" s="26" t="s">
        <v>766</v>
      </c>
      <c r="B447" s="26" t="s">
        <v>388</v>
      </c>
      <c r="C447" s="26" t="s">
        <v>767</v>
      </c>
      <c r="D447" s="26" t="s">
        <v>789</v>
      </c>
      <c r="E447" s="26" t="s">
        <v>380</v>
      </c>
      <c r="F447" s="26" t="s">
        <v>391</v>
      </c>
      <c r="G447" s="26"/>
      <c r="H447" s="25" t="s">
        <v>95</v>
      </c>
      <c r="I447" s="25" t="s">
        <v>290</v>
      </c>
      <c r="J447" s="25"/>
      <c r="K447" s="26"/>
    </row>
    <row r="448" spans="1:11" ht="15" customHeight="1" x14ac:dyDescent="0.25">
      <c r="A448" s="26" t="s">
        <v>766</v>
      </c>
      <c r="B448" s="26" t="s">
        <v>388</v>
      </c>
      <c r="C448" s="26" t="s">
        <v>767</v>
      </c>
      <c r="D448" s="26" t="s">
        <v>790</v>
      </c>
      <c r="E448" s="26" t="s">
        <v>380</v>
      </c>
      <c r="F448" s="26" t="s">
        <v>391</v>
      </c>
      <c r="G448" s="26"/>
      <c r="H448" s="25" t="s">
        <v>95</v>
      </c>
      <c r="I448" s="25" t="s">
        <v>290</v>
      </c>
      <c r="J448" s="25"/>
      <c r="K448" s="26"/>
    </row>
    <row r="449" spans="1:11" ht="15" customHeight="1" x14ac:dyDescent="0.25">
      <c r="A449" s="26" t="s">
        <v>766</v>
      </c>
      <c r="B449" s="26" t="s">
        <v>388</v>
      </c>
      <c r="C449" s="26" t="s">
        <v>767</v>
      </c>
      <c r="D449" s="26" t="s">
        <v>791</v>
      </c>
      <c r="E449" s="26" t="s">
        <v>380</v>
      </c>
      <c r="F449" s="26" t="s">
        <v>391</v>
      </c>
      <c r="G449" s="26"/>
      <c r="H449" s="25" t="s">
        <v>95</v>
      </c>
      <c r="I449" s="25" t="s">
        <v>291</v>
      </c>
      <c r="J449" s="25"/>
      <c r="K449" s="26" t="s">
        <v>792</v>
      </c>
    </row>
    <row r="450" spans="1:11" ht="15" customHeight="1" x14ac:dyDescent="0.25">
      <c r="A450" s="26" t="s">
        <v>766</v>
      </c>
      <c r="B450" s="26" t="s">
        <v>388</v>
      </c>
      <c r="C450" s="26" t="s">
        <v>767</v>
      </c>
      <c r="D450" s="26" t="s">
        <v>793</v>
      </c>
      <c r="E450" s="26" t="s">
        <v>380</v>
      </c>
      <c r="F450" s="26" t="s">
        <v>391</v>
      </c>
      <c r="G450" s="26"/>
      <c r="H450" s="25" t="s">
        <v>95</v>
      </c>
      <c r="I450" s="25" t="s">
        <v>291</v>
      </c>
      <c r="J450" s="25"/>
      <c r="K450" s="26" t="s">
        <v>794</v>
      </c>
    </row>
    <row r="451" spans="1:11" ht="15" customHeight="1" x14ac:dyDescent="0.25">
      <c r="A451" s="26" t="s">
        <v>766</v>
      </c>
      <c r="B451" s="26" t="s">
        <v>388</v>
      </c>
      <c r="C451" s="26" t="s">
        <v>767</v>
      </c>
      <c r="D451" s="26" t="s">
        <v>795</v>
      </c>
      <c r="E451" s="26" t="s">
        <v>586</v>
      </c>
      <c r="F451" s="26" t="s">
        <v>391</v>
      </c>
      <c r="G451" s="26">
        <v>0</v>
      </c>
      <c r="H451" s="25" t="s">
        <v>95</v>
      </c>
      <c r="I451" s="25" t="s">
        <v>290</v>
      </c>
      <c r="J451" s="25"/>
      <c r="K451" s="26" t="s">
        <v>796</v>
      </c>
    </row>
    <row r="452" spans="1:11" ht="15" customHeight="1" x14ac:dyDescent="0.25">
      <c r="A452" s="26" t="s">
        <v>766</v>
      </c>
      <c r="B452" s="26" t="s">
        <v>388</v>
      </c>
      <c r="C452" s="26" t="s">
        <v>767</v>
      </c>
      <c r="D452" s="26" t="s">
        <v>797</v>
      </c>
      <c r="E452" s="26" t="s">
        <v>586</v>
      </c>
      <c r="F452" s="26" t="s">
        <v>391</v>
      </c>
      <c r="G452" s="26">
        <v>0</v>
      </c>
      <c r="H452" s="25" t="s">
        <v>334</v>
      </c>
      <c r="I452" s="25" t="s">
        <v>290</v>
      </c>
      <c r="J452" s="25"/>
      <c r="K452" s="26" t="s">
        <v>638</v>
      </c>
    </row>
    <row r="453" spans="1:11" ht="15" customHeight="1" x14ac:dyDescent="0.25">
      <c r="A453" s="26" t="s">
        <v>766</v>
      </c>
      <c r="B453" s="26" t="s">
        <v>388</v>
      </c>
      <c r="C453" s="26" t="s">
        <v>767</v>
      </c>
      <c r="D453" s="26" t="s">
        <v>798</v>
      </c>
      <c r="E453" s="26" t="s">
        <v>380</v>
      </c>
      <c r="F453" s="26" t="s">
        <v>391</v>
      </c>
      <c r="G453" s="26"/>
      <c r="H453" s="25" t="s">
        <v>334</v>
      </c>
      <c r="I453" s="25" t="s">
        <v>290</v>
      </c>
      <c r="J453" s="25"/>
      <c r="K453" s="26" t="s">
        <v>799</v>
      </c>
    </row>
    <row r="454" spans="1:11" ht="15" customHeight="1" x14ac:dyDescent="0.25">
      <c r="A454" s="26" t="s">
        <v>766</v>
      </c>
      <c r="B454" s="26" t="s">
        <v>388</v>
      </c>
      <c r="C454" s="26" t="s">
        <v>767</v>
      </c>
      <c r="D454" s="26" t="s">
        <v>649</v>
      </c>
      <c r="E454" s="26" t="s">
        <v>380</v>
      </c>
      <c r="F454" s="26" t="s">
        <v>391</v>
      </c>
      <c r="G454" s="26"/>
      <c r="H454" s="25" t="s">
        <v>95</v>
      </c>
      <c r="I454" s="25" t="s">
        <v>291</v>
      </c>
      <c r="J454" s="25"/>
      <c r="K454" s="26" t="s">
        <v>650</v>
      </c>
    </row>
    <row r="455" spans="1:11" ht="15" customHeight="1" x14ac:dyDescent="0.25">
      <c r="A455" s="26" t="s">
        <v>766</v>
      </c>
      <c r="B455" s="26" t="s">
        <v>388</v>
      </c>
      <c r="C455" s="26" t="s">
        <v>767</v>
      </c>
      <c r="D455" s="26" t="s">
        <v>651</v>
      </c>
      <c r="E455" s="26" t="s">
        <v>328</v>
      </c>
      <c r="F455" s="26" t="s">
        <v>391</v>
      </c>
      <c r="G455" s="26">
        <v>0</v>
      </c>
      <c r="H455" s="25" t="s">
        <v>95</v>
      </c>
      <c r="I455" s="25" t="s">
        <v>291</v>
      </c>
      <c r="J455" s="25"/>
      <c r="K455" s="26" t="s">
        <v>652</v>
      </c>
    </row>
    <row r="456" spans="1:11" ht="15" customHeight="1" x14ac:dyDescent="0.25">
      <c r="A456" s="26" t="s">
        <v>766</v>
      </c>
      <c r="B456" s="26" t="s">
        <v>388</v>
      </c>
      <c r="C456" s="26" t="s">
        <v>767</v>
      </c>
      <c r="D456" s="26" t="s">
        <v>653</v>
      </c>
      <c r="E456" s="26" t="s">
        <v>380</v>
      </c>
      <c r="F456" s="26" t="s">
        <v>391</v>
      </c>
      <c r="G456" s="26"/>
      <c r="H456" s="25" t="s">
        <v>95</v>
      </c>
      <c r="I456" s="25" t="s">
        <v>291</v>
      </c>
      <c r="J456" s="25"/>
      <c r="K456" s="26" t="s">
        <v>654</v>
      </c>
    </row>
    <row r="457" spans="1:11" ht="15" customHeight="1" x14ac:dyDescent="0.25">
      <c r="A457" s="26" t="s">
        <v>766</v>
      </c>
      <c r="B457" s="26" t="s">
        <v>388</v>
      </c>
      <c r="C457" s="26" t="s">
        <v>767</v>
      </c>
      <c r="D457" s="26" t="s">
        <v>655</v>
      </c>
      <c r="E457" s="26" t="s">
        <v>380</v>
      </c>
      <c r="F457" s="26" t="s">
        <v>391</v>
      </c>
      <c r="G457" s="26"/>
      <c r="H457" s="25" t="s">
        <v>95</v>
      </c>
      <c r="I457" s="25" t="s">
        <v>290</v>
      </c>
      <c r="J457" s="25"/>
      <c r="K457" s="26" t="s">
        <v>656</v>
      </c>
    </row>
    <row r="458" spans="1:11" ht="15" customHeight="1" x14ac:dyDescent="0.25">
      <c r="A458" s="26" t="s">
        <v>766</v>
      </c>
      <c r="B458" s="26" t="s">
        <v>388</v>
      </c>
      <c r="C458" s="26" t="s">
        <v>767</v>
      </c>
      <c r="D458" s="26" t="s">
        <v>560</v>
      </c>
      <c r="E458" s="26" t="s">
        <v>352</v>
      </c>
      <c r="F458" s="26" t="s">
        <v>391</v>
      </c>
      <c r="G458" s="26">
        <v>0</v>
      </c>
      <c r="H458" s="25" t="s">
        <v>95</v>
      </c>
      <c r="I458" s="25" t="s">
        <v>290</v>
      </c>
      <c r="J458" s="25"/>
      <c r="K458" s="26" t="s">
        <v>657</v>
      </c>
    </row>
    <row r="459" spans="1:11" ht="15" customHeight="1" x14ac:dyDescent="0.25">
      <c r="A459" s="26" t="s">
        <v>766</v>
      </c>
      <c r="B459" s="26" t="s">
        <v>388</v>
      </c>
      <c r="C459" s="26" t="s">
        <v>767</v>
      </c>
      <c r="D459" s="26" t="s">
        <v>658</v>
      </c>
      <c r="E459" s="26" t="s">
        <v>325</v>
      </c>
      <c r="F459" s="26" t="s">
        <v>391</v>
      </c>
      <c r="G459" s="26">
        <v>0</v>
      </c>
      <c r="H459" s="25" t="s">
        <v>95</v>
      </c>
      <c r="I459" s="25" t="s">
        <v>290</v>
      </c>
      <c r="J459" s="25"/>
      <c r="K459" s="26" t="s">
        <v>659</v>
      </c>
    </row>
    <row r="460" spans="1:11" ht="15" customHeight="1" x14ac:dyDescent="0.25">
      <c r="A460" s="26" t="s">
        <v>766</v>
      </c>
      <c r="B460" s="26" t="s">
        <v>388</v>
      </c>
      <c r="C460" s="26" t="s">
        <v>767</v>
      </c>
      <c r="D460" s="26" t="s">
        <v>660</v>
      </c>
      <c r="E460" s="26" t="s">
        <v>352</v>
      </c>
      <c r="F460" s="26" t="s">
        <v>391</v>
      </c>
      <c r="G460" s="26">
        <v>0</v>
      </c>
      <c r="H460" s="25" t="s">
        <v>95</v>
      </c>
      <c r="I460" s="25" t="s">
        <v>292</v>
      </c>
      <c r="J460" s="25"/>
      <c r="K460" s="26" t="s">
        <v>661</v>
      </c>
    </row>
    <row r="461" spans="1:11" ht="15" customHeight="1" x14ac:dyDescent="0.25">
      <c r="A461" s="26" t="s">
        <v>800</v>
      </c>
      <c r="B461" s="26" t="s">
        <v>388</v>
      </c>
      <c r="C461" s="26" t="s">
        <v>801</v>
      </c>
      <c r="D461" s="26" t="s">
        <v>537</v>
      </c>
      <c r="E461" s="26" t="s">
        <v>538</v>
      </c>
      <c r="F461" s="26" t="s">
        <v>391</v>
      </c>
      <c r="G461" s="26"/>
      <c r="H461" s="25" t="s">
        <v>334</v>
      </c>
      <c r="I461" s="25" t="s">
        <v>290</v>
      </c>
      <c r="J461" s="25"/>
      <c r="K461" s="26" t="s">
        <v>268</v>
      </c>
    </row>
    <row r="462" spans="1:11" ht="15" customHeight="1" x14ac:dyDescent="0.25">
      <c r="A462" s="26" t="s">
        <v>800</v>
      </c>
      <c r="B462" s="26" t="s">
        <v>388</v>
      </c>
      <c r="C462" s="26" t="s">
        <v>801</v>
      </c>
      <c r="D462" s="26" t="s">
        <v>616</v>
      </c>
      <c r="E462" s="26" t="s">
        <v>380</v>
      </c>
      <c r="F462" s="26" t="s">
        <v>391</v>
      </c>
      <c r="G462" s="26" t="b">
        <v>1</v>
      </c>
      <c r="H462" s="25" t="s">
        <v>95</v>
      </c>
      <c r="I462" s="25" t="s">
        <v>292</v>
      </c>
      <c r="J462" s="25"/>
      <c r="K462" s="26" t="s">
        <v>617</v>
      </c>
    </row>
    <row r="463" spans="1:11" ht="15" customHeight="1" x14ac:dyDescent="0.25">
      <c r="A463" s="26" t="s">
        <v>800</v>
      </c>
      <c r="B463" s="26" t="s">
        <v>388</v>
      </c>
      <c r="C463" s="26" t="s">
        <v>801</v>
      </c>
      <c r="D463" s="26" t="s">
        <v>618</v>
      </c>
      <c r="E463" s="26" t="s">
        <v>380</v>
      </c>
      <c r="F463" s="26" t="s">
        <v>391</v>
      </c>
      <c r="G463" s="26"/>
      <c r="H463" s="25" t="s">
        <v>95</v>
      </c>
      <c r="I463" s="25" t="s">
        <v>292</v>
      </c>
      <c r="J463" s="25"/>
      <c r="K463" s="26" t="s">
        <v>619</v>
      </c>
    </row>
    <row r="464" spans="1:11" ht="15" customHeight="1" x14ac:dyDescent="0.25">
      <c r="A464" s="26" t="s">
        <v>800</v>
      </c>
      <c r="B464" s="26" t="s">
        <v>388</v>
      </c>
      <c r="C464" s="26" t="s">
        <v>801</v>
      </c>
      <c r="D464" s="26" t="s">
        <v>620</v>
      </c>
      <c r="E464" s="26" t="s">
        <v>380</v>
      </c>
      <c r="F464" s="26" t="s">
        <v>391</v>
      </c>
      <c r="G464" s="26"/>
      <c r="H464" s="25" t="s">
        <v>95</v>
      </c>
      <c r="I464" s="25" t="s">
        <v>292</v>
      </c>
      <c r="J464" s="25"/>
      <c r="K464" s="26" t="s">
        <v>621</v>
      </c>
    </row>
    <row r="465" spans="1:11" ht="15" customHeight="1" x14ac:dyDescent="0.25">
      <c r="A465" s="26" t="s">
        <v>800</v>
      </c>
      <c r="B465" s="26" t="s">
        <v>388</v>
      </c>
      <c r="C465" s="26" t="s">
        <v>801</v>
      </c>
      <c r="D465" s="26" t="s">
        <v>384</v>
      </c>
      <c r="E465" s="26" t="s">
        <v>380</v>
      </c>
      <c r="F465" s="26" t="s">
        <v>391</v>
      </c>
      <c r="G465" s="26"/>
      <c r="H465" s="25" t="s">
        <v>334</v>
      </c>
      <c r="I465" s="25" t="s">
        <v>292</v>
      </c>
      <c r="J465" s="25"/>
      <c r="K465" s="26" t="s">
        <v>622</v>
      </c>
    </row>
    <row r="466" spans="1:11" ht="15" customHeight="1" x14ac:dyDescent="0.25">
      <c r="A466" s="26" t="s">
        <v>800</v>
      </c>
      <c r="B466" s="26" t="s">
        <v>388</v>
      </c>
      <c r="C466" s="26" t="s">
        <v>801</v>
      </c>
      <c r="D466" s="26" t="s">
        <v>802</v>
      </c>
      <c r="E466" s="26" t="s">
        <v>328</v>
      </c>
      <c r="F466" s="26" t="s">
        <v>391</v>
      </c>
      <c r="G466" s="26">
        <v>2</v>
      </c>
      <c r="H466" s="25" t="s">
        <v>95</v>
      </c>
      <c r="I466" s="25" t="s">
        <v>290</v>
      </c>
      <c r="J466" s="25"/>
      <c r="K466" s="26" t="s">
        <v>803</v>
      </c>
    </row>
    <row r="467" spans="1:11" ht="15" customHeight="1" x14ac:dyDescent="0.25">
      <c r="A467" s="26" t="s">
        <v>800</v>
      </c>
      <c r="B467" s="26" t="s">
        <v>388</v>
      </c>
      <c r="C467" s="26" t="s">
        <v>801</v>
      </c>
      <c r="D467" s="26" t="s">
        <v>804</v>
      </c>
      <c r="E467" s="26" t="s">
        <v>328</v>
      </c>
      <c r="F467" s="26" t="s">
        <v>391</v>
      </c>
      <c r="G467" s="26">
        <v>0</v>
      </c>
      <c r="H467" s="25" t="s">
        <v>95</v>
      </c>
      <c r="I467" s="25" t="s">
        <v>292</v>
      </c>
      <c r="J467" s="25"/>
      <c r="K467" s="26" t="s">
        <v>805</v>
      </c>
    </row>
    <row r="468" spans="1:11" ht="15" customHeight="1" x14ac:dyDescent="0.25">
      <c r="A468" s="26" t="s">
        <v>800</v>
      </c>
      <c r="B468" s="26" t="s">
        <v>388</v>
      </c>
      <c r="C468" s="26" t="s">
        <v>801</v>
      </c>
      <c r="D468" s="26" t="s">
        <v>806</v>
      </c>
      <c r="E468" s="26" t="s">
        <v>328</v>
      </c>
      <c r="F468" s="26" t="s">
        <v>391</v>
      </c>
      <c r="G468" s="26">
        <v>0</v>
      </c>
      <c r="H468" s="25" t="s">
        <v>95</v>
      </c>
      <c r="I468" s="25" t="s">
        <v>292</v>
      </c>
      <c r="J468" s="25"/>
      <c r="K468" s="26" t="s">
        <v>807</v>
      </c>
    </row>
    <row r="469" spans="1:11" ht="15" customHeight="1" x14ac:dyDescent="0.25">
      <c r="A469" s="26" t="s">
        <v>800</v>
      </c>
      <c r="B469" s="26" t="s">
        <v>388</v>
      </c>
      <c r="C469" s="26" t="s">
        <v>801</v>
      </c>
      <c r="D469" s="26" t="s">
        <v>808</v>
      </c>
      <c r="E469" s="26" t="s">
        <v>328</v>
      </c>
      <c r="F469" s="26" t="s">
        <v>391</v>
      </c>
      <c r="G469" s="26">
        <v>-1</v>
      </c>
      <c r="H469" s="25" t="s">
        <v>95</v>
      </c>
      <c r="I469" s="25" t="s">
        <v>290</v>
      </c>
      <c r="J469" s="25"/>
      <c r="K469" s="26" t="s">
        <v>809</v>
      </c>
    </row>
    <row r="470" spans="1:11" ht="15" customHeight="1" x14ac:dyDescent="0.25">
      <c r="A470" s="26" t="s">
        <v>800</v>
      </c>
      <c r="B470" s="26" t="s">
        <v>388</v>
      </c>
      <c r="C470" s="26" t="s">
        <v>801</v>
      </c>
      <c r="D470" s="26" t="s">
        <v>810</v>
      </c>
      <c r="E470" s="26" t="s">
        <v>328</v>
      </c>
      <c r="F470" s="26" t="s">
        <v>391</v>
      </c>
      <c r="G470" s="26">
        <v>-1</v>
      </c>
      <c r="H470" s="25" t="s">
        <v>334</v>
      </c>
      <c r="I470" s="25" t="s">
        <v>290</v>
      </c>
      <c r="J470" s="25"/>
      <c r="K470" s="26" t="s">
        <v>638</v>
      </c>
    </row>
    <row r="471" spans="1:11" ht="15" customHeight="1" x14ac:dyDescent="0.25">
      <c r="A471" s="26" t="s">
        <v>800</v>
      </c>
      <c r="B471" s="26" t="s">
        <v>388</v>
      </c>
      <c r="C471" s="26" t="s">
        <v>801</v>
      </c>
      <c r="D471" s="26" t="s">
        <v>679</v>
      </c>
      <c r="E471" s="26" t="s">
        <v>380</v>
      </c>
      <c r="F471" s="26" t="s">
        <v>391</v>
      </c>
      <c r="G471" s="26"/>
      <c r="H471" s="25" t="s">
        <v>95</v>
      </c>
      <c r="I471" s="25" t="s">
        <v>290</v>
      </c>
      <c r="J471" s="25"/>
      <c r="K471" s="26" t="s">
        <v>811</v>
      </c>
    </row>
    <row r="472" spans="1:11" ht="15" customHeight="1" x14ac:dyDescent="0.25">
      <c r="A472" s="26" t="s">
        <v>800</v>
      </c>
      <c r="B472" s="26" t="s">
        <v>388</v>
      </c>
      <c r="C472" s="26" t="s">
        <v>801</v>
      </c>
      <c r="D472" s="26" t="s">
        <v>680</v>
      </c>
      <c r="E472" s="26" t="s">
        <v>352</v>
      </c>
      <c r="F472" s="26" t="s">
        <v>391</v>
      </c>
      <c r="G472" s="26">
        <v>5000</v>
      </c>
      <c r="H472" s="25" t="s">
        <v>95</v>
      </c>
      <c r="I472" s="25" t="s">
        <v>292</v>
      </c>
      <c r="J472" s="25"/>
      <c r="K472" s="26" t="s">
        <v>812</v>
      </c>
    </row>
    <row r="473" spans="1:11" ht="15" customHeight="1" x14ac:dyDescent="0.25">
      <c r="A473" s="26" t="s">
        <v>800</v>
      </c>
      <c r="B473" s="26" t="s">
        <v>388</v>
      </c>
      <c r="C473" s="26" t="s">
        <v>801</v>
      </c>
      <c r="D473" s="26" t="s">
        <v>682</v>
      </c>
      <c r="E473" s="26" t="s">
        <v>352</v>
      </c>
      <c r="F473" s="26" t="s">
        <v>391</v>
      </c>
      <c r="G473" s="26">
        <v>0</v>
      </c>
      <c r="H473" s="25" t="s">
        <v>334</v>
      </c>
      <c r="I473" s="25" t="s">
        <v>290</v>
      </c>
      <c r="J473" s="25"/>
      <c r="K473" s="26" t="s">
        <v>638</v>
      </c>
    </row>
    <row r="474" spans="1:11" ht="15" customHeight="1" x14ac:dyDescent="0.25">
      <c r="A474" s="26" t="s">
        <v>800</v>
      </c>
      <c r="B474" s="26" t="s">
        <v>388</v>
      </c>
      <c r="C474" s="26" t="s">
        <v>801</v>
      </c>
      <c r="D474" s="26" t="s">
        <v>813</v>
      </c>
      <c r="E474" s="26" t="s">
        <v>380</v>
      </c>
      <c r="F474" s="26" t="s">
        <v>391</v>
      </c>
      <c r="G474" s="26" t="b">
        <v>1</v>
      </c>
      <c r="H474" s="25" t="s">
        <v>95</v>
      </c>
      <c r="I474" s="25" t="s">
        <v>290</v>
      </c>
      <c r="J474" s="25"/>
      <c r="K474" s="26" t="s">
        <v>814</v>
      </c>
    </row>
    <row r="475" spans="1:11" ht="15" customHeight="1" x14ac:dyDescent="0.25">
      <c r="A475" s="26" t="s">
        <v>800</v>
      </c>
      <c r="B475" s="26" t="s">
        <v>388</v>
      </c>
      <c r="C475" s="26" t="s">
        <v>801</v>
      </c>
      <c r="D475" s="26" t="s">
        <v>354</v>
      </c>
      <c r="E475" s="26" t="s">
        <v>815</v>
      </c>
      <c r="F475" s="26" t="s">
        <v>391</v>
      </c>
      <c r="G475" s="26"/>
      <c r="H475" s="25" t="s">
        <v>334</v>
      </c>
      <c r="I475" s="25" t="s">
        <v>292</v>
      </c>
      <c r="J475" s="25"/>
      <c r="K475" s="26" t="s">
        <v>816</v>
      </c>
    </row>
    <row r="476" spans="1:11" ht="15" customHeight="1" x14ac:dyDescent="0.25">
      <c r="A476" s="26" t="s">
        <v>800</v>
      </c>
      <c r="B476" s="26" t="s">
        <v>388</v>
      </c>
      <c r="C476" s="26" t="s">
        <v>801</v>
      </c>
      <c r="D476" s="26" t="s">
        <v>817</v>
      </c>
      <c r="E476" s="26" t="s">
        <v>815</v>
      </c>
      <c r="F476" s="26" t="s">
        <v>391</v>
      </c>
      <c r="G476" s="26"/>
      <c r="H476" s="25" t="s">
        <v>334</v>
      </c>
      <c r="I476" s="25" t="s">
        <v>290</v>
      </c>
      <c r="J476" s="25"/>
      <c r="K476" s="26" t="s">
        <v>818</v>
      </c>
    </row>
    <row r="477" spans="1:11" ht="15" customHeight="1" x14ac:dyDescent="0.25">
      <c r="A477" s="26" t="s">
        <v>800</v>
      </c>
      <c r="B477" s="26" t="s">
        <v>388</v>
      </c>
      <c r="C477" s="26" t="s">
        <v>801</v>
      </c>
      <c r="D477" s="26" t="s">
        <v>649</v>
      </c>
      <c r="E477" s="26" t="s">
        <v>380</v>
      </c>
      <c r="F477" s="26" t="s">
        <v>391</v>
      </c>
      <c r="G477" s="26"/>
      <c r="H477" s="25" t="s">
        <v>95</v>
      </c>
      <c r="I477" s="25" t="s">
        <v>291</v>
      </c>
      <c r="J477" s="25"/>
      <c r="K477" s="26" t="s">
        <v>650</v>
      </c>
    </row>
    <row r="478" spans="1:11" ht="15" customHeight="1" x14ac:dyDescent="0.25">
      <c r="A478" s="26" t="s">
        <v>800</v>
      </c>
      <c r="B478" s="26" t="s">
        <v>388</v>
      </c>
      <c r="C478" s="26" t="s">
        <v>801</v>
      </c>
      <c r="D478" s="26" t="s">
        <v>651</v>
      </c>
      <c r="E478" s="26" t="s">
        <v>328</v>
      </c>
      <c r="F478" s="26" t="s">
        <v>391</v>
      </c>
      <c r="G478" s="26">
        <v>0</v>
      </c>
      <c r="H478" s="25" t="s">
        <v>95</v>
      </c>
      <c r="I478" s="25" t="s">
        <v>291</v>
      </c>
      <c r="J478" s="25"/>
      <c r="K478" s="26" t="s">
        <v>652</v>
      </c>
    </row>
    <row r="479" spans="1:11" ht="15" customHeight="1" x14ac:dyDescent="0.25">
      <c r="A479" s="26" t="s">
        <v>800</v>
      </c>
      <c r="B479" s="26" t="s">
        <v>388</v>
      </c>
      <c r="C479" s="26" t="s">
        <v>801</v>
      </c>
      <c r="D479" s="26" t="s">
        <v>653</v>
      </c>
      <c r="E479" s="26" t="s">
        <v>380</v>
      </c>
      <c r="F479" s="26" t="s">
        <v>391</v>
      </c>
      <c r="G479" s="26"/>
      <c r="H479" s="25" t="s">
        <v>95</v>
      </c>
      <c r="I479" s="25" t="s">
        <v>291</v>
      </c>
      <c r="J479" s="25"/>
      <c r="K479" s="26" t="s">
        <v>654</v>
      </c>
    </row>
    <row r="480" spans="1:11" ht="15" customHeight="1" x14ac:dyDescent="0.25">
      <c r="A480" s="26" t="s">
        <v>800</v>
      </c>
      <c r="B480" s="26" t="s">
        <v>388</v>
      </c>
      <c r="C480" s="26" t="s">
        <v>801</v>
      </c>
      <c r="D480" s="26" t="s">
        <v>655</v>
      </c>
      <c r="E480" s="26" t="s">
        <v>380</v>
      </c>
      <c r="F480" s="26" t="s">
        <v>391</v>
      </c>
      <c r="G480" s="26"/>
      <c r="H480" s="25" t="s">
        <v>95</v>
      </c>
      <c r="I480" s="25" t="s">
        <v>290</v>
      </c>
      <c r="J480" s="25"/>
      <c r="K480" s="26" t="s">
        <v>656</v>
      </c>
    </row>
    <row r="481" spans="1:11" ht="15" customHeight="1" x14ac:dyDescent="0.25">
      <c r="A481" s="26" t="s">
        <v>800</v>
      </c>
      <c r="B481" s="26" t="s">
        <v>388</v>
      </c>
      <c r="C481" s="26" t="s">
        <v>801</v>
      </c>
      <c r="D481" s="26" t="s">
        <v>560</v>
      </c>
      <c r="E481" s="26" t="s">
        <v>352</v>
      </c>
      <c r="F481" s="26" t="s">
        <v>391</v>
      </c>
      <c r="G481" s="26">
        <v>0</v>
      </c>
      <c r="H481" s="25" t="s">
        <v>95</v>
      </c>
      <c r="I481" s="25" t="s">
        <v>290</v>
      </c>
      <c r="J481" s="25"/>
      <c r="K481" s="26" t="s">
        <v>657</v>
      </c>
    </row>
    <row r="482" spans="1:11" ht="15" customHeight="1" x14ac:dyDescent="0.25">
      <c r="A482" s="26" t="s">
        <v>800</v>
      </c>
      <c r="B482" s="26" t="s">
        <v>388</v>
      </c>
      <c r="C482" s="26" t="s">
        <v>801</v>
      </c>
      <c r="D482" s="26" t="s">
        <v>658</v>
      </c>
      <c r="E482" s="26" t="s">
        <v>325</v>
      </c>
      <c r="F482" s="26" t="s">
        <v>391</v>
      </c>
      <c r="G482" s="26">
        <v>0</v>
      </c>
      <c r="H482" s="25" t="s">
        <v>95</v>
      </c>
      <c r="I482" s="25" t="s">
        <v>290</v>
      </c>
      <c r="J482" s="25"/>
      <c r="K482" s="26" t="s">
        <v>659</v>
      </c>
    </row>
    <row r="483" spans="1:11" ht="15" customHeight="1" x14ac:dyDescent="0.25">
      <c r="A483" s="26" t="s">
        <v>800</v>
      </c>
      <c r="B483" s="26" t="s">
        <v>388</v>
      </c>
      <c r="C483" s="26" t="s">
        <v>801</v>
      </c>
      <c r="D483" s="26" t="s">
        <v>660</v>
      </c>
      <c r="E483" s="26" t="s">
        <v>352</v>
      </c>
      <c r="F483" s="26" t="s">
        <v>391</v>
      </c>
      <c r="G483" s="26">
        <v>0</v>
      </c>
      <c r="H483" s="25" t="s">
        <v>95</v>
      </c>
      <c r="I483" s="25" t="s">
        <v>292</v>
      </c>
      <c r="J483" s="25"/>
      <c r="K483" s="26" t="s">
        <v>661</v>
      </c>
    </row>
    <row r="484" spans="1:11" ht="15" customHeight="1" x14ac:dyDescent="0.25">
      <c r="A484" s="26" t="s">
        <v>819</v>
      </c>
      <c r="B484" s="26" t="s">
        <v>388</v>
      </c>
      <c r="C484" s="26" t="s">
        <v>820</v>
      </c>
      <c r="D484" s="26" t="s">
        <v>537</v>
      </c>
      <c r="E484" s="26" t="s">
        <v>538</v>
      </c>
      <c r="F484" s="26" t="s">
        <v>391</v>
      </c>
      <c r="G484" s="26"/>
      <c r="H484" s="25" t="s">
        <v>334</v>
      </c>
      <c r="I484" s="25" t="s">
        <v>290</v>
      </c>
      <c r="J484" s="25"/>
      <c r="K484" s="26" t="s">
        <v>268</v>
      </c>
    </row>
    <row r="485" spans="1:11" ht="15" customHeight="1" x14ac:dyDescent="0.25">
      <c r="A485" s="26" t="s">
        <v>819</v>
      </c>
      <c r="B485" s="26" t="s">
        <v>388</v>
      </c>
      <c r="C485" s="26" t="s">
        <v>820</v>
      </c>
      <c r="D485" s="26" t="s">
        <v>616</v>
      </c>
      <c r="E485" s="26" t="s">
        <v>380</v>
      </c>
      <c r="F485" s="26" t="s">
        <v>391</v>
      </c>
      <c r="G485" s="26" t="b">
        <v>1</v>
      </c>
      <c r="H485" s="25" t="s">
        <v>95</v>
      </c>
      <c r="I485" s="25" t="s">
        <v>292</v>
      </c>
      <c r="J485" s="25"/>
      <c r="K485" s="26" t="s">
        <v>617</v>
      </c>
    </row>
    <row r="486" spans="1:11" ht="15" customHeight="1" x14ac:dyDescent="0.25">
      <c r="A486" s="26" t="s">
        <v>819</v>
      </c>
      <c r="B486" s="26" t="s">
        <v>388</v>
      </c>
      <c r="C486" s="26" t="s">
        <v>820</v>
      </c>
      <c r="D486" s="26" t="s">
        <v>618</v>
      </c>
      <c r="E486" s="26" t="s">
        <v>380</v>
      </c>
      <c r="F486" s="26" t="s">
        <v>391</v>
      </c>
      <c r="G486" s="26"/>
      <c r="H486" s="25" t="s">
        <v>95</v>
      </c>
      <c r="I486" s="25" t="s">
        <v>292</v>
      </c>
      <c r="J486" s="25"/>
      <c r="K486" s="26" t="s">
        <v>619</v>
      </c>
    </row>
    <row r="487" spans="1:11" ht="15" customHeight="1" x14ac:dyDescent="0.25">
      <c r="A487" s="26" t="s">
        <v>819</v>
      </c>
      <c r="B487" s="26" t="s">
        <v>388</v>
      </c>
      <c r="C487" s="26" t="s">
        <v>820</v>
      </c>
      <c r="D487" s="26" t="s">
        <v>620</v>
      </c>
      <c r="E487" s="26" t="s">
        <v>380</v>
      </c>
      <c r="F487" s="26" t="s">
        <v>391</v>
      </c>
      <c r="G487" s="26"/>
      <c r="H487" s="25" t="s">
        <v>95</v>
      </c>
      <c r="I487" s="25" t="s">
        <v>292</v>
      </c>
      <c r="J487" s="25"/>
      <c r="K487" s="26" t="s">
        <v>621</v>
      </c>
    </row>
    <row r="488" spans="1:11" ht="15" customHeight="1" x14ac:dyDescent="0.25">
      <c r="A488" s="26" t="s">
        <v>819</v>
      </c>
      <c r="B488" s="26" t="s">
        <v>388</v>
      </c>
      <c r="C488" s="26" t="s">
        <v>820</v>
      </c>
      <c r="D488" s="26" t="s">
        <v>384</v>
      </c>
      <c r="E488" s="26" t="s">
        <v>380</v>
      </c>
      <c r="F488" s="26" t="s">
        <v>391</v>
      </c>
      <c r="G488" s="26"/>
      <c r="H488" s="25" t="s">
        <v>334</v>
      </c>
      <c r="I488" s="25" t="s">
        <v>292</v>
      </c>
      <c r="J488" s="25"/>
      <c r="K488" s="26" t="s">
        <v>622</v>
      </c>
    </row>
    <row r="489" spans="1:11" ht="15" customHeight="1" x14ac:dyDescent="0.25">
      <c r="A489" s="26" t="s">
        <v>819</v>
      </c>
      <c r="B489" s="26" t="s">
        <v>388</v>
      </c>
      <c r="C489" s="26" t="s">
        <v>820</v>
      </c>
      <c r="D489" s="26" t="s">
        <v>802</v>
      </c>
      <c r="E489" s="26" t="s">
        <v>328</v>
      </c>
      <c r="F489" s="26" t="s">
        <v>391</v>
      </c>
      <c r="G489" s="26">
        <v>3</v>
      </c>
      <c r="H489" s="25" t="s">
        <v>95</v>
      </c>
      <c r="I489" s="25" t="s">
        <v>290</v>
      </c>
      <c r="J489" s="25"/>
      <c r="K489" s="26" t="s">
        <v>803</v>
      </c>
    </row>
    <row r="490" spans="1:11" ht="15" customHeight="1" x14ac:dyDescent="0.25">
      <c r="A490" s="26" t="s">
        <v>819</v>
      </c>
      <c r="B490" s="26" t="s">
        <v>388</v>
      </c>
      <c r="C490" s="26" t="s">
        <v>820</v>
      </c>
      <c r="D490" s="26" t="s">
        <v>804</v>
      </c>
      <c r="E490" s="26" t="s">
        <v>328</v>
      </c>
      <c r="F490" s="26" t="s">
        <v>391</v>
      </c>
      <c r="G490" s="26">
        <v>0</v>
      </c>
      <c r="H490" s="25" t="s">
        <v>95</v>
      </c>
      <c r="I490" s="25" t="s">
        <v>292</v>
      </c>
      <c r="J490" s="25"/>
      <c r="K490" s="26" t="s">
        <v>821</v>
      </c>
    </row>
    <row r="491" spans="1:11" ht="15" customHeight="1" x14ac:dyDescent="0.25">
      <c r="A491" s="26" t="s">
        <v>819</v>
      </c>
      <c r="B491" s="26" t="s">
        <v>388</v>
      </c>
      <c r="C491" s="26" t="s">
        <v>820</v>
      </c>
      <c r="D491" s="26" t="s">
        <v>806</v>
      </c>
      <c r="E491" s="26" t="s">
        <v>328</v>
      </c>
      <c r="F491" s="26" t="s">
        <v>391</v>
      </c>
      <c r="G491" s="26">
        <v>0</v>
      </c>
      <c r="H491" s="25" t="s">
        <v>95</v>
      </c>
      <c r="I491" s="25" t="s">
        <v>292</v>
      </c>
      <c r="J491" s="25"/>
      <c r="K491" s="26" t="s">
        <v>807</v>
      </c>
    </row>
    <row r="492" spans="1:11" ht="15" customHeight="1" x14ac:dyDescent="0.25">
      <c r="A492" s="26" t="s">
        <v>819</v>
      </c>
      <c r="B492" s="26" t="s">
        <v>388</v>
      </c>
      <c r="C492" s="26" t="s">
        <v>820</v>
      </c>
      <c r="D492" s="26" t="s">
        <v>808</v>
      </c>
      <c r="E492" s="26" t="s">
        <v>328</v>
      </c>
      <c r="F492" s="26" t="s">
        <v>391</v>
      </c>
      <c r="G492" s="26">
        <v>-1</v>
      </c>
      <c r="H492" s="25" t="s">
        <v>95</v>
      </c>
      <c r="I492" s="25" t="s">
        <v>290</v>
      </c>
      <c r="J492" s="25"/>
      <c r="K492" s="26" t="s">
        <v>809</v>
      </c>
    </row>
    <row r="493" spans="1:11" ht="15" customHeight="1" x14ac:dyDescent="0.25">
      <c r="A493" s="26" t="s">
        <v>819</v>
      </c>
      <c r="B493" s="26" t="s">
        <v>388</v>
      </c>
      <c r="C493" s="26" t="s">
        <v>820</v>
      </c>
      <c r="D493" s="26" t="s">
        <v>810</v>
      </c>
      <c r="E493" s="26" t="s">
        <v>328</v>
      </c>
      <c r="F493" s="26" t="s">
        <v>391</v>
      </c>
      <c r="G493" s="26">
        <v>-1</v>
      </c>
      <c r="H493" s="25" t="s">
        <v>334</v>
      </c>
      <c r="I493" s="25" t="s">
        <v>290</v>
      </c>
      <c r="J493" s="25"/>
      <c r="K493" s="26" t="s">
        <v>638</v>
      </c>
    </row>
    <row r="494" spans="1:11" ht="15" customHeight="1" x14ac:dyDescent="0.25">
      <c r="A494" s="26" t="s">
        <v>819</v>
      </c>
      <c r="B494" s="26" t="s">
        <v>388</v>
      </c>
      <c r="C494" s="26" t="s">
        <v>820</v>
      </c>
      <c r="D494" s="26" t="s">
        <v>679</v>
      </c>
      <c r="E494" s="26" t="s">
        <v>380</v>
      </c>
      <c r="F494" s="26" t="s">
        <v>391</v>
      </c>
      <c r="G494" s="26"/>
      <c r="H494" s="25" t="s">
        <v>95</v>
      </c>
      <c r="I494" s="25" t="s">
        <v>290</v>
      </c>
      <c r="J494" s="25"/>
      <c r="K494" s="26" t="s">
        <v>811</v>
      </c>
    </row>
    <row r="495" spans="1:11" ht="15" customHeight="1" x14ac:dyDescent="0.25">
      <c r="A495" s="26" t="s">
        <v>819</v>
      </c>
      <c r="B495" s="26" t="s">
        <v>388</v>
      </c>
      <c r="C495" s="26" t="s">
        <v>820</v>
      </c>
      <c r="D495" s="26" t="s">
        <v>680</v>
      </c>
      <c r="E495" s="26" t="s">
        <v>352</v>
      </c>
      <c r="F495" s="26" t="s">
        <v>391</v>
      </c>
      <c r="G495" s="26">
        <v>5000</v>
      </c>
      <c r="H495" s="25" t="s">
        <v>95</v>
      </c>
      <c r="I495" s="25" t="s">
        <v>292</v>
      </c>
      <c r="J495" s="25"/>
      <c r="K495" s="26" t="s">
        <v>812</v>
      </c>
    </row>
    <row r="496" spans="1:11" ht="15" customHeight="1" x14ac:dyDescent="0.25">
      <c r="A496" s="26" t="s">
        <v>819</v>
      </c>
      <c r="B496" s="26" t="s">
        <v>388</v>
      </c>
      <c r="C496" s="26" t="s">
        <v>820</v>
      </c>
      <c r="D496" s="26" t="s">
        <v>682</v>
      </c>
      <c r="E496" s="26" t="s">
        <v>352</v>
      </c>
      <c r="F496" s="26" t="s">
        <v>391</v>
      </c>
      <c r="G496" s="26">
        <v>0</v>
      </c>
      <c r="H496" s="25" t="s">
        <v>334</v>
      </c>
      <c r="I496" s="25" t="s">
        <v>290</v>
      </c>
      <c r="J496" s="25"/>
      <c r="K496" s="26" t="s">
        <v>638</v>
      </c>
    </row>
    <row r="497" spans="1:11" ht="15" customHeight="1" x14ac:dyDescent="0.25">
      <c r="A497" s="26" t="s">
        <v>819</v>
      </c>
      <c r="B497" s="26" t="s">
        <v>388</v>
      </c>
      <c r="C497" s="26" t="s">
        <v>820</v>
      </c>
      <c r="D497" s="26" t="s">
        <v>813</v>
      </c>
      <c r="E497" s="26" t="s">
        <v>380</v>
      </c>
      <c r="F497" s="26" t="s">
        <v>391</v>
      </c>
      <c r="G497" s="26" t="b">
        <v>1</v>
      </c>
      <c r="H497" s="25" t="s">
        <v>95</v>
      </c>
      <c r="I497" s="25" t="s">
        <v>290</v>
      </c>
      <c r="J497" s="25"/>
      <c r="K497" s="26" t="s">
        <v>814</v>
      </c>
    </row>
    <row r="498" spans="1:11" ht="15" customHeight="1" x14ac:dyDescent="0.25">
      <c r="A498" s="26" t="s">
        <v>819</v>
      </c>
      <c r="B498" s="26" t="s">
        <v>388</v>
      </c>
      <c r="C498" s="26" t="s">
        <v>820</v>
      </c>
      <c r="D498" s="26" t="s">
        <v>354</v>
      </c>
      <c r="E498" s="26" t="s">
        <v>822</v>
      </c>
      <c r="F498" s="26" t="s">
        <v>391</v>
      </c>
      <c r="G498" s="26"/>
      <c r="H498" s="25" t="s">
        <v>334</v>
      </c>
      <c r="I498" s="25" t="s">
        <v>292</v>
      </c>
      <c r="J498" s="25"/>
      <c r="K498" s="26" t="s">
        <v>816</v>
      </c>
    </row>
    <row r="499" spans="1:11" ht="15" customHeight="1" x14ac:dyDescent="0.25">
      <c r="A499" s="26" t="s">
        <v>819</v>
      </c>
      <c r="B499" s="26" t="s">
        <v>388</v>
      </c>
      <c r="C499" s="26" t="s">
        <v>820</v>
      </c>
      <c r="D499" s="26" t="s">
        <v>817</v>
      </c>
      <c r="E499" s="26" t="s">
        <v>822</v>
      </c>
      <c r="F499" s="26" t="s">
        <v>391</v>
      </c>
      <c r="G499" s="26"/>
      <c r="H499" s="25" t="s">
        <v>334</v>
      </c>
      <c r="I499" s="25" t="s">
        <v>290</v>
      </c>
      <c r="J499" s="25"/>
      <c r="K499" s="26" t="s">
        <v>818</v>
      </c>
    </row>
    <row r="500" spans="1:11" ht="15" customHeight="1" x14ac:dyDescent="0.25">
      <c r="A500" s="26" t="s">
        <v>819</v>
      </c>
      <c r="B500" s="26" t="s">
        <v>388</v>
      </c>
      <c r="C500" s="26" t="s">
        <v>820</v>
      </c>
      <c r="D500" s="26" t="s">
        <v>649</v>
      </c>
      <c r="E500" s="26" t="s">
        <v>380</v>
      </c>
      <c r="F500" s="26" t="s">
        <v>391</v>
      </c>
      <c r="G500" s="26"/>
      <c r="H500" s="25" t="s">
        <v>95</v>
      </c>
      <c r="I500" s="25" t="s">
        <v>291</v>
      </c>
      <c r="J500" s="25"/>
      <c r="K500" s="26" t="s">
        <v>650</v>
      </c>
    </row>
    <row r="501" spans="1:11" ht="15" customHeight="1" x14ac:dyDescent="0.25">
      <c r="A501" s="26" t="s">
        <v>819</v>
      </c>
      <c r="B501" s="26" t="s">
        <v>388</v>
      </c>
      <c r="C501" s="26" t="s">
        <v>820</v>
      </c>
      <c r="D501" s="26" t="s">
        <v>651</v>
      </c>
      <c r="E501" s="26" t="s">
        <v>328</v>
      </c>
      <c r="F501" s="26" t="s">
        <v>391</v>
      </c>
      <c r="G501" s="26">
        <v>0</v>
      </c>
      <c r="H501" s="25" t="s">
        <v>95</v>
      </c>
      <c r="I501" s="25" t="s">
        <v>291</v>
      </c>
      <c r="J501" s="25"/>
      <c r="K501" s="26" t="s">
        <v>652</v>
      </c>
    </row>
    <row r="502" spans="1:11" ht="15" customHeight="1" x14ac:dyDescent="0.25">
      <c r="A502" s="26" t="s">
        <v>819</v>
      </c>
      <c r="B502" s="26" t="s">
        <v>388</v>
      </c>
      <c r="C502" s="26" t="s">
        <v>820</v>
      </c>
      <c r="D502" s="26" t="s">
        <v>653</v>
      </c>
      <c r="E502" s="26" t="s">
        <v>380</v>
      </c>
      <c r="F502" s="26" t="s">
        <v>391</v>
      </c>
      <c r="G502" s="26"/>
      <c r="H502" s="25" t="s">
        <v>95</v>
      </c>
      <c r="I502" s="25" t="s">
        <v>291</v>
      </c>
      <c r="J502" s="25"/>
      <c r="K502" s="26" t="s">
        <v>654</v>
      </c>
    </row>
    <row r="503" spans="1:11" ht="15" customHeight="1" x14ac:dyDescent="0.25">
      <c r="A503" s="26" t="s">
        <v>819</v>
      </c>
      <c r="B503" s="26" t="s">
        <v>388</v>
      </c>
      <c r="C503" s="26" t="s">
        <v>820</v>
      </c>
      <c r="D503" s="26" t="s">
        <v>655</v>
      </c>
      <c r="E503" s="26" t="s">
        <v>380</v>
      </c>
      <c r="F503" s="26" t="s">
        <v>391</v>
      </c>
      <c r="G503" s="26"/>
      <c r="H503" s="25" t="s">
        <v>95</v>
      </c>
      <c r="I503" s="25" t="s">
        <v>290</v>
      </c>
      <c r="J503" s="25"/>
      <c r="K503" s="26" t="s">
        <v>656</v>
      </c>
    </row>
    <row r="504" spans="1:11" ht="15" customHeight="1" x14ac:dyDescent="0.25">
      <c r="A504" s="26" t="s">
        <v>819</v>
      </c>
      <c r="B504" s="26" t="s">
        <v>388</v>
      </c>
      <c r="C504" s="26" t="s">
        <v>820</v>
      </c>
      <c r="D504" s="26" t="s">
        <v>560</v>
      </c>
      <c r="E504" s="26" t="s">
        <v>352</v>
      </c>
      <c r="F504" s="26" t="s">
        <v>391</v>
      </c>
      <c r="G504" s="26">
        <v>0</v>
      </c>
      <c r="H504" s="25" t="s">
        <v>95</v>
      </c>
      <c r="I504" s="25" t="s">
        <v>290</v>
      </c>
      <c r="J504" s="25"/>
      <c r="K504" s="26" t="s">
        <v>657</v>
      </c>
    </row>
    <row r="505" spans="1:11" ht="15" customHeight="1" x14ac:dyDescent="0.25">
      <c r="A505" s="26" t="s">
        <v>819</v>
      </c>
      <c r="B505" s="26" t="s">
        <v>388</v>
      </c>
      <c r="C505" s="26" t="s">
        <v>820</v>
      </c>
      <c r="D505" s="26" t="s">
        <v>658</v>
      </c>
      <c r="E505" s="26" t="s">
        <v>325</v>
      </c>
      <c r="F505" s="26" t="s">
        <v>391</v>
      </c>
      <c r="G505" s="26">
        <v>0</v>
      </c>
      <c r="H505" s="25" t="s">
        <v>95</v>
      </c>
      <c r="I505" s="25" t="s">
        <v>290</v>
      </c>
      <c r="J505" s="25"/>
      <c r="K505" s="26" t="s">
        <v>659</v>
      </c>
    </row>
    <row r="506" spans="1:11" ht="15" customHeight="1" x14ac:dyDescent="0.25">
      <c r="A506" s="26" t="s">
        <v>819</v>
      </c>
      <c r="B506" s="26" t="s">
        <v>388</v>
      </c>
      <c r="C506" s="26" t="s">
        <v>820</v>
      </c>
      <c r="D506" s="26" t="s">
        <v>660</v>
      </c>
      <c r="E506" s="26" t="s">
        <v>352</v>
      </c>
      <c r="F506" s="26" t="s">
        <v>391</v>
      </c>
      <c r="G506" s="26">
        <v>0</v>
      </c>
      <c r="H506" s="25" t="s">
        <v>95</v>
      </c>
      <c r="I506" s="25" t="s">
        <v>292</v>
      </c>
      <c r="J506" s="25"/>
      <c r="K506" s="26" t="s">
        <v>661</v>
      </c>
    </row>
    <row r="507" spans="1:11" ht="15" customHeight="1" x14ac:dyDescent="0.25">
      <c r="A507" s="26" t="s">
        <v>823</v>
      </c>
      <c r="B507" s="26" t="s">
        <v>388</v>
      </c>
      <c r="C507" s="26" t="s">
        <v>824</v>
      </c>
      <c r="D507" s="26" t="s">
        <v>537</v>
      </c>
      <c r="E507" s="26" t="s">
        <v>538</v>
      </c>
      <c r="F507" s="26" t="s">
        <v>391</v>
      </c>
      <c r="G507" s="26"/>
      <c r="H507" s="25" t="s">
        <v>334</v>
      </c>
      <c r="I507" s="25" t="s">
        <v>290</v>
      </c>
      <c r="J507" s="25"/>
      <c r="K507" s="26" t="s">
        <v>268</v>
      </c>
    </row>
    <row r="508" spans="1:11" ht="15" customHeight="1" x14ac:dyDescent="0.25">
      <c r="A508" s="26" t="s">
        <v>823</v>
      </c>
      <c r="B508" s="26" t="s">
        <v>388</v>
      </c>
      <c r="C508" s="26" t="s">
        <v>824</v>
      </c>
      <c r="D508" s="26" t="s">
        <v>616</v>
      </c>
      <c r="E508" s="26" t="s">
        <v>380</v>
      </c>
      <c r="F508" s="26" t="s">
        <v>391</v>
      </c>
      <c r="G508" s="26" t="b">
        <v>1</v>
      </c>
      <c r="H508" s="25" t="s">
        <v>95</v>
      </c>
      <c r="I508" s="25" t="s">
        <v>292</v>
      </c>
      <c r="J508" s="25"/>
      <c r="K508" s="26" t="s">
        <v>617</v>
      </c>
    </row>
    <row r="509" spans="1:11" ht="15" customHeight="1" x14ac:dyDescent="0.25">
      <c r="A509" s="26" t="s">
        <v>823</v>
      </c>
      <c r="B509" s="26" t="s">
        <v>388</v>
      </c>
      <c r="C509" s="26" t="s">
        <v>824</v>
      </c>
      <c r="D509" s="26" t="s">
        <v>618</v>
      </c>
      <c r="E509" s="26" t="s">
        <v>380</v>
      </c>
      <c r="F509" s="26" t="s">
        <v>391</v>
      </c>
      <c r="G509" s="26"/>
      <c r="H509" s="25" t="s">
        <v>95</v>
      </c>
      <c r="I509" s="25" t="s">
        <v>292</v>
      </c>
      <c r="J509" s="25"/>
      <c r="K509" s="26" t="s">
        <v>619</v>
      </c>
    </row>
    <row r="510" spans="1:11" ht="15" customHeight="1" x14ac:dyDescent="0.25">
      <c r="A510" s="26" t="s">
        <v>823</v>
      </c>
      <c r="B510" s="26" t="s">
        <v>388</v>
      </c>
      <c r="C510" s="26" t="s">
        <v>824</v>
      </c>
      <c r="D510" s="26" t="s">
        <v>620</v>
      </c>
      <c r="E510" s="26" t="s">
        <v>380</v>
      </c>
      <c r="F510" s="26" t="s">
        <v>391</v>
      </c>
      <c r="G510" s="26"/>
      <c r="H510" s="25" t="s">
        <v>95</v>
      </c>
      <c r="I510" s="25" t="s">
        <v>292</v>
      </c>
      <c r="J510" s="25"/>
      <c r="K510" s="26" t="s">
        <v>621</v>
      </c>
    </row>
    <row r="511" spans="1:11" ht="15" customHeight="1" x14ac:dyDescent="0.25">
      <c r="A511" s="26" t="s">
        <v>823</v>
      </c>
      <c r="B511" s="26" t="s">
        <v>388</v>
      </c>
      <c r="C511" s="26" t="s">
        <v>824</v>
      </c>
      <c r="D511" s="26" t="s">
        <v>384</v>
      </c>
      <c r="E511" s="26" t="s">
        <v>380</v>
      </c>
      <c r="F511" s="26" t="s">
        <v>391</v>
      </c>
      <c r="G511" s="26"/>
      <c r="H511" s="25" t="s">
        <v>334</v>
      </c>
      <c r="I511" s="25" t="s">
        <v>292</v>
      </c>
      <c r="J511" s="25"/>
      <c r="K511" s="26" t="s">
        <v>622</v>
      </c>
    </row>
    <row r="512" spans="1:11" ht="15" customHeight="1" x14ac:dyDescent="0.25">
      <c r="A512" s="26" t="s">
        <v>823</v>
      </c>
      <c r="B512" s="26" t="s">
        <v>388</v>
      </c>
      <c r="C512" s="26" t="s">
        <v>824</v>
      </c>
      <c r="D512" s="26" t="s">
        <v>802</v>
      </c>
      <c r="E512" s="26" t="s">
        <v>328</v>
      </c>
      <c r="F512" s="26" t="s">
        <v>391</v>
      </c>
      <c r="G512" s="26">
        <v>4</v>
      </c>
      <c r="H512" s="25" t="s">
        <v>95</v>
      </c>
      <c r="I512" s="25" t="s">
        <v>290</v>
      </c>
      <c r="J512" s="25"/>
      <c r="K512" s="26" t="s">
        <v>803</v>
      </c>
    </row>
    <row r="513" spans="1:11" ht="15" customHeight="1" x14ac:dyDescent="0.25">
      <c r="A513" s="26" t="s">
        <v>823</v>
      </c>
      <c r="B513" s="26" t="s">
        <v>388</v>
      </c>
      <c r="C513" s="26" t="s">
        <v>824</v>
      </c>
      <c r="D513" s="26" t="s">
        <v>804</v>
      </c>
      <c r="E513" s="26" t="s">
        <v>328</v>
      </c>
      <c r="F513" s="26" t="s">
        <v>391</v>
      </c>
      <c r="G513" s="26">
        <v>0</v>
      </c>
      <c r="H513" s="25" t="s">
        <v>95</v>
      </c>
      <c r="I513" s="25" t="s">
        <v>292</v>
      </c>
      <c r="J513" s="25"/>
      <c r="K513" s="26" t="s">
        <v>825</v>
      </c>
    </row>
    <row r="514" spans="1:11" ht="15" customHeight="1" x14ac:dyDescent="0.25">
      <c r="A514" s="26" t="s">
        <v>823</v>
      </c>
      <c r="B514" s="26" t="s">
        <v>388</v>
      </c>
      <c r="C514" s="26" t="s">
        <v>824</v>
      </c>
      <c r="D514" s="26" t="s">
        <v>806</v>
      </c>
      <c r="E514" s="26" t="s">
        <v>328</v>
      </c>
      <c r="F514" s="26" t="s">
        <v>391</v>
      </c>
      <c r="G514" s="26">
        <v>0</v>
      </c>
      <c r="H514" s="25" t="s">
        <v>95</v>
      </c>
      <c r="I514" s="25" t="s">
        <v>292</v>
      </c>
      <c r="J514" s="25"/>
      <c r="K514" s="26" t="s">
        <v>807</v>
      </c>
    </row>
    <row r="515" spans="1:11" ht="15" customHeight="1" x14ac:dyDescent="0.25">
      <c r="A515" s="26" t="s">
        <v>823</v>
      </c>
      <c r="B515" s="26" t="s">
        <v>388</v>
      </c>
      <c r="C515" s="26" t="s">
        <v>824</v>
      </c>
      <c r="D515" s="26" t="s">
        <v>808</v>
      </c>
      <c r="E515" s="26" t="s">
        <v>328</v>
      </c>
      <c r="F515" s="26" t="s">
        <v>391</v>
      </c>
      <c r="G515" s="26">
        <v>-1</v>
      </c>
      <c r="H515" s="25" t="s">
        <v>95</v>
      </c>
      <c r="I515" s="25" t="s">
        <v>290</v>
      </c>
      <c r="J515" s="25"/>
      <c r="K515" s="26" t="s">
        <v>809</v>
      </c>
    </row>
    <row r="516" spans="1:11" ht="15" customHeight="1" x14ac:dyDescent="0.25">
      <c r="A516" s="26" t="s">
        <v>823</v>
      </c>
      <c r="B516" s="26" t="s">
        <v>388</v>
      </c>
      <c r="C516" s="26" t="s">
        <v>824</v>
      </c>
      <c r="D516" s="26" t="s">
        <v>810</v>
      </c>
      <c r="E516" s="26" t="s">
        <v>328</v>
      </c>
      <c r="F516" s="26" t="s">
        <v>391</v>
      </c>
      <c r="G516" s="26">
        <v>-1</v>
      </c>
      <c r="H516" s="25" t="s">
        <v>334</v>
      </c>
      <c r="I516" s="25" t="s">
        <v>290</v>
      </c>
      <c r="J516" s="25"/>
      <c r="K516" s="26" t="s">
        <v>638</v>
      </c>
    </row>
    <row r="517" spans="1:11" ht="15" customHeight="1" x14ac:dyDescent="0.25">
      <c r="A517" s="26" t="s">
        <v>823</v>
      </c>
      <c r="B517" s="26" t="s">
        <v>388</v>
      </c>
      <c r="C517" s="26" t="s">
        <v>824</v>
      </c>
      <c r="D517" s="26" t="s">
        <v>679</v>
      </c>
      <c r="E517" s="26" t="s">
        <v>380</v>
      </c>
      <c r="F517" s="26" t="s">
        <v>391</v>
      </c>
      <c r="G517" s="26"/>
      <c r="H517" s="25" t="s">
        <v>95</v>
      </c>
      <c r="I517" s="25" t="s">
        <v>290</v>
      </c>
      <c r="J517" s="25"/>
      <c r="K517" s="26" t="s">
        <v>811</v>
      </c>
    </row>
    <row r="518" spans="1:11" ht="15" customHeight="1" x14ac:dyDescent="0.25">
      <c r="A518" s="26" t="s">
        <v>823</v>
      </c>
      <c r="B518" s="26" t="s">
        <v>388</v>
      </c>
      <c r="C518" s="26" t="s">
        <v>824</v>
      </c>
      <c r="D518" s="26" t="s">
        <v>680</v>
      </c>
      <c r="E518" s="26" t="s">
        <v>352</v>
      </c>
      <c r="F518" s="26" t="s">
        <v>391</v>
      </c>
      <c r="G518" s="26">
        <v>5000</v>
      </c>
      <c r="H518" s="25" t="s">
        <v>95</v>
      </c>
      <c r="I518" s="25" t="s">
        <v>292</v>
      </c>
      <c r="J518" s="25"/>
      <c r="K518" s="26" t="s">
        <v>812</v>
      </c>
    </row>
    <row r="519" spans="1:11" ht="15" customHeight="1" x14ac:dyDescent="0.25">
      <c r="A519" s="26" t="s">
        <v>823</v>
      </c>
      <c r="B519" s="26" t="s">
        <v>388</v>
      </c>
      <c r="C519" s="26" t="s">
        <v>824</v>
      </c>
      <c r="D519" s="26" t="s">
        <v>682</v>
      </c>
      <c r="E519" s="26" t="s">
        <v>352</v>
      </c>
      <c r="F519" s="26" t="s">
        <v>391</v>
      </c>
      <c r="G519" s="26">
        <v>0</v>
      </c>
      <c r="H519" s="25" t="s">
        <v>334</v>
      </c>
      <c r="I519" s="25" t="s">
        <v>290</v>
      </c>
      <c r="J519" s="25"/>
      <c r="K519" s="26" t="s">
        <v>638</v>
      </c>
    </row>
    <row r="520" spans="1:11" ht="15" customHeight="1" x14ac:dyDescent="0.25">
      <c r="A520" s="26" t="s">
        <v>823</v>
      </c>
      <c r="B520" s="26" t="s">
        <v>388</v>
      </c>
      <c r="C520" s="26" t="s">
        <v>824</v>
      </c>
      <c r="D520" s="26" t="s">
        <v>813</v>
      </c>
      <c r="E520" s="26" t="s">
        <v>380</v>
      </c>
      <c r="F520" s="26" t="s">
        <v>391</v>
      </c>
      <c r="G520" s="26" t="b">
        <v>1</v>
      </c>
      <c r="H520" s="25" t="s">
        <v>95</v>
      </c>
      <c r="I520" s="25" t="s">
        <v>290</v>
      </c>
      <c r="J520" s="25"/>
      <c r="K520" s="26" t="s">
        <v>814</v>
      </c>
    </row>
    <row r="521" spans="1:11" ht="15" customHeight="1" x14ac:dyDescent="0.25">
      <c r="A521" s="26" t="s">
        <v>823</v>
      </c>
      <c r="B521" s="26" t="s">
        <v>388</v>
      </c>
      <c r="C521" s="26" t="s">
        <v>824</v>
      </c>
      <c r="D521" s="26" t="s">
        <v>354</v>
      </c>
      <c r="E521" s="26" t="s">
        <v>826</v>
      </c>
      <c r="F521" s="26" t="s">
        <v>391</v>
      </c>
      <c r="G521" s="26"/>
      <c r="H521" s="25" t="s">
        <v>334</v>
      </c>
      <c r="I521" s="25" t="s">
        <v>292</v>
      </c>
      <c r="J521" s="25"/>
      <c r="K521" s="26" t="s">
        <v>816</v>
      </c>
    </row>
    <row r="522" spans="1:11" ht="15" customHeight="1" x14ac:dyDescent="0.25">
      <c r="A522" s="26" t="s">
        <v>823</v>
      </c>
      <c r="B522" s="26" t="s">
        <v>388</v>
      </c>
      <c r="C522" s="26" t="s">
        <v>824</v>
      </c>
      <c r="D522" s="26" t="s">
        <v>817</v>
      </c>
      <c r="E522" s="26" t="s">
        <v>826</v>
      </c>
      <c r="F522" s="26" t="s">
        <v>391</v>
      </c>
      <c r="G522" s="26"/>
      <c r="H522" s="25" t="s">
        <v>334</v>
      </c>
      <c r="I522" s="25" t="s">
        <v>290</v>
      </c>
      <c r="J522" s="25"/>
      <c r="K522" s="26" t="s">
        <v>818</v>
      </c>
    </row>
    <row r="523" spans="1:11" ht="15" customHeight="1" x14ac:dyDescent="0.25">
      <c r="A523" s="26" t="s">
        <v>823</v>
      </c>
      <c r="B523" s="26" t="s">
        <v>388</v>
      </c>
      <c r="C523" s="26" t="s">
        <v>824</v>
      </c>
      <c r="D523" s="26" t="s">
        <v>649</v>
      </c>
      <c r="E523" s="26" t="s">
        <v>380</v>
      </c>
      <c r="F523" s="26" t="s">
        <v>391</v>
      </c>
      <c r="G523" s="26"/>
      <c r="H523" s="25" t="s">
        <v>95</v>
      </c>
      <c r="I523" s="25" t="s">
        <v>291</v>
      </c>
      <c r="J523" s="25"/>
      <c r="K523" s="26" t="s">
        <v>650</v>
      </c>
    </row>
    <row r="524" spans="1:11" ht="15" customHeight="1" x14ac:dyDescent="0.25">
      <c r="A524" s="26" t="s">
        <v>823</v>
      </c>
      <c r="B524" s="26" t="s">
        <v>388</v>
      </c>
      <c r="C524" s="26" t="s">
        <v>824</v>
      </c>
      <c r="D524" s="26" t="s">
        <v>651</v>
      </c>
      <c r="E524" s="26" t="s">
        <v>328</v>
      </c>
      <c r="F524" s="26" t="s">
        <v>391</v>
      </c>
      <c r="G524" s="26">
        <v>0</v>
      </c>
      <c r="H524" s="25" t="s">
        <v>95</v>
      </c>
      <c r="I524" s="25" t="s">
        <v>291</v>
      </c>
      <c r="J524" s="25"/>
      <c r="K524" s="26" t="s">
        <v>652</v>
      </c>
    </row>
    <row r="525" spans="1:11" ht="15" customHeight="1" x14ac:dyDescent="0.25">
      <c r="A525" s="26" t="s">
        <v>823</v>
      </c>
      <c r="B525" s="26" t="s">
        <v>388</v>
      </c>
      <c r="C525" s="26" t="s">
        <v>824</v>
      </c>
      <c r="D525" s="26" t="s">
        <v>653</v>
      </c>
      <c r="E525" s="26" t="s">
        <v>380</v>
      </c>
      <c r="F525" s="26" t="s">
        <v>391</v>
      </c>
      <c r="G525" s="26"/>
      <c r="H525" s="25" t="s">
        <v>95</v>
      </c>
      <c r="I525" s="25" t="s">
        <v>291</v>
      </c>
      <c r="J525" s="25"/>
      <c r="K525" s="26" t="s">
        <v>654</v>
      </c>
    </row>
    <row r="526" spans="1:11" ht="15" customHeight="1" x14ac:dyDescent="0.25">
      <c r="A526" s="26" t="s">
        <v>823</v>
      </c>
      <c r="B526" s="26" t="s">
        <v>388</v>
      </c>
      <c r="C526" s="26" t="s">
        <v>824</v>
      </c>
      <c r="D526" s="26" t="s">
        <v>655</v>
      </c>
      <c r="E526" s="26" t="s">
        <v>380</v>
      </c>
      <c r="F526" s="26" t="s">
        <v>391</v>
      </c>
      <c r="G526" s="26"/>
      <c r="H526" s="25" t="s">
        <v>95</v>
      </c>
      <c r="I526" s="25" t="s">
        <v>290</v>
      </c>
      <c r="J526" s="25"/>
      <c r="K526" s="26" t="s">
        <v>656</v>
      </c>
    </row>
    <row r="527" spans="1:11" ht="15" customHeight="1" x14ac:dyDescent="0.25">
      <c r="A527" s="26" t="s">
        <v>823</v>
      </c>
      <c r="B527" s="26" t="s">
        <v>388</v>
      </c>
      <c r="C527" s="26" t="s">
        <v>824</v>
      </c>
      <c r="D527" s="26" t="s">
        <v>560</v>
      </c>
      <c r="E527" s="26" t="s">
        <v>352</v>
      </c>
      <c r="F527" s="26" t="s">
        <v>391</v>
      </c>
      <c r="G527" s="26">
        <v>0</v>
      </c>
      <c r="H527" s="25" t="s">
        <v>95</v>
      </c>
      <c r="I527" s="25" t="s">
        <v>290</v>
      </c>
      <c r="J527" s="25"/>
      <c r="K527" s="26" t="s">
        <v>657</v>
      </c>
    </row>
    <row r="528" spans="1:11" ht="15" customHeight="1" x14ac:dyDescent="0.25">
      <c r="A528" s="26" t="s">
        <v>823</v>
      </c>
      <c r="B528" s="26" t="s">
        <v>388</v>
      </c>
      <c r="C528" s="26" t="s">
        <v>824</v>
      </c>
      <c r="D528" s="26" t="s">
        <v>658</v>
      </c>
      <c r="E528" s="26" t="s">
        <v>325</v>
      </c>
      <c r="F528" s="26" t="s">
        <v>391</v>
      </c>
      <c r="G528" s="26">
        <v>0</v>
      </c>
      <c r="H528" s="25" t="s">
        <v>95</v>
      </c>
      <c r="I528" s="25" t="s">
        <v>290</v>
      </c>
      <c r="J528" s="25"/>
      <c r="K528" s="26" t="s">
        <v>659</v>
      </c>
    </row>
    <row r="529" spans="1:11" ht="15" customHeight="1" x14ac:dyDescent="0.25">
      <c r="A529" s="26" t="s">
        <v>823</v>
      </c>
      <c r="B529" s="26" t="s">
        <v>388</v>
      </c>
      <c r="C529" s="26" t="s">
        <v>824</v>
      </c>
      <c r="D529" s="26" t="s">
        <v>660</v>
      </c>
      <c r="E529" s="26" t="s">
        <v>352</v>
      </c>
      <c r="F529" s="26" t="s">
        <v>391</v>
      </c>
      <c r="G529" s="26">
        <v>0</v>
      </c>
      <c r="H529" s="25" t="s">
        <v>95</v>
      </c>
      <c r="I529" s="25" t="s">
        <v>292</v>
      </c>
      <c r="J529" s="25"/>
      <c r="K529" s="26" t="s">
        <v>661</v>
      </c>
    </row>
    <row r="530" spans="1:11" ht="15" customHeight="1" x14ac:dyDescent="0.25">
      <c r="A530" s="26" t="s">
        <v>827</v>
      </c>
      <c r="B530" s="26" t="s">
        <v>322</v>
      </c>
      <c r="C530" s="26" t="s">
        <v>828</v>
      </c>
      <c r="D530" s="26" t="s">
        <v>349</v>
      </c>
      <c r="E530" s="26" t="s">
        <v>328</v>
      </c>
      <c r="F530" s="26" t="s">
        <v>326</v>
      </c>
      <c r="G530" s="26">
        <v>4</v>
      </c>
      <c r="H530" s="25" t="s">
        <v>95</v>
      </c>
      <c r="I530" s="25" t="s">
        <v>290</v>
      </c>
      <c r="J530" s="25"/>
      <c r="K530" s="26" t="s">
        <v>829</v>
      </c>
    </row>
    <row r="531" spans="1:11" ht="15" customHeight="1" x14ac:dyDescent="0.25">
      <c r="A531" s="26" t="s">
        <v>827</v>
      </c>
      <c r="B531" s="26" t="s">
        <v>322</v>
      </c>
      <c r="C531" s="26" t="s">
        <v>828</v>
      </c>
      <c r="D531" s="26" t="s">
        <v>351</v>
      </c>
      <c r="E531" s="26" t="s">
        <v>352</v>
      </c>
      <c r="F531" s="26" t="s">
        <v>326</v>
      </c>
      <c r="G531" s="26">
        <v>20</v>
      </c>
      <c r="H531" s="25" t="s">
        <v>95</v>
      </c>
      <c r="I531" s="25" t="s">
        <v>292</v>
      </c>
      <c r="J531" s="25"/>
      <c r="K531" s="26" t="s">
        <v>830</v>
      </c>
    </row>
    <row r="532" spans="1:11" ht="15" customHeight="1" x14ac:dyDescent="0.25">
      <c r="A532" s="26" t="s">
        <v>827</v>
      </c>
      <c r="B532" s="26" t="s">
        <v>322</v>
      </c>
      <c r="C532" s="26" t="s">
        <v>828</v>
      </c>
      <c r="D532" s="26" t="s">
        <v>289</v>
      </c>
      <c r="E532" s="26" t="s">
        <v>380</v>
      </c>
      <c r="F532" s="26" t="s">
        <v>326</v>
      </c>
      <c r="G532" s="26"/>
      <c r="H532" s="25" t="s">
        <v>95</v>
      </c>
      <c r="I532" s="25" t="s">
        <v>292</v>
      </c>
      <c r="J532" s="25"/>
      <c r="K532" s="26" t="s">
        <v>831</v>
      </c>
    </row>
    <row r="533" spans="1:11" ht="15" customHeight="1" x14ac:dyDescent="0.25">
      <c r="A533" s="26" t="s">
        <v>827</v>
      </c>
      <c r="B533" s="26" t="s">
        <v>322</v>
      </c>
      <c r="C533" s="26" t="s">
        <v>828</v>
      </c>
      <c r="D533" s="26" t="s">
        <v>832</v>
      </c>
      <c r="E533" s="26" t="s">
        <v>833</v>
      </c>
      <c r="F533" s="26" t="s">
        <v>356</v>
      </c>
      <c r="G533" s="26"/>
      <c r="H533" s="25" t="s">
        <v>334</v>
      </c>
      <c r="I533" s="25" t="s">
        <v>290</v>
      </c>
      <c r="J533" s="25"/>
      <c r="K533" s="26" t="s">
        <v>834</v>
      </c>
    </row>
    <row r="534" spans="1:11" ht="15" customHeight="1" x14ac:dyDescent="0.25">
      <c r="A534" s="26" t="s">
        <v>827</v>
      </c>
      <c r="B534" s="26" t="s">
        <v>322</v>
      </c>
      <c r="C534" s="26" t="s">
        <v>828</v>
      </c>
      <c r="D534" s="26" t="s">
        <v>835</v>
      </c>
      <c r="E534" s="26" t="s">
        <v>328</v>
      </c>
      <c r="F534" s="26" t="s">
        <v>329</v>
      </c>
      <c r="G534" s="26">
        <v>0</v>
      </c>
      <c r="H534" s="25" t="s">
        <v>95</v>
      </c>
      <c r="I534" s="25" t="s">
        <v>291</v>
      </c>
      <c r="J534" s="25"/>
      <c r="K534" s="26" t="s">
        <v>836</v>
      </c>
    </row>
    <row r="535" spans="1:11" ht="15" customHeight="1" x14ac:dyDescent="0.25">
      <c r="A535" s="26" t="s">
        <v>827</v>
      </c>
      <c r="B535" s="26" t="s">
        <v>322</v>
      </c>
      <c r="C535" s="26" t="s">
        <v>828</v>
      </c>
      <c r="D535" s="26" t="s">
        <v>837</v>
      </c>
      <c r="E535" s="26" t="s">
        <v>328</v>
      </c>
      <c r="F535" s="26" t="s">
        <v>329</v>
      </c>
      <c r="G535" s="26">
        <v>0</v>
      </c>
      <c r="H535" s="25" t="s">
        <v>95</v>
      </c>
      <c r="I535" s="25" t="s">
        <v>291</v>
      </c>
      <c r="J535" s="25"/>
      <c r="K535" s="26" t="s">
        <v>838</v>
      </c>
    </row>
    <row r="536" spans="1:11" ht="15" customHeight="1" x14ac:dyDescent="0.25">
      <c r="A536" s="26" t="s">
        <v>827</v>
      </c>
      <c r="B536" s="26" t="s">
        <v>322</v>
      </c>
      <c r="C536" s="26" t="s">
        <v>828</v>
      </c>
      <c r="D536" s="26" t="s">
        <v>370</v>
      </c>
      <c r="E536" s="26" t="s">
        <v>328</v>
      </c>
      <c r="F536" s="26" t="s">
        <v>333</v>
      </c>
      <c r="G536" s="26">
        <v>0</v>
      </c>
      <c r="H536" s="25" t="s">
        <v>334</v>
      </c>
      <c r="I536" s="25" t="s">
        <v>290</v>
      </c>
      <c r="J536" s="25"/>
      <c r="K536" s="26" t="s">
        <v>839</v>
      </c>
    </row>
    <row r="537" spans="1:11" ht="15" customHeight="1" x14ac:dyDescent="0.25">
      <c r="A537" s="26" t="s">
        <v>827</v>
      </c>
      <c r="B537" s="26" t="s">
        <v>322</v>
      </c>
      <c r="C537" s="26" t="s">
        <v>828</v>
      </c>
      <c r="D537" s="26" t="s">
        <v>371</v>
      </c>
      <c r="E537" s="26" t="s">
        <v>328</v>
      </c>
      <c r="F537" s="26" t="s">
        <v>333</v>
      </c>
      <c r="G537" s="26">
        <v>0</v>
      </c>
      <c r="H537" s="25" t="s">
        <v>334</v>
      </c>
      <c r="I537" s="25" t="s">
        <v>290</v>
      </c>
      <c r="J537" s="25"/>
      <c r="K537" s="26" t="s">
        <v>840</v>
      </c>
    </row>
    <row r="538" spans="1:11" ht="15" customHeight="1" x14ac:dyDescent="0.25">
      <c r="A538" s="26" t="s">
        <v>827</v>
      </c>
      <c r="B538" s="26" t="s">
        <v>322</v>
      </c>
      <c r="C538" s="26" t="s">
        <v>828</v>
      </c>
      <c r="D538" s="26" t="s">
        <v>372</v>
      </c>
      <c r="E538" s="26" t="s">
        <v>328</v>
      </c>
      <c r="F538" s="26" t="s">
        <v>333</v>
      </c>
      <c r="G538" s="26">
        <v>3</v>
      </c>
      <c r="H538" s="25" t="s">
        <v>334</v>
      </c>
      <c r="I538" s="25" t="s">
        <v>290</v>
      </c>
      <c r="J538" s="25"/>
      <c r="K538" s="26" t="s">
        <v>841</v>
      </c>
    </row>
    <row r="539" spans="1:11" ht="15" customHeight="1" x14ac:dyDescent="0.25">
      <c r="A539" s="26" t="s">
        <v>827</v>
      </c>
      <c r="B539" s="26" t="s">
        <v>322</v>
      </c>
      <c r="C539" s="26" t="s">
        <v>828</v>
      </c>
      <c r="D539" s="26" t="s">
        <v>476</v>
      </c>
      <c r="E539" s="26" t="s">
        <v>328</v>
      </c>
      <c r="F539" s="26" t="s">
        <v>333</v>
      </c>
      <c r="G539" s="26">
        <v>0</v>
      </c>
      <c r="H539" s="25" t="s">
        <v>334</v>
      </c>
      <c r="I539" s="25" t="s">
        <v>290</v>
      </c>
      <c r="J539" s="25"/>
      <c r="K539" s="26" t="s">
        <v>842</v>
      </c>
    </row>
    <row r="540" spans="1:11" ht="15" customHeight="1" x14ac:dyDescent="0.25">
      <c r="A540" s="26" t="s">
        <v>827</v>
      </c>
      <c r="B540" s="26" t="s">
        <v>322</v>
      </c>
      <c r="C540" s="26" t="s">
        <v>828</v>
      </c>
      <c r="D540" s="26" t="s">
        <v>843</v>
      </c>
      <c r="E540" s="26" t="s">
        <v>328</v>
      </c>
      <c r="F540" s="26" t="s">
        <v>333</v>
      </c>
      <c r="G540" s="26">
        <v>3</v>
      </c>
      <c r="H540" s="25" t="s">
        <v>334</v>
      </c>
      <c r="I540" s="25" t="s">
        <v>290</v>
      </c>
      <c r="J540" s="25"/>
      <c r="K540" s="26" t="s">
        <v>844</v>
      </c>
    </row>
    <row r="541" spans="1:11" ht="15" customHeight="1" x14ac:dyDescent="0.25">
      <c r="A541" s="26" t="s">
        <v>827</v>
      </c>
      <c r="B541" s="26" t="s">
        <v>322</v>
      </c>
      <c r="C541" s="26" t="s">
        <v>828</v>
      </c>
      <c r="D541" s="26" t="s">
        <v>588</v>
      </c>
      <c r="E541" s="26" t="s">
        <v>586</v>
      </c>
      <c r="F541" s="26" t="s">
        <v>333</v>
      </c>
      <c r="G541" s="26">
        <v>0</v>
      </c>
      <c r="H541" s="25" t="s">
        <v>334</v>
      </c>
      <c r="I541" s="25" t="s">
        <v>290</v>
      </c>
      <c r="J541" s="25"/>
      <c r="K541" s="26" t="s">
        <v>845</v>
      </c>
    </row>
    <row r="542" spans="1:11" ht="15" customHeight="1" x14ac:dyDescent="0.25">
      <c r="A542" s="26" t="s">
        <v>827</v>
      </c>
      <c r="B542" s="26" t="s">
        <v>322</v>
      </c>
      <c r="C542" s="26" t="s">
        <v>828</v>
      </c>
      <c r="D542" s="26" t="s">
        <v>846</v>
      </c>
      <c r="E542" s="26" t="s">
        <v>586</v>
      </c>
      <c r="F542" s="26" t="s">
        <v>333</v>
      </c>
      <c r="G542" s="26">
        <v>0</v>
      </c>
      <c r="H542" s="25" t="s">
        <v>334</v>
      </c>
      <c r="I542" s="25" t="s">
        <v>290</v>
      </c>
      <c r="J542" s="25"/>
      <c r="K542" s="26" t="s">
        <v>847</v>
      </c>
    </row>
    <row r="543" spans="1:11" ht="15" customHeight="1" x14ac:dyDescent="0.25">
      <c r="A543" s="26" t="s">
        <v>827</v>
      </c>
      <c r="B543" s="26" t="s">
        <v>322</v>
      </c>
      <c r="C543" s="26" t="s">
        <v>828</v>
      </c>
      <c r="D543" s="26" t="s">
        <v>342</v>
      </c>
      <c r="E543" s="26" t="s">
        <v>586</v>
      </c>
      <c r="F543" s="26" t="s">
        <v>333</v>
      </c>
      <c r="G543" s="26">
        <v>0</v>
      </c>
      <c r="H543" s="25" t="s">
        <v>334</v>
      </c>
      <c r="I543" s="25" t="s">
        <v>290</v>
      </c>
      <c r="J543" s="25"/>
      <c r="K543" s="26" t="s">
        <v>848</v>
      </c>
    </row>
    <row r="544" spans="1:11" ht="15" customHeight="1" x14ac:dyDescent="0.25">
      <c r="A544" s="26" t="s">
        <v>827</v>
      </c>
      <c r="B544" s="26" t="s">
        <v>322</v>
      </c>
      <c r="C544" s="26" t="s">
        <v>828</v>
      </c>
      <c r="D544" s="26" t="s">
        <v>849</v>
      </c>
      <c r="E544" s="26" t="s">
        <v>586</v>
      </c>
      <c r="F544" s="26" t="s">
        <v>333</v>
      </c>
      <c r="G544" s="26">
        <v>0</v>
      </c>
      <c r="H544" s="25" t="s">
        <v>334</v>
      </c>
      <c r="I544" s="25" t="s">
        <v>290</v>
      </c>
      <c r="J544" s="25"/>
      <c r="K544" s="26" t="s">
        <v>850</v>
      </c>
    </row>
    <row r="545" spans="1:11" ht="15" customHeight="1" x14ac:dyDescent="0.25">
      <c r="A545" s="26" t="s">
        <v>827</v>
      </c>
      <c r="B545" s="26" t="s">
        <v>322</v>
      </c>
      <c r="C545" s="26" t="s">
        <v>828</v>
      </c>
      <c r="D545" s="26" t="s">
        <v>851</v>
      </c>
      <c r="E545" s="26" t="s">
        <v>380</v>
      </c>
      <c r="F545" s="26" t="s">
        <v>333</v>
      </c>
      <c r="G545" s="26"/>
      <c r="H545" s="25" t="s">
        <v>334</v>
      </c>
      <c r="I545" s="25" t="s">
        <v>290</v>
      </c>
      <c r="J545" s="25"/>
      <c r="K545" s="26" t="s">
        <v>852</v>
      </c>
    </row>
    <row r="546" spans="1:11" ht="15" customHeight="1" x14ac:dyDescent="0.25">
      <c r="A546" s="26" t="s">
        <v>827</v>
      </c>
      <c r="B546" s="26" t="s">
        <v>322</v>
      </c>
      <c r="C546" s="26" t="s">
        <v>828</v>
      </c>
      <c r="D546" s="26" t="s">
        <v>853</v>
      </c>
      <c r="E546" s="26" t="s">
        <v>380</v>
      </c>
      <c r="F546" s="26" t="s">
        <v>333</v>
      </c>
      <c r="G546" s="26"/>
      <c r="H546" s="25" t="s">
        <v>334</v>
      </c>
      <c r="I546" s="25" t="s">
        <v>290</v>
      </c>
      <c r="J546" s="25"/>
      <c r="K546" s="26" t="s">
        <v>854</v>
      </c>
    </row>
    <row r="547" spans="1:11" ht="15" customHeight="1" x14ac:dyDescent="0.25">
      <c r="A547" s="26" t="s">
        <v>827</v>
      </c>
      <c r="B547" s="26" t="s">
        <v>322</v>
      </c>
      <c r="C547" s="26" t="s">
        <v>828</v>
      </c>
      <c r="D547" s="26" t="s">
        <v>855</v>
      </c>
      <c r="E547" s="26" t="s">
        <v>380</v>
      </c>
      <c r="F547" s="26" t="s">
        <v>333</v>
      </c>
      <c r="G547" s="26"/>
      <c r="H547" s="25" t="s">
        <v>334</v>
      </c>
      <c r="I547" s="25" t="s">
        <v>290</v>
      </c>
      <c r="J547" s="25"/>
      <c r="K547" s="26" t="s">
        <v>856</v>
      </c>
    </row>
    <row r="548" spans="1:11" ht="15" customHeight="1" x14ac:dyDescent="0.25">
      <c r="A548" s="26" t="s">
        <v>827</v>
      </c>
      <c r="B548" s="26" t="s">
        <v>322</v>
      </c>
      <c r="C548" s="26" t="s">
        <v>828</v>
      </c>
      <c r="D548" s="26" t="s">
        <v>587</v>
      </c>
      <c r="E548" s="26" t="s">
        <v>586</v>
      </c>
      <c r="F548" s="26" t="s">
        <v>333</v>
      </c>
      <c r="G548" s="26">
        <v>0</v>
      </c>
      <c r="H548" s="25" t="s">
        <v>334</v>
      </c>
      <c r="I548" s="25" t="s">
        <v>290</v>
      </c>
      <c r="J548" s="25"/>
      <c r="K548" s="26" t="s">
        <v>857</v>
      </c>
    </row>
    <row r="549" spans="1:11" ht="15" customHeight="1" x14ac:dyDescent="0.25">
      <c r="A549" s="26" t="s">
        <v>827</v>
      </c>
      <c r="B549" s="26" t="s">
        <v>322</v>
      </c>
      <c r="C549" s="26" t="s">
        <v>828</v>
      </c>
      <c r="D549" s="26" t="s">
        <v>858</v>
      </c>
      <c r="E549" s="26" t="s">
        <v>859</v>
      </c>
      <c r="F549" s="26" t="s">
        <v>333</v>
      </c>
      <c r="G549" s="26"/>
      <c r="H549" s="25" t="s">
        <v>334</v>
      </c>
      <c r="I549" s="25" t="s">
        <v>290</v>
      </c>
      <c r="J549" s="25"/>
      <c r="K549" s="26" t="s">
        <v>860</v>
      </c>
    </row>
    <row r="550" spans="1:11" ht="15" customHeight="1" x14ac:dyDescent="0.25">
      <c r="A550" s="26" t="s">
        <v>861</v>
      </c>
      <c r="B550" s="26" t="s">
        <v>322</v>
      </c>
      <c r="C550" s="26" t="s">
        <v>862</v>
      </c>
      <c r="D550" s="26" t="s">
        <v>349</v>
      </c>
      <c r="E550" s="26" t="s">
        <v>328</v>
      </c>
      <c r="F550" s="26" t="s">
        <v>326</v>
      </c>
      <c r="G550" s="26">
        <v>8</v>
      </c>
      <c r="H550" s="25" t="s">
        <v>95</v>
      </c>
      <c r="I550" s="25" t="s">
        <v>290</v>
      </c>
      <c r="J550" s="25"/>
      <c r="K550" s="26" t="s">
        <v>829</v>
      </c>
    </row>
    <row r="551" spans="1:11" ht="15" customHeight="1" x14ac:dyDescent="0.25">
      <c r="A551" s="26" t="s">
        <v>861</v>
      </c>
      <c r="B551" s="26" t="s">
        <v>322</v>
      </c>
      <c r="C551" s="26" t="s">
        <v>862</v>
      </c>
      <c r="D551" s="26" t="s">
        <v>351</v>
      </c>
      <c r="E551" s="26" t="s">
        <v>352</v>
      </c>
      <c r="F551" s="26" t="s">
        <v>326</v>
      </c>
      <c r="G551" s="26">
        <v>20</v>
      </c>
      <c r="H551" s="25" t="s">
        <v>95</v>
      </c>
      <c r="I551" s="25" t="s">
        <v>292</v>
      </c>
      <c r="J551" s="25"/>
      <c r="K551" s="26" t="s">
        <v>830</v>
      </c>
    </row>
    <row r="552" spans="1:11" ht="15" customHeight="1" x14ac:dyDescent="0.25">
      <c r="A552" s="26" t="s">
        <v>861</v>
      </c>
      <c r="B552" s="26" t="s">
        <v>322</v>
      </c>
      <c r="C552" s="26" t="s">
        <v>862</v>
      </c>
      <c r="D552" s="26" t="s">
        <v>289</v>
      </c>
      <c r="E552" s="26" t="s">
        <v>380</v>
      </c>
      <c r="F552" s="26" t="s">
        <v>326</v>
      </c>
      <c r="G552" s="26"/>
      <c r="H552" s="25" t="s">
        <v>95</v>
      </c>
      <c r="I552" s="25" t="s">
        <v>292</v>
      </c>
      <c r="J552" s="25"/>
      <c r="K552" s="26" t="s">
        <v>831</v>
      </c>
    </row>
    <row r="553" spans="1:11" ht="15" customHeight="1" x14ac:dyDescent="0.25">
      <c r="A553" s="26" t="s">
        <v>861</v>
      </c>
      <c r="B553" s="26" t="s">
        <v>322</v>
      </c>
      <c r="C553" s="26" t="s">
        <v>862</v>
      </c>
      <c r="D553" s="26" t="s">
        <v>832</v>
      </c>
      <c r="E553" s="26" t="s">
        <v>863</v>
      </c>
      <c r="F553" s="26" t="s">
        <v>356</v>
      </c>
      <c r="G553" s="26"/>
      <c r="H553" s="25" t="s">
        <v>334</v>
      </c>
      <c r="I553" s="25" t="s">
        <v>290</v>
      </c>
      <c r="J553" s="25"/>
      <c r="K553" s="26" t="s">
        <v>834</v>
      </c>
    </row>
    <row r="554" spans="1:11" ht="15" customHeight="1" x14ac:dyDescent="0.25">
      <c r="A554" s="26" t="s">
        <v>861</v>
      </c>
      <c r="B554" s="26" t="s">
        <v>322</v>
      </c>
      <c r="C554" s="26" t="s">
        <v>862</v>
      </c>
      <c r="D554" s="26" t="s">
        <v>835</v>
      </c>
      <c r="E554" s="26" t="s">
        <v>328</v>
      </c>
      <c r="F554" s="26" t="s">
        <v>329</v>
      </c>
      <c r="G554" s="26">
        <v>0</v>
      </c>
      <c r="H554" s="25" t="s">
        <v>95</v>
      </c>
      <c r="I554" s="25" t="s">
        <v>291</v>
      </c>
      <c r="J554" s="25"/>
      <c r="K554" s="26" t="s">
        <v>836</v>
      </c>
    </row>
    <row r="555" spans="1:11" ht="15" customHeight="1" x14ac:dyDescent="0.25">
      <c r="A555" s="26" t="s">
        <v>861</v>
      </c>
      <c r="B555" s="26" t="s">
        <v>322</v>
      </c>
      <c r="C555" s="26" t="s">
        <v>862</v>
      </c>
      <c r="D555" s="26" t="s">
        <v>837</v>
      </c>
      <c r="E555" s="26" t="s">
        <v>328</v>
      </c>
      <c r="F555" s="26" t="s">
        <v>329</v>
      </c>
      <c r="G555" s="26">
        <v>0</v>
      </c>
      <c r="H555" s="25" t="s">
        <v>95</v>
      </c>
      <c r="I555" s="25" t="s">
        <v>291</v>
      </c>
      <c r="J555" s="25"/>
      <c r="K555" s="26" t="s">
        <v>838</v>
      </c>
    </row>
    <row r="556" spans="1:11" ht="15" customHeight="1" x14ac:dyDescent="0.25">
      <c r="A556" s="26" t="s">
        <v>861</v>
      </c>
      <c r="B556" s="26" t="s">
        <v>322</v>
      </c>
      <c r="C556" s="26" t="s">
        <v>862</v>
      </c>
      <c r="D556" s="26" t="s">
        <v>370</v>
      </c>
      <c r="E556" s="26" t="s">
        <v>328</v>
      </c>
      <c r="F556" s="26" t="s">
        <v>333</v>
      </c>
      <c r="G556" s="26">
        <v>0</v>
      </c>
      <c r="H556" s="25" t="s">
        <v>334</v>
      </c>
      <c r="I556" s="25" t="s">
        <v>290</v>
      </c>
      <c r="J556" s="25"/>
      <c r="K556" s="26" t="s">
        <v>839</v>
      </c>
    </row>
    <row r="557" spans="1:11" ht="15" customHeight="1" x14ac:dyDescent="0.25">
      <c r="A557" s="26" t="s">
        <v>861</v>
      </c>
      <c r="B557" s="26" t="s">
        <v>322</v>
      </c>
      <c r="C557" s="26" t="s">
        <v>862</v>
      </c>
      <c r="D557" s="26" t="s">
        <v>371</v>
      </c>
      <c r="E557" s="26" t="s">
        <v>328</v>
      </c>
      <c r="F557" s="26" t="s">
        <v>333</v>
      </c>
      <c r="G557" s="26">
        <v>0</v>
      </c>
      <c r="H557" s="25" t="s">
        <v>334</v>
      </c>
      <c r="I557" s="25" t="s">
        <v>290</v>
      </c>
      <c r="J557" s="25"/>
      <c r="K557" s="26" t="s">
        <v>840</v>
      </c>
    </row>
    <row r="558" spans="1:11" ht="15" customHeight="1" x14ac:dyDescent="0.25">
      <c r="A558" s="26" t="s">
        <v>861</v>
      </c>
      <c r="B558" s="26" t="s">
        <v>322</v>
      </c>
      <c r="C558" s="26" t="s">
        <v>862</v>
      </c>
      <c r="D558" s="26" t="s">
        <v>372</v>
      </c>
      <c r="E558" s="26" t="s">
        <v>328</v>
      </c>
      <c r="F558" s="26" t="s">
        <v>333</v>
      </c>
      <c r="G558" s="26">
        <v>7</v>
      </c>
      <c r="H558" s="25" t="s">
        <v>334</v>
      </c>
      <c r="I558" s="25" t="s">
        <v>290</v>
      </c>
      <c r="J558" s="25"/>
      <c r="K558" s="26" t="s">
        <v>841</v>
      </c>
    </row>
    <row r="559" spans="1:11" ht="15" customHeight="1" x14ac:dyDescent="0.25">
      <c r="A559" s="26" t="s">
        <v>861</v>
      </c>
      <c r="B559" s="26" t="s">
        <v>322</v>
      </c>
      <c r="C559" s="26" t="s">
        <v>862</v>
      </c>
      <c r="D559" s="26" t="s">
        <v>476</v>
      </c>
      <c r="E559" s="26" t="s">
        <v>328</v>
      </c>
      <c r="F559" s="26" t="s">
        <v>333</v>
      </c>
      <c r="G559" s="26">
        <v>0</v>
      </c>
      <c r="H559" s="25" t="s">
        <v>334</v>
      </c>
      <c r="I559" s="25" t="s">
        <v>290</v>
      </c>
      <c r="J559" s="25"/>
      <c r="K559" s="26" t="s">
        <v>842</v>
      </c>
    </row>
    <row r="560" spans="1:11" ht="15" customHeight="1" x14ac:dyDescent="0.25">
      <c r="A560" s="26" t="s">
        <v>861</v>
      </c>
      <c r="B560" s="26" t="s">
        <v>322</v>
      </c>
      <c r="C560" s="26" t="s">
        <v>862</v>
      </c>
      <c r="D560" s="26" t="s">
        <v>843</v>
      </c>
      <c r="E560" s="26" t="s">
        <v>328</v>
      </c>
      <c r="F560" s="26" t="s">
        <v>333</v>
      </c>
      <c r="G560" s="26">
        <v>3</v>
      </c>
      <c r="H560" s="25" t="s">
        <v>334</v>
      </c>
      <c r="I560" s="25" t="s">
        <v>290</v>
      </c>
      <c r="J560" s="25"/>
      <c r="K560" s="26" t="s">
        <v>844</v>
      </c>
    </row>
    <row r="561" spans="1:11" ht="15" customHeight="1" x14ac:dyDescent="0.25">
      <c r="A561" s="26" t="s">
        <v>861</v>
      </c>
      <c r="B561" s="26" t="s">
        <v>322</v>
      </c>
      <c r="C561" s="26" t="s">
        <v>862</v>
      </c>
      <c r="D561" s="26" t="s">
        <v>588</v>
      </c>
      <c r="E561" s="26" t="s">
        <v>586</v>
      </c>
      <c r="F561" s="26" t="s">
        <v>333</v>
      </c>
      <c r="G561" s="26">
        <v>0</v>
      </c>
      <c r="H561" s="25" t="s">
        <v>334</v>
      </c>
      <c r="I561" s="25" t="s">
        <v>290</v>
      </c>
      <c r="J561" s="25"/>
      <c r="K561" s="26" t="s">
        <v>845</v>
      </c>
    </row>
    <row r="562" spans="1:11" ht="15" customHeight="1" x14ac:dyDescent="0.25">
      <c r="A562" s="26" t="s">
        <v>861</v>
      </c>
      <c r="B562" s="26" t="s">
        <v>322</v>
      </c>
      <c r="C562" s="26" t="s">
        <v>862</v>
      </c>
      <c r="D562" s="26" t="s">
        <v>846</v>
      </c>
      <c r="E562" s="26" t="s">
        <v>586</v>
      </c>
      <c r="F562" s="26" t="s">
        <v>333</v>
      </c>
      <c r="G562" s="26">
        <v>0</v>
      </c>
      <c r="H562" s="25" t="s">
        <v>334</v>
      </c>
      <c r="I562" s="25" t="s">
        <v>290</v>
      </c>
      <c r="J562" s="25"/>
      <c r="K562" s="26" t="s">
        <v>847</v>
      </c>
    </row>
    <row r="563" spans="1:11" ht="15" customHeight="1" x14ac:dyDescent="0.25">
      <c r="A563" s="26" t="s">
        <v>861</v>
      </c>
      <c r="B563" s="26" t="s">
        <v>322</v>
      </c>
      <c r="C563" s="26" t="s">
        <v>862</v>
      </c>
      <c r="D563" s="26" t="s">
        <v>342</v>
      </c>
      <c r="E563" s="26" t="s">
        <v>586</v>
      </c>
      <c r="F563" s="26" t="s">
        <v>333</v>
      </c>
      <c r="G563" s="26">
        <v>0</v>
      </c>
      <c r="H563" s="25" t="s">
        <v>334</v>
      </c>
      <c r="I563" s="25" t="s">
        <v>290</v>
      </c>
      <c r="J563" s="25"/>
      <c r="K563" s="26" t="s">
        <v>848</v>
      </c>
    </row>
    <row r="564" spans="1:11" ht="15" customHeight="1" x14ac:dyDescent="0.25">
      <c r="A564" s="26" t="s">
        <v>861</v>
      </c>
      <c r="B564" s="26" t="s">
        <v>322</v>
      </c>
      <c r="C564" s="26" t="s">
        <v>862</v>
      </c>
      <c r="D564" s="26" t="s">
        <v>849</v>
      </c>
      <c r="E564" s="26" t="s">
        <v>586</v>
      </c>
      <c r="F564" s="26" t="s">
        <v>333</v>
      </c>
      <c r="G564" s="26">
        <v>0</v>
      </c>
      <c r="H564" s="25" t="s">
        <v>334</v>
      </c>
      <c r="I564" s="25" t="s">
        <v>290</v>
      </c>
      <c r="J564" s="25"/>
      <c r="K564" s="26" t="s">
        <v>850</v>
      </c>
    </row>
    <row r="565" spans="1:11" ht="15" customHeight="1" x14ac:dyDescent="0.25">
      <c r="A565" s="26" t="s">
        <v>861</v>
      </c>
      <c r="B565" s="26" t="s">
        <v>322</v>
      </c>
      <c r="C565" s="26" t="s">
        <v>862</v>
      </c>
      <c r="D565" s="26" t="s">
        <v>851</v>
      </c>
      <c r="E565" s="26" t="s">
        <v>380</v>
      </c>
      <c r="F565" s="26" t="s">
        <v>333</v>
      </c>
      <c r="G565" s="26"/>
      <c r="H565" s="25" t="s">
        <v>334</v>
      </c>
      <c r="I565" s="25" t="s">
        <v>290</v>
      </c>
      <c r="J565" s="25"/>
      <c r="K565" s="26" t="s">
        <v>852</v>
      </c>
    </row>
    <row r="566" spans="1:11" ht="15" customHeight="1" x14ac:dyDescent="0.25">
      <c r="A566" s="26" t="s">
        <v>861</v>
      </c>
      <c r="B566" s="26" t="s">
        <v>322</v>
      </c>
      <c r="C566" s="26" t="s">
        <v>862</v>
      </c>
      <c r="D566" s="26" t="s">
        <v>853</v>
      </c>
      <c r="E566" s="26" t="s">
        <v>380</v>
      </c>
      <c r="F566" s="26" t="s">
        <v>333</v>
      </c>
      <c r="G566" s="26"/>
      <c r="H566" s="25" t="s">
        <v>334</v>
      </c>
      <c r="I566" s="25" t="s">
        <v>290</v>
      </c>
      <c r="J566" s="25"/>
      <c r="K566" s="26" t="s">
        <v>854</v>
      </c>
    </row>
    <row r="567" spans="1:11" ht="15" customHeight="1" x14ac:dyDescent="0.25">
      <c r="A567" s="26" t="s">
        <v>861</v>
      </c>
      <c r="B567" s="26" t="s">
        <v>322</v>
      </c>
      <c r="C567" s="26" t="s">
        <v>862</v>
      </c>
      <c r="D567" s="26" t="s">
        <v>855</v>
      </c>
      <c r="E567" s="26" t="s">
        <v>380</v>
      </c>
      <c r="F567" s="26" t="s">
        <v>333</v>
      </c>
      <c r="G567" s="26"/>
      <c r="H567" s="25" t="s">
        <v>334</v>
      </c>
      <c r="I567" s="25" t="s">
        <v>290</v>
      </c>
      <c r="J567" s="25"/>
      <c r="K567" s="26" t="s">
        <v>856</v>
      </c>
    </row>
    <row r="568" spans="1:11" ht="15" customHeight="1" x14ac:dyDescent="0.25">
      <c r="A568" s="26" t="s">
        <v>861</v>
      </c>
      <c r="B568" s="26" t="s">
        <v>322</v>
      </c>
      <c r="C568" s="26" t="s">
        <v>862</v>
      </c>
      <c r="D568" s="26" t="s">
        <v>587</v>
      </c>
      <c r="E568" s="26" t="s">
        <v>586</v>
      </c>
      <c r="F568" s="26" t="s">
        <v>333</v>
      </c>
      <c r="G568" s="26">
        <v>0</v>
      </c>
      <c r="H568" s="25" t="s">
        <v>334</v>
      </c>
      <c r="I568" s="25" t="s">
        <v>290</v>
      </c>
      <c r="J568" s="25"/>
      <c r="K568" s="26" t="s">
        <v>857</v>
      </c>
    </row>
    <row r="569" spans="1:11" ht="15" customHeight="1" x14ac:dyDescent="0.25">
      <c r="A569" s="26" t="s">
        <v>861</v>
      </c>
      <c r="B569" s="26" t="s">
        <v>322</v>
      </c>
      <c r="C569" s="26" t="s">
        <v>862</v>
      </c>
      <c r="D569" s="26" t="s">
        <v>858</v>
      </c>
      <c r="E569" s="26" t="s">
        <v>864</v>
      </c>
      <c r="F569" s="26" t="s">
        <v>333</v>
      </c>
      <c r="G569" s="26"/>
      <c r="H569" s="25" t="s">
        <v>334</v>
      </c>
      <c r="I569" s="25" t="s">
        <v>290</v>
      </c>
      <c r="J569" s="25"/>
      <c r="K569" s="26" t="s">
        <v>860</v>
      </c>
    </row>
    <row r="570" spans="1:11" ht="15" customHeight="1" x14ac:dyDescent="0.25">
      <c r="A570" s="26" t="s">
        <v>865</v>
      </c>
      <c r="B570" s="26" t="s">
        <v>322</v>
      </c>
      <c r="C570" s="26" t="s">
        <v>866</v>
      </c>
      <c r="D570" s="26" t="s">
        <v>349</v>
      </c>
      <c r="E570" s="26" t="s">
        <v>328</v>
      </c>
      <c r="F570" s="26" t="s">
        <v>326</v>
      </c>
      <c r="G570" s="26">
        <v>16</v>
      </c>
      <c r="H570" s="25" t="s">
        <v>95</v>
      </c>
      <c r="I570" s="25" t="s">
        <v>290</v>
      </c>
      <c r="J570" s="25"/>
      <c r="K570" s="26" t="s">
        <v>829</v>
      </c>
    </row>
    <row r="571" spans="1:11" ht="15" customHeight="1" x14ac:dyDescent="0.25">
      <c r="A571" s="26" t="s">
        <v>865</v>
      </c>
      <c r="B571" s="26" t="s">
        <v>322</v>
      </c>
      <c r="C571" s="26" t="s">
        <v>866</v>
      </c>
      <c r="D571" s="26" t="s">
        <v>351</v>
      </c>
      <c r="E571" s="26" t="s">
        <v>352</v>
      </c>
      <c r="F571" s="26" t="s">
        <v>326</v>
      </c>
      <c r="G571" s="26">
        <v>20</v>
      </c>
      <c r="H571" s="25" t="s">
        <v>95</v>
      </c>
      <c r="I571" s="25" t="s">
        <v>292</v>
      </c>
      <c r="J571" s="25"/>
      <c r="K571" s="26" t="s">
        <v>830</v>
      </c>
    </row>
    <row r="572" spans="1:11" ht="15" customHeight="1" x14ac:dyDescent="0.25">
      <c r="A572" s="26" t="s">
        <v>865</v>
      </c>
      <c r="B572" s="26" t="s">
        <v>322</v>
      </c>
      <c r="C572" s="26" t="s">
        <v>866</v>
      </c>
      <c r="D572" s="26" t="s">
        <v>289</v>
      </c>
      <c r="E572" s="26" t="s">
        <v>380</v>
      </c>
      <c r="F572" s="26" t="s">
        <v>326</v>
      </c>
      <c r="G572" s="26"/>
      <c r="H572" s="25" t="s">
        <v>95</v>
      </c>
      <c r="I572" s="25" t="s">
        <v>292</v>
      </c>
      <c r="J572" s="25"/>
      <c r="K572" s="26" t="s">
        <v>831</v>
      </c>
    </row>
    <row r="573" spans="1:11" ht="15" customHeight="1" x14ac:dyDescent="0.25">
      <c r="A573" s="26" t="s">
        <v>865</v>
      </c>
      <c r="B573" s="26" t="s">
        <v>322</v>
      </c>
      <c r="C573" s="26" t="s">
        <v>866</v>
      </c>
      <c r="D573" s="26" t="s">
        <v>832</v>
      </c>
      <c r="E573" s="26" t="s">
        <v>867</v>
      </c>
      <c r="F573" s="26" t="s">
        <v>356</v>
      </c>
      <c r="G573" s="26"/>
      <c r="H573" s="25" t="s">
        <v>334</v>
      </c>
      <c r="I573" s="25" t="s">
        <v>290</v>
      </c>
      <c r="J573" s="25"/>
      <c r="K573" s="26" t="s">
        <v>834</v>
      </c>
    </row>
    <row r="574" spans="1:11" ht="15" customHeight="1" x14ac:dyDescent="0.25">
      <c r="A574" s="26" t="s">
        <v>865</v>
      </c>
      <c r="B574" s="26" t="s">
        <v>322</v>
      </c>
      <c r="C574" s="26" t="s">
        <v>866</v>
      </c>
      <c r="D574" s="26" t="s">
        <v>835</v>
      </c>
      <c r="E574" s="26" t="s">
        <v>328</v>
      </c>
      <c r="F574" s="26" t="s">
        <v>329</v>
      </c>
      <c r="G574" s="26">
        <v>0</v>
      </c>
      <c r="H574" s="25" t="s">
        <v>95</v>
      </c>
      <c r="I574" s="25" t="s">
        <v>291</v>
      </c>
      <c r="J574" s="25"/>
      <c r="K574" s="26" t="s">
        <v>836</v>
      </c>
    </row>
    <row r="575" spans="1:11" ht="15" customHeight="1" x14ac:dyDescent="0.25">
      <c r="A575" s="26" t="s">
        <v>865</v>
      </c>
      <c r="B575" s="26" t="s">
        <v>322</v>
      </c>
      <c r="C575" s="26" t="s">
        <v>866</v>
      </c>
      <c r="D575" s="26" t="s">
        <v>837</v>
      </c>
      <c r="E575" s="26" t="s">
        <v>328</v>
      </c>
      <c r="F575" s="26" t="s">
        <v>329</v>
      </c>
      <c r="G575" s="26">
        <v>0</v>
      </c>
      <c r="H575" s="25" t="s">
        <v>95</v>
      </c>
      <c r="I575" s="25" t="s">
        <v>291</v>
      </c>
      <c r="J575" s="25"/>
      <c r="K575" s="26" t="s">
        <v>838</v>
      </c>
    </row>
    <row r="576" spans="1:11" ht="15" customHeight="1" x14ac:dyDescent="0.25">
      <c r="A576" s="26" t="s">
        <v>865</v>
      </c>
      <c r="B576" s="26" t="s">
        <v>322</v>
      </c>
      <c r="C576" s="26" t="s">
        <v>866</v>
      </c>
      <c r="D576" s="26" t="s">
        <v>370</v>
      </c>
      <c r="E576" s="26" t="s">
        <v>328</v>
      </c>
      <c r="F576" s="26" t="s">
        <v>333</v>
      </c>
      <c r="G576" s="26">
        <v>0</v>
      </c>
      <c r="H576" s="25" t="s">
        <v>334</v>
      </c>
      <c r="I576" s="25" t="s">
        <v>290</v>
      </c>
      <c r="J576" s="25"/>
      <c r="K576" s="26" t="s">
        <v>839</v>
      </c>
    </row>
    <row r="577" spans="1:11" ht="15" customHeight="1" x14ac:dyDescent="0.25">
      <c r="A577" s="26" t="s">
        <v>865</v>
      </c>
      <c r="B577" s="26" t="s">
        <v>322</v>
      </c>
      <c r="C577" s="26" t="s">
        <v>866</v>
      </c>
      <c r="D577" s="26" t="s">
        <v>371</v>
      </c>
      <c r="E577" s="26" t="s">
        <v>328</v>
      </c>
      <c r="F577" s="26" t="s">
        <v>333</v>
      </c>
      <c r="G577" s="26">
        <v>0</v>
      </c>
      <c r="H577" s="25" t="s">
        <v>334</v>
      </c>
      <c r="I577" s="25" t="s">
        <v>290</v>
      </c>
      <c r="J577" s="25"/>
      <c r="K577" s="26" t="s">
        <v>840</v>
      </c>
    </row>
    <row r="578" spans="1:11" ht="15" customHeight="1" x14ac:dyDescent="0.25">
      <c r="A578" s="26" t="s">
        <v>865</v>
      </c>
      <c r="B578" s="26" t="s">
        <v>322</v>
      </c>
      <c r="C578" s="26" t="s">
        <v>866</v>
      </c>
      <c r="D578" s="26" t="s">
        <v>372</v>
      </c>
      <c r="E578" s="26" t="s">
        <v>328</v>
      </c>
      <c r="F578" s="26" t="s">
        <v>333</v>
      </c>
      <c r="G578" s="26">
        <v>15</v>
      </c>
      <c r="H578" s="25" t="s">
        <v>334</v>
      </c>
      <c r="I578" s="25" t="s">
        <v>290</v>
      </c>
      <c r="J578" s="25"/>
      <c r="K578" s="26" t="s">
        <v>841</v>
      </c>
    </row>
    <row r="579" spans="1:11" ht="15" customHeight="1" x14ac:dyDescent="0.25">
      <c r="A579" s="26" t="s">
        <v>865</v>
      </c>
      <c r="B579" s="26" t="s">
        <v>322</v>
      </c>
      <c r="C579" s="26" t="s">
        <v>866</v>
      </c>
      <c r="D579" s="26" t="s">
        <v>476</v>
      </c>
      <c r="E579" s="26" t="s">
        <v>328</v>
      </c>
      <c r="F579" s="26" t="s">
        <v>333</v>
      </c>
      <c r="G579" s="26">
        <v>0</v>
      </c>
      <c r="H579" s="25" t="s">
        <v>334</v>
      </c>
      <c r="I579" s="25" t="s">
        <v>290</v>
      </c>
      <c r="J579" s="25"/>
      <c r="K579" s="26" t="s">
        <v>842</v>
      </c>
    </row>
    <row r="580" spans="1:11" ht="15" customHeight="1" x14ac:dyDescent="0.25">
      <c r="A580" s="26" t="s">
        <v>865</v>
      </c>
      <c r="B580" s="26" t="s">
        <v>322</v>
      </c>
      <c r="C580" s="26" t="s">
        <v>866</v>
      </c>
      <c r="D580" s="26" t="s">
        <v>843</v>
      </c>
      <c r="E580" s="26" t="s">
        <v>328</v>
      </c>
      <c r="F580" s="26" t="s">
        <v>333</v>
      </c>
      <c r="G580" s="26">
        <v>3</v>
      </c>
      <c r="H580" s="25" t="s">
        <v>334</v>
      </c>
      <c r="I580" s="25" t="s">
        <v>290</v>
      </c>
      <c r="J580" s="25"/>
      <c r="K580" s="26" t="s">
        <v>844</v>
      </c>
    </row>
    <row r="581" spans="1:11" ht="15" customHeight="1" x14ac:dyDescent="0.25">
      <c r="A581" s="26" t="s">
        <v>865</v>
      </c>
      <c r="B581" s="26" t="s">
        <v>322</v>
      </c>
      <c r="C581" s="26" t="s">
        <v>866</v>
      </c>
      <c r="D581" s="26" t="s">
        <v>588</v>
      </c>
      <c r="E581" s="26" t="s">
        <v>586</v>
      </c>
      <c r="F581" s="26" t="s">
        <v>333</v>
      </c>
      <c r="G581" s="26">
        <v>0</v>
      </c>
      <c r="H581" s="25" t="s">
        <v>334</v>
      </c>
      <c r="I581" s="25" t="s">
        <v>290</v>
      </c>
      <c r="J581" s="25"/>
      <c r="K581" s="26" t="s">
        <v>845</v>
      </c>
    </row>
    <row r="582" spans="1:11" ht="15" customHeight="1" x14ac:dyDescent="0.25">
      <c r="A582" s="26" t="s">
        <v>865</v>
      </c>
      <c r="B582" s="26" t="s">
        <v>322</v>
      </c>
      <c r="C582" s="26" t="s">
        <v>866</v>
      </c>
      <c r="D582" s="26" t="s">
        <v>846</v>
      </c>
      <c r="E582" s="26" t="s">
        <v>586</v>
      </c>
      <c r="F582" s="26" t="s">
        <v>333</v>
      </c>
      <c r="G582" s="26">
        <v>0</v>
      </c>
      <c r="H582" s="25" t="s">
        <v>334</v>
      </c>
      <c r="I582" s="25" t="s">
        <v>290</v>
      </c>
      <c r="J582" s="25"/>
      <c r="K582" s="26" t="s">
        <v>847</v>
      </c>
    </row>
    <row r="583" spans="1:11" ht="15" customHeight="1" x14ac:dyDescent="0.25">
      <c r="A583" s="26" t="s">
        <v>865</v>
      </c>
      <c r="B583" s="26" t="s">
        <v>322</v>
      </c>
      <c r="C583" s="26" t="s">
        <v>866</v>
      </c>
      <c r="D583" s="26" t="s">
        <v>342</v>
      </c>
      <c r="E583" s="26" t="s">
        <v>586</v>
      </c>
      <c r="F583" s="26" t="s">
        <v>333</v>
      </c>
      <c r="G583" s="26">
        <v>0</v>
      </c>
      <c r="H583" s="25" t="s">
        <v>334</v>
      </c>
      <c r="I583" s="25" t="s">
        <v>290</v>
      </c>
      <c r="J583" s="25"/>
      <c r="K583" s="26" t="s">
        <v>848</v>
      </c>
    </row>
    <row r="584" spans="1:11" ht="15" customHeight="1" x14ac:dyDescent="0.25">
      <c r="A584" s="26" t="s">
        <v>865</v>
      </c>
      <c r="B584" s="26" t="s">
        <v>322</v>
      </c>
      <c r="C584" s="26" t="s">
        <v>866</v>
      </c>
      <c r="D584" s="26" t="s">
        <v>849</v>
      </c>
      <c r="E584" s="26" t="s">
        <v>586</v>
      </c>
      <c r="F584" s="26" t="s">
        <v>333</v>
      </c>
      <c r="G584" s="26">
        <v>0</v>
      </c>
      <c r="H584" s="25" t="s">
        <v>334</v>
      </c>
      <c r="I584" s="25" t="s">
        <v>290</v>
      </c>
      <c r="J584" s="25"/>
      <c r="K584" s="26" t="s">
        <v>850</v>
      </c>
    </row>
    <row r="585" spans="1:11" ht="15" customHeight="1" x14ac:dyDescent="0.25">
      <c r="A585" s="26" t="s">
        <v>865</v>
      </c>
      <c r="B585" s="26" t="s">
        <v>322</v>
      </c>
      <c r="C585" s="26" t="s">
        <v>866</v>
      </c>
      <c r="D585" s="26" t="s">
        <v>851</v>
      </c>
      <c r="E585" s="26" t="s">
        <v>380</v>
      </c>
      <c r="F585" s="26" t="s">
        <v>333</v>
      </c>
      <c r="G585" s="26"/>
      <c r="H585" s="25" t="s">
        <v>334</v>
      </c>
      <c r="I585" s="25" t="s">
        <v>290</v>
      </c>
      <c r="J585" s="25"/>
      <c r="K585" s="26" t="s">
        <v>852</v>
      </c>
    </row>
    <row r="586" spans="1:11" ht="15" customHeight="1" x14ac:dyDescent="0.25">
      <c r="A586" s="26" t="s">
        <v>865</v>
      </c>
      <c r="B586" s="26" t="s">
        <v>322</v>
      </c>
      <c r="C586" s="26" t="s">
        <v>866</v>
      </c>
      <c r="D586" s="26" t="s">
        <v>853</v>
      </c>
      <c r="E586" s="26" t="s">
        <v>380</v>
      </c>
      <c r="F586" s="26" t="s">
        <v>333</v>
      </c>
      <c r="G586" s="26"/>
      <c r="H586" s="25" t="s">
        <v>334</v>
      </c>
      <c r="I586" s="25" t="s">
        <v>290</v>
      </c>
      <c r="J586" s="25"/>
      <c r="K586" s="26" t="s">
        <v>854</v>
      </c>
    </row>
    <row r="587" spans="1:11" ht="15" customHeight="1" x14ac:dyDescent="0.25">
      <c r="A587" s="26" t="s">
        <v>865</v>
      </c>
      <c r="B587" s="26" t="s">
        <v>322</v>
      </c>
      <c r="C587" s="26" t="s">
        <v>866</v>
      </c>
      <c r="D587" s="26" t="s">
        <v>855</v>
      </c>
      <c r="E587" s="26" t="s">
        <v>380</v>
      </c>
      <c r="F587" s="26" t="s">
        <v>333</v>
      </c>
      <c r="G587" s="26"/>
      <c r="H587" s="25" t="s">
        <v>334</v>
      </c>
      <c r="I587" s="25" t="s">
        <v>290</v>
      </c>
      <c r="J587" s="25"/>
      <c r="K587" s="26" t="s">
        <v>856</v>
      </c>
    </row>
    <row r="588" spans="1:11" ht="15" customHeight="1" x14ac:dyDescent="0.25">
      <c r="A588" s="26" t="s">
        <v>865</v>
      </c>
      <c r="B588" s="26" t="s">
        <v>322</v>
      </c>
      <c r="C588" s="26" t="s">
        <v>866</v>
      </c>
      <c r="D588" s="26" t="s">
        <v>587</v>
      </c>
      <c r="E588" s="26" t="s">
        <v>586</v>
      </c>
      <c r="F588" s="26" t="s">
        <v>333</v>
      </c>
      <c r="G588" s="26">
        <v>0</v>
      </c>
      <c r="H588" s="25" t="s">
        <v>334</v>
      </c>
      <c r="I588" s="25" t="s">
        <v>290</v>
      </c>
      <c r="J588" s="25"/>
      <c r="K588" s="26" t="s">
        <v>857</v>
      </c>
    </row>
    <row r="589" spans="1:11" ht="15" customHeight="1" x14ac:dyDescent="0.25">
      <c r="A589" s="26" t="s">
        <v>865</v>
      </c>
      <c r="B589" s="26" t="s">
        <v>322</v>
      </c>
      <c r="C589" s="26" t="s">
        <v>866</v>
      </c>
      <c r="D589" s="26" t="s">
        <v>858</v>
      </c>
      <c r="E589" s="26" t="s">
        <v>868</v>
      </c>
      <c r="F589" s="26" t="s">
        <v>333</v>
      </c>
      <c r="G589" s="26"/>
      <c r="H589" s="25" t="s">
        <v>334</v>
      </c>
      <c r="I589" s="25" t="s">
        <v>290</v>
      </c>
      <c r="J589" s="25"/>
      <c r="K589" s="26" t="s">
        <v>860</v>
      </c>
    </row>
    <row r="590" spans="1:11" ht="15" customHeight="1" x14ac:dyDescent="0.25">
      <c r="A590" s="26" t="s">
        <v>869</v>
      </c>
      <c r="B590" s="26" t="s">
        <v>322</v>
      </c>
      <c r="C590" s="26" t="s">
        <v>870</v>
      </c>
      <c r="D590" s="26" t="s">
        <v>349</v>
      </c>
      <c r="E590" s="26" t="s">
        <v>328</v>
      </c>
      <c r="F590" s="26" t="s">
        <v>326</v>
      </c>
      <c r="G590" s="26">
        <v>32</v>
      </c>
      <c r="H590" s="25" t="s">
        <v>95</v>
      </c>
      <c r="I590" s="25" t="s">
        <v>290</v>
      </c>
      <c r="J590" s="25"/>
      <c r="K590" s="26" t="s">
        <v>829</v>
      </c>
    </row>
    <row r="591" spans="1:11" ht="15" customHeight="1" x14ac:dyDescent="0.25">
      <c r="A591" s="26" t="s">
        <v>869</v>
      </c>
      <c r="B591" s="26" t="s">
        <v>322</v>
      </c>
      <c r="C591" s="26" t="s">
        <v>870</v>
      </c>
      <c r="D591" s="26" t="s">
        <v>351</v>
      </c>
      <c r="E591" s="26" t="s">
        <v>352</v>
      </c>
      <c r="F591" s="26" t="s">
        <v>326</v>
      </c>
      <c r="G591" s="26">
        <v>20</v>
      </c>
      <c r="H591" s="25" t="s">
        <v>95</v>
      </c>
      <c r="I591" s="25" t="s">
        <v>292</v>
      </c>
      <c r="J591" s="25"/>
      <c r="K591" s="26" t="s">
        <v>830</v>
      </c>
    </row>
    <row r="592" spans="1:11" ht="15" customHeight="1" x14ac:dyDescent="0.25">
      <c r="A592" s="26" t="s">
        <v>869</v>
      </c>
      <c r="B592" s="26" t="s">
        <v>322</v>
      </c>
      <c r="C592" s="26" t="s">
        <v>870</v>
      </c>
      <c r="D592" s="26" t="s">
        <v>289</v>
      </c>
      <c r="E592" s="26" t="s">
        <v>380</v>
      </c>
      <c r="F592" s="26" t="s">
        <v>326</v>
      </c>
      <c r="G592" s="26"/>
      <c r="H592" s="25" t="s">
        <v>95</v>
      </c>
      <c r="I592" s="25" t="s">
        <v>292</v>
      </c>
      <c r="J592" s="25"/>
      <c r="K592" s="26" t="s">
        <v>831</v>
      </c>
    </row>
    <row r="593" spans="1:11" ht="15" customHeight="1" x14ac:dyDescent="0.25">
      <c r="A593" s="26" t="s">
        <v>869</v>
      </c>
      <c r="B593" s="26" t="s">
        <v>322</v>
      </c>
      <c r="C593" s="26" t="s">
        <v>870</v>
      </c>
      <c r="D593" s="26" t="s">
        <v>832</v>
      </c>
      <c r="E593" s="26" t="s">
        <v>871</v>
      </c>
      <c r="F593" s="26" t="s">
        <v>356</v>
      </c>
      <c r="G593" s="26"/>
      <c r="H593" s="25" t="s">
        <v>334</v>
      </c>
      <c r="I593" s="25" t="s">
        <v>290</v>
      </c>
      <c r="J593" s="25"/>
      <c r="K593" s="26" t="s">
        <v>834</v>
      </c>
    </row>
    <row r="594" spans="1:11" ht="15" customHeight="1" x14ac:dyDescent="0.25">
      <c r="A594" s="26" t="s">
        <v>869</v>
      </c>
      <c r="B594" s="26" t="s">
        <v>322</v>
      </c>
      <c r="C594" s="26" t="s">
        <v>870</v>
      </c>
      <c r="D594" s="26" t="s">
        <v>835</v>
      </c>
      <c r="E594" s="26" t="s">
        <v>328</v>
      </c>
      <c r="F594" s="26" t="s">
        <v>329</v>
      </c>
      <c r="G594" s="26">
        <v>0</v>
      </c>
      <c r="H594" s="25" t="s">
        <v>95</v>
      </c>
      <c r="I594" s="25" t="s">
        <v>291</v>
      </c>
      <c r="J594" s="25"/>
      <c r="K594" s="26" t="s">
        <v>836</v>
      </c>
    </row>
    <row r="595" spans="1:11" ht="15" customHeight="1" x14ac:dyDescent="0.25">
      <c r="A595" s="26" t="s">
        <v>869</v>
      </c>
      <c r="B595" s="26" t="s">
        <v>322</v>
      </c>
      <c r="C595" s="26" t="s">
        <v>870</v>
      </c>
      <c r="D595" s="26" t="s">
        <v>837</v>
      </c>
      <c r="E595" s="26" t="s">
        <v>328</v>
      </c>
      <c r="F595" s="26" t="s">
        <v>329</v>
      </c>
      <c r="G595" s="26">
        <v>0</v>
      </c>
      <c r="H595" s="25" t="s">
        <v>95</v>
      </c>
      <c r="I595" s="25" t="s">
        <v>291</v>
      </c>
      <c r="J595" s="25"/>
      <c r="K595" s="26" t="s">
        <v>838</v>
      </c>
    </row>
    <row r="596" spans="1:11" ht="15" customHeight="1" x14ac:dyDescent="0.25">
      <c r="A596" s="26" t="s">
        <v>869</v>
      </c>
      <c r="B596" s="26" t="s">
        <v>322</v>
      </c>
      <c r="C596" s="26" t="s">
        <v>870</v>
      </c>
      <c r="D596" s="26" t="s">
        <v>370</v>
      </c>
      <c r="E596" s="26" t="s">
        <v>328</v>
      </c>
      <c r="F596" s="26" t="s">
        <v>333</v>
      </c>
      <c r="G596" s="26">
        <v>0</v>
      </c>
      <c r="H596" s="25" t="s">
        <v>334</v>
      </c>
      <c r="I596" s="25" t="s">
        <v>290</v>
      </c>
      <c r="J596" s="25"/>
      <c r="K596" s="26" t="s">
        <v>839</v>
      </c>
    </row>
    <row r="597" spans="1:11" ht="15" customHeight="1" x14ac:dyDescent="0.25">
      <c r="A597" s="26" t="s">
        <v>869</v>
      </c>
      <c r="B597" s="26" t="s">
        <v>322</v>
      </c>
      <c r="C597" s="26" t="s">
        <v>870</v>
      </c>
      <c r="D597" s="26" t="s">
        <v>371</v>
      </c>
      <c r="E597" s="26" t="s">
        <v>328</v>
      </c>
      <c r="F597" s="26" t="s">
        <v>333</v>
      </c>
      <c r="G597" s="26">
        <v>0</v>
      </c>
      <c r="H597" s="25" t="s">
        <v>334</v>
      </c>
      <c r="I597" s="25" t="s">
        <v>290</v>
      </c>
      <c r="J597" s="25"/>
      <c r="K597" s="26" t="s">
        <v>840</v>
      </c>
    </row>
    <row r="598" spans="1:11" ht="15" customHeight="1" x14ac:dyDescent="0.25">
      <c r="A598" s="26" t="s">
        <v>869</v>
      </c>
      <c r="B598" s="26" t="s">
        <v>322</v>
      </c>
      <c r="C598" s="26" t="s">
        <v>870</v>
      </c>
      <c r="D598" s="26" t="s">
        <v>372</v>
      </c>
      <c r="E598" s="26" t="s">
        <v>328</v>
      </c>
      <c r="F598" s="26" t="s">
        <v>333</v>
      </c>
      <c r="G598" s="26">
        <v>31</v>
      </c>
      <c r="H598" s="25" t="s">
        <v>334</v>
      </c>
      <c r="I598" s="25" t="s">
        <v>290</v>
      </c>
      <c r="J598" s="25"/>
      <c r="K598" s="26" t="s">
        <v>841</v>
      </c>
    </row>
    <row r="599" spans="1:11" ht="15" customHeight="1" x14ac:dyDescent="0.25">
      <c r="A599" s="26" t="s">
        <v>869</v>
      </c>
      <c r="B599" s="26" t="s">
        <v>322</v>
      </c>
      <c r="C599" s="26" t="s">
        <v>870</v>
      </c>
      <c r="D599" s="26" t="s">
        <v>476</v>
      </c>
      <c r="E599" s="26" t="s">
        <v>328</v>
      </c>
      <c r="F599" s="26" t="s">
        <v>333</v>
      </c>
      <c r="G599" s="26">
        <v>0</v>
      </c>
      <c r="H599" s="25" t="s">
        <v>334</v>
      </c>
      <c r="I599" s="25" t="s">
        <v>290</v>
      </c>
      <c r="J599" s="25"/>
      <c r="K599" s="26" t="s">
        <v>842</v>
      </c>
    </row>
    <row r="600" spans="1:11" ht="15" customHeight="1" x14ac:dyDescent="0.25">
      <c r="A600" s="26" t="s">
        <v>869</v>
      </c>
      <c r="B600" s="26" t="s">
        <v>322</v>
      </c>
      <c r="C600" s="26" t="s">
        <v>870</v>
      </c>
      <c r="D600" s="26" t="s">
        <v>843</v>
      </c>
      <c r="E600" s="26" t="s">
        <v>328</v>
      </c>
      <c r="F600" s="26" t="s">
        <v>333</v>
      </c>
      <c r="G600" s="26">
        <v>3</v>
      </c>
      <c r="H600" s="25" t="s">
        <v>334</v>
      </c>
      <c r="I600" s="25" t="s">
        <v>290</v>
      </c>
      <c r="J600" s="25"/>
      <c r="K600" s="26" t="s">
        <v>844</v>
      </c>
    </row>
    <row r="601" spans="1:11" ht="15" customHeight="1" x14ac:dyDescent="0.25">
      <c r="A601" s="26" t="s">
        <v>869</v>
      </c>
      <c r="B601" s="26" t="s">
        <v>322</v>
      </c>
      <c r="C601" s="26" t="s">
        <v>870</v>
      </c>
      <c r="D601" s="26" t="s">
        <v>588</v>
      </c>
      <c r="E601" s="26" t="s">
        <v>586</v>
      </c>
      <c r="F601" s="26" t="s">
        <v>333</v>
      </c>
      <c r="G601" s="26">
        <v>0</v>
      </c>
      <c r="H601" s="25" t="s">
        <v>334</v>
      </c>
      <c r="I601" s="25" t="s">
        <v>290</v>
      </c>
      <c r="J601" s="25"/>
      <c r="K601" s="26" t="s">
        <v>845</v>
      </c>
    </row>
    <row r="602" spans="1:11" ht="15" customHeight="1" x14ac:dyDescent="0.25">
      <c r="A602" s="26" t="s">
        <v>869</v>
      </c>
      <c r="B602" s="26" t="s">
        <v>322</v>
      </c>
      <c r="C602" s="26" t="s">
        <v>870</v>
      </c>
      <c r="D602" s="26" t="s">
        <v>846</v>
      </c>
      <c r="E602" s="26" t="s">
        <v>586</v>
      </c>
      <c r="F602" s="26" t="s">
        <v>333</v>
      </c>
      <c r="G602" s="26">
        <v>0</v>
      </c>
      <c r="H602" s="25" t="s">
        <v>334</v>
      </c>
      <c r="I602" s="25" t="s">
        <v>290</v>
      </c>
      <c r="J602" s="25"/>
      <c r="K602" s="26" t="s">
        <v>847</v>
      </c>
    </row>
    <row r="603" spans="1:11" ht="15" customHeight="1" x14ac:dyDescent="0.25">
      <c r="A603" s="26" t="s">
        <v>869</v>
      </c>
      <c r="B603" s="26" t="s">
        <v>322</v>
      </c>
      <c r="C603" s="26" t="s">
        <v>870</v>
      </c>
      <c r="D603" s="26" t="s">
        <v>342</v>
      </c>
      <c r="E603" s="26" t="s">
        <v>586</v>
      </c>
      <c r="F603" s="26" t="s">
        <v>333</v>
      </c>
      <c r="G603" s="26">
        <v>0</v>
      </c>
      <c r="H603" s="25" t="s">
        <v>334</v>
      </c>
      <c r="I603" s="25" t="s">
        <v>290</v>
      </c>
      <c r="J603" s="25"/>
      <c r="K603" s="26" t="s">
        <v>848</v>
      </c>
    </row>
    <row r="604" spans="1:11" ht="15" customHeight="1" x14ac:dyDescent="0.25">
      <c r="A604" s="26" t="s">
        <v>869</v>
      </c>
      <c r="B604" s="26" t="s">
        <v>322</v>
      </c>
      <c r="C604" s="26" t="s">
        <v>870</v>
      </c>
      <c r="D604" s="26" t="s">
        <v>849</v>
      </c>
      <c r="E604" s="26" t="s">
        <v>586</v>
      </c>
      <c r="F604" s="26" t="s">
        <v>333</v>
      </c>
      <c r="G604" s="26">
        <v>0</v>
      </c>
      <c r="H604" s="25" t="s">
        <v>334</v>
      </c>
      <c r="I604" s="25" t="s">
        <v>290</v>
      </c>
      <c r="J604" s="25"/>
      <c r="K604" s="26" t="s">
        <v>850</v>
      </c>
    </row>
    <row r="605" spans="1:11" ht="15" customHeight="1" x14ac:dyDescent="0.25">
      <c r="A605" s="26" t="s">
        <v>869</v>
      </c>
      <c r="B605" s="26" t="s">
        <v>322</v>
      </c>
      <c r="C605" s="26" t="s">
        <v>870</v>
      </c>
      <c r="D605" s="26" t="s">
        <v>851</v>
      </c>
      <c r="E605" s="26" t="s">
        <v>380</v>
      </c>
      <c r="F605" s="26" t="s">
        <v>333</v>
      </c>
      <c r="G605" s="26"/>
      <c r="H605" s="25" t="s">
        <v>334</v>
      </c>
      <c r="I605" s="25" t="s">
        <v>290</v>
      </c>
      <c r="J605" s="25"/>
      <c r="K605" s="26" t="s">
        <v>852</v>
      </c>
    </row>
    <row r="606" spans="1:11" ht="15" customHeight="1" x14ac:dyDescent="0.25">
      <c r="A606" s="26" t="s">
        <v>869</v>
      </c>
      <c r="B606" s="26" t="s">
        <v>322</v>
      </c>
      <c r="C606" s="26" t="s">
        <v>870</v>
      </c>
      <c r="D606" s="26" t="s">
        <v>853</v>
      </c>
      <c r="E606" s="26" t="s">
        <v>380</v>
      </c>
      <c r="F606" s="26" t="s">
        <v>333</v>
      </c>
      <c r="G606" s="26"/>
      <c r="H606" s="25" t="s">
        <v>334</v>
      </c>
      <c r="I606" s="25" t="s">
        <v>290</v>
      </c>
      <c r="J606" s="25"/>
      <c r="K606" s="26" t="s">
        <v>854</v>
      </c>
    </row>
    <row r="607" spans="1:11" ht="15" customHeight="1" x14ac:dyDescent="0.25">
      <c r="A607" s="26" t="s">
        <v>869</v>
      </c>
      <c r="B607" s="26" t="s">
        <v>322</v>
      </c>
      <c r="C607" s="26" t="s">
        <v>870</v>
      </c>
      <c r="D607" s="26" t="s">
        <v>855</v>
      </c>
      <c r="E607" s="26" t="s">
        <v>380</v>
      </c>
      <c r="F607" s="26" t="s">
        <v>333</v>
      </c>
      <c r="G607" s="26"/>
      <c r="H607" s="25" t="s">
        <v>334</v>
      </c>
      <c r="I607" s="25" t="s">
        <v>290</v>
      </c>
      <c r="J607" s="25"/>
      <c r="K607" s="26" t="s">
        <v>856</v>
      </c>
    </row>
    <row r="608" spans="1:11" ht="15" customHeight="1" x14ac:dyDescent="0.25">
      <c r="A608" s="26" t="s">
        <v>869</v>
      </c>
      <c r="B608" s="26" t="s">
        <v>322</v>
      </c>
      <c r="C608" s="26" t="s">
        <v>870</v>
      </c>
      <c r="D608" s="26" t="s">
        <v>587</v>
      </c>
      <c r="E608" s="26" t="s">
        <v>586</v>
      </c>
      <c r="F608" s="26" t="s">
        <v>333</v>
      </c>
      <c r="G608" s="26">
        <v>0</v>
      </c>
      <c r="H608" s="25" t="s">
        <v>334</v>
      </c>
      <c r="I608" s="25" t="s">
        <v>290</v>
      </c>
      <c r="J608" s="25"/>
      <c r="K608" s="26" t="s">
        <v>857</v>
      </c>
    </row>
    <row r="609" spans="1:11" ht="15" customHeight="1" x14ac:dyDescent="0.25">
      <c r="A609" s="26" t="s">
        <v>869</v>
      </c>
      <c r="B609" s="26" t="s">
        <v>322</v>
      </c>
      <c r="C609" s="26" t="s">
        <v>870</v>
      </c>
      <c r="D609" s="26" t="s">
        <v>858</v>
      </c>
      <c r="E609" s="26" t="s">
        <v>872</v>
      </c>
      <c r="F609" s="26" t="s">
        <v>333</v>
      </c>
      <c r="G609" s="26"/>
      <c r="H609" s="25" t="s">
        <v>334</v>
      </c>
      <c r="I609" s="25" t="s">
        <v>290</v>
      </c>
      <c r="J609" s="25"/>
      <c r="K609" s="26" t="s">
        <v>860</v>
      </c>
    </row>
    <row r="610" spans="1:11" ht="15" customHeight="1" x14ac:dyDescent="0.25">
      <c r="A610" s="26" t="s">
        <v>873</v>
      </c>
      <c r="B610" s="26" t="s">
        <v>322</v>
      </c>
      <c r="C610" s="26" t="s">
        <v>874</v>
      </c>
      <c r="D610" s="26" t="s">
        <v>349</v>
      </c>
      <c r="E610" s="26" t="s">
        <v>328</v>
      </c>
      <c r="F610" s="26" t="s">
        <v>326</v>
      </c>
      <c r="G610" s="26">
        <v>64</v>
      </c>
      <c r="H610" s="25" t="s">
        <v>95</v>
      </c>
      <c r="I610" s="25" t="s">
        <v>290</v>
      </c>
      <c r="J610" s="25"/>
      <c r="K610" s="26" t="s">
        <v>829</v>
      </c>
    </row>
    <row r="611" spans="1:11" ht="15" customHeight="1" x14ac:dyDescent="0.25">
      <c r="A611" s="26" t="s">
        <v>873</v>
      </c>
      <c r="B611" s="26" t="s">
        <v>322</v>
      </c>
      <c r="C611" s="26" t="s">
        <v>874</v>
      </c>
      <c r="D611" s="26" t="s">
        <v>351</v>
      </c>
      <c r="E611" s="26" t="s">
        <v>352</v>
      </c>
      <c r="F611" s="26" t="s">
        <v>326</v>
      </c>
      <c r="G611" s="26">
        <v>20</v>
      </c>
      <c r="H611" s="25" t="s">
        <v>95</v>
      </c>
      <c r="I611" s="25" t="s">
        <v>292</v>
      </c>
      <c r="J611" s="25"/>
      <c r="K611" s="26" t="s">
        <v>830</v>
      </c>
    </row>
    <row r="612" spans="1:11" ht="15" customHeight="1" x14ac:dyDescent="0.25">
      <c r="A612" s="26" t="s">
        <v>873</v>
      </c>
      <c r="B612" s="26" t="s">
        <v>322</v>
      </c>
      <c r="C612" s="26" t="s">
        <v>874</v>
      </c>
      <c r="D612" s="26" t="s">
        <v>289</v>
      </c>
      <c r="E612" s="26" t="s">
        <v>380</v>
      </c>
      <c r="F612" s="26" t="s">
        <v>326</v>
      </c>
      <c r="G612" s="26"/>
      <c r="H612" s="25" t="s">
        <v>95</v>
      </c>
      <c r="I612" s="25" t="s">
        <v>292</v>
      </c>
      <c r="J612" s="25"/>
      <c r="K612" s="26" t="s">
        <v>831</v>
      </c>
    </row>
    <row r="613" spans="1:11" ht="15" customHeight="1" x14ac:dyDescent="0.25">
      <c r="A613" s="26" t="s">
        <v>873</v>
      </c>
      <c r="B613" s="26" t="s">
        <v>322</v>
      </c>
      <c r="C613" s="26" t="s">
        <v>874</v>
      </c>
      <c r="D613" s="26" t="s">
        <v>832</v>
      </c>
      <c r="E613" s="26" t="s">
        <v>875</v>
      </c>
      <c r="F613" s="26" t="s">
        <v>356</v>
      </c>
      <c r="G613" s="26"/>
      <c r="H613" s="25" t="s">
        <v>334</v>
      </c>
      <c r="I613" s="25" t="s">
        <v>290</v>
      </c>
      <c r="J613" s="25"/>
      <c r="K613" s="26" t="s">
        <v>834</v>
      </c>
    </row>
    <row r="614" spans="1:11" ht="15" customHeight="1" x14ac:dyDescent="0.25">
      <c r="A614" s="26" t="s">
        <v>873</v>
      </c>
      <c r="B614" s="26" t="s">
        <v>322</v>
      </c>
      <c r="C614" s="26" t="s">
        <v>874</v>
      </c>
      <c r="D614" s="26" t="s">
        <v>835</v>
      </c>
      <c r="E614" s="26" t="s">
        <v>328</v>
      </c>
      <c r="F614" s="26" t="s">
        <v>329</v>
      </c>
      <c r="G614" s="26">
        <v>0</v>
      </c>
      <c r="H614" s="25" t="s">
        <v>95</v>
      </c>
      <c r="I614" s="25" t="s">
        <v>291</v>
      </c>
      <c r="J614" s="25"/>
      <c r="K614" s="26" t="s">
        <v>836</v>
      </c>
    </row>
    <row r="615" spans="1:11" ht="15" customHeight="1" x14ac:dyDescent="0.25">
      <c r="A615" s="26" t="s">
        <v>873</v>
      </c>
      <c r="B615" s="26" t="s">
        <v>322</v>
      </c>
      <c r="C615" s="26" t="s">
        <v>874</v>
      </c>
      <c r="D615" s="26" t="s">
        <v>837</v>
      </c>
      <c r="E615" s="26" t="s">
        <v>328</v>
      </c>
      <c r="F615" s="26" t="s">
        <v>329</v>
      </c>
      <c r="G615" s="26">
        <v>0</v>
      </c>
      <c r="H615" s="25" t="s">
        <v>95</v>
      </c>
      <c r="I615" s="25" t="s">
        <v>291</v>
      </c>
      <c r="J615" s="25"/>
      <c r="K615" s="26" t="s">
        <v>838</v>
      </c>
    </row>
    <row r="616" spans="1:11" ht="15" customHeight="1" x14ac:dyDescent="0.25">
      <c r="A616" s="26" t="s">
        <v>873</v>
      </c>
      <c r="B616" s="26" t="s">
        <v>322</v>
      </c>
      <c r="C616" s="26" t="s">
        <v>874</v>
      </c>
      <c r="D616" s="26" t="s">
        <v>370</v>
      </c>
      <c r="E616" s="26" t="s">
        <v>328</v>
      </c>
      <c r="F616" s="26" t="s">
        <v>333</v>
      </c>
      <c r="G616" s="26">
        <v>0</v>
      </c>
      <c r="H616" s="25" t="s">
        <v>334</v>
      </c>
      <c r="I616" s="25" t="s">
        <v>290</v>
      </c>
      <c r="J616" s="25"/>
      <c r="K616" s="26" t="s">
        <v>839</v>
      </c>
    </row>
    <row r="617" spans="1:11" ht="15" customHeight="1" x14ac:dyDescent="0.25">
      <c r="A617" s="26" t="s">
        <v>873</v>
      </c>
      <c r="B617" s="26" t="s">
        <v>322</v>
      </c>
      <c r="C617" s="26" t="s">
        <v>874</v>
      </c>
      <c r="D617" s="26" t="s">
        <v>371</v>
      </c>
      <c r="E617" s="26" t="s">
        <v>328</v>
      </c>
      <c r="F617" s="26" t="s">
        <v>333</v>
      </c>
      <c r="G617" s="26">
        <v>0</v>
      </c>
      <c r="H617" s="25" t="s">
        <v>334</v>
      </c>
      <c r="I617" s="25" t="s">
        <v>290</v>
      </c>
      <c r="J617" s="25"/>
      <c r="K617" s="26" t="s">
        <v>840</v>
      </c>
    </row>
    <row r="618" spans="1:11" ht="15" customHeight="1" x14ac:dyDescent="0.25">
      <c r="A618" s="26" t="s">
        <v>873</v>
      </c>
      <c r="B618" s="26" t="s">
        <v>322</v>
      </c>
      <c r="C618" s="26" t="s">
        <v>874</v>
      </c>
      <c r="D618" s="26" t="s">
        <v>372</v>
      </c>
      <c r="E618" s="26" t="s">
        <v>328</v>
      </c>
      <c r="F618" s="26" t="s">
        <v>333</v>
      </c>
      <c r="G618" s="26">
        <v>63</v>
      </c>
      <c r="H618" s="25" t="s">
        <v>334</v>
      </c>
      <c r="I618" s="25" t="s">
        <v>290</v>
      </c>
      <c r="J618" s="25"/>
      <c r="K618" s="26" t="s">
        <v>841</v>
      </c>
    </row>
    <row r="619" spans="1:11" ht="15" customHeight="1" x14ac:dyDescent="0.25">
      <c r="A619" s="26" t="s">
        <v>873</v>
      </c>
      <c r="B619" s="26" t="s">
        <v>322</v>
      </c>
      <c r="C619" s="26" t="s">
        <v>874</v>
      </c>
      <c r="D619" s="26" t="s">
        <v>476</v>
      </c>
      <c r="E619" s="26" t="s">
        <v>328</v>
      </c>
      <c r="F619" s="26" t="s">
        <v>333</v>
      </c>
      <c r="G619" s="26">
        <v>0</v>
      </c>
      <c r="H619" s="25" t="s">
        <v>334</v>
      </c>
      <c r="I619" s="25" t="s">
        <v>290</v>
      </c>
      <c r="J619" s="25"/>
      <c r="K619" s="26" t="s">
        <v>842</v>
      </c>
    </row>
    <row r="620" spans="1:11" ht="15" customHeight="1" x14ac:dyDescent="0.25">
      <c r="A620" s="26" t="s">
        <v>873</v>
      </c>
      <c r="B620" s="26" t="s">
        <v>322</v>
      </c>
      <c r="C620" s="26" t="s">
        <v>874</v>
      </c>
      <c r="D620" s="26" t="s">
        <v>843</v>
      </c>
      <c r="E620" s="26" t="s">
        <v>328</v>
      </c>
      <c r="F620" s="26" t="s">
        <v>333</v>
      </c>
      <c r="G620" s="26">
        <v>3</v>
      </c>
      <c r="H620" s="25" t="s">
        <v>334</v>
      </c>
      <c r="I620" s="25" t="s">
        <v>290</v>
      </c>
      <c r="J620" s="25"/>
      <c r="K620" s="26" t="s">
        <v>844</v>
      </c>
    </row>
    <row r="621" spans="1:11" ht="15" customHeight="1" x14ac:dyDescent="0.25">
      <c r="A621" s="26" t="s">
        <v>873</v>
      </c>
      <c r="B621" s="26" t="s">
        <v>322</v>
      </c>
      <c r="C621" s="26" t="s">
        <v>874</v>
      </c>
      <c r="D621" s="26" t="s">
        <v>588</v>
      </c>
      <c r="E621" s="26" t="s">
        <v>586</v>
      </c>
      <c r="F621" s="26" t="s">
        <v>333</v>
      </c>
      <c r="G621" s="26">
        <v>0</v>
      </c>
      <c r="H621" s="25" t="s">
        <v>334</v>
      </c>
      <c r="I621" s="25" t="s">
        <v>290</v>
      </c>
      <c r="J621" s="25"/>
      <c r="K621" s="26" t="s">
        <v>845</v>
      </c>
    </row>
    <row r="622" spans="1:11" ht="15" customHeight="1" x14ac:dyDescent="0.25">
      <c r="A622" s="26" t="s">
        <v>873</v>
      </c>
      <c r="B622" s="26" t="s">
        <v>322</v>
      </c>
      <c r="C622" s="26" t="s">
        <v>874</v>
      </c>
      <c r="D622" s="26" t="s">
        <v>846</v>
      </c>
      <c r="E622" s="26" t="s">
        <v>586</v>
      </c>
      <c r="F622" s="26" t="s">
        <v>333</v>
      </c>
      <c r="G622" s="26">
        <v>0</v>
      </c>
      <c r="H622" s="25" t="s">
        <v>334</v>
      </c>
      <c r="I622" s="25" t="s">
        <v>290</v>
      </c>
      <c r="J622" s="25"/>
      <c r="K622" s="26" t="s">
        <v>847</v>
      </c>
    </row>
    <row r="623" spans="1:11" ht="15" customHeight="1" x14ac:dyDescent="0.25">
      <c r="A623" s="26" t="s">
        <v>873</v>
      </c>
      <c r="B623" s="26" t="s">
        <v>322</v>
      </c>
      <c r="C623" s="26" t="s">
        <v>874</v>
      </c>
      <c r="D623" s="26" t="s">
        <v>342</v>
      </c>
      <c r="E623" s="26" t="s">
        <v>586</v>
      </c>
      <c r="F623" s="26" t="s">
        <v>333</v>
      </c>
      <c r="G623" s="26">
        <v>0</v>
      </c>
      <c r="H623" s="25" t="s">
        <v>334</v>
      </c>
      <c r="I623" s="25" t="s">
        <v>290</v>
      </c>
      <c r="J623" s="25"/>
      <c r="K623" s="26" t="s">
        <v>848</v>
      </c>
    </row>
    <row r="624" spans="1:11" ht="15" customHeight="1" x14ac:dyDescent="0.25">
      <c r="A624" s="26" t="s">
        <v>873</v>
      </c>
      <c r="B624" s="26" t="s">
        <v>322</v>
      </c>
      <c r="C624" s="26" t="s">
        <v>874</v>
      </c>
      <c r="D624" s="26" t="s">
        <v>849</v>
      </c>
      <c r="E624" s="26" t="s">
        <v>586</v>
      </c>
      <c r="F624" s="26" t="s">
        <v>333</v>
      </c>
      <c r="G624" s="26">
        <v>0</v>
      </c>
      <c r="H624" s="25" t="s">
        <v>334</v>
      </c>
      <c r="I624" s="25" t="s">
        <v>290</v>
      </c>
      <c r="J624" s="25"/>
      <c r="K624" s="26" t="s">
        <v>850</v>
      </c>
    </row>
    <row r="625" spans="1:11" ht="15" customHeight="1" x14ac:dyDescent="0.25">
      <c r="A625" s="26" t="s">
        <v>873</v>
      </c>
      <c r="B625" s="26" t="s">
        <v>322</v>
      </c>
      <c r="C625" s="26" t="s">
        <v>874</v>
      </c>
      <c r="D625" s="26" t="s">
        <v>851</v>
      </c>
      <c r="E625" s="26" t="s">
        <v>380</v>
      </c>
      <c r="F625" s="26" t="s">
        <v>333</v>
      </c>
      <c r="G625" s="26"/>
      <c r="H625" s="25" t="s">
        <v>334</v>
      </c>
      <c r="I625" s="25" t="s">
        <v>290</v>
      </c>
      <c r="J625" s="25"/>
      <c r="K625" s="26" t="s">
        <v>852</v>
      </c>
    </row>
    <row r="626" spans="1:11" ht="15" customHeight="1" x14ac:dyDescent="0.25">
      <c r="A626" s="26" t="s">
        <v>873</v>
      </c>
      <c r="B626" s="26" t="s">
        <v>322</v>
      </c>
      <c r="C626" s="26" t="s">
        <v>874</v>
      </c>
      <c r="D626" s="26" t="s">
        <v>853</v>
      </c>
      <c r="E626" s="26" t="s">
        <v>380</v>
      </c>
      <c r="F626" s="26" t="s">
        <v>333</v>
      </c>
      <c r="G626" s="26"/>
      <c r="H626" s="25" t="s">
        <v>334</v>
      </c>
      <c r="I626" s="25" t="s">
        <v>290</v>
      </c>
      <c r="J626" s="25"/>
      <c r="K626" s="26" t="s">
        <v>854</v>
      </c>
    </row>
    <row r="627" spans="1:11" ht="15" customHeight="1" x14ac:dyDescent="0.25">
      <c r="A627" s="26" t="s">
        <v>873</v>
      </c>
      <c r="B627" s="26" t="s">
        <v>322</v>
      </c>
      <c r="C627" s="26" t="s">
        <v>874</v>
      </c>
      <c r="D627" s="26" t="s">
        <v>855</v>
      </c>
      <c r="E627" s="26" t="s">
        <v>380</v>
      </c>
      <c r="F627" s="26" t="s">
        <v>333</v>
      </c>
      <c r="G627" s="26"/>
      <c r="H627" s="25" t="s">
        <v>334</v>
      </c>
      <c r="I627" s="25" t="s">
        <v>290</v>
      </c>
      <c r="J627" s="25"/>
      <c r="K627" s="26" t="s">
        <v>856</v>
      </c>
    </row>
    <row r="628" spans="1:11" ht="15" customHeight="1" x14ac:dyDescent="0.25">
      <c r="A628" s="26" t="s">
        <v>873</v>
      </c>
      <c r="B628" s="26" t="s">
        <v>322</v>
      </c>
      <c r="C628" s="26" t="s">
        <v>874</v>
      </c>
      <c r="D628" s="26" t="s">
        <v>587</v>
      </c>
      <c r="E628" s="26" t="s">
        <v>586</v>
      </c>
      <c r="F628" s="26" t="s">
        <v>333</v>
      </c>
      <c r="G628" s="26">
        <v>0</v>
      </c>
      <c r="H628" s="25" t="s">
        <v>334</v>
      </c>
      <c r="I628" s="25" t="s">
        <v>290</v>
      </c>
      <c r="J628" s="25"/>
      <c r="K628" s="26" t="s">
        <v>857</v>
      </c>
    </row>
    <row r="629" spans="1:11" ht="15" customHeight="1" x14ac:dyDescent="0.25">
      <c r="A629" s="26" t="s">
        <v>873</v>
      </c>
      <c r="B629" s="26" t="s">
        <v>322</v>
      </c>
      <c r="C629" s="26" t="s">
        <v>874</v>
      </c>
      <c r="D629" s="26" t="s">
        <v>858</v>
      </c>
      <c r="E629" s="26" t="s">
        <v>876</v>
      </c>
      <c r="F629" s="26" t="s">
        <v>333</v>
      </c>
      <c r="G629" s="26"/>
      <c r="H629" s="25" t="s">
        <v>334</v>
      </c>
      <c r="I629" s="25" t="s">
        <v>290</v>
      </c>
      <c r="J629" s="25"/>
      <c r="K629" s="26" t="s">
        <v>860</v>
      </c>
    </row>
    <row r="630" spans="1:11" ht="15" customHeight="1" x14ac:dyDescent="0.25">
      <c r="A630" s="26" t="s">
        <v>877</v>
      </c>
      <c r="B630" s="26" t="s">
        <v>322</v>
      </c>
      <c r="C630" s="26" t="s">
        <v>878</v>
      </c>
      <c r="D630" s="26" t="s">
        <v>349</v>
      </c>
      <c r="E630" s="26" t="s">
        <v>328</v>
      </c>
      <c r="F630" s="26" t="s">
        <v>326</v>
      </c>
      <c r="G630" s="26">
        <v>4</v>
      </c>
      <c r="H630" s="25" t="s">
        <v>95</v>
      </c>
      <c r="I630" s="25" t="s">
        <v>290</v>
      </c>
      <c r="J630" s="25"/>
      <c r="K630" s="26" t="s">
        <v>829</v>
      </c>
    </row>
    <row r="631" spans="1:11" ht="15" customHeight="1" x14ac:dyDescent="0.25">
      <c r="A631" s="26" t="s">
        <v>877</v>
      </c>
      <c r="B631" s="26" t="s">
        <v>322</v>
      </c>
      <c r="C631" s="26" t="s">
        <v>878</v>
      </c>
      <c r="D631" s="26" t="s">
        <v>351</v>
      </c>
      <c r="E631" s="26" t="s">
        <v>352</v>
      </c>
      <c r="F631" s="26" t="s">
        <v>326</v>
      </c>
      <c r="G631" s="26">
        <v>20</v>
      </c>
      <c r="H631" s="25" t="s">
        <v>95</v>
      </c>
      <c r="I631" s="25" t="s">
        <v>292</v>
      </c>
      <c r="J631" s="25"/>
      <c r="K631" s="26" t="s">
        <v>830</v>
      </c>
    </row>
    <row r="632" spans="1:11" ht="15" customHeight="1" x14ac:dyDescent="0.25">
      <c r="A632" s="26" t="s">
        <v>877</v>
      </c>
      <c r="B632" s="26" t="s">
        <v>322</v>
      </c>
      <c r="C632" s="26" t="s">
        <v>878</v>
      </c>
      <c r="D632" s="26" t="s">
        <v>289</v>
      </c>
      <c r="E632" s="26" t="s">
        <v>380</v>
      </c>
      <c r="F632" s="26" t="s">
        <v>326</v>
      </c>
      <c r="G632" s="26"/>
      <c r="H632" s="25" t="s">
        <v>95</v>
      </c>
      <c r="I632" s="25" t="s">
        <v>292</v>
      </c>
      <c r="J632" s="25"/>
      <c r="K632" s="26" t="s">
        <v>831</v>
      </c>
    </row>
    <row r="633" spans="1:11" ht="15" customHeight="1" x14ac:dyDescent="0.25">
      <c r="A633" s="26" t="s">
        <v>877</v>
      </c>
      <c r="B633" s="26" t="s">
        <v>322</v>
      </c>
      <c r="C633" s="26" t="s">
        <v>878</v>
      </c>
      <c r="D633" s="26" t="s">
        <v>832</v>
      </c>
      <c r="E633" s="26" t="s">
        <v>879</v>
      </c>
      <c r="F633" s="26" t="s">
        <v>356</v>
      </c>
      <c r="G633" s="26"/>
      <c r="H633" s="25" t="s">
        <v>334</v>
      </c>
      <c r="I633" s="25" t="s">
        <v>290</v>
      </c>
      <c r="J633" s="25"/>
      <c r="K633" s="26" t="s">
        <v>834</v>
      </c>
    </row>
    <row r="634" spans="1:11" ht="15" customHeight="1" x14ac:dyDescent="0.25">
      <c r="A634" s="26" t="s">
        <v>877</v>
      </c>
      <c r="B634" s="26" t="s">
        <v>322</v>
      </c>
      <c r="C634" s="26" t="s">
        <v>878</v>
      </c>
      <c r="D634" s="26" t="s">
        <v>835</v>
      </c>
      <c r="E634" s="26" t="s">
        <v>328</v>
      </c>
      <c r="F634" s="26" t="s">
        <v>329</v>
      </c>
      <c r="G634" s="26">
        <v>0</v>
      </c>
      <c r="H634" s="25" t="s">
        <v>95</v>
      </c>
      <c r="I634" s="25" t="s">
        <v>291</v>
      </c>
      <c r="J634" s="25"/>
      <c r="K634" s="26" t="s">
        <v>836</v>
      </c>
    </row>
    <row r="635" spans="1:11" ht="15" customHeight="1" x14ac:dyDescent="0.25">
      <c r="A635" s="26" t="s">
        <v>877</v>
      </c>
      <c r="B635" s="26" t="s">
        <v>322</v>
      </c>
      <c r="C635" s="26" t="s">
        <v>878</v>
      </c>
      <c r="D635" s="26" t="s">
        <v>837</v>
      </c>
      <c r="E635" s="26" t="s">
        <v>328</v>
      </c>
      <c r="F635" s="26" t="s">
        <v>329</v>
      </c>
      <c r="G635" s="26">
        <v>0</v>
      </c>
      <c r="H635" s="25" t="s">
        <v>95</v>
      </c>
      <c r="I635" s="25" t="s">
        <v>291</v>
      </c>
      <c r="J635" s="25"/>
      <c r="K635" s="26" t="s">
        <v>838</v>
      </c>
    </row>
    <row r="636" spans="1:11" ht="15" customHeight="1" x14ac:dyDescent="0.25">
      <c r="A636" s="26" t="s">
        <v>877</v>
      </c>
      <c r="B636" s="26" t="s">
        <v>322</v>
      </c>
      <c r="C636" s="26" t="s">
        <v>878</v>
      </c>
      <c r="D636" s="26" t="s">
        <v>880</v>
      </c>
      <c r="E636" s="26" t="s">
        <v>380</v>
      </c>
      <c r="F636" s="26" t="s">
        <v>329</v>
      </c>
      <c r="G636" s="26"/>
      <c r="H636" s="25" t="s">
        <v>95</v>
      </c>
      <c r="I636" s="25" t="s">
        <v>290</v>
      </c>
      <c r="J636" s="25"/>
      <c r="K636" s="26" t="s">
        <v>881</v>
      </c>
    </row>
    <row r="637" spans="1:11" ht="15" customHeight="1" x14ac:dyDescent="0.25">
      <c r="A637" s="26" t="s">
        <v>877</v>
      </c>
      <c r="B637" s="26" t="s">
        <v>322</v>
      </c>
      <c r="C637" s="26" t="s">
        <v>878</v>
      </c>
      <c r="D637" s="26" t="s">
        <v>882</v>
      </c>
      <c r="E637" s="26" t="s">
        <v>380</v>
      </c>
      <c r="F637" s="26" t="s">
        <v>329</v>
      </c>
      <c r="G637" s="26"/>
      <c r="H637" s="25" t="s">
        <v>95</v>
      </c>
      <c r="I637" s="25" t="s">
        <v>290</v>
      </c>
      <c r="J637" s="25"/>
      <c r="K637" s="26" t="s">
        <v>883</v>
      </c>
    </row>
    <row r="638" spans="1:11" ht="15" customHeight="1" x14ac:dyDescent="0.25">
      <c r="A638" s="26" t="s">
        <v>877</v>
      </c>
      <c r="B638" s="26" t="s">
        <v>322</v>
      </c>
      <c r="C638" s="26" t="s">
        <v>878</v>
      </c>
      <c r="D638" s="26" t="s">
        <v>370</v>
      </c>
      <c r="E638" s="26" t="s">
        <v>328</v>
      </c>
      <c r="F638" s="26" t="s">
        <v>333</v>
      </c>
      <c r="G638" s="26">
        <v>0</v>
      </c>
      <c r="H638" s="25" t="s">
        <v>334</v>
      </c>
      <c r="I638" s="25" t="s">
        <v>290</v>
      </c>
      <c r="J638" s="25"/>
      <c r="K638" s="26" t="s">
        <v>839</v>
      </c>
    </row>
    <row r="639" spans="1:11" ht="15" customHeight="1" x14ac:dyDescent="0.25">
      <c r="A639" s="26" t="s">
        <v>877</v>
      </c>
      <c r="B639" s="26" t="s">
        <v>322</v>
      </c>
      <c r="C639" s="26" t="s">
        <v>878</v>
      </c>
      <c r="D639" s="26" t="s">
        <v>371</v>
      </c>
      <c r="E639" s="26" t="s">
        <v>328</v>
      </c>
      <c r="F639" s="26" t="s">
        <v>333</v>
      </c>
      <c r="G639" s="26">
        <v>0</v>
      </c>
      <c r="H639" s="25" t="s">
        <v>334</v>
      </c>
      <c r="I639" s="25" t="s">
        <v>290</v>
      </c>
      <c r="J639" s="25"/>
      <c r="K639" s="26" t="s">
        <v>840</v>
      </c>
    </row>
    <row r="640" spans="1:11" ht="15" customHeight="1" x14ac:dyDescent="0.25">
      <c r="A640" s="26" t="s">
        <v>877</v>
      </c>
      <c r="B640" s="26" t="s">
        <v>322</v>
      </c>
      <c r="C640" s="26" t="s">
        <v>878</v>
      </c>
      <c r="D640" s="26" t="s">
        <v>372</v>
      </c>
      <c r="E640" s="26" t="s">
        <v>328</v>
      </c>
      <c r="F640" s="26" t="s">
        <v>333</v>
      </c>
      <c r="G640" s="26">
        <v>3</v>
      </c>
      <c r="H640" s="25" t="s">
        <v>334</v>
      </c>
      <c r="I640" s="25" t="s">
        <v>290</v>
      </c>
      <c r="J640" s="25"/>
      <c r="K640" s="26" t="s">
        <v>841</v>
      </c>
    </row>
    <row r="641" spans="1:11" ht="15" customHeight="1" x14ac:dyDescent="0.25">
      <c r="A641" s="26" t="s">
        <v>877</v>
      </c>
      <c r="B641" s="26" t="s">
        <v>322</v>
      </c>
      <c r="C641" s="26" t="s">
        <v>878</v>
      </c>
      <c r="D641" s="26" t="s">
        <v>344</v>
      </c>
      <c r="E641" s="26" t="s">
        <v>380</v>
      </c>
      <c r="F641" s="26" t="s">
        <v>333</v>
      </c>
      <c r="G641" s="26"/>
      <c r="H641" s="25" t="s">
        <v>334</v>
      </c>
      <c r="I641" s="25" t="s">
        <v>290</v>
      </c>
      <c r="J641" s="25"/>
      <c r="K641" s="26" t="s">
        <v>884</v>
      </c>
    </row>
    <row r="642" spans="1:11" ht="15" customHeight="1" x14ac:dyDescent="0.25">
      <c r="A642" s="26" t="s">
        <v>877</v>
      </c>
      <c r="B642" s="26" t="s">
        <v>322</v>
      </c>
      <c r="C642" s="26" t="s">
        <v>878</v>
      </c>
      <c r="D642" s="26" t="s">
        <v>885</v>
      </c>
      <c r="E642" s="26" t="s">
        <v>352</v>
      </c>
      <c r="F642" s="26" t="s">
        <v>333</v>
      </c>
      <c r="G642" s="26">
        <v>0</v>
      </c>
      <c r="H642" s="25" t="s">
        <v>334</v>
      </c>
      <c r="I642" s="25" t="s">
        <v>291</v>
      </c>
      <c r="J642" s="25"/>
      <c r="K642" s="26" t="s">
        <v>886</v>
      </c>
    </row>
    <row r="643" spans="1:11" ht="15" customHeight="1" x14ac:dyDescent="0.25">
      <c r="A643" s="26" t="s">
        <v>887</v>
      </c>
      <c r="B643" s="26" t="s">
        <v>322</v>
      </c>
      <c r="C643" s="26" t="s">
        <v>888</v>
      </c>
      <c r="D643" s="26" t="s">
        <v>349</v>
      </c>
      <c r="E643" s="26" t="s">
        <v>328</v>
      </c>
      <c r="F643" s="26" t="s">
        <v>326</v>
      </c>
      <c r="G643" s="26">
        <v>8</v>
      </c>
      <c r="H643" s="25" t="s">
        <v>95</v>
      </c>
      <c r="I643" s="25" t="s">
        <v>290</v>
      </c>
      <c r="J643" s="25"/>
      <c r="K643" s="26" t="s">
        <v>829</v>
      </c>
    </row>
    <row r="644" spans="1:11" ht="15" customHeight="1" x14ac:dyDescent="0.25">
      <c r="A644" s="26" t="s">
        <v>887</v>
      </c>
      <c r="B644" s="26" t="s">
        <v>322</v>
      </c>
      <c r="C644" s="26" t="s">
        <v>888</v>
      </c>
      <c r="D644" s="26" t="s">
        <v>351</v>
      </c>
      <c r="E644" s="26" t="s">
        <v>352</v>
      </c>
      <c r="F644" s="26" t="s">
        <v>326</v>
      </c>
      <c r="G644" s="26">
        <v>20</v>
      </c>
      <c r="H644" s="25" t="s">
        <v>95</v>
      </c>
      <c r="I644" s="25" t="s">
        <v>292</v>
      </c>
      <c r="J644" s="25"/>
      <c r="K644" s="26" t="s">
        <v>830</v>
      </c>
    </row>
    <row r="645" spans="1:11" ht="15" customHeight="1" x14ac:dyDescent="0.25">
      <c r="A645" s="26" t="s">
        <v>887</v>
      </c>
      <c r="B645" s="26" t="s">
        <v>322</v>
      </c>
      <c r="C645" s="26" t="s">
        <v>888</v>
      </c>
      <c r="D645" s="26" t="s">
        <v>289</v>
      </c>
      <c r="E645" s="26" t="s">
        <v>380</v>
      </c>
      <c r="F645" s="26" t="s">
        <v>326</v>
      </c>
      <c r="G645" s="26"/>
      <c r="H645" s="25" t="s">
        <v>95</v>
      </c>
      <c r="I645" s="25" t="s">
        <v>292</v>
      </c>
      <c r="J645" s="25"/>
      <c r="K645" s="26" t="s">
        <v>831</v>
      </c>
    </row>
    <row r="646" spans="1:11" ht="15" customHeight="1" x14ac:dyDescent="0.25">
      <c r="A646" s="26" t="s">
        <v>887</v>
      </c>
      <c r="B646" s="26" t="s">
        <v>322</v>
      </c>
      <c r="C646" s="26" t="s">
        <v>888</v>
      </c>
      <c r="D646" s="26" t="s">
        <v>832</v>
      </c>
      <c r="E646" s="26" t="s">
        <v>889</v>
      </c>
      <c r="F646" s="26" t="s">
        <v>356</v>
      </c>
      <c r="G646" s="26"/>
      <c r="H646" s="25" t="s">
        <v>334</v>
      </c>
      <c r="I646" s="25" t="s">
        <v>290</v>
      </c>
      <c r="J646" s="25"/>
      <c r="K646" s="26" t="s">
        <v>834</v>
      </c>
    </row>
    <row r="647" spans="1:11" ht="15" customHeight="1" x14ac:dyDescent="0.25">
      <c r="A647" s="26" t="s">
        <v>887</v>
      </c>
      <c r="B647" s="26" t="s">
        <v>322</v>
      </c>
      <c r="C647" s="26" t="s">
        <v>888</v>
      </c>
      <c r="D647" s="26" t="s">
        <v>835</v>
      </c>
      <c r="E647" s="26" t="s">
        <v>328</v>
      </c>
      <c r="F647" s="26" t="s">
        <v>329</v>
      </c>
      <c r="G647" s="26">
        <v>0</v>
      </c>
      <c r="H647" s="25" t="s">
        <v>95</v>
      </c>
      <c r="I647" s="25" t="s">
        <v>291</v>
      </c>
      <c r="J647" s="25"/>
      <c r="K647" s="26" t="s">
        <v>836</v>
      </c>
    </row>
    <row r="648" spans="1:11" ht="15" customHeight="1" x14ac:dyDescent="0.25">
      <c r="A648" s="26" t="s">
        <v>887</v>
      </c>
      <c r="B648" s="26" t="s">
        <v>322</v>
      </c>
      <c r="C648" s="26" t="s">
        <v>888</v>
      </c>
      <c r="D648" s="26" t="s">
        <v>837</v>
      </c>
      <c r="E648" s="26" t="s">
        <v>328</v>
      </c>
      <c r="F648" s="26" t="s">
        <v>329</v>
      </c>
      <c r="G648" s="26">
        <v>0</v>
      </c>
      <c r="H648" s="25" t="s">
        <v>95</v>
      </c>
      <c r="I648" s="25" t="s">
        <v>291</v>
      </c>
      <c r="J648" s="25"/>
      <c r="K648" s="26" t="s">
        <v>838</v>
      </c>
    </row>
    <row r="649" spans="1:11" ht="15" customHeight="1" x14ac:dyDescent="0.25">
      <c r="A649" s="26" t="s">
        <v>887</v>
      </c>
      <c r="B649" s="26" t="s">
        <v>322</v>
      </c>
      <c r="C649" s="26" t="s">
        <v>888</v>
      </c>
      <c r="D649" s="26" t="s">
        <v>880</v>
      </c>
      <c r="E649" s="26" t="s">
        <v>380</v>
      </c>
      <c r="F649" s="26" t="s">
        <v>329</v>
      </c>
      <c r="G649" s="26"/>
      <c r="H649" s="25" t="s">
        <v>95</v>
      </c>
      <c r="I649" s="25" t="s">
        <v>290</v>
      </c>
      <c r="J649" s="25"/>
      <c r="K649" s="26" t="s">
        <v>881</v>
      </c>
    </row>
    <row r="650" spans="1:11" ht="15" customHeight="1" x14ac:dyDescent="0.25">
      <c r="A650" s="26" t="s">
        <v>887</v>
      </c>
      <c r="B650" s="26" t="s">
        <v>322</v>
      </c>
      <c r="C650" s="26" t="s">
        <v>888</v>
      </c>
      <c r="D650" s="26" t="s">
        <v>882</v>
      </c>
      <c r="E650" s="26" t="s">
        <v>380</v>
      </c>
      <c r="F650" s="26" t="s">
        <v>329</v>
      </c>
      <c r="G650" s="26"/>
      <c r="H650" s="25" t="s">
        <v>95</v>
      </c>
      <c r="I650" s="25" t="s">
        <v>290</v>
      </c>
      <c r="J650" s="25"/>
      <c r="K650" s="26" t="s">
        <v>883</v>
      </c>
    </row>
    <row r="651" spans="1:11" ht="15" customHeight="1" x14ac:dyDescent="0.25">
      <c r="A651" s="26" t="s">
        <v>887</v>
      </c>
      <c r="B651" s="26" t="s">
        <v>322</v>
      </c>
      <c r="C651" s="26" t="s">
        <v>888</v>
      </c>
      <c r="D651" s="26" t="s">
        <v>370</v>
      </c>
      <c r="E651" s="26" t="s">
        <v>328</v>
      </c>
      <c r="F651" s="26" t="s">
        <v>333</v>
      </c>
      <c r="G651" s="26">
        <v>0</v>
      </c>
      <c r="H651" s="25" t="s">
        <v>334</v>
      </c>
      <c r="I651" s="25" t="s">
        <v>290</v>
      </c>
      <c r="J651" s="25"/>
      <c r="K651" s="26" t="s">
        <v>839</v>
      </c>
    </row>
    <row r="652" spans="1:11" ht="15" customHeight="1" x14ac:dyDescent="0.25">
      <c r="A652" s="26" t="s">
        <v>887</v>
      </c>
      <c r="B652" s="26" t="s">
        <v>322</v>
      </c>
      <c r="C652" s="26" t="s">
        <v>888</v>
      </c>
      <c r="D652" s="26" t="s">
        <v>371</v>
      </c>
      <c r="E652" s="26" t="s">
        <v>328</v>
      </c>
      <c r="F652" s="26" t="s">
        <v>333</v>
      </c>
      <c r="G652" s="26">
        <v>0</v>
      </c>
      <c r="H652" s="25" t="s">
        <v>334</v>
      </c>
      <c r="I652" s="25" t="s">
        <v>290</v>
      </c>
      <c r="J652" s="25"/>
      <c r="K652" s="26" t="s">
        <v>840</v>
      </c>
    </row>
    <row r="653" spans="1:11" ht="15" customHeight="1" x14ac:dyDescent="0.25">
      <c r="A653" s="26" t="s">
        <v>887</v>
      </c>
      <c r="B653" s="26" t="s">
        <v>322</v>
      </c>
      <c r="C653" s="26" t="s">
        <v>888</v>
      </c>
      <c r="D653" s="26" t="s">
        <v>372</v>
      </c>
      <c r="E653" s="26" t="s">
        <v>328</v>
      </c>
      <c r="F653" s="26" t="s">
        <v>333</v>
      </c>
      <c r="G653" s="26">
        <v>7</v>
      </c>
      <c r="H653" s="25" t="s">
        <v>334</v>
      </c>
      <c r="I653" s="25" t="s">
        <v>290</v>
      </c>
      <c r="J653" s="25"/>
      <c r="K653" s="26" t="s">
        <v>841</v>
      </c>
    </row>
    <row r="654" spans="1:11" ht="15" customHeight="1" x14ac:dyDescent="0.25">
      <c r="A654" s="26" t="s">
        <v>887</v>
      </c>
      <c r="B654" s="26" t="s">
        <v>322</v>
      </c>
      <c r="C654" s="26" t="s">
        <v>888</v>
      </c>
      <c r="D654" s="26" t="s">
        <v>344</v>
      </c>
      <c r="E654" s="26" t="s">
        <v>380</v>
      </c>
      <c r="F654" s="26" t="s">
        <v>333</v>
      </c>
      <c r="G654" s="26"/>
      <c r="H654" s="25" t="s">
        <v>334</v>
      </c>
      <c r="I654" s="25" t="s">
        <v>290</v>
      </c>
      <c r="J654" s="25"/>
      <c r="K654" s="26" t="s">
        <v>884</v>
      </c>
    </row>
    <row r="655" spans="1:11" ht="15" customHeight="1" x14ac:dyDescent="0.25">
      <c r="A655" s="26" t="s">
        <v>887</v>
      </c>
      <c r="B655" s="26" t="s">
        <v>322</v>
      </c>
      <c r="C655" s="26" t="s">
        <v>888</v>
      </c>
      <c r="D655" s="26" t="s">
        <v>885</v>
      </c>
      <c r="E655" s="26" t="s">
        <v>352</v>
      </c>
      <c r="F655" s="26" t="s">
        <v>333</v>
      </c>
      <c r="G655" s="26">
        <v>0</v>
      </c>
      <c r="H655" s="25" t="s">
        <v>334</v>
      </c>
      <c r="I655" s="25" t="s">
        <v>291</v>
      </c>
      <c r="J655" s="25"/>
      <c r="K655" s="26" t="s">
        <v>886</v>
      </c>
    </row>
    <row r="656" spans="1:11" ht="15" customHeight="1" x14ac:dyDescent="0.25">
      <c r="A656" s="26" t="s">
        <v>890</v>
      </c>
      <c r="B656" s="26" t="s">
        <v>322</v>
      </c>
      <c r="C656" s="26" t="s">
        <v>891</v>
      </c>
      <c r="D656" s="26" t="s">
        <v>349</v>
      </c>
      <c r="E656" s="26" t="s">
        <v>328</v>
      </c>
      <c r="F656" s="26" t="s">
        <v>326</v>
      </c>
      <c r="G656" s="26">
        <v>16</v>
      </c>
      <c r="H656" s="25" t="s">
        <v>95</v>
      </c>
      <c r="I656" s="25" t="s">
        <v>290</v>
      </c>
      <c r="J656" s="25"/>
      <c r="K656" s="26" t="s">
        <v>829</v>
      </c>
    </row>
    <row r="657" spans="1:11" ht="15" customHeight="1" x14ac:dyDescent="0.25">
      <c r="A657" s="26" t="s">
        <v>890</v>
      </c>
      <c r="B657" s="26" t="s">
        <v>322</v>
      </c>
      <c r="C657" s="26" t="s">
        <v>891</v>
      </c>
      <c r="D657" s="26" t="s">
        <v>351</v>
      </c>
      <c r="E657" s="26" t="s">
        <v>352</v>
      </c>
      <c r="F657" s="26" t="s">
        <v>326</v>
      </c>
      <c r="G657" s="26">
        <v>20</v>
      </c>
      <c r="H657" s="25" t="s">
        <v>95</v>
      </c>
      <c r="I657" s="25" t="s">
        <v>292</v>
      </c>
      <c r="J657" s="25"/>
      <c r="K657" s="26" t="s">
        <v>830</v>
      </c>
    </row>
    <row r="658" spans="1:11" ht="15" customHeight="1" x14ac:dyDescent="0.25">
      <c r="A658" s="26" t="s">
        <v>890</v>
      </c>
      <c r="B658" s="26" t="s">
        <v>322</v>
      </c>
      <c r="C658" s="26" t="s">
        <v>891</v>
      </c>
      <c r="D658" s="26" t="s">
        <v>289</v>
      </c>
      <c r="E658" s="26" t="s">
        <v>380</v>
      </c>
      <c r="F658" s="26" t="s">
        <v>326</v>
      </c>
      <c r="G658" s="26"/>
      <c r="H658" s="25" t="s">
        <v>95</v>
      </c>
      <c r="I658" s="25" t="s">
        <v>292</v>
      </c>
      <c r="J658" s="25"/>
      <c r="K658" s="26" t="s">
        <v>831</v>
      </c>
    </row>
    <row r="659" spans="1:11" ht="15" customHeight="1" x14ac:dyDescent="0.25">
      <c r="A659" s="26" t="s">
        <v>890</v>
      </c>
      <c r="B659" s="26" t="s">
        <v>322</v>
      </c>
      <c r="C659" s="26" t="s">
        <v>891</v>
      </c>
      <c r="D659" s="26" t="s">
        <v>832</v>
      </c>
      <c r="E659" s="26" t="s">
        <v>892</v>
      </c>
      <c r="F659" s="26" t="s">
        <v>356</v>
      </c>
      <c r="G659" s="26"/>
      <c r="H659" s="25" t="s">
        <v>334</v>
      </c>
      <c r="I659" s="25" t="s">
        <v>290</v>
      </c>
      <c r="J659" s="25"/>
      <c r="K659" s="26" t="s">
        <v>834</v>
      </c>
    </row>
    <row r="660" spans="1:11" ht="15" customHeight="1" x14ac:dyDescent="0.25">
      <c r="A660" s="26" t="s">
        <v>890</v>
      </c>
      <c r="B660" s="26" t="s">
        <v>322</v>
      </c>
      <c r="C660" s="26" t="s">
        <v>891</v>
      </c>
      <c r="D660" s="26" t="s">
        <v>835</v>
      </c>
      <c r="E660" s="26" t="s">
        <v>328</v>
      </c>
      <c r="F660" s="26" t="s">
        <v>329</v>
      </c>
      <c r="G660" s="26">
        <v>0</v>
      </c>
      <c r="H660" s="25" t="s">
        <v>95</v>
      </c>
      <c r="I660" s="25" t="s">
        <v>291</v>
      </c>
      <c r="J660" s="25"/>
      <c r="K660" s="26" t="s">
        <v>836</v>
      </c>
    </row>
    <row r="661" spans="1:11" ht="15" customHeight="1" x14ac:dyDescent="0.25">
      <c r="A661" s="26" t="s">
        <v>890</v>
      </c>
      <c r="B661" s="26" t="s">
        <v>322</v>
      </c>
      <c r="C661" s="26" t="s">
        <v>891</v>
      </c>
      <c r="D661" s="26" t="s">
        <v>837</v>
      </c>
      <c r="E661" s="26" t="s">
        <v>328</v>
      </c>
      <c r="F661" s="26" t="s">
        <v>329</v>
      </c>
      <c r="G661" s="26">
        <v>0</v>
      </c>
      <c r="H661" s="25" t="s">
        <v>95</v>
      </c>
      <c r="I661" s="25" t="s">
        <v>291</v>
      </c>
      <c r="J661" s="25"/>
      <c r="K661" s="26" t="s">
        <v>838</v>
      </c>
    </row>
    <row r="662" spans="1:11" ht="15" customHeight="1" x14ac:dyDescent="0.25">
      <c r="A662" s="26" t="s">
        <v>890</v>
      </c>
      <c r="B662" s="26" t="s">
        <v>322</v>
      </c>
      <c r="C662" s="26" t="s">
        <v>891</v>
      </c>
      <c r="D662" s="26" t="s">
        <v>880</v>
      </c>
      <c r="E662" s="26" t="s">
        <v>380</v>
      </c>
      <c r="F662" s="26" t="s">
        <v>329</v>
      </c>
      <c r="G662" s="26"/>
      <c r="H662" s="25" t="s">
        <v>95</v>
      </c>
      <c r="I662" s="25" t="s">
        <v>290</v>
      </c>
      <c r="J662" s="25"/>
      <c r="K662" s="26" t="s">
        <v>881</v>
      </c>
    </row>
    <row r="663" spans="1:11" ht="15" customHeight="1" x14ac:dyDescent="0.25">
      <c r="A663" s="26" t="s">
        <v>890</v>
      </c>
      <c r="B663" s="26" t="s">
        <v>322</v>
      </c>
      <c r="C663" s="26" t="s">
        <v>891</v>
      </c>
      <c r="D663" s="26" t="s">
        <v>882</v>
      </c>
      <c r="E663" s="26" t="s">
        <v>380</v>
      </c>
      <c r="F663" s="26" t="s">
        <v>329</v>
      </c>
      <c r="G663" s="26"/>
      <c r="H663" s="25" t="s">
        <v>95</v>
      </c>
      <c r="I663" s="25" t="s">
        <v>290</v>
      </c>
      <c r="J663" s="25"/>
      <c r="K663" s="26" t="s">
        <v>883</v>
      </c>
    </row>
    <row r="664" spans="1:11" ht="15" customHeight="1" x14ac:dyDescent="0.25">
      <c r="A664" s="26" t="s">
        <v>890</v>
      </c>
      <c r="B664" s="26" t="s">
        <v>322</v>
      </c>
      <c r="C664" s="26" t="s">
        <v>891</v>
      </c>
      <c r="D664" s="26" t="s">
        <v>370</v>
      </c>
      <c r="E664" s="26" t="s">
        <v>328</v>
      </c>
      <c r="F664" s="26" t="s">
        <v>333</v>
      </c>
      <c r="G664" s="26">
        <v>0</v>
      </c>
      <c r="H664" s="25" t="s">
        <v>334</v>
      </c>
      <c r="I664" s="25" t="s">
        <v>290</v>
      </c>
      <c r="J664" s="25"/>
      <c r="K664" s="26" t="s">
        <v>839</v>
      </c>
    </row>
    <row r="665" spans="1:11" ht="15" customHeight="1" x14ac:dyDescent="0.25">
      <c r="A665" s="26" t="s">
        <v>890</v>
      </c>
      <c r="B665" s="26" t="s">
        <v>322</v>
      </c>
      <c r="C665" s="26" t="s">
        <v>891</v>
      </c>
      <c r="D665" s="26" t="s">
        <v>371</v>
      </c>
      <c r="E665" s="26" t="s">
        <v>328</v>
      </c>
      <c r="F665" s="26" t="s">
        <v>333</v>
      </c>
      <c r="G665" s="26">
        <v>0</v>
      </c>
      <c r="H665" s="25" t="s">
        <v>334</v>
      </c>
      <c r="I665" s="25" t="s">
        <v>290</v>
      </c>
      <c r="J665" s="25"/>
      <c r="K665" s="26" t="s">
        <v>840</v>
      </c>
    </row>
    <row r="666" spans="1:11" ht="15" customHeight="1" x14ac:dyDescent="0.25">
      <c r="A666" s="26" t="s">
        <v>890</v>
      </c>
      <c r="B666" s="26" t="s">
        <v>322</v>
      </c>
      <c r="C666" s="26" t="s">
        <v>891</v>
      </c>
      <c r="D666" s="26" t="s">
        <v>372</v>
      </c>
      <c r="E666" s="26" t="s">
        <v>328</v>
      </c>
      <c r="F666" s="26" t="s">
        <v>333</v>
      </c>
      <c r="G666" s="26">
        <v>15</v>
      </c>
      <c r="H666" s="25" t="s">
        <v>334</v>
      </c>
      <c r="I666" s="25" t="s">
        <v>290</v>
      </c>
      <c r="J666" s="25"/>
      <c r="K666" s="26" t="s">
        <v>841</v>
      </c>
    </row>
    <row r="667" spans="1:11" ht="15" customHeight="1" x14ac:dyDescent="0.25">
      <c r="A667" s="26" t="s">
        <v>890</v>
      </c>
      <c r="B667" s="26" t="s">
        <v>322</v>
      </c>
      <c r="C667" s="26" t="s">
        <v>891</v>
      </c>
      <c r="D667" s="26" t="s">
        <v>344</v>
      </c>
      <c r="E667" s="26" t="s">
        <v>380</v>
      </c>
      <c r="F667" s="26" t="s">
        <v>333</v>
      </c>
      <c r="G667" s="26"/>
      <c r="H667" s="25" t="s">
        <v>334</v>
      </c>
      <c r="I667" s="25" t="s">
        <v>290</v>
      </c>
      <c r="J667" s="25"/>
      <c r="K667" s="26" t="s">
        <v>884</v>
      </c>
    </row>
    <row r="668" spans="1:11" ht="15" customHeight="1" x14ac:dyDescent="0.25">
      <c r="A668" s="26" t="s">
        <v>890</v>
      </c>
      <c r="B668" s="26" t="s">
        <v>322</v>
      </c>
      <c r="C668" s="26" t="s">
        <v>891</v>
      </c>
      <c r="D668" s="26" t="s">
        <v>885</v>
      </c>
      <c r="E668" s="26" t="s">
        <v>352</v>
      </c>
      <c r="F668" s="26" t="s">
        <v>333</v>
      </c>
      <c r="G668" s="26">
        <v>0</v>
      </c>
      <c r="H668" s="25" t="s">
        <v>334</v>
      </c>
      <c r="I668" s="25" t="s">
        <v>291</v>
      </c>
      <c r="J668" s="25"/>
      <c r="K668" s="26" t="s">
        <v>886</v>
      </c>
    </row>
    <row r="669" spans="1:11" ht="15" customHeight="1" x14ac:dyDescent="0.25">
      <c r="A669" s="26" t="s">
        <v>893</v>
      </c>
      <c r="B669" s="26" t="s">
        <v>322</v>
      </c>
      <c r="C669" s="26" t="s">
        <v>894</v>
      </c>
      <c r="D669" s="26" t="s">
        <v>349</v>
      </c>
      <c r="E669" s="26" t="s">
        <v>328</v>
      </c>
      <c r="F669" s="26" t="s">
        <v>326</v>
      </c>
      <c r="G669" s="26">
        <v>32</v>
      </c>
      <c r="H669" s="25" t="s">
        <v>95</v>
      </c>
      <c r="I669" s="25" t="s">
        <v>290</v>
      </c>
      <c r="J669" s="25"/>
      <c r="K669" s="26" t="s">
        <v>829</v>
      </c>
    </row>
    <row r="670" spans="1:11" ht="15" customHeight="1" x14ac:dyDescent="0.25">
      <c r="A670" s="26" t="s">
        <v>893</v>
      </c>
      <c r="B670" s="26" t="s">
        <v>322</v>
      </c>
      <c r="C670" s="26" t="s">
        <v>894</v>
      </c>
      <c r="D670" s="26" t="s">
        <v>351</v>
      </c>
      <c r="E670" s="26" t="s">
        <v>352</v>
      </c>
      <c r="F670" s="26" t="s">
        <v>326</v>
      </c>
      <c r="G670" s="26">
        <v>20</v>
      </c>
      <c r="H670" s="25" t="s">
        <v>95</v>
      </c>
      <c r="I670" s="25" t="s">
        <v>292</v>
      </c>
      <c r="J670" s="25"/>
      <c r="K670" s="26" t="s">
        <v>830</v>
      </c>
    </row>
    <row r="671" spans="1:11" ht="15" customHeight="1" x14ac:dyDescent="0.25">
      <c r="A671" s="26" t="s">
        <v>893</v>
      </c>
      <c r="B671" s="26" t="s">
        <v>322</v>
      </c>
      <c r="C671" s="26" t="s">
        <v>894</v>
      </c>
      <c r="D671" s="26" t="s">
        <v>289</v>
      </c>
      <c r="E671" s="26" t="s">
        <v>380</v>
      </c>
      <c r="F671" s="26" t="s">
        <v>326</v>
      </c>
      <c r="G671" s="26"/>
      <c r="H671" s="25" t="s">
        <v>95</v>
      </c>
      <c r="I671" s="25" t="s">
        <v>292</v>
      </c>
      <c r="J671" s="25"/>
      <c r="K671" s="26" t="s">
        <v>831</v>
      </c>
    </row>
    <row r="672" spans="1:11" ht="15" customHeight="1" x14ac:dyDescent="0.25">
      <c r="A672" s="26" t="s">
        <v>893</v>
      </c>
      <c r="B672" s="26" t="s">
        <v>322</v>
      </c>
      <c r="C672" s="26" t="s">
        <v>894</v>
      </c>
      <c r="D672" s="26" t="s">
        <v>832</v>
      </c>
      <c r="E672" s="26" t="s">
        <v>895</v>
      </c>
      <c r="F672" s="26" t="s">
        <v>356</v>
      </c>
      <c r="G672" s="26"/>
      <c r="H672" s="25" t="s">
        <v>334</v>
      </c>
      <c r="I672" s="25" t="s">
        <v>290</v>
      </c>
      <c r="J672" s="25"/>
      <c r="K672" s="26" t="s">
        <v>834</v>
      </c>
    </row>
    <row r="673" spans="1:11" ht="15" customHeight="1" x14ac:dyDescent="0.25">
      <c r="A673" s="26" t="s">
        <v>893</v>
      </c>
      <c r="B673" s="26" t="s">
        <v>322</v>
      </c>
      <c r="C673" s="26" t="s">
        <v>894</v>
      </c>
      <c r="D673" s="26" t="s">
        <v>835</v>
      </c>
      <c r="E673" s="26" t="s">
        <v>328</v>
      </c>
      <c r="F673" s="26" t="s">
        <v>329</v>
      </c>
      <c r="G673" s="26">
        <v>0</v>
      </c>
      <c r="H673" s="25" t="s">
        <v>95</v>
      </c>
      <c r="I673" s="25" t="s">
        <v>291</v>
      </c>
      <c r="J673" s="25"/>
      <c r="K673" s="26" t="s">
        <v>836</v>
      </c>
    </row>
    <row r="674" spans="1:11" ht="15" customHeight="1" x14ac:dyDescent="0.25">
      <c r="A674" s="26" t="s">
        <v>893</v>
      </c>
      <c r="B674" s="26" t="s">
        <v>322</v>
      </c>
      <c r="C674" s="26" t="s">
        <v>894</v>
      </c>
      <c r="D674" s="26" t="s">
        <v>837</v>
      </c>
      <c r="E674" s="26" t="s">
        <v>328</v>
      </c>
      <c r="F674" s="26" t="s">
        <v>329</v>
      </c>
      <c r="G674" s="26">
        <v>0</v>
      </c>
      <c r="H674" s="25" t="s">
        <v>95</v>
      </c>
      <c r="I674" s="25" t="s">
        <v>291</v>
      </c>
      <c r="J674" s="25"/>
      <c r="K674" s="26" t="s">
        <v>838</v>
      </c>
    </row>
    <row r="675" spans="1:11" ht="15" customHeight="1" x14ac:dyDescent="0.25">
      <c r="A675" s="26" t="s">
        <v>893</v>
      </c>
      <c r="B675" s="26" t="s">
        <v>322</v>
      </c>
      <c r="C675" s="26" t="s">
        <v>894</v>
      </c>
      <c r="D675" s="26" t="s">
        <v>880</v>
      </c>
      <c r="E675" s="26" t="s">
        <v>380</v>
      </c>
      <c r="F675" s="26" t="s">
        <v>329</v>
      </c>
      <c r="G675" s="26"/>
      <c r="H675" s="25" t="s">
        <v>95</v>
      </c>
      <c r="I675" s="25" t="s">
        <v>290</v>
      </c>
      <c r="J675" s="25"/>
      <c r="K675" s="26" t="s">
        <v>881</v>
      </c>
    </row>
    <row r="676" spans="1:11" ht="15" customHeight="1" x14ac:dyDescent="0.25">
      <c r="A676" s="26" t="s">
        <v>893</v>
      </c>
      <c r="B676" s="26" t="s">
        <v>322</v>
      </c>
      <c r="C676" s="26" t="s">
        <v>894</v>
      </c>
      <c r="D676" s="26" t="s">
        <v>882</v>
      </c>
      <c r="E676" s="26" t="s">
        <v>380</v>
      </c>
      <c r="F676" s="26" t="s">
        <v>329</v>
      </c>
      <c r="G676" s="26"/>
      <c r="H676" s="25" t="s">
        <v>95</v>
      </c>
      <c r="I676" s="25" t="s">
        <v>290</v>
      </c>
      <c r="J676" s="25"/>
      <c r="K676" s="26" t="s">
        <v>883</v>
      </c>
    </row>
    <row r="677" spans="1:11" ht="15" customHeight="1" x14ac:dyDescent="0.25">
      <c r="A677" s="26" t="s">
        <v>893</v>
      </c>
      <c r="B677" s="26" t="s">
        <v>322</v>
      </c>
      <c r="C677" s="26" t="s">
        <v>894</v>
      </c>
      <c r="D677" s="26" t="s">
        <v>370</v>
      </c>
      <c r="E677" s="26" t="s">
        <v>328</v>
      </c>
      <c r="F677" s="26" t="s">
        <v>333</v>
      </c>
      <c r="G677" s="26">
        <v>0</v>
      </c>
      <c r="H677" s="25" t="s">
        <v>334</v>
      </c>
      <c r="I677" s="25" t="s">
        <v>290</v>
      </c>
      <c r="J677" s="25"/>
      <c r="K677" s="26" t="s">
        <v>839</v>
      </c>
    </row>
    <row r="678" spans="1:11" ht="15" customHeight="1" x14ac:dyDescent="0.25">
      <c r="A678" s="26" t="s">
        <v>893</v>
      </c>
      <c r="B678" s="26" t="s">
        <v>322</v>
      </c>
      <c r="C678" s="26" t="s">
        <v>894</v>
      </c>
      <c r="D678" s="26" t="s">
        <v>371</v>
      </c>
      <c r="E678" s="26" t="s">
        <v>328</v>
      </c>
      <c r="F678" s="26" t="s">
        <v>333</v>
      </c>
      <c r="G678" s="26">
        <v>0</v>
      </c>
      <c r="H678" s="25" t="s">
        <v>334</v>
      </c>
      <c r="I678" s="25" t="s">
        <v>290</v>
      </c>
      <c r="J678" s="25"/>
      <c r="K678" s="26" t="s">
        <v>840</v>
      </c>
    </row>
    <row r="679" spans="1:11" ht="15" customHeight="1" x14ac:dyDescent="0.25">
      <c r="A679" s="26" t="s">
        <v>893</v>
      </c>
      <c r="B679" s="26" t="s">
        <v>322</v>
      </c>
      <c r="C679" s="26" t="s">
        <v>894</v>
      </c>
      <c r="D679" s="26" t="s">
        <v>372</v>
      </c>
      <c r="E679" s="26" t="s">
        <v>328</v>
      </c>
      <c r="F679" s="26" t="s">
        <v>333</v>
      </c>
      <c r="G679" s="26">
        <v>31</v>
      </c>
      <c r="H679" s="25" t="s">
        <v>334</v>
      </c>
      <c r="I679" s="25" t="s">
        <v>290</v>
      </c>
      <c r="J679" s="25"/>
      <c r="K679" s="26" t="s">
        <v>841</v>
      </c>
    </row>
    <row r="680" spans="1:11" ht="15" customHeight="1" x14ac:dyDescent="0.25">
      <c r="A680" s="26" t="s">
        <v>893</v>
      </c>
      <c r="B680" s="26" t="s">
        <v>322</v>
      </c>
      <c r="C680" s="26" t="s">
        <v>894</v>
      </c>
      <c r="D680" s="26" t="s">
        <v>344</v>
      </c>
      <c r="E680" s="26" t="s">
        <v>380</v>
      </c>
      <c r="F680" s="26" t="s">
        <v>333</v>
      </c>
      <c r="G680" s="26"/>
      <c r="H680" s="25" t="s">
        <v>334</v>
      </c>
      <c r="I680" s="25" t="s">
        <v>290</v>
      </c>
      <c r="J680" s="25"/>
      <c r="K680" s="26" t="s">
        <v>884</v>
      </c>
    </row>
    <row r="681" spans="1:11" ht="15" customHeight="1" x14ac:dyDescent="0.25">
      <c r="A681" s="26" t="s">
        <v>893</v>
      </c>
      <c r="B681" s="26" t="s">
        <v>322</v>
      </c>
      <c r="C681" s="26" t="s">
        <v>894</v>
      </c>
      <c r="D681" s="26" t="s">
        <v>885</v>
      </c>
      <c r="E681" s="26" t="s">
        <v>352</v>
      </c>
      <c r="F681" s="26" t="s">
        <v>333</v>
      </c>
      <c r="G681" s="26">
        <v>0</v>
      </c>
      <c r="H681" s="25" t="s">
        <v>334</v>
      </c>
      <c r="I681" s="25" t="s">
        <v>291</v>
      </c>
      <c r="J681" s="25"/>
      <c r="K681" s="26" t="s">
        <v>886</v>
      </c>
    </row>
    <row r="682" spans="1:11" ht="15" customHeight="1" x14ac:dyDescent="0.25">
      <c r="A682" s="26" t="s">
        <v>896</v>
      </c>
      <c r="B682" s="26" t="s">
        <v>322</v>
      </c>
      <c r="C682" s="26" t="s">
        <v>897</v>
      </c>
      <c r="D682" s="26" t="s">
        <v>349</v>
      </c>
      <c r="E682" s="26" t="s">
        <v>328</v>
      </c>
      <c r="F682" s="26" t="s">
        <v>326</v>
      </c>
      <c r="G682" s="26">
        <v>64</v>
      </c>
      <c r="H682" s="25" t="s">
        <v>95</v>
      </c>
      <c r="I682" s="25" t="s">
        <v>290</v>
      </c>
      <c r="J682" s="25"/>
      <c r="K682" s="26" t="s">
        <v>829</v>
      </c>
    </row>
    <row r="683" spans="1:11" ht="15" customHeight="1" x14ac:dyDescent="0.25">
      <c r="A683" s="26" t="s">
        <v>896</v>
      </c>
      <c r="B683" s="26" t="s">
        <v>322</v>
      </c>
      <c r="C683" s="26" t="s">
        <v>897</v>
      </c>
      <c r="D683" s="26" t="s">
        <v>351</v>
      </c>
      <c r="E683" s="26" t="s">
        <v>352</v>
      </c>
      <c r="F683" s="26" t="s">
        <v>326</v>
      </c>
      <c r="G683" s="26">
        <v>20</v>
      </c>
      <c r="H683" s="25" t="s">
        <v>95</v>
      </c>
      <c r="I683" s="25" t="s">
        <v>292</v>
      </c>
      <c r="J683" s="25"/>
      <c r="K683" s="26" t="s">
        <v>830</v>
      </c>
    </row>
    <row r="684" spans="1:11" ht="15" customHeight="1" x14ac:dyDescent="0.25">
      <c r="A684" s="26" t="s">
        <v>896</v>
      </c>
      <c r="B684" s="26" t="s">
        <v>322</v>
      </c>
      <c r="C684" s="26" t="s">
        <v>897</v>
      </c>
      <c r="D684" s="26" t="s">
        <v>289</v>
      </c>
      <c r="E684" s="26" t="s">
        <v>380</v>
      </c>
      <c r="F684" s="26" t="s">
        <v>326</v>
      </c>
      <c r="G684" s="26"/>
      <c r="H684" s="25" t="s">
        <v>95</v>
      </c>
      <c r="I684" s="25" t="s">
        <v>292</v>
      </c>
      <c r="J684" s="25"/>
      <c r="K684" s="26" t="s">
        <v>831</v>
      </c>
    </row>
    <row r="685" spans="1:11" ht="15" customHeight="1" x14ac:dyDescent="0.25">
      <c r="A685" s="26" t="s">
        <v>896</v>
      </c>
      <c r="B685" s="26" t="s">
        <v>322</v>
      </c>
      <c r="C685" s="26" t="s">
        <v>897</v>
      </c>
      <c r="D685" s="26" t="s">
        <v>832</v>
      </c>
      <c r="E685" s="26" t="s">
        <v>898</v>
      </c>
      <c r="F685" s="26" t="s">
        <v>356</v>
      </c>
      <c r="G685" s="26"/>
      <c r="H685" s="25" t="s">
        <v>334</v>
      </c>
      <c r="I685" s="25" t="s">
        <v>290</v>
      </c>
      <c r="J685" s="25"/>
      <c r="K685" s="26" t="s">
        <v>834</v>
      </c>
    </row>
    <row r="686" spans="1:11" ht="15" customHeight="1" x14ac:dyDescent="0.25">
      <c r="A686" s="26" t="s">
        <v>896</v>
      </c>
      <c r="B686" s="26" t="s">
        <v>322</v>
      </c>
      <c r="C686" s="26" t="s">
        <v>897</v>
      </c>
      <c r="D686" s="26" t="s">
        <v>835</v>
      </c>
      <c r="E686" s="26" t="s">
        <v>328</v>
      </c>
      <c r="F686" s="26" t="s">
        <v>329</v>
      </c>
      <c r="G686" s="26">
        <v>0</v>
      </c>
      <c r="H686" s="25" t="s">
        <v>95</v>
      </c>
      <c r="I686" s="25" t="s">
        <v>291</v>
      </c>
      <c r="J686" s="25"/>
      <c r="K686" s="26" t="s">
        <v>836</v>
      </c>
    </row>
    <row r="687" spans="1:11" ht="15" customHeight="1" x14ac:dyDescent="0.25">
      <c r="A687" s="26" t="s">
        <v>896</v>
      </c>
      <c r="B687" s="26" t="s">
        <v>322</v>
      </c>
      <c r="C687" s="26" t="s">
        <v>897</v>
      </c>
      <c r="D687" s="26" t="s">
        <v>837</v>
      </c>
      <c r="E687" s="26" t="s">
        <v>328</v>
      </c>
      <c r="F687" s="26" t="s">
        <v>329</v>
      </c>
      <c r="G687" s="26">
        <v>0</v>
      </c>
      <c r="H687" s="25" t="s">
        <v>95</v>
      </c>
      <c r="I687" s="25" t="s">
        <v>291</v>
      </c>
      <c r="J687" s="25"/>
      <c r="K687" s="26" t="s">
        <v>838</v>
      </c>
    </row>
    <row r="688" spans="1:11" ht="15" customHeight="1" x14ac:dyDescent="0.25">
      <c r="A688" s="26" t="s">
        <v>896</v>
      </c>
      <c r="B688" s="26" t="s">
        <v>322</v>
      </c>
      <c r="C688" s="26" t="s">
        <v>897</v>
      </c>
      <c r="D688" s="26" t="s">
        <v>880</v>
      </c>
      <c r="E688" s="26" t="s">
        <v>380</v>
      </c>
      <c r="F688" s="26" t="s">
        <v>329</v>
      </c>
      <c r="G688" s="26"/>
      <c r="H688" s="25" t="s">
        <v>95</v>
      </c>
      <c r="I688" s="25" t="s">
        <v>290</v>
      </c>
      <c r="J688" s="25"/>
      <c r="K688" s="26" t="s">
        <v>881</v>
      </c>
    </row>
    <row r="689" spans="1:11" ht="15" customHeight="1" x14ac:dyDescent="0.25">
      <c r="A689" s="26" t="s">
        <v>896</v>
      </c>
      <c r="B689" s="26" t="s">
        <v>322</v>
      </c>
      <c r="C689" s="26" t="s">
        <v>897</v>
      </c>
      <c r="D689" s="26" t="s">
        <v>882</v>
      </c>
      <c r="E689" s="26" t="s">
        <v>380</v>
      </c>
      <c r="F689" s="26" t="s">
        <v>329</v>
      </c>
      <c r="G689" s="26"/>
      <c r="H689" s="25" t="s">
        <v>95</v>
      </c>
      <c r="I689" s="25" t="s">
        <v>290</v>
      </c>
      <c r="J689" s="25"/>
      <c r="K689" s="26" t="s">
        <v>883</v>
      </c>
    </row>
    <row r="690" spans="1:11" ht="15" customHeight="1" x14ac:dyDescent="0.25">
      <c r="A690" s="26" t="s">
        <v>896</v>
      </c>
      <c r="B690" s="26" t="s">
        <v>322</v>
      </c>
      <c r="C690" s="26" t="s">
        <v>897</v>
      </c>
      <c r="D690" s="26" t="s">
        <v>370</v>
      </c>
      <c r="E690" s="26" t="s">
        <v>328</v>
      </c>
      <c r="F690" s="26" t="s">
        <v>333</v>
      </c>
      <c r="G690" s="26">
        <v>0</v>
      </c>
      <c r="H690" s="25" t="s">
        <v>334</v>
      </c>
      <c r="I690" s="25" t="s">
        <v>290</v>
      </c>
      <c r="J690" s="25"/>
      <c r="K690" s="26" t="s">
        <v>839</v>
      </c>
    </row>
    <row r="691" spans="1:11" ht="15" customHeight="1" x14ac:dyDescent="0.25">
      <c r="A691" s="26" t="s">
        <v>896</v>
      </c>
      <c r="B691" s="26" t="s">
        <v>322</v>
      </c>
      <c r="C691" s="26" t="s">
        <v>897</v>
      </c>
      <c r="D691" s="26" t="s">
        <v>371</v>
      </c>
      <c r="E691" s="26" t="s">
        <v>328</v>
      </c>
      <c r="F691" s="26" t="s">
        <v>333</v>
      </c>
      <c r="G691" s="26">
        <v>0</v>
      </c>
      <c r="H691" s="25" t="s">
        <v>334</v>
      </c>
      <c r="I691" s="25" t="s">
        <v>290</v>
      </c>
      <c r="J691" s="25"/>
      <c r="K691" s="26" t="s">
        <v>840</v>
      </c>
    </row>
    <row r="692" spans="1:11" ht="15" customHeight="1" x14ac:dyDescent="0.25">
      <c r="A692" s="26" t="s">
        <v>896</v>
      </c>
      <c r="B692" s="26" t="s">
        <v>322</v>
      </c>
      <c r="C692" s="26" t="s">
        <v>897</v>
      </c>
      <c r="D692" s="26" t="s">
        <v>372</v>
      </c>
      <c r="E692" s="26" t="s">
        <v>328</v>
      </c>
      <c r="F692" s="26" t="s">
        <v>333</v>
      </c>
      <c r="G692" s="26">
        <v>63</v>
      </c>
      <c r="H692" s="25" t="s">
        <v>334</v>
      </c>
      <c r="I692" s="25" t="s">
        <v>290</v>
      </c>
      <c r="J692" s="25"/>
      <c r="K692" s="26" t="s">
        <v>841</v>
      </c>
    </row>
    <row r="693" spans="1:11" ht="15" customHeight="1" x14ac:dyDescent="0.25">
      <c r="A693" s="26" t="s">
        <v>896</v>
      </c>
      <c r="B693" s="26" t="s">
        <v>322</v>
      </c>
      <c r="C693" s="26" t="s">
        <v>897</v>
      </c>
      <c r="D693" s="26" t="s">
        <v>344</v>
      </c>
      <c r="E693" s="26" t="s">
        <v>380</v>
      </c>
      <c r="F693" s="26" t="s">
        <v>333</v>
      </c>
      <c r="G693" s="26"/>
      <c r="H693" s="25" t="s">
        <v>334</v>
      </c>
      <c r="I693" s="25" t="s">
        <v>290</v>
      </c>
      <c r="J693" s="25"/>
      <c r="K693" s="26" t="s">
        <v>884</v>
      </c>
    </row>
    <row r="694" spans="1:11" ht="15" customHeight="1" x14ac:dyDescent="0.25">
      <c r="A694" s="26" t="s">
        <v>896</v>
      </c>
      <c r="B694" s="26" t="s">
        <v>322</v>
      </c>
      <c r="C694" s="26" t="s">
        <v>897</v>
      </c>
      <c r="D694" s="26" t="s">
        <v>885</v>
      </c>
      <c r="E694" s="26" t="s">
        <v>352</v>
      </c>
      <c r="F694" s="26" t="s">
        <v>333</v>
      </c>
      <c r="G694" s="26">
        <v>0</v>
      </c>
      <c r="H694" s="25" t="s">
        <v>334</v>
      </c>
      <c r="I694" s="25" t="s">
        <v>291</v>
      </c>
      <c r="J694" s="25"/>
      <c r="K694" s="26" t="s">
        <v>886</v>
      </c>
    </row>
    <row r="695" spans="1:11" ht="15" customHeight="1" x14ac:dyDescent="0.25">
      <c r="A695" s="26" t="s">
        <v>899</v>
      </c>
      <c r="B695" s="26" t="s">
        <v>388</v>
      </c>
      <c r="C695" s="26" t="s">
        <v>900</v>
      </c>
      <c r="D695" s="26" t="s">
        <v>901</v>
      </c>
      <c r="E695" s="26" t="s">
        <v>586</v>
      </c>
      <c r="F695" s="26" t="s">
        <v>391</v>
      </c>
      <c r="G695" s="26">
        <v>0</v>
      </c>
      <c r="H695" s="25" t="s">
        <v>95</v>
      </c>
      <c r="I695" s="25" t="s">
        <v>290</v>
      </c>
      <c r="J695" s="25"/>
      <c r="K695" s="26" t="s">
        <v>902</v>
      </c>
    </row>
    <row r="696" spans="1:11" ht="15" customHeight="1" x14ac:dyDescent="0.25">
      <c r="A696" s="26" t="s">
        <v>899</v>
      </c>
      <c r="B696" s="26" t="s">
        <v>388</v>
      </c>
      <c r="C696" s="26" t="s">
        <v>900</v>
      </c>
      <c r="D696" s="26" t="s">
        <v>903</v>
      </c>
      <c r="E696" s="26" t="s">
        <v>586</v>
      </c>
      <c r="F696" s="26" t="s">
        <v>391</v>
      </c>
      <c r="G696" s="26">
        <v>0</v>
      </c>
      <c r="H696" s="25" t="s">
        <v>95</v>
      </c>
      <c r="I696" s="25" t="s">
        <v>290</v>
      </c>
      <c r="J696" s="25"/>
      <c r="K696" s="26" t="s">
        <v>904</v>
      </c>
    </row>
    <row r="697" spans="1:11" ht="15" customHeight="1" x14ac:dyDescent="0.25">
      <c r="A697" s="26" t="s">
        <v>899</v>
      </c>
      <c r="B697" s="26" t="s">
        <v>388</v>
      </c>
      <c r="C697" s="26" t="s">
        <v>900</v>
      </c>
      <c r="D697" s="26" t="s">
        <v>905</v>
      </c>
      <c r="E697" s="26" t="s">
        <v>586</v>
      </c>
      <c r="F697" s="26" t="s">
        <v>391</v>
      </c>
      <c r="G697" s="26">
        <v>0</v>
      </c>
      <c r="H697" s="25" t="s">
        <v>95</v>
      </c>
      <c r="I697" s="25" t="s">
        <v>290</v>
      </c>
      <c r="J697" s="25"/>
      <c r="K697" s="26" t="s">
        <v>906</v>
      </c>
    </row>
    <row r="698" spans="1:11" ht="15" customHeight="1" x14ac:dyDescent="0.25">
      <c r="A698" s="26" t="s">
        <v>899</v>
      </c>
      <c r="B698" s="26" t="s">
        <v>388</v>
      </c>
      <c r="C698" s="26" t="s">
        <v>900</v>
      </c>
      <c r="D698" s="26" t="s">
        <v>907</v>
      </c>
      <c r="E698" s="26" t="s">
        <v>380</v>
      </c>
      <c r="F698" s="26" t="s">
        <v>391</v>
      </c>
      <c r="G698" s="26"/>
      <c r="H698" s="25" t="s">
        <v>95</v>
      </c>
      <c r="I698" s="25" t="s">
        <v>290</v>
      </c>
      <c r="J698" s="25"/>
      <c r="K698" s="26" t="s">
        <v>908</v>
      </c>
    </row>
    <row r="699" spans="1:11" ht="15" customHeight="1" x14ac:dyDescent="0.25">
      <c r="A699" s="26" t="s">
        <v>899</v>
      </c>
      <c r="B699" s="26" t="s">
        <v>388</v>
      </c>
      <c r="C699" s="26" t="s">
        <v>900</v>
      </c>
      <c r="D699" s="26" t="s">
        <v>163</v>
      </c>
      <c r="E699" s="26" t="s">
        <v>586</v>
      </c>
      <c r="F699" s="26" t="s">
        <v>391</v>
      </c>
      <c r="G699" s="26">
        <v>0</v>
      </c>
      <c r="H699" s="25" t="s">
        <v>95</v>
      </c>
      <c r="I699" s="25" t="s">
        <v>292</v>
      </c>
      <c r="J699" s="25"/>
      <c r="K699" s="26" t="s">
        <v>909</v>
      </c>
    </row>
    <row r="700" spans="1:11" ht="15" customHeight="1" x14ac:dyDescent="0.25">
      <c r="A700" s="26" t="s">
        <v>899</v>
      </c>
      <c r="B700" s="26" t="s">
        <v>388</v>
      </c>
      <c r="C700" s="26" t="s">
        <v>900</v>
      </c>
      <c r="D700" s="26" t="s">
        <v>164</v>
      </c>
      <c r="E700" s="26" t="s">
        <v>586</v>
      </c>
      <c r="F700" s="26" t="s">
        <v>391</v>
      </c>
      <c r="G700" s="26">
        <v>10000</v>
      </c>
      <c r="H700" s="25" t="s">
        <v>95</v>
      </c>
      <c r="I700" s="25" t="s">
        <v>292</v>
      </c>
      <c r="J700" s="25"/>
      <c r="K700" s="26"/>
    </row>
    <row r="701" spans="1:11" ht="15" customHeight="1" x14ac:dyDescent="0.25">
      <c r="A701" s="26" t="s">
        <v>899</v>
      </c>
      <c r="B701" s="26" t="s">
        <v>388</v>
      </c>
      <c r="C701" s="26" t="s">
        <v>900</v>
      </c>
      <c r="D701" s="26" t="s">
        <v>165</v>
      </c>
      <c r="E701" s="26" t="s">
        <v>586</v>
      </c>
      <c r="F701" s="26" t="s">
        <v>391</v>
      </c>
      <c r="G701" s="26">
        <v>0</v>
      </c>
      <c r="H701" s="25" t="s">
        <v>95</v>
      </c>
      <c r="I701" s="25" t="s">
        <v>292</v>
      </c>
      <c r="J701" s="25"/>
      <c r="K701" s="26" t="s">
        <v>910</v>
      </c>
    </row>
    <row r="702" spans="1:11" ht="15" customHeight="1" x14ac:dyDescent="0.25">
      <c r="A702" s="26" t="s">
        <v>899</v>
      </c>
      <c r="B702" s="26" t="s">
        <v>388</v>
      </c>
      <c r="C702" s="26" t="s">
        <v>900</v>
      </c>
      <c r="D702" s="26" t="s">
        <v>166</v>
      </c>
      <c r="E702" s="26" t="s">
        <v>586</v>
      </c>
      <c r="F702" s="26" t="s">
        <v>391</v>
      </c>
      <c r="G702" s="26">
        <v>100</v>
      </c>
      <c r="H702" s="25" t="s">
        <v>95</v>
      </c>
      <c r="I702" s="25" t="s">
        <v>292</v>
      </c>
      <c r="J702" s="25"/>
      <c r="K702" s="26"/>
    </row>
    <row r="703" spans="1:11" ht="15" customHeight="1" x14ac:dyDescent="0.25">
      <c r="A703" s="26" t="s">
        <v>899</v>
      </c>
      <c r="B703" s="26" t="s">
        <v>388</v>
      </c>
      <c r="C703" s="26" t="s">
        <v>900</v>
      </c>
      <c r="D703" s="26" t="s">
        <v>167</v>
      </c>
      <c r="E703" s="26" t="s">
        <v>380</v>
      </c>
      <c r="F703" s="26" t="s">
        <v>391</v>
      </c>
      <c r="G703" s="26" t="b">
        <v>1</v>
      </c>
      <c r="H703" s="25" t="s">
        <v>95</v>
      </c>
      <c r="I703" s="25" t="s">
        <v>290</v>
      </c>
      <c r="J703" s="25"/>
      <c r="K703" s="26" t="s">
        <v>911</v>
      </c>
    </row>
    <row r="704" spans="1:11" ht="15" customHeight="1" x14ac:dyDescent="0.25">
      <c r="A704" s="26" t="s">
        <v>899</v>
      </c>
      <c r="B704" s="26" t="s">
        <v>388</v>
      </c>
      <c r="C704" s="26" t="s">
        <v>900</v>
      </c>
      <c r="D704" s="26" t="s">
        <v>168</v>
      </c>
      <c r="E704" s="26" t="s">
        <v>586</v>
      </c>
      <c r="F704" s="26" t="s">
        <v>391</v>
      </c>
      <c r="G704" s="26">
        <v>0</v>
      </c>
      <c r="H704" s="25" t="s">
        <v>95</v>
      </c>
      <c r="I704" s="25" t="s">
        <v>292</v>
      </c>
      <c r="J704" s="25"/>
      <c r="K704" s="26" t="s">
        <v>912</v>
      </c>
    </row>
    <row r="705" spans="1:11" ht="15" customHeight="1" x14ac:dyDescent="0.25">
      <c r="A705" s="26" t="s">
        <v>899</v>
      </c>
      <c r="B705" s="26" t="s">
        <v>388</v>
      </c>
      <c r="C705" s="26" t="s">
        <v>900</v>
      </c>
      <c r="D705" s="26" t="s">
        <v>169</v>
      </c>
      <c r="E705" s="26" t="s">
        <v>328</v>
      </c>
      <c r="F705" s="26" t="s">
        <v>391</v>
      </c>
      <c r="G705" s="26">
        <v>1</v>
      </c>
      <c r="H705" s="25" t="s">
        <v>95</v>
      </c>
      <c r="I705" s="25" t="s">
        <v>292</v>
      </c>
      <c r="J705" s="25"/>
      <c r="K705" s="26" t="s">
        <v>913</v>
      </c>
    </row>
    <row r="706" spans="1:11" ht="15" customHeight="1" x14ac:dyDescent="0.25">
      <c r="A706" s="26" t="s">
        <v>899</v>
      </c>
      <c r="B706" s="26" t="s">
        <v>388</v>
      </c>
      <c r="C706" s="26" t="s">
        <v>900</v>
      </c>
      <c r="D706" s="26" t="s">
        <v>170</v>
      </c>
      <c r="E706" s="26" t="s">
        <v>586</v>
      </c>
      <c r="F706" s="26" t="s">
        <v>391</v>
      </c>
      <c r="G706" s="26">
        <v>0</v>
      </c>
      <c r="H706" s="25" t="s">
        <v>95</v>
      </c>
      <c r="I706" s="25" t="s">
        <v>292</v>
      </c>
      <c r="J706" s="25"/>
      <c r="K706" s="26" t="s">
        <v>914</v>
      </c>
    </row>
    <row r="707" spans="1:11" ht="15" customHeight="1" x14ac:dyDescent="0.25">
      <c r="A707" s="26" t="s">
        <v>899</v>
      </c>
      <c r="B707" s="26" t="s">
        <v>388</v>
      </c>
      <c r="C707" s="26" t="s">
        <v>900</v>
      </c>
      <c r="D707" s="26" t="s">
        <v>915</v>
      </c>
      <c r="E707" s="26" t="s">
        <v>380</v>
      </c>
      <c r="F707" s="26" t="s">
        <v>391</v>
      </c>
      <c r="G707" s="26"/>
      <c r="H707" s="25" t="s">
        <v>95</v>
      </c>
      <c r="I707" s="25" t="s">
        <v>290</v>
      </c>
      <c r="J707" s="25"/>
      <c r="K707" s="26" t="s">
        <v>916</v>
      </c>
    </row>
    <row r="708" spans="1:11" ht="15" customHeight="1" x14ac:dyDescent="0.25">
      <c r="A708" s="26" t="s">
        <v>899</v>
      </c>
      <c r="B708" s="26" t="s">
        <v>388</v>
      </c>
      <c r="C708" s="26" t="s">
        <v>900</v>
      </c>
      <c r="D708" s="26" t="s">
        <v>917</v>
      </c>
      <c r="E708" s="26" t="s">
        <v>586</v>
      </c>
      <c r="F708" s="26" t="s">
        <v>391</v>
      </c>
      <c r="G708" s="26">
        <v>0</v>
      </c>
      <c r="H708" s="25" t="s">
        <v>95</v>
      </c>
      <c r="I708" s="25" t="s">
        <v>290</v>
      </c>
      <c r="J708" s="25"/>
      <c r="K708" s="26"/>
    </row>
    <row r="709" spans="1:11" ht="15" customHeight="1" x14ac:dyDescent="0.25">
      <c r="A709" s="26" t="s">
        <v>899</v>
      </c>
      <c r="B709" s="26" t="s">
        <v>388</v>
      </c>
      <c r="C709" s="26" t="s">
        <v>900</v>
      </c>
      <c r="D709" s="26" t="s">
        <v>918</v>
      </c>
      <c r="E709" s="26" t="s">
        <v>380</v>
      </c>
      <c r="F709" s="26" t="s">
        <v>391</v>
      </c>
      <c r="G709" s="26"/>
      <c r="H709" s="25" t="s">
        <v>95</v>
      </c>
      <c r="I709" s="25" t="s">
        <v>290</v>
      </c>
      <c r="J709" s="25"/>
      <c r="K709" s="26" t="s">
        <v>919</v>
      </c>
    </row>
    <row r="710" spans="1:11" ht="15" customHeight="1" x14ac:dyDescent="0.25">
      <c r="A710" s="26" t="s">
        <v>899</v>
      </c>
      <c r="B710" s="26" t="s">
        <v>388</v>
      </c>
      <c r="C710" s="26" t="s">
        <v>900</v>
      </c>
      <c r="D710" s="26" t="s">
        <v>920</v>
      </c>
      <c r="E710" s="26" t="s">
        <v>586</v>
      </c>
      <c r="F710" s="26" t="s">
        <v>391</v>
      </c>
      <c r="G710" s="26">
        <v>0</v>
      </c>
      <c r="H710" s="25" t="s">
        <v>95</v>
      </c>
      <c r="I710" s="25" t="s">
        <v>290</v>
      </c>
      <c r="J710" s="25"/>
      <c r="K710" s="26"/>
    </row>
    <row r="711" spans="1:11" ht="15" customHeight="1" x14ac:dyDescent="0.25">
      <c r="A711" s="26" t="s">
        <v>899</v>
      </c>
      <c r="B711" s="26" t="s">
        <v>388</v>
      </c>
      <c r="C711" s="26" t="s">
        <v>900</v>
      </c>
      <c r="D711" s="26" t="s">
        <v>921</v>
      </c>
      <c r="E711" s="26" t="s">
        <v>380</v>
      </c>
      <c r="F711" s="26" t="s">
        <v>391</v>
      </c>
      <c r="G711" s="26"/>
      <c r="H711" s="25" t="s">
        <v>95</v>
      </c>
      <c r="I711" s="25" t="s">
        <v>290</v>
      </c>
      <c r="J711" s="25"/>
      <c r="K711" s="26" t="s">
        <v>922</v>
      </c>
    </row>
    <row r="712" spans="1:11" ht="15" customHeight="1" x14ac:dyDescent="0.25">
      <c r="A712" s="26" t="s">
        <v>899</v>
      </c>
      <c r="B712" s="26" t="s">
        <v>388</v>
      </c>
      <c r="C712" s="26" t="s">
        <v>900</v>
      </c>
      <c r="D712" s="26" t="s">
        <v>923</v>
      </c>
      <c r="E712" s="26" t="s">
        <v>380</v>
      </c>
      <c r="F712" s="26" t="s">
        <v>391</v>
      </c>
      <c r="G712" s="26"/>
      <c r="H712" s="25" t="s">
        <v>95</v>
      </c>
      <c r="I712" s="25" t="s">
        <v>290</v>
      </c>
      <c r="J712" s="25"/>
      <c r="K712" s="26" t="s">
        <v>924</v>
      </c>
    </row>
    <row r="713" spans="1:11" ht="15" customHeight="1" x14ac:dyDescent="0.25">
      <c r="A713" s="26" t="s">
        <v>899</v>
      </c>
      <c r="B713" s="26" t="s">
        <v>388</v>
      </c>
      <c r="C713" s="26" t="s">
        <v>900</v>
      </c>
      <c r="D713" s="26" t="s">
        <v>649</v>
      </c>
      <c r="E713" s="26" t="s">
        <v>380</v>
      </c>
      <c r="F713" s="26" t="s">
        <v>391</v>
      </c>
      <c r="G713" s="26"/>
      <c r="H713" s="25" t="s">
        <v>95</v>
      </c>
      <c r="I713" s="25" t="s">
        <v>291</v>
      </c>
      <c r="J713" s="25"/>
      <c r="K713" s="26" t="s">
        <v>925</v>
      </c>
    </row>
    <row r="714" spans="1:11" ht="15" customHeight="1" x14ac:dyDescent="0.25">
      <c r="A714" s="26" t="s">
        <v>899</v>
      </c>
      <c r="B714" s="26" t="s">
        <v>388</v>
      </c>
      <c r="C714" s="26" t="s">
        <v>900</v>
      </c>
      <c r="D714" s="26" t="s">
        <v>926</v>
      </c>
      <c r="E714" s="26" t="s">
        <v>586</v>
      </c>
      <c r="F714" s="26" t="s">
        <v>391</v>
      </c>
      <c r="G714" s="26">
        <v>0</v>
      </c>
      <c r="H714" s="25" t="s">
        <v>95</v>
      </c>
      <c r="I714" s="25" t="s">
        <v>290</v>
      </c>
      <c r="J714" s="25"/>
      <c r="K714" s="26" t="s">
        <v>927</v>
      </c>
    </row>
    <row r="715" spans="1:11" ht="15" customHeight="1" x14ac:dyDescent="0.25">
      <c r="A715" s="26" t="s">
        <v>899</v>
      </c>
      <c r="B715" s="26" t="s">
        <v>388</v>
      </c>
      <c r="C715" s="26" t="s">
        <v>900</v>
      </c>
      <c r="D715" s="26" t="s">
        <v>928</v>
      </c>
      <c r="E715" s="26" t="s">
        <v>586</v>
      </c>
      <c r="F715" s="26" t="s">
        <v>391</v>
      </c>
      <c r="G715" s="26">
        <v>0</v>
      </c>
      <c r="H715" s="25" t="s">
        <v>95</v>
      </c>
      <c r="I715" s="25" t="s">
        <v>290</v>
      </c>
      <c r="J715" s="25"/>
      <c r="K715" s="26" t="s">
        <v>929</v>
      </c>
    </row>
    <row r="716" spans="1:11" ht="15" customHeight="1" x14ac:dyDescent="0.25">
      <c r="A716" s="26" t="s">
        <v>899</v>
      </c>
      <c r="B716" s="26" t="s">
        <v>388</v>
      </c>
      <c r="C716" s="26" t="s">
        <v>900</v>
      </c>
      <c r="D716" s="26" t="s">
        <v>795</v>
      </c>
      <c r="E716" s="26" t="s">
        <v>586</v>
      </c>
      <c r="F716" s="26" t="s">
        <v>391</v>
      </c>
      <c r="G716" s="26">
        <v>0</v>
      </c>
      <c r="H716" s="25" t="s">
        <v>95</v>
      </c>
      <c r="I716" s="25" t="s">
        <v>290</v>
      </c>
      <c r="J716" s="25"/>
      <c r="K716" s="26" t="s">
        <v>930</v>
      </c>
    </row>
    <row r="717" spans="1:11" ht="15" customHeight="1" x14ac:dyDescent="0.25">
      <c r="A717" s="26" t="s">
        <v>899</v>
      </c>
      <c r="B717" s="26" t="s">
        <v>388</v>
      </c>
      <c r="C717" s="26" t="s">
        <v>900</v>
      </c>
      <c r="D717" s="26" t="s">
        <v>931</v>
      </c>
      <c r="E717" s="26" t="s">
        <v>380</v>
      </c>
      <c r="F717" s="26" t="s">
        <v>391</v>
      </c>
      <c r="G717" s="26"/>
      <c r="H717" s="25" t="s">
        <v>95</v>
      </c>
      <c r="I717" s="25" t="s">
        <v>290</v>
      </c>
      <c r="J717" s="25"/>
      <c r="K717" s="26" t="s">
        <v>932</v>
      </c>
    </row>
    <row r="718" spans="1:11" ht="15" customHeight="1" x14ac:dyDescent="0.25">
      <c r="A718" s="26" t="s">
        <v>899</v>
      </c>
      <c r="B718" s="26" t="s">
        <v>388</v>
      </c>
      <c r="C718" s="26" t="s">
        <v>900</v>
      </c>
      <c r="D718" s="26" t="s">
        <v>933</v>
      </c>
      <c r="E718" s="26" t="s">
        <v>380</v>
      </c>
      <c r="F718" s="26" t="s">
        <v>391</v>
      </c>
      <c r="G718" s="26"/>
      <c r="H718" s="25" t="s">
        <v>95</v>
      </c>
      <c r="I718" s="25" t="s">
        <v>291</v>
      </c>
      <c r="J718" s="25"/>
      <c r="K718" s="26" t="s">
        <v>934</v>
      </c>
    </row>
    <row r="719" spans="1:11" ht="15" customHeight="1" x14ac:dyDescent="0.25">
      <c r="A719" s="26" t="s">
        <v>899</v>
      </c>
      <c r="B719" s="26" t="s">
        <v>388</v>
      </c>
      <c r="C719" s="26" t="s">
        <v>900</v>
      </c>
      <c r="D719" s="26" t="s">
        <v>935</v>
      </c>
      <c r="E719" s="26" t="s">
        <v>328</v>
      </c>
      <c r="F719" s="26" t="s">
        <v>391</v>
      </c>
      <c r="G719" s="26">
        <v>0</v>
      </c>
      <c r="H719" s="25" t="s">
        <v>95</v>
      </c>
      <c r="I719" s="25" t="s">
        <v>291</v>
      </c>
      <c r="J719" s="25"/>
      <c r="K719" s="26" t="s">
        <v>936</v>
      </c>
    </row>
    <row r="720" spans="1:11" ht="15" customHeight="1" x14ac:dyDescent="0.25">
      <c r="A720" s="26" t="s">
        <v>899</v>
      </c>
      <c r="B720" s="26" t="s">
        <v>388</v>
      </c>
      <c r="C720" s="26" t="s">
        <v>900</v>
      </c>
      <c r="D720" s="26" t="s">
        <v>937</v>
      </c>
      <c r="E720" s="26" t="s">
        <v>938</v>
      </c>
      <c r="F720" s="26" t="s">
        <v>391</v>
      </c>
      <c r="G720" s="26"/>
      <c r="H720" s="25" t="s">
        <v>334</v>
      </c>
      <c r="I720" s="25" t="s">
        <v>290</v>
      </c>
      <c r="J720" s="25"/>
      <c r="K720" s="26" t="s">
        <v>939</v>
      </c>
    </row>
    <row r="721" spans="1:11" ht="15" customHeight="1" x14ac:dyDescent="0.25">
      <c r="A721" s="26" t="s">
        <v>940</v>
      </c>
      <c r="B721" s="26" t="s">
        <v>388</v>
      </c>
      <c r="C721" s="26" t="s">
        <v>941</v>
      </c>
      <c r="D721" s="26" t="s">
        <v>901</v>
      </c>
      <c r="E721" s="26" t="s">
        <v>380</v>
      </c>
      <c r="F721" s="26" t="s">
        <v>391</v>
      </c>
      <c r="G721" s="26"/>
      <c r="H721" s="25" t="s">
        <v>95</v>
      </c>
      <c r="I721" s="25" t="s">
        <v>290</v>
      </c>
      <c r="J721" s="25"/>
      <c r="K721" s="26" t="s">
        <v>942</v>
      </c>
    </row>
    <row r="722" spans="1:11" ht="15" customHeight="1" x14ac:dyDescent="0.25">
      <c r="A722" s="26" t="s">
        <v>940</v>
      </c>
      <c r="B722" s="26" t="s">
        <v>388</v>
      </c>
      <c r="C722" s="26" t="s">
        <v>941</v>
      </c>
      <c r="D722" s="26" t="s">
        <v>905</v>
      </c>
      <c r="E722" s="26" t="s">
        <v>380</v>
      </c>
      <c r="F722" s="26" t="s">
        <v>391</v>
      </c>
      <c r="G722" s="26"/>
      <c r="H722" s="25" t="s">
        <v>95</v>
      </c>
      <c r="I722" s="25" t="s">
        <v>290</v>
      </c>
      <c r="J722" s="25"/>
      <c r="K722" s="26" t="s">
        <v>943</v>
      </c>
    </row>
    <row r="723" spans="1:11" ht="15" customHeight="1" x14ac:dyDescent="0.25">
      <c r="A723" s="26" t="s">
        <v>940</v>
      </c>
      <c r="B723" s="26" t="s">
        <v>388</v>
      </c>
      <c r="C723" s="26" t="s">
        <v>941</v>
      </c>
      <c r="D723" s="26" t="s">
        <v>907</v>
      </c>
      <c r="E723" s="26" t="s">
        <v>380</v>
      </c>
      <c r="F723" s="26" t="s">
        <v>391</v>
      </c>
      <c r="G723" s="26"/>
      <c r="H723" s="25" t="s">
        <v>95</v>
      </c>
      <c r="I723" s="25" t="s">
        <v>290</v>
      </c>
      <c r="J723" s="25"/>
      <c r="K723" s="26" t="s">
        <v>944</v>
      </c>
    </row>
    <row r="724" spans="1:11" ht="15" customHeight="1" x14ac:dyDescent="0.25">
      <c r="A724" s="26" t="s">
        <v>940</v>
      </c>
      <c r="B724" s="26" t="s">
        <v>388</v>
      </c>
      <c r="C724" s="26" t="s">
        <v>941</v>
      </c>
      <c r="D724" s="26" t="s">
        <v>156</v>
      </c>
      <c r="E724" s="26" t="s">
        <v>380</v>
      </c>
      <c r="F724" s="26" t="s">
        <v>391</v>
      </c>
      <c r="G724" s="26"/>
      <c r="H724" s="25" t="s">
        <v>95</v>
      </c>
      <c r="I724" s="25" t="s">
        <v>290</v>
      </c>
      <c r="J724" s="25"/>
      <c r="K724" s="26" t="s">
        <v>945</v>
      </c>
    </row>
    <row r="725" spans="1:11" ht="15" customHeight="1" x14ac:dyDescent="0.25">
      <c r="A725" s="26" t="s">
        <v>940</v>
      </c>
      <c r="B725" s="26" t="s">
        <v>388</v>
      </c>
      <c r="C725" s="26" t="s">
        <v>941</v>
      </c>
      <c r="D725" s="26" t="s">
        <v>157</v>
      </c>
      <c r="E725" s="26" t="s">
        <v>352</v>
      </c>
      <c r="F725" s="26" t="s">
        <v>391</v>
      </c>
      <c r="G725" s="26">
        <v>0</v>
      </c>
      <c r="H725" s="25" t="s">
        <v>95</v>
      </c>
      <c r="I725" s="25" t="s">
        <v>292</v>
      </c>
      <c r="J725" s="25"/>
      <c r="K725" s="26" t="s">
        <v>946</v>
      </c>
    </row>
    <row r="726" spans="1:11" ht="15" customHeight="1" x14ac:dyDescent="0.25">
      <c r="A726" s="26" t="s">
        <v>940</v>
      </c>
      <c r="B726" s="26" t="s">
        <v>388</v>
      </c>
      <c r="C726" s="26" t="s">
        <v>941</v>
      </c>
      <c r="D726" s="26" t="s">
        <v>915</v>
      </c>
      <c r="E726" s="26" t="s">
        <v>380</v>
      </c>
      <c r="F726" s="26" t="s">
        <v>391</v>
      </c>
      <c r="G726" s="26"/>
      <c r="H726" s="25" t="s">
        <v>95</v>
      </c>
      <c r="I726" s="25" t="s">
        <v>290</v>
      </c>
      <c r="J726" s="25"/>
      <c r="K726" s="26" t="s">
        <v>916</v>
      </c>
    </row>
    <row r="727" spans="1:11" ht="15" customHeight="1" x14ac:dyDescent="0.25">
      <c r="A727" s="26" t="s">
        <v>940</v>
      </c>
      <c r="B727" s="26" t="s">
        <v>388</v>
      </c>
      <c r="C727" s="26" t="s">
        <v>941</v>
      </c>
      <c r="D727" s="26" t="s">
        <v>917</v>
      </c>
      <c r="E727" s="26" t="s">
        <v>380</v>
      </c>
      <c r="F727" s="26" t="s">
        <v>391</v>
      </c>
      <c r="G727" s="26"/>
      <c r="H727" s="25" t="s">
        <v>95</v>
      </c>
      <c r="I727" s="25" t="s">
        <v>290</v>
      </c>
      <c r="J727" s="25"/>
      <c r="K727" s="26"/>
    </row>
    <row r="728" spans="1:11" ht="15" customHeight="1" x14ac:dyDescent="0.25">
      <c r="A728" s="26" t="s">
        <v>940</v>
      </c>
      <c r="B728" s="26" t="s">
        <v>388</v>
      </c>
      <c r="C728" s="26" t="s">
        <v>941</v>
      </c>
      <c r="D728" s="26" t="s">
        <v>918</v>
      </c>
      <c r="E728" s="26" t="s">
        <v>380</v>
      </c>
      <c r="F728" s="26" t="s">
        <v>391</v>
      </c>
      <c r="G728" s="26"/>
      <c r="H728" s="25" t="s">
        <v>95</v>
      </c>
      <c r="I728" s="25" t="s">
        <v>290</v>
      </c>
      <c r="J728" s="25"/>
      <c r="K728" s="26" t="s">
        <v>919</v>
      </c>
    </row>
    <row r="729" spans="1:11" ht="15" customHeight="1" x14ac:dyDescent="0.25">
      <c r="A729" s="26" t="s">
        <v>940</v>
      </c>
      <c r="B729" s="26" t="s">
        <v>388</v>
      </c>
      <c r="C729" s="26" t="s">
        <v>941</v>
      </c>
      <c r="D729" s="26" t="s">
        <v>920</v>
      </c>
      <c r="E729" s="26" t="s">
        <v>380</v>
      </c>
      <c r="F729" s="26" t="s">
        <v>391</v>
      </c>
      <c r="G729" s="26"/>
      <c r="H729" s="25" t="s">
        <v>95</v>
      </c>
      <c r="I729" s="25" t="s">
        <v>290</v>
      </c>
      <c r="J729" s="25"/>
      <c r="K729" s="26"/>
    </row>
    <row r="730" spans="1:11" ht="15" customHeight="1" x14ac:dyDescent="0.25">
      <c r="A730" s="26" t="s">
        <v>940</v>
      </c>
      <c r="B730" s="26" t="s">
        <v>388</v>
      </c>
      <c r="C730" s="26" t="s">
        <v>941</v>
      </c>
      <c r="D730" s="26" t="s">
        <v>947</v>
      </c>
      <c r="E730" s="26" t="s">
        <v>380</v>
      </c>
      <c r="F730" s="26" t="s">
        <v>391</v>
      </c>
      <c r="G730" s="26"/>
      <c r="H730" s="25" t="s">
        <v>334</v>
      </c>
      <c r="I730" s="25" t="s">
        <v>290</v>
      </c>
      <c r="J730" s="25"/>
      <c r="K730" s="26" t="s">
        <v>948</v>
      </c>
    </row>
    <row r="731" spans="1:11" ht="15" customHeight="1" x14ac:dyDescent="0.25">
      <c r="A731" s="26" t="s">
        <v>940</v>
      </c>
      <c r="B731" s="26" t="s">
        <v>388</v>
      </c>
      <c r="C731" s="26" t="s">
        <v>941</v>
      </c>
      <c r="D731" s="26" t="s">
        <v>949</v>
      </c>
      <c r="E731" s="26" t="s">
        <v>380</v>
      </c>
      <c r="F731" s="26" t="s">
        <v>391</v>
      </c>
      <c r="G731" s="26"/>
      <c r="H731" s="25" t="s">
        <v>95</v>
      </c>
      <c r="I731" s="25" t="s">
        <v>290</v>
      </c>
      <c r="J731" s="25"/>
      <c r="K731" s="26" t="s">
        <v>950</v>
      </c>
    </row>
    <row r="732" spans="1:11" ht="15" customHeight="1" x14ac:dyDescent="0.25">
      <c r="A732" s="26" t="s">
        <v>940</v>
      </c>
      <c r="B732" s="26" t="s">
        <v>388</v>
      </c>
      <c r="C732" s="26" t="s">
        <v>941</v>
      </c>
      <c r="D732" s="26" t="s">
        <v>951</v>
      </c>
      <c r="E732" s="26" t="s">
        <v>380</v>
      </c>
      <c r="F732" s="26" t="s">
        <v>391</v>
      </c>
      <c r="G732" s="26"/>
      <c r="H732" s="25" t="s">
        <v>95</v>
      </c>
      <c r="I732" s="25" t="s">
        <v>290</v>
      </c>
      <c r="J732" s="25"/>
      <c r="K732" s="26" t="s">
        <v>952</v>
      </c>
    </row>
    <row r="733" spans="1:11" ht="15" customHeight="1" x14ac:dyDescent="0.25">
      <c r="A733" s="26" t="s">
        <v>940</v>
      </c>
      <c r="B733" s="26" t="s">
        <v>388</v>
      </c>
      <c r="C733" s="26" t="s">
        <v>941</v>
      </c>
      <c r="D733" s="26" t="s">
        <v>953</v>
      </c>
      <c r="E733" s="26" t="s">
        <v>325</v>
      </c>
      <c r="F733" s="26" t="s">
        <v>391</v>
      </c>
      <c r="G733" s="26">
        <v>0</v>
      </c>
      <c r="H733" s="25" t="s">
        <v>95</v>
      </c>
      <c r="I733" s="25" t="s">
        <v>290</v>
      </c>
      <c r="J733" s="25"/>
      <c r="K733" s="26" t="s">
        <v>954</v>
      </c>
    </row>
    <row r="734" spans="1:11" ht="15" customHeight="1" x14ac:dyDescent="0.25">
      <c r="A734" s="26" t="s">
        <v>940</v>
      </c>
      <c r="B734" s="26" t="s">
        <v>388</v>
      </c>
      <c r="C734" s="26" t="s">
        <v>941</v>
      </c>
      <c r="D734" s="26" t="s">
        <v>955</v>
      </c>
      <c r="E734" s="26" t="s">
        <v>325</v>
      </c>
      <c r="F734" s="26" t="s">
        <v>391</v>
      </c>
      <c r="G734" s="26">
        <v>0</v>
      </c>
      <c r="H734" s="25" t="s">
        <v>95</v>
      </c>
      <c r="I734" s="25" t="s">
        <v>290</v>
      </c>
      <c r="J734" s="25"/>
      <c r="K734" s="26" t="s">
        <v>956</v>
      </c>
    </row>
    <row r="735" spans="1:11" ht="15" customHeight="1" x14ac:dyDescent="0.25">
      <c r="A735" s="26" t="s">
        <v>940</v>
      </c>
      <c r="B735" s="26" t="s">
        <v>388</v>
      </c>
      <c r="C735" s="26" t="s">
        <v>941</v>
      </c>
      <c r="D735" s="26" t="s">
        <v>957</v>
      </c>
      <c r="E735" s="26" t="s">
        <v>352</v>
      </c>
      <c r="F735" s="26" t="s">
        <v>391</v>
      </c>
      <c r="G735" s="26">
        <v>0</v>
      </c>
      <c r="H735" s="25" t="s">
        <v>95</v>
      </c>
      <c r="I735" s="25" t="s">
        <v>292</v>
      </c>
      <c r="J735" s="25"/>
      <c r="K735" s="26" t="s">
        <v>958</v>
      </c>
    </row>
    <row r="736" spans="1:11" ht="15" customHeight="1" x14ac:dyDescent="0.25">
      <c r="A736" s="26" t="s">
        <v>940</v>
      </c>
      <c r="B736" s="26" t="s">
        <v>388</v>
      </c>
      <c r="C736" s="26" t="s">
        <v>941</v>
      </c>
      <c r="D736" s="26" t="s">
        <v>959</v>
      </c>
      <c r="E736" s="26" t="s">
        <v>352</v>
      </c>
      <c r="F736" s="26" t="s">
        <v>391</v>
      </c>
      <c r="G736" s="26">
        <v>0</v>
      </c>
      <c r="H736" s="25" t="s">
        <v>95</v>
      </c>
      <c r="I736" s="25" t="s">
        <v>292</v>
      </c>
      <c r="J736" s="25"/>
      <c r="K736" s="26" t="s">
        <v>960</v>
      </c>
    </row>
    <row r="737" spans="1:11" ht="15" customHeight="1" x14ac:dyDescent="0.25">
      <c r="A737" s="26" t="s">
        <v>940</v>
      </c>
      <c r="B737" s="26" t="s">
        <v>388</v>
      </c>
      <c r="C737" s="26" t="s">
        <v>941</v>
      </c>
      <c r="D737" s="26" t="s">
        <v>961</v>
      </c>
      <c r="E737" s="26" t="s">
        <v>352</v>
      </c>
      <c r="F737" s="26" t="s">
        <v>391</v>
      </c>
      <c r="G737" s="26">
        <v>0</v>
      </c>
      <c r="H737" s="25" t="s">
        <v>334</v>
      </c>
      <c r="I737" s="25" t="s">
        <v>292</v>
      </c>
      <c r="J737" s="25"/>
      <c r="K737" s="26" t="s">
        <v>962</v>
      </c>
    </row>
    <row r="738" spans="1:11" ht="15" customHeight="1" x14ac:dyDescent="0.25">
      <c r="A738" s="26" t="s">
        <v>940</v>
      </c>
      <c r="B738" s="26" t="s">
        <v>388</v>
      </c>
      <c r="C738" s="26" t="s">
        <v>941</v>
      </c>
      <c r="D738" s="26" t="s">
        <v>158</v>
      </c>
      <c r="E738" s="26" t="s">
        <v>380</v>
      </c>
      <c r="F738" s="26" t="s">
        <v>391</v>
      </c>
      <c r="G738" s="26"/>
      <c r="H738" s="25" t="s">
        <v>95</v>
      </c>
      <c r="I738" s="25" t="s">
        <v>291</v>
      </c>
      <c r="J738" s="25"/>
      <c r="K738" s="26" t="s">
        <v>963</v>
      </c>
    </row>
    <row r="739" spans="1:11" ht="15" customHeight="1" x14ac:dyDescent="0.25">
      <c r="A739" s="26" t="s">
        <v>940</v>
      </c>
      <c r="B739" s="26" t="s">
        <v>388</v>
      </c>
      <c r="C739" s="26" t="s">
        <v>941</v>
      </c>
      <c r="D739" s="26" t="s">
        <v>159</v>
      </c>
      <c r="E739" s="26" t="s">
        <v>380</v>
      </c>
      <c r="F739" s="26" t="s">
        <v>391</v>
      </c>
      <c r="G739" s="26"/>
      <c r="H739" s="25" t="s">
        <v>95</v>
      </c>
      <c r="I739" s="25" t="s">
        <v>291</v>
      </c>
      <c r="J739" s="25"/>
      <c r="K739" s="26" t="s">
        <v>964</v>
      </c>
    </row>
    <row r="740" spans="1:11" ht="15" customHeight="1" x14ac:dyDescent="0.25">
      <c r="A740" s="26" t="s">
        <v>940</v>
      </c>
      <c r="B740" s="26" t="s">
        <v>388</v>
      </c>
      <c r="C740" s="26" t="s">
        <v>941</v>
      </c>
      <c r="D740" s="26" t="s">
        <v>160</v>
      </c>
      <c r="E740" s="26" t="s">
        <v>352</v>
      </c>
      <c r="F740" s="26" t="s">
        <v>391</v>
      </c>
      <c r="G740" s="26">
        <v>0</v>
      </c>
      <c r="H740" s="25" t="s">
        <v>95</v>
      </c>
      <c r="I740" s="25" t="s">
        <v>291</v>
      </c>
      <c r="J740" s="25"/>
      <c r="K740" s="26" t="s">
        <v>965</v>
      </c>
    </row>
    <row r="741" spans="1:11" ht="15" customHeight="1" x14ac:dyDescent="0.25">
      <c r="A741" s="26" t="s">
        <v>940</v>
      </c>
      <c r="B741" s="26" t="s">
        <v>388</v>
      </c>
      <c r="C741" s="26" t="s">
        <v>941</v>
      </c>
      <c r="D741" s="26" t="s">
        <v>161</v>
      </c>
      <c r="E741" s="26" t="s">
        <v>328</v>
      </c>
      <c r="F741" s="26" t="s">
        <v>391</v>
      </c>
      <c r="G741" s="26">
        <v>1</v>
      </c>
      <c r="H741" s="25" t="s">
        <v>95</v>
      </c>
      <c r="I741" s="25" t="s">
        <v>290</v>
      </c>
      <c r="J741" s="25"/>
      <c r="K741" s="26" t="s">
        <v>966</v>
      </c>
    </row>
    <row r="742" spans="1:11" ht="15" customHeight="1" x14ac:dyDescent="0.25">
      <c r="A742" s="26" t="s">
        <v>940</v>
      </c>
      <c r="B742" s="26" t="s">
        <v>388</v>
      </c>
      <c r="C742" s="26" t="s">
        <v>941</v>
      </c>
      <c r="D742" s="26" t="s">
        <v>967</v>
      </c>
      <c r="E742" s="26" t="s">
        <v>380</v>
      </c>
      <c r="F742" s="26" t="s">
        <v>391</v>
      </c>
      <c r="G742" s="26"/>
      <c r="H742" s="25" t="s">
        <v>95</v>
      </c>
      <c r="I742" s="25" t="s">
        <v>291</v>
      </c>
      <c r="J742" s="25"/>
      <c r="K742" s="26" t="s">
        <v>968</v>
      </c>
    </row>
    <row r="743" spans="1:11" ht="15" customHeight="1" x14ac:dyDescent="0.25">
      <c r="A743" s="26" t="s">
        <v>940</v>
      </c>
      <c r="B743" s="26" t="s">
        <v>388</v>
      </c>
      <c r="C743" s="26" t="s">
        <v>941</v>
      </c>
      <c r="D743" s="26" t="s">
        <v>649</v>
      </c>
      <c r="E743" s="26" t="s">
        <v>380</v>
      </c>
      <c r="F743" s="26" t="s">
        <v>391</v>
      </c>
      <c r="G743" s="26"/>
      <c r="H743" s="25" t="s">
        <v>95</v>
      </c>
      <c r="I743" s="25" t="s">
        <v>291</v>
      </c>
      <c r="J743" s="25"/>
      <c r="K743" s="26" t="s">
        <v>969</v>
      </c>
    </row>
    <row r="744" spans="1:11" ht="15" customHeight="1" x14ac:dyDescent="0.25">
      <c r="A744" s="26" t="s">
        <v>970</v>
      </c>
      <c r="B744" s="26" t="s">
        <v>388</v>
      </c>
      <c r="C744" s="26" t="s">
        <v>971</v>
      </c>
      <c r="D744" s="26" t="s">
        <v>972</v>
      </c>
      <c r="E744" s="26" t="s">
        <v>380</v>
      </c>
      <c r="F744" s="26" t="s">
        <v>391</v>
      </c>
      <c r="G744" s="26"/>
      <c r="H744" s="25" t="s">
        <v>95</v>
      </c>
      <c r="I744" s="25" t="s">
        <v>290</v>
      </c>
      <c r="J744" s="25"/>
      <c r="K744" s="26" t="s">
        <v>973</v>
      </c>
    </row>
    <row r="745" spans="1:11" ht="15" customHeight="1" x14ac:dyDescent="0.25">
      <c r="A745" s="26" t="s">
        <v>970</v>
      </c>
      <c r="B745" s="26" t="s">
        <v>388</v>
      </c>
      <c r="C745" s="26" t="s">
        <v>971</v>
      </c>
      <c r="D745" s="26" t="s">
        <v>974</v>
      </c>
      <c r="E745" s="26" t="s">
        <v>328</v>
      </c>
      <c r="F745" s="26" t="s">
        <v>391</v>
      </c>
      <c r="G745" s="26">
        <v>0</v>
      </c>
      <c r="H745" s="25" t="s">
        <v>95</v>
      </c>
      <c r="I745" s="25" t="s">
        <v>290</v>
      </c>
      <c r="J745" s="25"/>
      <c r="K745" s="26" t="s">
        <v>975</v>
      </c>
    </row>
    <row r="746" spans="1:11" ht="15" customHeight="1" x14ac:dyDescent="0.25">
      <c r="A746" s="26" t="s">
        <v>970</v>
      </c>
      <c r="B746" s="26" t="s">
        <v>388</v>
      </c>
      <c r="C746" s="26" t="s">
        <v>971</v>
      </c>
      <c r="D746" s="26" t="s">
        <v>905</v>
      </c>
      <c r="E746" s="26" t="s">
        <v>586</v>
      </c>
      <c r="F746" s="26" t="s">
        <v>391</v>
      </c>
      <c r="G746" s="26">
        <v>0</v>
      </c>
      <c r="H746" s="25" t="s">
        <v>95</v>
      </c>
      <c r="I746" s="25" t="s">
        <v>290</v>
      </c>
      <c r="J746" s="25"/>
      <c r="K746" s="26" t="s">
        <v>976</v>
      </c>
    </row>
    <row r="747" spans="1:11" ht="15" customHeight="1" x14ac:dyDescent="0.25">
      <c r="A747" s="26" t="s">
        <v>970</v>
      </c>
      <c r="B747" s="26" t="s">
        <v>388</v>
      </c>
      <c r="C747" s="26" t="s">
        <v>971</v>
      </c>
      <c r="D747" s="26" t="s">
        <v>785</v>
      </c>
      <c r="E747" s="26" t="s">
        <v>586</v>
      </c>
      <c r="F747" s="26" t="s">
        <v>391</v>
      </c>
      <c r="G747" s="26">
        <v>0</v>
      </c>
      <c r="H747" s="25" t="s">
        <v>95</v>
      </c>
      <c r="I747" s="25" t="s">
        <v>292</v>
      </c>
      <c r="J747" s="25"/>
      <c r="K747" s="26" t="s">
        <v>977</v>
      </c>
    </row>
    <row r="748" spans="1:11" ht="15" customHeight="1" x14ac:dyDescent="0.25">
      <c r="A748" s="26" t="s">
        <v>970</v>
      </c>
      <c r="B748" s="26" t="s">
        <v>388</v>
      </c>
      <c r="C748" s="26" t="s">
        <v>971</v>
      </c>
      <c r="D748" s="26" t="s">
        <v>978</v>
      </c>
      <c r="E748" s="26" t="s">
        <v>352</v>
      </c>
      <c r="F748" s="26" t="s">
        <v>391</v>
      </c>
      <c r="G748" s="26">
        <v>0</v>
      </c>
      <c r="H748" s="25" t="s">
        <v>95</v>
      </c>
      <c r="I748" s="25" t="s">
        <v>292</v>
      </c>
      <c r="J748" s="25"/>
      <c r="K748" s="26" t="s">
        <v>979</v>
      </c>
    </row>
    <row r="749" spans="1:11" ht="15" customHeight="1" x14ac:dyDescent="0.25">
      <c r="A749" s="26" t="s">
        <v>970</v>
      </c>
      <c r="B749" s="26" t="s">
        <v>388</v>
      </c>
      <c r="C749" s="26" t="s">
        <v>971</v>
      </c>
      <c r="D749" s="26" t="s">
        <v>161</v>
      </c>
      <c r="E749" s="26" t="s">
        <v>328</v>
      </c>
      <c r="F749" s="26" t="s">
        <v>391</v>
      </c>
      <c r="G749" s="26">
        <v>1</v>
      </c>
      <c r="H749" s="25" t="s">
        <v>95</v>
      </c>
      <c r="I749" s="25" t="s">
        <v>290</v>
      </c>
      <c r="J749" s="25"/>
      <c r="K749" s="26" t="s">
        <v>966</v>
      </c>
    </row>
    <row r="750" spans="1:11" ht="15" customHeight="1" x14ac:dyDescent="0.25">
      <c r="A750" s="26" t="s">
        <v>970</v>
      </c>
      <c r="B750" s="26" t="s">
        <v>388</v>
      </c>
      <c r="C750" s="26" t="s">
        <v>971</v>
      </c>
      <c r="D750" s="26" t="s">
        <v>980</v>
      </c>
      <c r="E750" s="26" t="s">
        <v>352</v>
      </c>
      <c r="F750" s="26" t="s">
        <v>391</v>
      </c>
      <c r="G750" s="26">
        <v>0</v>
      </c>
      <c r="H750" s="25" t="s">
        <v>334</v>
      </c>
      <c r="I750" s="25" t="s">
        <v>292</v>
      </c>
      <c r="J750" s="25"/>
      <c r="K750" s="26" t="s">
        <v>981</v>
      </c>
    </row>
    <row r="751" spans="1:11" ht="15" customHeight="1" x14ac:dyDescent="0.25">
      <c r="A751" s="26" t="s">
        <v>970</v>
      </c>
      <c r="B751" s="26" t="s">
        <v>388</v>
      </c>
      <c r="C751" s="26" t="s">
        <v>971</v>
      </c>
      <c r="D751" s="26" t="s">
        <v>414</v>
      </c>
      <c r="E751" s="26" t="s">
        <v>380</v>
      </c>
      <c r="F751" s="26" t="s">
        <v>391</v>
      </c>
      <c r="G751" s="26"/>
      <c r="H751" s="25" t="s">
        <v>95</v>
      </c>
      <c r="I751" s="25" t="s">
        <v>290</v>
      </c>
      <c r="J751" s="25"/>
      <c r="K751" s="26" t="s">
        <v>968</v>
      </c>
    </row>
    <row r="752" spans="1:11" ht="15" customHeight="1" x14ac:dyDescent="0.25">
      <c r="A752" s="26" t="s">
        <v>970</v>
      </c>
      <c r="B752" s="26" t="s">
        <v>388</v>
      </c>
      <c r="C752" s="26" t="s">
        <v>971</v>
      </c>
      <c r="D752" s="26" t="s">
        <v>949</v>
      </c>
      <c r="E752" s="26" t="s">
        <v>380</v>
      </c>
      <c r="F752" s="26" t="s">
        <v>391</v>
      </c>
      <c r="G752" s="26"/>
      <c r="H752" s="25" t="s">
        <v>95</v>
      </c>
      <c r="I752" s="25" t="s">
        <v>290</v>
      </c>
      <c r="J752" s="25"/>
      <c r="K752" s="26" t="s">
        <v>982</v>
      </c>
    </row>
    <row r="753" spans="1:11" ht="15" customHeight="1" x14ac:dyDescent="0.25">
      <c r="A753" s="26" t="s">
        <v>970</v>
      </c>
      <c r="B753" s="26" t="s">
        <v>388</v>
      </c>
      <c r="C753" s="26" t="s">
        <v>971</v>
      </c>
      <c r="D753" s="26" t="s">
        <v>951</v>
      </c>
      <c r="E753" s="26" t="s">
        <v>380</v>
      </c>
      <c r="F753" s="26" t="s">
        <v>391</v>
      </c>
      <c r="G753" s="26"/>
      <c r="H753" s="25" t="s">
        <v>95</v>
      </c>
      <c r="I753" s="25" t="s">
        <v>290</v>
      </c>
      <c r="J753" s="25"/>
      <c r="K753" s="26" t="s">
        <v>983</v>
      </c>
    </row>
    <row r="754" spans="1:11" ht="15" customHeight="1" x14ac:dyDescent="0.25">
      <c r="A754" s="26"/>
      <c r="B754" s="26"/>
      <c r="C754" s="26"/>
      <c r="D754" s="26"/>
      <c r="E754" s="26"/>
      <c r="F754" s="26"/>
      <c r="G754" s="26"/>
      <c r="H754" s="25"/>
      <c r="I754" s="25"/>
      <c r="J754" s="25"/>
      <c r="K754" s="26"/>
    </row>
    <row r="755" spans="1:11" ht="15" customHeight="1" x14ac:dyDescent="0.25">
      <c r="A755" s="26"/>
      <c r="B755" s="26"/>
      <c r="C755" s="26"/>
      <c r="D755" s="26"/>
      <c r="E755" s="26"/>
      <c r="F755" s="26"/>
      <c r="G755" s="26"/>
      <c r="H755" s="25"/>
      <c r="I755" s="25"/>
      <c r="J755" s="25"/>
      <c r="K755" s="26"/>
    </row>
    <row r="756" spans="1:11" ht="15" customHeight="1" x14ac:dyDescent="0.25">
      <c r="A756" s="26"/>
      <c r="B756" s="26"/>
      <c r="C756" s="26"/>
      <c r="D756" s="26"/>
      <c r="E756" s="26"/>
      <c r="F756" s="26"/>
      <c r="G756" s="26"/>
      <c r="H756" s="25"/>
      <c r="I756" s="25"/>
      <c r="J756" s="25"/>
      <c r="K756" s="26"/>
    </row>
    <row r="757" spans="1:11" ht="15" customHeight="1" x14ac:dyDescent="0.25">
      <c r="A757" s="26"/>
      <c r="B757" s="26"/>
      <c r="C757" s="26"/>
      <c r="D757" s="26"/>
      <c r="E757" s="26"/>
      <c r="F757" s="26"/>
      <c r="G757" s="26"/>
      <c r="H757" s="25"/>
      <c r="I757" s="25"/>
      <c r="J757" s="25"/>
      <c r="K757" s="26"/>
    </row>
    <row r="758" spans="1:11" ht="15" customHeight="1" x14ac:dyDescent="0.25">
      <c r="A758" s="26"/>
      <c r="B758" s="26"/>
      <c r="C758" s="26"/>
      <c r="D758" s="26"/>
      <c r="E758" s="26"/>
      <c r="F758" s="26"/>
      <c r="G758" s="26"/>
      <c r="H758" s="25"/>
      <c r="I758" s="25"/>
      <c r="J758" s="25"/>
      <c r="K758" s="26"/>
    </row>
    <row r="759" spans="1:11" ht="15" customHeight="1" x14ac:dyDescent="0.25">
      <c r="A759" s="26"/>
      <c r="B759" s="26"/>
      <c r="C759" s="26"/>
      <c r="D759" s="26"/>
      <c r="E759" s="26"/>
      <c r="F759" s="26"/>
      <c r="G759" s="26"/>
      <c r="H759" s="25"/>
      <c r="I759" s="25"/>
      <c r="J759" s="25"/>
      <c r="K759" s="26"/>
    </row>
    <row r="760" spans="1:11" ht="15" customHeight="1" x14ac:dyDescent="0.25">
      <c r="A760" s="26"/>
      <c r="B760" s="26"/>
      <c r="C760" s="26"/>
      <c r="D760" s="26"/>
      <c r="E760" s="26"/>
      <c r="F760" s="26"/>
      <c r="G760" s="26"/>
      <c r="H760" s="25"/>
      <c r="I760" s="25"/>
      <c r="J760" s="25"/>
      <c r="K760" s="26"/>
    </row>
    <row r="761" spans="1:11" ht="15" customHeight="1" x14ac:dyDescent="0.25">
      <c r="A761" s="26"/>
      <c r="B761" s="26"/>
      <c r="C761" s="26"/>
      <c r="D761" s="26"/>
      <c r="E761" s="26"/>
      <c r="F761" s="26"/>
      <c r="G761" s="26"/>
      <c r="H761" s="25"/>
      <c r="I761" s="25"/>
      <c r="J761" s="25"/>
      <c r="K761" s="26"/>
    </row>
    <row r="762" spans="1:11" ht="15" customHeight="1" x14ac:dyDescent="0.25">
      <c r="A762" s="26"/>
      <c r="B762" s="26"/>
      <c r="C762" s="26"/>
      <c r="D762" s="26"/>
      <c r="E762" s="26"/>
      <c r="F762" s="26"/>
      <c r="G762" s="26"/>
      <c r="H762" s="25"/>
      <c r="I762" s="25"/>
      <c r="J762" s="25"/>
      <c r="K762" s="26"/>
    </row>
    <row r="763" spans="1:11" ht="15" customHeight="1" x14ac:dyDescent="0.25">
      <c r="A763" s="26"/>
      <c r="B763" s="26"/>
      <c r="C763" s="26"/>
      <c r="D763" s="26"/>
      <c r="E763" s="26"/>
      <c r="F763" s="26"/>
      <c r="G763" s="26"/>
      <c r="H763" s="25"/>
      <c r="I763" s="25"/>
      <c r="J763" s="25"/>
      <c r="K763" s="26"/>
    </row>
    <row r="764" spans="1:11" ht="15" customHeight="1" x14ac:dyDescent="0.25">
      <c r="A764" s="26"/>
      <c r="B764" s="26"/>
      <c r="C764" s="26"/>
      <c r="D764" s="26"/>
      <c r="E764" s="26"/>
      <c r="F764" s="26"/>
      <c r="G764" s="26"/>
      <c r="H764" s="25"/>
      <c r="I764" s="25"/>
      <c r="J764" s="25"/>
      <c r="K764" s="26"/>
    </row>
    <row r="765" spans="1:11" ht="15" customHeight="1" x14ac:dyDescent="0.25">
      <c r="A765" s="26"/>
      <c r="B765" s="26"/>
      <c r="C765" s="26"/>
      <c r="D765" s="26"/>
      <c r="E765" s="26"/>
      <c r="F765" s="26"/>
      <c r="G765" s="26"/>
      <c r="H765" s="25"/>
      <c r="I765" s="25"/>
      <c r="J765" s="25"/>
      <c r="K765" s="26"/>
    </row>
    <row r="766" spans="1:11" ht="15" customHeight="1" x14ac:dyDescent="0.25">
      <c r="A766" s="26"/>
      <c r="B766" s="26"/>
      <c r="C766" s="26"/>
      <c r="D766" s="26"/>
      <c r="E766" s="26"/>
      <c r="F766" s="26"/>
      <c r="G766" s="26"/>
      <c r="H766" s="25"/>
      <c r="I766" s="25"/>
      <c r="J766" s="25"/>
      <c r="K766" s="26"/>
    </row>
    <row r="767" spans="1:11" ht="15" customHeight="1" x14ac:dyDescent="0.25">
      <c r="A767" s="26"/>
      <c r="B767" s="26"/>
      <c r="C767" s="26"/>
      <c r="D767" s="26"/>
      <c r="E767" s="26"/>
      <c r="F767" s="26"/>
      <c r="G767" s="26"/>
      <c r="H767" s="25"/>
      <c r="I767" s="25"/>
      <c r="J767" s="25"/>
      <c r="K767" s="26"/>
    </row>
    <row r="768" spans="1:11" ht="15" customHeight="1" x14ac:dyDescent="0.25">
      <c r="A768" s="26"/>
      <c r="B768" s="26"/>
      <c r="C768" s="26"/>
      <c r="D768" s="26"/>
      <c r="E768" s="26"/>
      <c r="F768" s="26"/>
      <c r="G768" s="26"/>
      <c r="H768" s="25"/>
      <c r="I768" s="25"/>
      <c r="J768" s="25"/>
      <c r="K768" s="26"/>
    </row>
    <row r="769" spans="1:11" ht="15" customHeight="1" x14ac:dyDescent="0.25">
      <c r="A769" s="26"/>
      <c r="B769" s="26"/>
      <c r="C769" s="26"/>
      <c r="D769" s="26"/>
      <c r="E769" s="26"/>
      <c r="F769" s="26"/>
      <c r="G769" s="26"/>
      <c r="H769" s="25"/>
      <c r="I769" s="25"/>
      <c r="J769" s="25"/>
      <c r="K769" s="26"/>
    </row>
    <row r="770" spans="1:11" ht="15" customHeight="1" x14ac:dyDescent="0.25">
      <c r="A770" s="26"/>
      <c r="B770" s="26"/>
      <c r="C770" s="26"/>
      <c r="D770" s="26"/>
      <c r="E770" s="26"/>
      <c r="F770" s="26"/>
      <c r="G770" s="26"/>
      <c r="H770" s="25"/>
      <c r="I770" s="25"/>
      <c r="J770" s="25"/>
      <c r="K770" s="26"/>
    </row>
    <row r="771" spans="1:11" ht="15" customHeight="1" x14ac:dyDescent="0.25">
      <c r="A771" s="26"/>
      <c r="B771" s="26"/>
      <c r="C771" s="26"/>
      <c r="D771" s="26"/>
      <c r="E771" s="26"/>
      <c r="F771" s="26"/>
      <c r="G771" s="26"/>
      <c r="H771" s="25"/>
      <c r="I771" s="25"/>
      <c r="J771" s="25"/>
      <c r="K771" s="26"/>
    </row>
    <row r="772" spans="1:11" ht="15" customHeight="1" x14ac:dyDescent="0.25">
      <c r="A772" s="26"/>
      <c r="B772" s="26"/>
      <c r="C772" s="26"/>
      <c r="D772" s="26"/>
      <c r="E772" s="26"/>
      <c r="F772" s="26"/>
      <c r="G772" s="26"/>
      <c r="H772" s="25"/>
      <c r="I772" s="25"/>
      <c r="J772" s="25"/>
      <c r="K772" s="26"/>
    </row>
    <row r="773" spans="1:11" ht="15" customHeight="1" x14ac:dyDescent="0.25">
      <c r="A773" s="26"/>
      <c r="B773" s="26"/>
      <c r="C773" s="26"/>
      <c r="D773" s="26"/>
      <c r="E773" s="26"/>
      <c r="F773" s="26"/>
      <c r="G773" s="26"/>
      <c r="H773" s="25"/>
      <c r="I773" s="25"/>
      <c r="J773" s="25"/>
      <c r="K773" s="26"/>
    </row>
    <row r="774" spans="1:11" ht="15" customHeight="1" x14ac:dyDescent="0.25">
      <c r="A774" s="26"/>
      <c r="B774" s="26"/>
      <c r="C774" s="26"/>
      <c r="D774" s="26"/>
      <c r="E774" s="26"/>
      <c r="F774" s="26"/>
      <c r="G774" s="26"/>
      <c r="H774" s="25"/>
      <c r="I774" s="25"/>
      <c r="J774" s="25"/>
      <c r="K774" s="26"/>
    </row>
    <row r="775" spans="1:11" ht="15" customHeight="1" x14ac:dyDescent="0.25">
      <c r="A775" s="26"/>
      <c r="B775" s="26"/>
      <c r="C775" s="26"/>
      <c r="D775" s="26"/>
      <c r="E775" s="26"/>
      <c r="F775" s="26"/>
      <c r="G775" s="26"/>
      <c r="H775" s="25"/>
      <c r="I775" s="25"/>
      <c r="J775" s="25"/>
      <c r="K775" s="26"/>
    </row>
    <row r="776" spans="1:11" ht="15" customHeight="1" x14ac:dyDescent="0.25">
      <c r="A776" s="26"/>
      <c r="B776" s="26"/>
      <c r="C776" s="26"/>
      <c r="D776" s="26"/>
      <c r="E776" s="26"/>
      <c r="F776" s="26"/>
      <c r="G776" s="26"/>
      <c r="H776" s="25"/>
      <c r="I776" s="25"/>
      <c r="J776" s="25"/>
      <c r="K776" s="26"/>
    </row>
    <row r="777" spans="1:11" ht="15" customHeight="1" x14ac:dyDescent="0.25">
      <c r="A777" s="26"/>
      <c r="B777" s="26"/>
      <c r="C777" s="26"/>
      <c r="D777" s="26"/>
      <c r="E777" s="26"/>
      <c r="F777" s="26"/>
      <c r="G777" s="26"/>
      <c r="H777" s="25"/>
      <c r="I777" s="25"/>
      <c r="J777" s="25"/>
      <c r="K777" s="26"/>
    </row>
    <row r="778" spans="1:11" ht="15" customHeight="1" x14ac:dyDescent="0.25">
      <c r="A778" s="26"/>
      <c r="B778" s="26"/>
      <c r="C778" s="26"/>
      <c r="D778" s="26"/>
      <c r="E778" s="26"/>
      <c r="F778" s="26"/>
      <c r="G778" s="26"/>
      <c r="H778" s="25"/>
      <c r="I778" s="25"/>
      <c r="J778" s="25"/>
      <c r="K778" s="26"/>
    </row>
    <row r="779" spans="1:11" ht="15" customHeight="1" x14ac:dyDescent="0.25">
      <c r="A779" s="26"/>
      <c r="B779" s="26"/>
      <c r="C779" s="26"/>
      <c r="D779" s="26"/>
      <c r="E779" s="26"/>
      <c r="F779" s="26"/>
      <c r="G779" s="26"/>
      <c r="H779" s="25"/>
      <c r="I779" s="25"/>
      <c r="J779" s="25"/>
      <c r="K779" s="26"/>
    </row>
    <row r="780" spans="1:11" ht="15" customHeight="1" x14ac:dyDescent="0.25">
      <c r="A780" s="26"/>
      <c r="B780" s="26"/>
      <c r="C780" s="26"/>
      <c r="D780" s="26"/>
      <c r="E780" s="26"/>
      <c r="F780" s="26"/>
      <c r="G780" s="26"/>
      <c r="H780" s="25"/>
      <c r="I780" s="25"/>
      <c r="J780" s="25"/>
      <c r="K780" s="26"/>
    </row>
    <row r="781" spans="1:11" ht="15" customHeight="1" x14ac:dyDescent="0.25">
      <c r="A781" s="26"/>
      <c r="B781" s="26"/>
      <c r="C781" s="26"/>
      <c r="D781" s="26"/>
      <c r="E781" s="26"/>
      <c r="F781" s="26"/>
      <c r="G781" s="26"/>
      <c r="H781" s="25"/>
      <c r="I781" s="25"/>
      <c r="J781" s="25"/>
      <c r="K781" s="26"/>
    </row>
    <row r="782" spans="1:11" ht="15" customHeight="1" x14ac:dyDescent="0.25">
      <c r="A782" s="26"/>
      <c r="B782" s="26"/>
      <c r="C782" s="26"/>
      <c r="D782" s="26"/>
      <c r="E782" s="26"/>
      <c r="F782" s="26"/>
      <c r="G782" s="26"/>
      <c r="H782" s="25"/>
      <c r="I782" s="25"/>
      <c r="J782" s="25"/>
      <c r="K782" s="26"/>
    </row>
    <row r="783" spans="1:11" ht="15" customHeight="1" x14ac:dyDescent="0.25">
      <c r="A783" s="26"/>
      <c r="B783" s="26"/>
      <c r="C783" s="26"/>
      <c r="D783" s="26"/>
      <c r="E783" s="26"/>
      <c r="F783" s="26"/>
      <c r="G783" s="26"/>
      <c r="H783" s="25"/>
      <c r="I783" s="25"/>
      <c r="J783" s="25"/>
      <c r="K783" s="26"/>
    </row>
    <row r="784" spans="1:11" ht="15" customHeight="1" x14ac:dyDescent="0.25">
      <c r="A784" s="26"/>
      <c r="B784" s="26"/>
      <c r="C784" s="26"/>
      <c r="D784" s="26"/>
      <c r="E784" s="26"/>
      <c r="F784" s="26"/>
      <c r="G784" s="26"/>
      <c r="H784" s="25"/>
      <c r="I784" s="25"/>
      <c r="J784" s="25"/>
      <c r="K784" s="26"/>
    </row>
    <row r="785" spans="1:11" ht="15" customHeight="1" x14ac:dyDescent="0.25">
      <c r="A785" s="26"/>
      <c r="B785" s="26"/>
      <c r="C785" s="26"/>
      <c r="D785" s="26"/>
      <c r="E785" s="26"/>
      <c r="F785" s="26"/>
      <c r="G785" s="26"/>
      <c r="H785" s="25"/>
      <c r="I785" s="25"/>
      <c r="J785" s="25"/>
      <c r="K785" s="26"/>
    </row>
    <row r="786" spans="1:11" ht="15" customHeight="1" x14ac:dyDescent="0.25">
      <c r="A786" s="26"/>
      <c r="B786" s="26"/>
      <c r="C786" s="26"/>
      <c r="D786" s="26"/>
      <c r="E786" s="26"/>
      <c r="F786" s="26"/>
      <c r="G786" s="26"/>
      <c r="H786" s="25"/>
      <c r="I786" s="25"/>
      <c r="J786" s="25"/>
      <c r="K786" s="26"/>
    </row>
    <row r="787" spans="1:11" ht="15" customHeight="1" x14ac:dyDescent="0.25">
      <c r="A787" s="26"/>
      <c r="B787" s="26"/>
      <c r="C787" s="26"/>
      <c r="D787" s="26"/>
      <c r="E787" s="26"/>
      <c r="F787" s="26"/>
      <c r="G787" s="26"/>
      <c r="H787" s="25"/>
      <c r="I787" s="25"/>
      <c r="J787" s="25"/>
      <c r="K787" s="26"/>
    </row>
    <row r="788" spans="1:11" ht="15" customHeight="1" x14ac:dyDescent="0.25">
      <c r="A788" s="26"/>
      <c r="B788" s="26"/>
      <c r="C788" s="26"/>
      <c r="D788" s="26"/>
      <c r="E788" s="26"/>
      <c r="F788" s="26"/>
      <c r="G788" s="26"/>
      <c r="H788" s="25"/>
      <c r="I788" s="25"/>
      <c r="J788" s="25"/>
      <c r="K788" s="26"/>
    </row>
    <row r="789" spans="1:11" ht="15" customHeight="1" x14ac:dyDescent="0.25">
      <c r="A789" s="26"/>
      <c r="B789" s="26"/>
      <c r="C789" s="26"/>
      <c r="D789" s="26"/>
      <c r="E789" s="26"/>
      <c r="F789" s="26"/>
      <c r="G789" s="26"/>
      <c r="H789" s="25"/>
      <c r="I789" s="25"/>
      <c r="J789" s="25"/>
      <c r="K789" s="26"/>
    </row>
    <row r="790" spans="1:11" ht="15" customHeight="1" x14ac:dyDescent="0.25">
      <c r="A790" s="26"/>
      <c r="B790" s="26"/>
      <c r="C790" s="26"/>
      <c r="D790" s="26"/>
      <c r="E790" s="26"/>
      <c r="F790" s="26"/>
      <c r="G790" s="26"/>
      <c r="H790" s="25"/>
      <c r="I790" s="25"/>
      <c r="J790" s="25"/>
      <c r="K790" s="26"/>
    </row>
    <row r="791" spans="1:11" ht="15" customHeight="1" x14ac:dyDescent="0.25">
      <c r="A791" s="26"/>
      <c r="B791" s="26"/>
      <c r="C791" s="26"/>
      <c r="D791" s="26"/>
      <c r="E791" s="26"/>
      <c r="F791" s="26"/>
      <c r="G791" s="26"/>
      <c r="H791" s="25"/>
      <c r="I791" s="25"/>
      <c r="J791" s="25"/>
      <c r="K791" s="26"/>
    </row>
    <row r="792" spans="1:11" ht="15" customHeight="1" x14ac:dyDescent="0.25">
      <c r="A792" s="26"/>
      <c r="B792" s="26"/>
      <c r="C792" s="26"/>
      <c r="D792" s="26"/>
      <c r="E792" s="26"/>
      <c r="F792" s="26"/>
      <c r="G792" s="26"/>
      <c r="H792" s="25"/>
      <c r="I792" s="25"/>
      <c r="J792" s="25"/>
      <c r="K792" s="26"/>
    </row>
    <row r="793" spans="1:11" ht="15" customHeight="1" x14ac:dyDescent="0.25">
      <c r="A793" s="26"/>
      <c r="B793" s="26"/>
      <c r="C793" s="26"/>
      <c r="D793" s="26"/>
      <c r="E793" s="26"/>
      <c r="F793" s="26"/>
      <c r="G793" s="26"/>
      <c r="H793" s="25"/>
      <c r="I793" s="25"/>
      <c r="J793" s="25"/>
      <c r="K793" s="26"/>
    </row>
    <row r="794" spans="1:11" ht="15" customHeight="1" x14ac:dyDescent="0.25">
      <c r="A794" s="26"/>
      <c r="B794" s="26"/>
      <c r="C794" s="26"/>
      <c r="D794" s="26"/>
      <c r="E794" s="26"/>
      <c r="F794" s="26"/>
      <c r="G794" s="26"/>
      <c r="H794" s="25"/>
      <c r="I794" s="25"/>
      <c r="J794" s="25"/>
      <c r="K794" s="26"/>
    </row>
    <row r="795" spans="1:11" ht="15" customHeight="1" x14ac:dyDescent="0.25">
      <c r="A795" s="26"/>
      <c r="B795" s="26"/>
      <c r="C795" s="26"/>
      <c r="D795" s="26"/>
      <c r="E795" s="26"/>
      <c r="F795" s="26"/>
      <c r="G795" s="26"/>
      <c r="H795" s="25"/>
      <c r="I795" s="25"/>
      <c r="J795" s="25"/>
      <c r="K795" s="26"/>
    </row>
    <row r="796" spans="1:11" ht="15" customHeight="1" x14ac:dyDescent="0.25">
      <c r="A796" s="26"/>
      <c r="B796" s="26"/>
      <c r="C796" s="26"/>
      <c r="D796" s="26"/>
      <c r="E796" s="26"/>
      <c r="F796" s="26"/>
      <c r="G796" s="26"/>
      <c r="H796" s="25"/>
      <c r="I796" s="25"/>
      <c r="J796" s="25"/>
      <c r="K796" s="26"/>
    </row>
    <row r="797" spans="1:11" ht="15" customHeight="1" x14ac:dyDescent="0.25">
      <c r="A797" s="26"/>
      <c r="B797" s="26"/>
      <c r="C797" s="26"/>
      <c r="D797" s="26"/>
      <c r="E797" s="26"/>
      <c r="F797" s="26"/>
      <c r="G797" s="26"/>
      <c r="H797" s="25"/>
      <c r="I797" s="25"/>
      <c r="J797" s="25"/>
      <c r="K797" s="26"/>
    </row>
    <row r="798" spans="1:11" ht="15" customHeight="1" x14ac:dyDescent="0.25">
      <c r="A798" s="26"/>
      <c r="B798" s="26"/>
      <c r="C798" s="26"/>
      <c r="D798" s="26"/>
      <c r="E798" s="26"/>
      <c r="F798" s="26"/>
      <c r="G798" s="26"/>
      <c r="H798" s="25"/>
      <c r="I798" s="25"/>
      <c r="J798" s="25"/>
      <c r="K798" s="26"/>
    </row>
    <row r="799" spans="1:11" ht="15" customHeight="1" x14ac:dyDescent="0.25">
      <c r="A799" s="26"/>
      <c r="B799" s="26"/>
      <c r="C799" s="26"/>
      <c r="D799" s="26"/>
      <c r="E799" s="26"/>
      <c r="F799" s="26"/>
      <c r="G799" s="26"/>
      <c r="H799" s="25"/>
      <c r="I799" s="25"/>
      <c r="J799" s="25"/>
      <c r="K799" s="26"/>
    </row>
    <row r="800" spans="1:11" ht="15" customHeight="1" x14ac:dyDescent="0.25">
      <c r="A800" s="26"/>
      <c r="B800" s="26"/>
      <c r="C800" s="26"/>
      <c r="D800" s="26"/>
      <c r="E800" s="26"/>
      <c r="F800" s="26"/>
      <c r="G800" s="26"/>
      <c r="H800" s="25"/>
      <c r="I800" s="25"/>
      <c r="J800" s="25"/>
      <c r="K800" s="26"/>
    </row>
    <row r="801" spans="1:11" ht="15" customHeight="1" x14ac:dyDescent="0.25">
      <c r="A801" s="26"/>
      <c r="B801" s="26"/>
      <c r="C801" s="26"/>
      <c r="D801" s="26"/>
      <c r="E801" s="26"/>
      <c r="F801" s="26"/>
      <c r="G801" s="26"/>
      <c r="H801" s="25"/>
      <c r="I801" s="25"/>
      <c r="J801" s="25"/>
      <c r="K801" s="26"/>
    </row>
    <row r="802" spans="1:11" ht="15" customHeight="1" x14ac:dyDescent="0.25">
      <c r="A802" s="26"/>
      <c r="B802" s="26"/>
      <c r="C802" s="26"/>
      <c r="D802" s="26"/>
      <c r="E802" s="26"/>
      <c r="F802" s="26"/>
      <c r="G802" s="26"/>
      <c r="H802" s="25"/>
      <c r="I802" s="25"/>
      <c r="J802" s="25"/>
      <c r="K802" s="26"/>
    </row>
    <row r="803" spans="1:11" ht="15" customHeight="1" x14ac:dyDescent="0.25">
      <c r="A803" s="26"/>
      <c r="B803" s="26"/>
      <c r="C803" s="26"/>
      <c r="D803" s="26"/>
      <c r="E803" s="26"/>
      <c r="F803" s="26"/>
      <c r="G803" s="26"/>
      <c r="H803" s="25"/>
      <c r="I803" s="25"/>
      <c r="J803" s="25"/>
      <c r="K803" s="26"/>
    </row>
    <row r="804" spans="1:11" ht="15" customHeight="1" x14ac:dyDescent="0.25">
      <c r="A804" s="26"/>
      <c r="B804" s="26"/>
      <c r="C804" s="26"/>
      <c r="D804" s="26"/>
      <c r="E804" s="26"/>
      <c r="F804" s="26"/>
      <c r="G804" s="26"/>
      <c r="H804" s="25"/>
      <c r="I804" s="25"/>
      <c r="J804" s="25"/>
      <c r="K804" s="26"/>
    </row>
    <row r="805" spans="1:11" ht="15" customHeight="1" x14ac:dyDescent="0.25">
      <c r="A805" s="26"/>
      <c r="B805" s="26"/>
      <c r="C805" s="26"/>
      <c r="D805" s="26"/>
      <c r="E805" s="26"/>
      <c r="F805" s="26"/>
      <c r="G805" s="26"/>
      <c r="H805" s="25"/>
      <c r="I805" s="25"/>
      <c r="J805" s="25"/>
      <c r="K805" s="26"/>
    </row>
    <row r="806" spans="1:11" ht="15" customHeight="1" x14ac:dyDescent="0.25">
      <c r="A806" s="26"/>
      <c r="B806" s="26"/>
      <c r="C806" s="26"/>
      <c r="D806" s="26"/>
      <c r="E806" s="26"/>
      <c r="F806" s="26"/>
      <c r="G806" s="26"/>
      <c r="H806" s="25"/>
      <c r="I806" s="25"/>
      <c r="J806" s="25"/>
      <c r="K806" s="26"/>
    </row>
    <row r="807" spans="1:11" ht="15" customHeight="1" x14ac:dyDescent="0.25">
      <c r="A807" s="26"/>
      <c r="B807" s="26"/>
      <c r="C807" s="26"/>
      <c r="D807" s="26"/>
      <c r="E807" s="26"/>
      <c r="F807" s="26"/>
      <c r="G807" s="26"/>
      <c r="H807" s="25"/>
      <c r="I807" s="25"/>
      <c r="J807" s="25"/>
      <c r="K807" s="26"/>
    </row>
    <row r="808" spans="1:11" ht="15" customHeight="1" x14ac:dyDescent="0.25">
      <c r="A808" s="26"/>
      <c r="B808" s="26"/>
      <c r="C808" s="26"/>
      <c r="D808" s="26"/>
      <c r="E808" s="26"/>
      <c r="F808" s="26"/>
      <c r="G808" s="26"/>
      <c r="H808" s="25"/>
      <c r="I808" s="25"/>
      <c r="J808" s="25"/>
      <c r="K808" s="26"/>
    </row>
    <row r="809" spans="1:11" ht="15" customHeight="1" x14ac:dyDescent="0.25">
      <c r="A809" s="26"/>
      <c r="B809" s="26"/>
      <c r="C809" s="26"/>
      <c r="D809" s="26"/>
      <c r="E809" s="26"/>
      <c r="F809" s="26"/>
      <c r="G809" s="26"/>
      <c r="H809" s="25"/>
      <c r="I809" s="25"/>
      <c r="J809" s="25"/>
      <c r="K809" s="26"/>
    </row>
    <row r="810" spans="1:11" ht="15" customHeight="1" x14ac:dyDescent="0.25">
      <c r="A810" s="26"/>
      <c r="B810" s="26"/>
      <c r="C810" s="26"/>
      <c r="D810" s="26"/>
      <c r="E810" s="26"/>
      <c r="F810" s="26"/>
      <c r="G810" s="26"/>
      <c r="H810" s="25"/>
      <c r="I810" s="25"/>
      <c r="J810" s="25"/>
      <c r="K810" s="26"/>
    </row>
    <row r="811" spans="1:11" ht="15" customHeight="1" x14ac:dyDescent="0.25">
      <c r="A811" s="26"/>
      <c r="B811" s="26"/>
      <c r="C811" s="26"/>
      <c r="D811" s="26"/>
      <c r="E811" s="26"/>
      <c r="F811" s="26"/>
      <c r="G811" s="26"/>
      <c r="H811" s="25"/>
      <c r="I811" s="25"/>
      <c r="J811" s="25"/>
      <c r="K811" s="26"/>
    </row>
    <row r="812" spans="1:11" ht="15" customHeight="1" x14ac:dyDescent="0.25">
      <c r="A812" s="26"/>
      <c r="B812" s="26"/>
      <c r="C812" s="26"/>
      <c r="D812" s="26"/>
      <c r="E812" s="26"/>
      <c r="F812" s="26"/>
      <c r="G812" s="26"/>
      <c r="H812" s="25"/>
      <c r="I812" s="25"/>
      <c r="J812" s="25"/>
      <c r="K812" s="26"/>
    </row>
    <row r="813" spans="1:11" ht="15" customHeight="1" x14ac:dyDescent="0.25">
      <c r="A813" s="26"/>
      <c r="B813" s="26"/>
      <c r="C813" s="26"/>
      <c r="D813" s="26"/>
      <c r="E813" s="26"/>
      <c r="F813" s="26"/>
      <c r="G813" s="26"/>
      <c r="H813" s="25"/>
      <c r="I813" s="25"/>
      <c r="J813" s="25"/>
      <c r="K813" s="26"/>
    </row>
    <row r="814" spans="1:11" ht="15" customHeight="1" x14ac:dyDescent="0.25">
      <c r="A814" s="26"/>
      <c r="B814" s="26"/>
      <c r="C814" s="26"/>
      <c r="D814" s="26"/>
      <c r="E814" s="26"/>
      <c r="F814" s="26"/>
      <c r="G814" s="26"/>
      <c r="H814" s="25"/>
      <c r="I814" s="25"/>
      <c r="J814" s="25"/>
      <c r="K814" s="26"/>
    </row>
    <row r="815" spans="1:11" ht="15" customHeight="1" x14ac:dyDescent="0.25">
      <c r="A815" s="26"/>
      <c r="B815" s="26"/>
      <c r="C815" s="26"/>
      <c r="D815" s="26"/>
      <c r="E815" s="26"/>
      <c r="F815" s="26"/>
      <c r="G815" s="26"/>
      <c r="H815" s="25"/>
      <c r="I815" s="25"/>
      <c r="J815" s="25"/>
      <c r="K815" s="26"/>
    </row>
    <row r="816" spans="1:11" ht="15" customHeight="1" x14ac:dyDescent="0.25">
      <c r="A816" s="26"/>
      <c r="B816" s="26"/>
      <c r="C816" s="26"/>
      <c r="D816" s="26"/>
      <c r="E816" s="26"/>
      <c r="F816" s="26"/>
      <c r="G816" s="26"/>
      <c r="H816" s="25"/>
      <c r="I816" s="25"/>
      <c r="J816" s="25"/>
      <c r="K816" s="26"/>
    </row>
    <row r="817" spans="1:11" ht="15" customHeight="1" x14ac:dyDescent="0.25">
      <c r="A817" s="26"/>
      <c r="B817" s="26"/>
      <c r="C817" s="26"/>
      <c r="D817" s="26"/>
      <c r="E817" s="26"/>
      <c r="F817" s="26"/>
      <c r="G817" s="26"/>
      <c r="H817" s="25"/>
      <c r="I817" s="25"/>
      <c r="J817" s="25"/>
      <c r="K817" s="26"/>
    </row>
    <row r="818" spans="1:11" ht="15" customHeight="1" x14ac:dyDescent="0.25">
      <c r="A818" s="26"/>
      <c r="B818" s="26"/>
      <c r="C818" s="26"/>
      <c r="D818" s="26"/>
      <c r="E818" s="26"/>
      <c r="F818" s="26"/>
      <c r="G818" s="26"/>
      <c r="H818" s="25"/>
      <c r="I818" s="25"/>
      <c r="J818" s="25"/>
      <c r="K818" s="26"/>
    </row>
    <row r="819" spans="1:11" ht="15" customHeight="1" x14ac:dyDescent="0.25">
      <c r="A819" s="26"/>
      <c r="B819" s="26"/>
      <c r="C819" s="26"/>
      <c r="D819" s="26"/>
      <c r="E819" s="26"/>
      <c r="F819" s="26"/>
      <c r="G819" s="26"/>
      <c r="H819" s="25"/>
      <c r="I819" s="25"/>
      <c r="J819" s="25"/>
      <c r="K819" s="26"/>
    </row>
    <row r="820" spans="1:11" ht="15" customHeight="1" x14ac:dyDescent="0.25">
      <c r="A820" s="26"/>
      <c r="B820" s="26"/>
      <c r="C820" s="26"/>
      <c r="D820" s="26"/>
      <c r="E820" s="26"/>
      <c r="F820" s="26"/>
      <c r="G820" s="26"/>
      <c r="H820" s="25"/>
      <c r="I820" s="25"/>
      <c r="J820" s="25"/>
      <c r="K820" s="26"/>
    </row>
    <row r="821" spans="1:11" ht="15" customHeight="1" x14ac:dyDescent="0.25">
      <c r="A821" s="26"/>
      <c r="B821" s="26"/>
      <c r="C821" s="26"/>
      <c r="D821" s="26"/>
      <c r="E821" s="26"/>
      <c r="F821" s="26"/>
      <c r="G821" s="26"/>
      <c r="H821" s="25"/>
      <c r="I821" s="25"/>
      <c r="J821" s="25"/>
      <c r="K821" s="26"/>
    </row>
    <row r="822" spans="1:11" ht="15" customHeight="1" x14ac:dyDescent="0.25">
      <c r="A822" s="26"/>
      <c r="B822" s="26"/>
      <c r="C822" s="26"/>
      <c r="D822" s="26"/>
      <c r="E822" s="26"/>
      <c r="F822" s="26"/>
      <c r="G822" s="26"/>
      <c r="H822" s="25"/>
      <c r="I822" s="25"/>
      <c r="J822" s="25"/>
      <c r="K822" s="26"/>
    </row>
    <row r="823" spans="1:11" ht="15" customHeight="1" x14ac:dyDescent="0.25">
      <c r="A823" s="26"/>
      <c r="B823" s="26"/>
      <c r="C823" s="26"/>
      <c r="D823" s="26"/>
      <c r="E823" s="26"/>
      <c r="F823" s="26"/>
      <c r="G823" s="26"/>
      <c r="H823" s="25"/>
      <c r="I823" s="25"/>
      <c r="J823" s="25"/>
      <c r="K823" s="26"/>
    </row>
    <row r="824" spans="1:11" ht="15" customHeight="1" x14ac:dyDescent="0.25">
      <c r="A824" s="26"/>
      <c r="B824" s="26"/>
      <c r="C824" s="26"/>
      <c r="D824" s="26"/>
      <c r="E824" s="26"/>
      <c r="F824" s="26"/>
      <c r="G824" s="26"/>
      <c r="H824" s="25"/>
      <c r="I824" s="25"/>
      <c r="J824" s="25"/>
      <c r="K824" s="26"/>
    </row>
    <row r="825" spans="1:11" ht="15" customHeight="1" x14ac:dyDescent="0.25">
      <c r="A825" s="26"/>
      <c r="B825" s="26"/>
      <c r="C825" s="26"/>
      <c r="D825" s="26"/>
      <c r="E825" s="26"/>
      <c r="F825" s="26"/>
      <c r="G825" s="26"/>
      <c r="H825" s="25"/>
      <c r="I825" s="25"/>
      <c r="J825" s="25"/>
      <c r="K825" s="26"/>
    </row>
    <row r="826" spans="1:11" ht="15" customHeight="1" x14ac:dyDescent="0.25">
      <c r="A826" s="26"/>
      <c r="B826" s="26"/>
      <c r="C826" s="26"/>
      <c r="D826" s="26"/>
      <c r="E826" s="26"/>
      <c r="F826" s="26"/>
      <c r="G826" s="26"/>
      <c r="H826" s="25"/>
      <c r="I826" s="25"/>
      <c r="J826" s="25"/>
      <c r="K826" s="26"/>
    </row>
    <row r="827" spans="1:11" ht="15" customHeight="1" x14ac:dyDescent="0.25">
      <c r="A827" s="26"/>
      <c r="B827" s="26"/>
      <c r="C827" s="26"/>
      <c r="D827" s="26"/>
      <c r="E827" s="26"/>
      <c r="F827" s="26"/>
      <c r="G827" s="26"/>
      <c r="H827" s="25"/>
      <c r="I827" s="25"/>
      <c r="J827" s="25"/>
      <c r="K827" s="26"/>
    </row>
    <row r="828" spans="1:11" ht="15" customHeight="1" x14ac:dyDescent="0.25">
      <c r="A828" s="26"/>
      <c r="B828" s="26"/>
      <c r="C828" s="26"/>
      <c r="D828" s="26"/>
      <c r="E828" s="26"/>
      <c r="F828" s="26"/>
      <c r="G828" s="26"/>
      <c r="H828" s="25"/>
      <c r="I828" s="25"/>
      <c r="J828" s="25"/>
      <c r="K828" s="26"/>
    </row>
    <row r="829" spans="1:11" ht="15" customHeight="1" x14ac:dyDescent="0.25">
      <c r="A829" s="26"/>
      <c r="B829" s="26"/>
      <c r="C829" s="26"/>
      <c r="D829" s="26"/>
      <c r="E829" s="26"/>
      <c r="F829" s="26"/>
      <c r="G829" s="26"/>
      <c r="H829" s="25"/>
      <c r="I829" s="25"/>
      <c r="J829" s="25"/>
      <c r="K829" s="26"/>
    </row>
    <row r="830" spans="1:11" ht="15" customHeight="1" x14ac:dyDescent="0.25">
      <c r="A830" s="26"/>
      <c r="B830" s="26"/>
      <c r="C830" s="26"/>
      <c r="D830" s="26"/>
      <c r="E830" s="26"/>
      <c r="F830" s="26"/>
      <c r="G830" s="26"/>
      <c r="H830" s="25"/>
      <c r="I830" s="25"/>
      <c r="J830" s="25"/>
      <c r="K830" s="26"/>
    </row>
    <row r="831" spans="1:11" ht="15" customHeight="1" x14ac:dyDescent="0.25">
      <c r="A831" s="26"/>
      <c r="B831" s="26"/>
      <c r="C831" s="26"/>
      <c r="D831" s="26"/>
      <c r="E831" s="26"/>
      <c r="F831" s="26"/>
      <c r="G831" s="26"/>
      <c r="H831" s="25"/>
      <c r="I831" s="25"/>
      <c r="J831" s="25"/>
      <c r="K831" s="26"/>
    </row>
    <row r="832" spans="1:11" ht="15" customHeight="1" x14ac:dyDescent="0.25">
      <c r="A832" s="26"/>
      <c r="B832" s="26"/>
      <c r="C832" s="26"/>
      <c r="D832" s="26"/>
      <c r="E832" s="26"/>
      <c r="F832" s="26"/>
      <c r="G832" s="26"/>
      <c r="H832" s="25"/>
      <c r="I832" s="25"/>
      <c r="J832" s="25"/>
      <c r="K832" s="26"/>
    </row>
    <row r="833" spans="1:11" ht="15" customHeight="1" x14ac:dyDescent="0.25">
      <c r="A833" s="26"/>
      <c r="B833" s="26"/>
      <c r="C833" s="26"/>
      <c r="D833" s="26"/>
      <c r="E833" s="26"/>
      <c r="F833" s="26"/>
      <c r="G833" s="26"/>
      <c r="H833" s="25"/>
      <c r="I833" s="25"/>
      <c r="J833" s="25"/>
      <c r="K833" s="26"/>
    </row>
    <row r="834" spans="1:11" ht="15" customHeight="1" x14ac:dyDescent="0.25">
      <c r="A834" s="26"/>
      <c r="B834" s="26"/>
      <c r="C834" s="26"/>
      <c r="D834" s="26"/>
      <c r="E834" s="26"/>
      <c r="F834" s="26"/>
      <c r="G834" s="26"/>
      <c r="H834" s="25"/>
      <c r="I834" s="25"/>
      <c r="J834" s="25"/>
      <c r="K834" s="26"/>
    </row>
    <row r="835" spans="1:11" ht="15" customHeight="1" x14ac:dyDescent="0.25">
      <c r="A835" s="26"/>
      <c r="B835" s="26"/>
      <c r="C835" s="26"/>
      <c r="D835" s="26"/>
      <c r="E835" s="26"/>
      <c r="F835" s="26"/>
      <c r="G835" s="26"/>
      <c r="H835" s="25"/>
      <c r="I835" s="25"/>
      <c r="J835" s="25"/>
      <c r="K835" s="26"/>
    </row>
    <row r="836" spans="1:11" ht="15" customHeight="1" x14ac:dyDescent="0.25">
      <c r="A836" s="26"/>
      <c r="B836" s="26"/>
      <c r="C836" s="26"/>
      <c r="D836" s="26"/>
      <c r="E836" s="26"/>
      <c r="F836" s="26"/>
      <c r="G836" s="26"/>
      <c r="H836" s="25"/>
      <c r="I836" s="25"/>
      <c r="J836" s="25"/>
      <c r="K836" s="26"/>
    </row>
    <row r="837" spans="1:11" ht="15" customHeight="1" x14ac:dyDescent="0.25">
      <c r="A837" s="26"/>
      <c r="B837" s="26"/>
      <c r="C837" s="26"/>
      <c r="D837" s="26"/>
      <c r="E837" s="26"/>
      <c r="F837" s="26"/>
      <c r="G837" s="26"/>
      <c r="H837" s="25"/>
      <c r="I837" s="25"/>
      <c r="J837" s="25"/>
      <c r="K837" s="26"/>
    </row>
    <row r="838" spans="1:11" ht="15" customHeight="1" x14ac:dyDescent="0.25">
      <c r="A838" s="26"/>
      <c r="B838" s="26"/>
      <c r="C838" s="26"/>
      <c r="D838" s="26"/>
      <c r="E838" s="26"/>
      <c r="F838" s="26"/>
      <c r="G838" s="26"/>
      <c r="H838" s="25"/>
      <c r="I838" s="25"/>
      <c r="J838" s="25"/>
      <c r="K838" s="26"/>
    </row>
    <row r="839" spans="1:11" ht="15" customHeight="1" x14ac:dyDescent="0.25">
      <c r="A839" s="26"/>
      <c r="B839" s="26"/>
      <c r="C839" s="26"/>
      <c r="D839" s="26"/>
      <c r="E839" s="26"/>
      <c r="F839" s="26"/>
      <c r="G839" s="26"/>
      <c r="H839" s="25"/>
      <c r="I839" s="25"/>
      <c r="J839" s="25"/>
      <c r="K839" s="26"/>
    </row>
    <row r="840" spans="1:11" ht="15" customHeight="1" x14ac:dyDescent="0.25">
      <c r="A840" s="26"/>
      <c r="B840" s="26"/>
      <c r="C840" s="26"/>
      <c r="D840" s="26"/>
      <c r="E840" s="26"/>
      <c r="F840" s="26"/>
      <c r="G840" s="26"/>
      <c r="H840" s="25"/>
      <c r="I840" s="25"/>
      <c r="J840" s="25"/>
      <c r="K840" s="26"/>
    </row>
    <row r="841" spans="1:11" ht="15" customHeight="1" x14ac:dyDescent="0.25">
      <c r="A841" s="26"/>
      <c r="B841" s="26"/>
      <c r="C841" s="26"/>
      <c r="D841" s="26"/>
      <c r="E841" s="26"/>
      <c r="F841" s="26"/>
      <c r="G841" s="26"/>
      <c r="H841" s="25"/>
      <c r="I841" s="25"/>
      <c r="J841" s="25"/>
      <c r="K841" s="26"/>
    </row>
    <row r="842" spans="1:11" ht="15" customHeight="1" x14ac:dyDescent="0.25">
      <c r="A842" s="26"/>
      <c r="B842" s="26"/>
      <c r="C842" s="26"/>
      <c r="D842" s="26"/>
      <c r="E842" s="26"/>
      <c r="F842" s="26"/>
      <c r="G842" s="26"/>
      <c r="H842" s="25"/>
      <c r="I842" s="25"/>
      <c r="J842" s="25"/>
      <c r="K842" s="26"/>
    </row>
    <row r="843" spans="1:11" ht="15" customHeight="1" x14ac:dyDescent="0.25">
      <c r="A843" s="26"/>
      <c r="B843" s="26"/>
      <c r="C843" s="26"/>
      <c r="D843" s="26"/>
      <c r="E843" s="26"/>
      <c r="F843" s="26"/>
      <c r="G843" s="26"/>
      <c r="H843" s="25"/>
      <c r="I843" s="25"/>
      <c r="J843" s="25"/>
      <c r="K843" s="26"/>
    </row>
    <row r="844" spans="1:11" ht="15" customHeight="1" x14ac:dyDescent="0.25">
      <c r="A844" s="26"/>
      <c r="B844" s="26"/>
      <c r="C844" s="26"/>
      <c r="D844" s="26"/>
      <c r="E844" s="26"/>
      <c r="F844" s="26"/>
      <c r="G844" s="26"/>
      <c r="H844" s="25"/>
      <c r="I844" s="25"/>
      <c r="J844" s="25"/>
      <c r="K844" s="26"/>
    </row>
    <row r="845" spans="1:11" ht="15" customHeight="1" x14ac:dyDescent="0.25">
      <c r="A845" s="26"/>
      <c r="B845" s="26"/>
      <c r="C845" s="26"/>
      <c r="D845" s="26"/>
      <c r="E845" s="26"/>
      <c r="F845" s="26"/>
      <c r="G845" s="26"/>
      <c r="H845" s="25"/>
      <c r="I845" s="25"/>
      <c r="J845" s="25"/>
      <c r="K845" s="26"/>
    </row>
    <row r="846" spans="1:11" ht="15" customHeight="1" x14ac:dyDescent="0.25">
      <c r="A846" s="26"/>
      <c r="B846" s="26"/>
      <c r="C846" s="26"/>
      <c r="D846" s="26"/>
      <c r="E846" s="26"/>
      <c r="F846" s="26"/>
      <c r="G846" s="26"/>
      <c r="H846" s="25"/>
      <c r="I846" s="25"/>
      <c r="J846" s="25"/>
      <c r="K846" s="26"/>
    </row>
    <row r="847" spans="1:11" ht="15" customHeight="1" x14ac:dyDescent="0.25">
      <c r="A847" s="26"/>
      <c r="B847" s="26"/>
      <c r="C847" s="26"/>
      <c r="D847" s="26"/>
      <c r="E847" s="26"/>
      <c r="F847" s="26"/>
      <c r="G847" s="26"/>
      <c r="H847" s="25"/>
      <c r="I847" s="25"/>
      <c r="J847" s="25"/>
      <c r="K847" s="26"/>
    </row>
    <row r="848" spans="1:11" ht="15" customHeight="1" x14ac:dyDescent="0.25">
      <c r="A848" s="26"/>
      <c r="B848" s="26"/>
      <c r="C848" s="26"/>
      <c r="D848" s="26"/>
      <c r="E848" s="26"/>
      <c r="F848" s="26"/>
      <c r="G848" s="26"/>
      <c r="H848" s="25"/>
      <c r="I848" s="25"/>
      <c r="J848" s="25"/>
      <c r="K848" s="26"/>
    </row>
    <row r="849" spans="1:11" ht="15" customHeight="1" x14ac:dyDescent="0.25">
      <c r="A849" s="26"/>
      <c r="B849" s="26"/>
      <c r="C849" s="26"/>
      <c r="D849" s="26"/>
      <c r="E849" s="26"/>
      <c r="F849" s="26"/>
      <c r="G849" s="26"/>
      <c r="H849" s="25"/>
      <c r="I849" s="25"/>
      <c r="J849" s="25"/>
      <c r="K849" s="26"/>
    </row>
    <row r="850" spans="1:11" ht="15" customHeight="1" x14ac:dyDescent="0.25">
      <c r="A850" s="26"/>
      <c r="B850" s="26"/>
      <c r="C850" s="26"/>
      <c r="D850" s="26"/>
      <c r="E850" s="26"/>
      <c r="F850" s="26"/>
      <c r="G850" s="26"/>
      <c r="H850" s="25"/>
      <c r="I850" s="25"/>
      <c r="J850" s="25"/>
      <c r="K850" s="26"/>
    </row>
    <row r="851" spans="1:11" ht="15" customHeight="1" x14ac:dyDescent="0.25">
      <c r="A851" s="26"/>
      <c r="B851" s="26"/>
      <c r="C851" s="26"/>
      <c r="D851" s="26"/>
      <c r="E851" s="26"/>
      <c r="F851" s="26"/>
      <c r="G851" s="26"/>
      <c r="H851" s="25"/>
      <c r="I851" s="25"/>
      <c r="J851" s="25"/>
      <c r="K851" s="26"/>
    </row>
    <row r="852" spans="1:11" ht="15" customHeight="1" x14ac:dyDescent="0.25">
      <c r="A852" s="26"/>
      <c r="B852" s="26"/>
      <c r="C852" s="26"/>
      <c r="D852" s="26"/>
      <c r="E852" s="26"/>
      <c r="F852" s="26"/>
      <c r="G852" s="26"/>
      <c r="H852" s="25"/>
      <c r="I852" s="25"/>
      <c r="J852" s="25"/>
      <c r="K852" s="26"/>
    </row>
    <row r="853" spans="1:11" ht="15" customHeight="1" x14ac:dyDescent="0.25">
      <c r="A853" s="26"/>
      <c r="B853" s="26"/>
      <c r="C853" s="26"/>
      <c r="D853" s="26"/>
      <c r="E853" s="26"/>
      <c r="F853" s="26"/>
      <c r="G853" s="26"/>
      <c r="H853" s="25"/>
      <c r="I853" s="25"/>
      <c r="J853" s="25"/>
      <c r="K853" s="26"/>
    </row>
    <row r="854" spans="1:11" ht="15" customHeight="1" x14ac:dyDescent="0.25">
      <c r="A854" s="26"/>
      <c r="B854" s="26"/>
      <c r="C854" s="26"/>
      <c r="D854" s="26"/>
      <c r="E854" s="26"/>
      <c r="F854" s="26"/>
      <c r="G854" s="26"/>
      <c r="H854" s="25"/>
      <c r="I854" s="25"/>
      <c r="J854" s="25"/>
      <c r="K854" s="26"/>
    </row>
    <row r="855" spans="1:11" ht="15" customHeight="1" x14ac:dyDescent="0.25">
      <c r="A855" s="26"/>
      <c r="B855" s="26"/>
      <c r="C855" s="26"/>
      <c r="D855" s="26"/>
      <c r="E855" s="26"/>
      <c r="F855" s="26"/>
      <c r="G855" s="26"/>
      <c r="H855" s="25"/>
      <c r="I855" s="25"/>
      <c r="J855" s="25"/>
      <c r="K855" s="26"/>
    </row>
    <row r="856" spans="1:11" ht="15" customHeight="1" x14ac:dyDescent="0.25">
      <c r="A856" s="26"/>
      <c r="B856" s="26"/>
      <c r="C856" s="26"/>
      <c r="D856" s="26"/>
      <c r="E856" s="26"/>
      <c r="F856" s="26"/>
      <c r="G856" s="26"/>
      <c r="H856" s="25"/>
      <c r="I856" s="25"/>
      <c r="J856" s="25"/>
      <c r="K856" s="26"/>
    </row>
    <row r="857" spans="1:11" ht="15" customHeight="1" x14ac:dyDescent="0.25">
      <c r="A857" s="26"/>
      <c r="B857" s="26"/>
      <c r="C857" s="26"/>
      <c r="D857" s="26"/>
      <c r="E857" s="26"/>
      <c r="F857" s="26"/>
      <c r="G857" s="26"/>
      <c r="H857" s="25"/>
      <c r="I857" s="25"/>
      <c r="J857" s="25"/>
      <c r="K857" s="26"/>
    </row>
    <row r="858" spans="1:11" ht="15" customHeight="1" x14ac:dyDescent="0.25">
      <c r="A858" s="26"/>
      <c r="B858" s="26"/>
      <c r="C858" s="26"/>
      <c r="D858" s="26"/>
      <c r="E858" s="26"/>
      <c r="F858" s="26"/>
      <c r="G858" s="26"/>
      <c r="H858" s="25"/>
      <c r="I858" s="25"/>
      <c r="J858" s="25"/>
      <c r="K858" s="26"/>
    </row>
    <row r="859" spans="1:11" ht="15" customHeight="1" x14ac:dyDescent="0.25">
      <c r="A859" s="26"/>
      <c r="B859" s="26"/>
      <c r="C859" s="26"/>
      <c r="D859" s="26"/>
      <c r="E859" s="26"/>
      <c r="F859" s="26"/>
      <c r="G859" s="26"/>
      <c r="H859" s="25"/>
      <c r="I859" s="25"/>
      <c r="J859" s="25"/>
      <c r="K859" s="26"/>
    </row>
    <row r="860" spans="1:11" ht="15" customHeight="1" x14ac:dyDescent="0.25">
      <c r="A860" s="26"/>
      <c r="B860" s="26"/>
      <c r="C860" s="26"/>
      <c r="D860" s="26"/>
      <c r="E860" s="26"/>
      <c r="F860" s="26"/>
      <c r="G860" s="26"/>
      <c r="H860" s="25"/>
      <c r="I860" s="25"/>
      <c r="J860" s="25"/>
      <c r="K860" s="26"/>
    </row>
    <row r="861" spans="1:11" ht="15" customHeight="1" x14ac:dyDescent="0.25">
      <c r="A861" s="26"/>
      <c r="B861" s="26"/>
      <c r="C861" s="26"/>
      <c r="D861" s="26"/>
      <c r="E861" s="26"/>
      <c r="F861" s="26"/>
      <c r="G861" s="26"/>
      <c r="H861" s="25"/>
      <c r="I861" s="25"/>
      <c r="J861" s="25"/>
      <c r="K861" s="26"/>
    </row>
    <row r="862" spans="1:11" ht="15" customHeight="1" x14ac:dyDescent="0.25">
      <c r="A862" s="26"/>
      <c r="B862" s="26"/>
      <c r="C862" s="26"/>
      <c r="D862" s="26"/>
      <c r="E862" s="26"/>
      <c r="F862" s="26"/>
      <c r="G862" s="26"/>
      <c r="H862" s="25"/>
      <c r="I862" s="25"/>
      <c r="J862" s="25"/>
      <c r="K862" s="26"/>
    </row>
    <row r="863" spans="1:11" ht="15" customHeight="1" x14ac:dyDescent="0.25">
      <c r="A863" s="26"/>
      <c r="B863" s="26"/>
      <c r="C863" s="26"/>
      <c r="D863" s="26"/>
      <c r="E863" s="26"/>
      <c r="F863" s="26"/>
      <c r="G863" s="26"/>
      <c r="H863" s="25"/>
      <c r="I863" s="25"/>
      <c r="J863" s="25"/>
      <c r="K863" s="26"/>
    </row>
    <row r="864" spans="1:11" ht="15" customHeight="1" x14ac:dyDescent="0.25">
      <c r="A864" s="26"/>
      <c r="B864" s="26"/>
      <c r="C864" s="26"/>
      <c r="D864" s="26"/>
      <c r="E864" s="26"/>
      <c r="F864" s="26"/>
      <c r="G864" s="26"/>
      <c r="H864" s="25"/>
      <c r="I864" s="25"/>
      <c r="J864" s="25"/>
      <c r="K864" s="26"/>
    </row>
    <row r="865" spans="1:11" ht="15" customHeight="1" x14ac:dyDescent="0.25">
      <c r="A865" s="26"/>
      <c r="B865" s="26"/>
      <c r="C865" s="26"/>
      <c r="D865" s="26"/>
      <c r="E865" s="26"/>
      <c r="F865" s="26"/>
      <c r="G865" s="26"/>
      <c r="H865" s="25"/>
      <c r="I865" s="25"/>
      <c r="J865" s="25"/>
      <c r="K865" s="26"/>
    </row>
    <row r="866" spans="1:11" ht="15" customHeight="1" x14ac:dyDescent="0.25">
      <c r="A866" s="26"/>
      <c r="B866" s="26"/>
      <c r="C866" s="26"/>
      <c r="D866" s="26"/>
      <c r="E866" s="26"/>
      <c r="F866" s="26"/>
      <c r="G866" s="26"/>
      <c r="H866" s="25"/>
      <c r="I866" s="25"/>
      <c r="J866" s="25"/>
      <c r="K866" s="26"/>
    </row>
    <row r="867" spans="1:11" ht="15" customHeight="1" x14ac:dyDescent="0.25">
      <c r="A867" s="26"/>
      <c r="B867" s="26"/>
      <c r="C867" s="26"/>
      <c r="D867" s="26"/>
      <c r="E867" s="26"/>
      <c r="F867" s="26"/>
      <c r="G867" s="26"/>
      <c r="H867" s="25"/>
      <c r="I867" s="25"/>
      <c r="J867" s="25"/>
      <c r="K867" s="26"/>
    </row>
    <row r="868" spans="1:11" ht="15" customHeight="1" x14ac:dyDescent="0.25">
      <c r="A868" s="26"/>
      <c r="B868" s="26"/>
      <c r="C868" s="26"/>
      <c r="D868" s="26"/>
      <c r="E868" s="26"/>
      <c r="F868" s="26"/>
      <c r="G868" s="26"/>
      <c r="H868" s="25"/>
      <c r="I868" s="25"/>
      <c r="J868" s="25"/>
      <c r="K868" s="26"/>
    </row>
    <row r="869" spans="1:11" ht="15" customHeight="1" x14ac:dyDescent="0.25">
      <c r="A869" s="26"/>
      <c r="B869" s="26"/>
      <c r="C869" s="26"/>
      <c r="D869" s="26"/>
      <c r="E869" s="26"/>
      <c r="F869" s="26"/>
      <c r="G869" s="26"/>
      <c r="H869" s="25"/>
      <c r="I869" s="25"/>
      <c r="J869" s="25"/>
      <c r="K869" s="26"/>
    </row>
    <row r="870" spans="1:11" ht="15" customHeight="1" x14ac:dyDescent="0.25">
      <c r="A870" s="26"/>
      <c r="B870" s="26"/>
      <c r="C870" s="26"/>
      <c r="D870" s="26"/>
      <c r="E870" s="26"/>
      <c r="F870" s="26"/>
      <c r="G870" s="26"/>
      <c r="H870" s="25"/>
      <c r="I870" s="25"/>
      <c r="J870" s="25"/>
      <c r="K870" s="26"/>
    </row>
    <row r="871" spans="1:11" ht="15" customHeight="1" x14ac:dyDescent="0.25">
      <c r="A871" s="26"/>
      <c r="B871" s="26"/>
      <c r="C871" s="26"/>
      <c r="D871" s="26"/>
      <c r="E871" s="26"/>
      <c r="F871" s="26"/>
      <c r="G871" s="26"/>
      <c r="H871" s="25"/>
      <c r="I871" s="25"/>
      <c r="J871" s="25"/>
      <c r="K871" s="26"/>
    </row>
    <row r="872" spans="1:11" ht="15" customHeight="1" x14ac:dyDescent="0.25">
      <c r="A872" s="26"/>
      <c r="B872" s="26"/>
      <c r="C872" s="26"/>
      <c r="D872" s="26"/>
      <c r="E872" s="26"/>
      <c r="F872" s="26"/>
      <c r="G872" s="26"/>
      <c r="H872" s="25"/>
      <c r="I872" s="25"/>
      <c r="J872" s="25"/>
      <c r="K872" s="26"/>
    </row>
    <row r="873" spans="1:11" ht="15" customHeight="1" x14ac:dyDescent="0.25">
      <c r="A873" s="26"/>
      <c r="B873" s="26"/>
      <c r="C873" s="26"/>
      <c r="D873" s="26"/>
      <c r="E873" s="26"/>
      <c r="F873" s="26"/>
      <c r="G873" s="26"/>
      <c r="H873" s="25"/>
      <c r="I873" s="25"/>
      <c r="J873" s="25"/>
      <c r="K873" s="26"/>
    </row>
    <row r="874" spans="1:11" ht="15" customHeight="1" x14ac:dyDescent="0.25">
      <c r="A874" s="26"/>
      <c r="B874" s="26"/>
      <c r="C874" s="26"/>
      <c r="D874" s="26"/>
      <c r="E874" s="26"/>
      <c r="F874" s="26"/>
      <c r="G874" s="26"/>
      <c r="H874" s="25"/>
      <c r="I874" s="25"/>
      <c r="J874" s="25"/>
      <c r="K874" s="26"/>
    </row>
    <row r="875" spans="1:11" ht="15" customHeight="1" x14ac:dyDescent="0.25">
      <c r="A875" s="26"/>
      <c r="B875" s="26"/>
      <c r="C875" s="26"/>
      <c r="D875" s="26"/>
      <c r="E875" s="26"/>
      <c r="F875" s="26"/>
      <c r="G875" s="26"/>
      <c r="H875" s="25"/>
      <c r="I875" s="25"/>
      <c r="J875" s="25"/>
      <c r="K875" s="26"/>
    </row>
    <row r="876" spans="1:11" ht="15" customHeight="1" x14ac:dyDescent="0.25">
      <c r="A876" s="26"/>
      <c r="B876" s="26"/>
      <c r="C876" s="26"/>
      <c r="D876" s="26"/>
      <c r="E876" s="26"/>
      <c r="F876" s="26"/>
      <c r="G876" s="26"/>
      <c r="H876" s="25"/>
      <c r="I876" s="25"/>
      <c r="J876" s="25"/>
      <c r="K876" s="26"/>
    </row>
    <row r="877" spans="1:11" ht="15" customHeight="1" x14ac:dyDescent="0.25">
      <c r="A877" s="26"/>
      <c r="B877" s="26"/>
      <c r="C877" s="26"/>
      <c r="D877" s="26"/>
      <c r="E877" s="26"/>
      <c r="F877" s="26"/>
      <c r="G877" s="26"/>
      <c r="H877" s="25"/>
      <c r="I877" s="25"/>
      <c r="J877" s="25"/>
      <c r="K877" s="26"/>
    </row>
    <row r="878" spans="1:11" ht="15" customHeight="1" x14ac:dyDescent="0.25">
      <c r="A878" s="26"/>
      <c r="B878" s="26"/>
      <c r="C878" s="26"/>
      <c r="D878" s="26"/>
      <c r="E878" s="26"/>
      <c r="F878" s="26"/>
      <c r="G878" s="26"/>
      <c r="H878" s="25"/>
      <c r="I878" s="25"/>
      <c r="J878" s="25"/>
      <c r="K878" s="26"/>
    </row>
    <row r="879" spans="1:11" ht="15" customHeight="1" x14ac:dyDescent="0.25">
      <c r="A879" s="26"/>
      <c r="B879" s="26"/>
      <c r="C879" s="26"/>
      <c r="D879" s="26"/>
      <c r="E879" s="26"/>
      <c r="F879" s="26"/>
      <c r="G879" s="26"/>
      <c r="H879" s="25"/>
      <c r="I879" s="25"/>
      <c r="J879" s="25"/>
      <c r="K879" s="26"/>
    </row>
    <row r="880" spans="1:11" ht="15" customHeight="1" x14ac:dyDescent="0.25">
      <c r="A880" s="26"/>
      <c r="B880" s="26"/>
      <c r="C880" s="26"/>
      <c r="D880" s="26"/>
      <c r="E880" s="26"/>
      <c r="F880" s="26"/>
      <c r="G880" s="26"/>
      <c r="H880" s="25"/>
      <c r="I880" s="25"/>
      <c r="J880" s="25"/>
      <c r="K880" s="26"/>
    </row>
    <row r="881" spans="1:11" ht="15" customHeight="1" x14ac:dyDescent="0.25">
      <c r="A881" s="26"/>
      <c r="B881" s="26"/>
      <c r="C881" s="26"/>
      <c r="D881" s="26"/>
      <c r="E881" s="26"/>
      <c r="F881" s="26"/>
      <c r="G881" s="26"/>
      <c r="H881" s="25"/>
      <c r="I881" s="25"/>
      <c r="J881" s="25"/>
      <c r="K881" s="26"/>
    </row>
    <row r="882" spans="1:11" ht="15" customHeight="1" x14ac:dyDescent="0.25">
      <c r="A882" s="26"/>
      <c r="B882" s="26"/>
      <c r="C882" s="26"/>
      <c r="D882" s="26"/>
      <c r="E882" s="26"/>
      <c r="F882" s="26"/>
      <c r="G882" s="26"/>
      <c r="H882" s="25"/>
      <c r="I882" s="25"/>
      <c r="J882" s="25"/>
      <c r="K882" s="26"/>
    </row>
    <row r="883" spans="1:11" ht="15" customHeight="1" x14ac:dyDescent="0.25">
      <c r="A883" s="26"/>
      <c r="B883" s="26"/>
      <c r="C883" s="26"/>
      <c r="D883" s="26"/>
      <c r="E883" s="26"/>
      <c r="F883" s="26"/>
      <c r="G883" s="26"/>
      <c r="H883" s="25"/>
      <c r="I883" s="25"/>
      <c r="J883" s="25"/>
      <c r="K883" s="26"/>
    </row>
    <row r="884" spans="1:11" ht="15" customHeight="1" x14ac:dyDescent="0.25">
      <c r="A884" s="26"/>
      <c r="B884" s="26"/>
      <c r="C884" s="26"/>
      <c r="D884" s="26"/>
      <c r="E884" s="26"/>
      <c r="F884" s="26"/>
      <c r="G884" s="26"/>
      <c r="H884" s="25"/>
      <c r="I884" s="25"/>
      <c r="J884" s="25"/>
      <c r="K884" s="26"/>
    </row>
    <row r="885" spans="1:11" ht="15" customHeight="1" x14ac:dyDescent="0.25">
      <c r="A885" s="26"/>
      <c r="B885" s="26"/>
      <c r="C885" s="26"/>
      <c r="D885" s="26"/>
      <c r="E885" s="26"/>
      <c r="F885" s="26"/>
      <c r="G885" s="26"/>
      <c r="H885" s="25"/>
      <c r="I885" s="25"/>
      <c r="J885" s="25"/>
      <c r="K885" s="26"/>
    </row>
    <row r="886" spans="1:11" ht="15" customHeight="1" x14ac:dyDescent="0.25">
      <c r="A886" s="26"/>
      <c r="B886" s="26"/>
      <c r="C886" s="26"/>
      <c r="D886" s="26"/>
      <c r="E886" s="26"/>
      <c r="F886" s="26"/>
      <c r="G886" s="26"/>
      <c r="H886" s="25"/>
      <c r="I886" s="25"/>
      <c r="J886" s="25"/>
      <c r="K886" s="26"/>
    </row>
    <row r="887" spans="1:11" ht="15" customHeight="1" x14ac:dyDescent="0.25">
      <c r="A887" s="26"/>
      <c r="B887" s="26"/>
      <c r="C887" s="26"/>
      <c r="D887" s="26"/>
      <c r="E887" s="26"/>
      <c r="F887" s="26"/>
      <c r="G887" s="26"/>
      <c r="H887" s="25"/>
      <c r="I887" s="25"/>
      <c r="J887" s="25"/>
      <c r="K887" s="26"/>
    </row>
    <row r="888" spans="1:11" ht="15" customHeight="1" x14ac:dyDescent="0.25">
      <c r="A888" s="26"/>
      <c r="B888" s="26"/>
      <c r="C888" s="26"/>
      <c r="D888" s="26"/>
      <c r="E888" s="26"/>
      <c r="F888" s="26"/>
      <c r="G888" s="26"/>
      <c r="H888" s="25"/>
      <c r="I888" s="25"/>
      <c r="J888" s="25"/>
      <c r="K888" s="26"/>
    </row>
    <row r="889" spans="1:11" ht="15" customHeight="1" x14ac:dyDescent="0.25">
      <c r="A889" s="26"/>
      <c r="B889" s="26"/>
      <c r="C889" s="26"/>
      <c r="D889" s="26"/>
      <c r="E889" s="26"/>
      <c r="F889" s="26"/>
      <c r="G889" s="26"/>
      <c r="H889" s="25"/>
      <c r="I889" s="25"/>
      <c r="J889" s="25"/>
      <c r="K889" s="26"/>
    </row>
    <row r="890" spans="1:11" ht="15" customHeight="1" x14ac:dyDescent="0.25">
      <c r="A890" s="26"/>
      <c r="B890" s="26"/>
      <c r="C890" s="26"/>
      <c r="D890" s="26"/>
      <c r="E890" s="26"/>
      <c r="F890" s="26"/>
      <c r="G890" s="26"/>
      <c r="H890" s="25"/>
      <c r="I890" s="25"/>
      <c r="J890" s="25"/>
      <c r="K890" s="26"/>
    </row>
    <row r="891" spans="1:11" ht="15" customHeight="1" x14ac:dyDescent="0.25">
      <c r="A891" s="26"/>
      <c r="B891" s="26"/>
      <c r="C891" s="26"/>
      <c r="D891" s="26"/>
      <c r="E891" s="26"/>
      <c r="F891" s="26"/>
      <c r="G891" s="26"/>
      <c r="H891" s="25"/>
      <c r="I891" s="25"/>
      <c r="J891" s="25"/>
      <c r="K891" s="26"/>
    </row>
    <row r="892" spans="1:11" ht="15" customHeight="1" x14ac:dyDescent="0.25">
      <c r="A892" s="26"/>
      <c r="B892" s="26"/>
      <c r="C892" s="26"/>
      <c r="D892" s="26"/>
      <c r="E892" s="26"/>
      <c r="F892" s="26"/>
      <c r="G892" s="26"/>
      <c r="H892" s="25"/>
      <c r="I892" s="25"/>
      <c r="J892" s="25"/>
      <c r="K892" s="26"/>
    </row>
    <row r="893" spans="1:11" ht="15" customHeight="1" x14ac:dyDescent="0.25">
      <c r="A893" s="26"/>
      <c r="B893" s="26"/>
      <c r="C893" s="26"/>
      <c r="D893" s="26"/>
      <c r="E893" s="26"/>
      <c r="F893" s="26"/>
      <c r="G893" s="26"/>
      <c r="H893" s="25"/>
      <c r="I893" s="25"/>
      <c r="J893" s="25"/>
      <c r="K893" s="26"/>
    </row>
    <row r="894" spans="1:11" ht="15" customHeight="1" x14ac:dyDescent="0.25">
      <c r="A894" s="26"/>
      <c r="B894" s="26"/>
      <c r="C894" s="26"/>
      <c r="D894" s="26"/>
      <c r="E894" s="26"/>
      <c r="F894" s="26"/>
      <c r="G894" s="26"/>
      <c r="H894" s="25"/>
      <c r="I894" s="25"/>
      <c r="J894" s="25"/>
      <c r="K894" s="26"/>
    </row>
    <row r="895" spans="1:11" ht="15" customHeight="1" x14ac:dyDescent="0.25">
      <c r="A895" s="26"/>
      <c r="B895" s="26"/>
      <c r="C895" s="26"/>
      <c r="D895" s="26"/>
      <c r="E895" s="26"/>
      <c r="F895" s="26"/>
      <c r="G895" s="26"/>
      <c r="H895" s="25"/>
      <c r="I895" s="25"/>
      <c r="J895" s="25"/>
      <c r="K895" s="26"/>
    </row>
    <row r="896" spans="1:11" ht="15" customHeight="1" x14ac:dyDescent="0.25">
      <c r="A896" s="26"/>
      <c r="B896" s="26"/>
      <c r="C896" s="26"/>
      <c r="D896" s="26"/>
      <c r="E896" s="26"/>
      <c r="F896" s="26"/>
      <c r="G896" s="26"/>
      <c r="H896" s="25"/>
      <c r="I896" s="25"/>
      <c r="J896" s="25"/>
      <c r="K896" s="26"/>
    </row>
    <row r="897" spans="1:70" ht="15" customHeight="1" x14ac:dyDescent="0.25">
      <c r="A897" s="26"/>
      <c r="B897" s="26"/>
      <c r="C897" s="26"/>
      <c r="D897" s="26"/>
      <c r="E897" s="26"/>
      <c r="F897" s="26"/>
      <c r="G897" s="26"/>
      <c r="H897" s="25"/>
      <c r="I897" s="25"/>
      <c r="J897" s="25"/>
      <c r="K897" s="26"/>
    </row>
    <row r="898" spans="1:70" ht="15" customHeight="1" x14ac:dyDescent="0.25">
      <c r="A898" s="26"/>
      <c r="B898" s="26"/>
      <c r="C898" s="26"/>
      <c r="D898" s="26"/>
      <c r="E898" s="26"/>
      <c r="F898" s="26"/>
      <c r="G898" s="26"/>
      <c r="H898" s="25"/>
      <c r="I898" s="25"/>
      <c r="J898" s="25"/>
      <c r="K898" s="26"/>
    </row>
    <row r="899" spans="1:70" ht="15" customHeight="1" x14ac:dyDescent="0.25">
      <c r="A899" s="26"/>
      <c r="B899" s="26"/>
      <c r="C899" s="26"/>
      <c r="D899" s="26"/>
      <c r="E899" s="26"/>
      <c r="F899" s="26"/>
      <c r="G899" s="26"/>
      <c r="H899" s="25"/>
      <c r="I899" s="25"/>
      <c r="J899" s="25"/>
      <c r="K899" s="26"/>
    </row>
    <row r="900" spans="1:70" ht="15" customHeight="1" x14ac:dyDescent="0.25">
      <c r="A900" s="26"/>
      <c r="B900" s="26"/>
      <c r="C900" s="26"/>
      <c r="D900" s="26"/>
      <c r="E900" s="26"/>
      <c r="F900" s="26"/>
      <c r="G900" s="26"/>
      <c r="H900" s="25"/>
      <c r="I900" s="25"/>
      <c r="J900" s="25"/>
      <c r="K900" s="26"/>
    </row>
    <row r="901" spans="1:70" ht="15" customHeight="1" x14ac:dyDescent="0.25">
      <c r="A901" s="26"/>
      <c r="B901" s="26"/>
      <c r="C901" s="26"/>
      <c r="D901" s="26"/>
      <c r="E901" s="26"/>
      <c r="F901" s="26"/>
      <c r="G901" s="26"/>
      <c r="H901" s="25"/>
      <c r="I901" s="25"/>
      <c r="J901" s="25"/>
      <c r="K901" s="26"/>
    </row>
    <row r="902" spans="1:70" ht="15" customHeight="1" x14ac:dyDescent="0.25">
      <c r="A902" s="26"/>
      <c r="B902" s="26"/>
      <c r="C902" s="26"/>
      <c r="D902" s="26"/>
      <c r="E902" s="26"/>
      <c r="F902" s="26"/>
      <c r="G902" s="26"/>
      <c r="H902" s="25"/>
      <c r="I902" s="25"/>
      <c r="J902" s="25"/>
      <c r="K902" s="26"/>
    </row>
    <row r="903" spans="1:70" ht="15" customHeight="1" x14ac:dyDescent="0.25">
      <c r="A903" s="26"/>
      <c r="B903" s="26"/>
      <c r="C903" s="26"/>
      <c r="D903" s="26"/>
      <c r="E903" s="26"/>
      <c r="F903" s="26"/>
      <c r="G903" s="26"/>
      <c r="H903" s="25"/>
      <c r="I903" s="25"/>
      <c r="J903" s="25"/>
      <c r="K903" s="26"/>
    </row>
    <row r="904" spans="1:70" ht="15" customHeight="1" x14ac:dyDescent="0.25">
      <c r="A904" s="26"/>
      <c r="B904" s="26"/>
      <c r="C904" s="26"/>
      <c r="D904" s="26"/>
      <c r="E904" s="26"/>
      <c r="F904" s="26"/>
      <c r="G904" s="26"/>
      <c r="H904" s="25"/>
      <c r="I904" s="25"/>
      <c r="J904" s="25"/>
      <c r="K904" s="26"/>
    </row>
    <row r="905" spans="1:70" ht="15" customHeight="1" x14ac:dyDescent="0.25">
      <c r="A905" s="26"/>
      <c r="B905" s="26"/>
      <c r="C905" s="26"/>
      <c r="D905" s="26"/>
      <c r="E905" s="26"/>
      <c r="F905" s="26"/>
      <c r="G905" s="26"/>
      <c r="H905" s="25"/>
      <c r="I905" s="25"/>
      <c r="J905" s="25"/>
      <c r="K905" s="26"/>
    </row>
    <row r="906" spans="1:70" ht="15" customHeight="1" x14ac:dyDescent="0.25">
      <c r="A906" s="26"/>
      <c r="B906" s="26"/>
      <c r="C906" s="26"/>
      <c r="D906" s="26"/>
      <c r="E906" s="26"/>
      <c r="F906" s="26"/>
      <c r="G906" s="26"/>
      <c r="H906" s="25"/>
      <c r="I906" s="25"/>
      <c r="J906" s="25"/>
      <c r="K906" s="26"/>
    </row>
    <row r="907" spans="1:70" ht="15" customHeight="1" x14ac:dyDescent="0.25">
      <c r="A907" s="26"/>
      <c r="B907" s="26"/>
      <c r="C907" s="26"/>
      <c r="D907" s="26"/>
      <c r="E907" s="26"/>
      <c r="F907" s="26"/>
      <c r="G907" s="26"/>
      <c r="H907" s="25"/>
      <c r="I907" s="25"/>
      <c r="J907" s="25"/>
      <c r="K907" s="26"/>
    </row>
    <row r="908" spans="1:70" ht="15" customHeight="1" x14ac:dyDescent="0.25">
      <c r="A908" s="26"/>
      <c r="B908" s="26"/>
      <c r="C908" s="26"/>
      <c r="D908" s="26"/>
      <c r="E908" s="26"/>
      <c r="F908" s="26"/>
      <c r="G908" s="26"/>
      <c r="H908" s="25"/>
      <c r="I908" s="25"/>
      <c r="J908" s="25"/>
      <c r="K908" s="26"/>
    </row>
    <row r="910" spans="1:70" x14ac:dyDescent="0.25">
      <c r="BR910" s="17" t="s">
        <v>229</v>
      </c>
    </row>
    <row r="911" spans="1:70" x14ac:dyDescent="0.25">
      <c r="BR911" s="17" t="s">
        <v>230</v>
      </c>
    </row>
  </sheetData>
  <autoFilter ref="A7:K7" xr:uid="{00000000-0009-0000-0000-000004000000}"/>
  <mergeCells count="6">
    <mergeCell ref="A1:K1"/>
    <mergeCell ref="A2:K2"/>
    <mergeCell ref="G3:K4"/>
    <mergeCell ref="A6:C6"/>
    <mergeCell ref="D6:G6"/>
    <mergeCell ref="H6:J6"/>
  </mergeCells>
  <dataValidations count="3">
    <dataValidation type="list" allowBlank="1" sqref="H9:H908" xr:uid="{00000000-0002-0000-0400-000000000000}">
      <formula1>"O,N"</formula1>
      <formula2>0</formula2>
    </dataValidation>
    <dataValidation type="list" allowBlank="1" sqref="I9:I908" xr:uid="{00000000-0002-0000-0400-000001000000}">
      <formula1>"TM,TA,TC"</formula1>
      <formula2>0</formula2>
    </dataValidation>
    <dataValidation type="list" allowBlank="1" sqref="J9:J908" xr:uid="{00000000-0002-0000-0400-000002000000}">
      <formula1>"DI,DO,AI,AO"</formula1>
      <formula2>0</formula2>
    </dataValidation>
  </dataValidations>
  <printOptions horizontalCentered="1"/>
  <pageMargins left="0.35" right="0.35" top="0.45" bottom="0.5" header="0.511811023622047" footer="0.5"/>
  <pageSetup paperSize="9" fitToHeight="0" orientation="landscape" horizontalDpi="300" verticalDpi="300"/>
  <headerFooter>
    <oddFooter>&amp;L&amp;7 Affaire 2024_06_264 - Catalogue&amp;C&amp;7 &amp;D&amp;R&amp;7 page 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pageSetUpPr fitToPage="1"/>
  </sheetPr>
  <dimension ref="A1:BR310"/>
  <sheetViews>
    <sheetView zoomScaleNormal="100" workbookViewId="0">
      <pane ySplit="8" topLeftCell="A9" activePane="bottomLeft" state="frozen"/>
      <selection pane="bottomLeft" activeCell="J15" sqref="J15"/>
    </sheetView>
  </sheetViews>
  <sheetFormatPr baseColWidth="10" defaultColWidth="8.7109375" defaultRowHeight="15" x14ac:dyDescent="0.25"/>
  <cols>
    <col min="1" max="1" width="24" customWidth="1"/>
    <col min="2" max="2" width="12.42578125" customWidth="1"/>
    <col min="3" max="4" width="6" customWidth="1"/>
    <col min="5" max="5" width="9.42578125" customWidth="1"/>
    <col min="6" max="6" width="8.42578125" customWidth="1"/>
    <col min="7" max="7" width="12.42578125" customWidth="1"/>
    <col min="8" max="9" width="11.42578125" customWidth="1"/>
    <col min="10" max="10" width="9.42578125" customWidth="1"/>
    <col min="11" max="11" width="6" customWidth="1"/>
    <col min="12" max="12" width="12.42578125" customWidth="1"/>
    <col min="13" max="13" width="30" customWidth="1"/>
  </cols>
  <sheetData>
    <row r="1" spans="1:13" ht="25.5" customHeight="1" x14ac:dyDescent="0.25">
      <c r="A1" s="9" t="s">
        <v>231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ht="15.75" customHeight="1" x14ac:dyDescent="0.25">
      <c r="A2" s="8" t="s">
        <v>232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3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3" ht="15" customHeight="1" x14ac:dyDescent="0.25">
      <c r="A6" s="5" t="s">
        <v>233</v>
      </c>
      <c r="B6" s="5"/>
      <c r="C6" s="5"/>
      <c r="D6" s="5"/>
      <c r="E6" s="4" t="s">
        <v>62</v>
      </c>
      <c r="F6" s="4"/>
      <c r="G6" s="4"/>
      <c r="H6" s="4"/>
      <c r="I6" s="4"/>
      <c r="J6" s="3" t="s">
        <v>234</v>
      </c>
      <c r="K6" s="3"/>
      <c r="L6" s="3"/>
      <c r="M6" s="22" t="s">
        <v>64</v>
      </c>
    </row>
    <row r="7" spans="1:13" ht="30" customHeight="1" x14ac:dyDescent="0.25">
      <c r="A7" s="23" t="s">
        <v>65</v>
      </c>
      <c r="B7" s="23" t="s">
        <v>68</v>
      </c>
      <c r="C7" s="23" t="s">
        <v>151</v>
      </c>
      <c r="D7" s="23" t="s">
        <v>235</v>
      </c>
      <c r="E7" s="23" t="s">
        <v>236</v>
      </c>
      <c r="F7" s="23" t="s">
        <v>237</v>
      </c>
      <c r="G7" s="23" t="s">
        <v>153</v>
      </c>
      <c r="H7" s="23" t="s">
        <v>73</v>
      </c>
      <c r="I7" s="23" t="s">
        <v>154</v>
      </c>
      <c r="J7" s="23" t="s">
        <v>70</v>
      </c>
      <c r="K7" s="23" t="s">
        <v>52</v>
      </c>
      <c r="L7" s="23" t="s">
        <v>238</v>
      </c>
      <c r="M7" s="23" t="s">
        <v>80</v>
      </c>
    </row>
    <row r="8" spans="1:13" ht="12.75" customHeight="1" x14ac:dyDescent="0.25">
      <c r="A8" s="24" t="s">
        <v>81</v>
      </c>
      <c r="B8" s="24" t="s">
        <v>84</v>
      </c>
      <c r="C8" s="24" t="s">
        <v>239</v>
      </c>
      <c r="D8" s="24" t="s">
        <v>87</v>
      </c>
      <c r="E8" s="24" t="s">
        <v>84</v>
      </c>
      <c r="F8" s="24" t="s">
        <v>88</v>
      </c>
      <c r="G8" s="24" t="s">
        <v>240</v>
      </c>
      <c r="H8" s="24" t="s">
        <v>89</v>
      </c>
      <c r="I8" s="24"/>
      <c r="J8" s="24" t="s">
        <v>241</v>
      </c>
      <c r="K8" s="24"/>
      <c r="L8" s="24" t="s">
        <v>242</v>
      </c>
      <c r="M8" s="24"/>
    </row>
    <row r="9" spans="1:13" ht="15" customHeight="1" x14ac:dyDescent="0.25">
      <c r="A9" s="11" t="s">
        <v>1088</v>
      </c>
      <c r="B9" s="25" t="s">
        <v>751</v>
      </c>
      <c r="C9" s="11" t="s">
        <v>1088</v>
      </c>
      <c r="D9" s="25" t="s">
        <v>95</v>
      </c>
      <c r="E9" s="25" t="s">
        <v>72</v>
      </c>
      <c r="F9" s="11" t="s">
        <v>1090</v>
      </c>
      <c r="G9" s="11">
        <v>0</v>
      </c>
      <c r="H9" s="11"/>
      <c r="I9" s="26" t="str">
        <f>IF(F9="","",IF(OR(E9="Variable seule",G9=""),F9,F9&amp;"["&amp;G9&amp;"]"))</f>
        <v>Pompes[0]</v>
      </c>
      <c r="J9" s="26">
        <f>IF(A9="","",COUNTIF(Cablage!$A:$A,A9))</f>
        <v>1</v>
      </c>
      <c r="K9" s="26">
        <f>IF(A9="","",COUNTIF(Liens!$A:$A,A9))</f>
        <v>25</v>
      </c>
      <c r="L9" s="26" t="str">
        <f t="shared" ref="L9:L72" si="0">IF(OR(A9="",E9="Variable seule",F9="",G9=""),"",IF(COUNTIFS($F$9:$F$308,F9,$G$9:$G$308,G9,$A$9:$A$308,"&lt;&gt;"&amp;A9)&gt;0,"index deja pris",""))</f>
        <v/>
      </c>
      <c r="M9" s="11"/>
    </row>
    <row r="10" spans="1:13" ht="15" customHeight="1" x14ac:dyDescent="0.25">
      <c r="A10" s="11" t="s">
        <v>239</v>
      </c>
      <c r="B10" s="25" t="s">
        <v>751</v>
      </c>
      <c r="C10" s="11" t="s">
        <v>239</v>
      </c>
      <c r="D10" s="25" t="s">
        <v>95</v>
      </c>
      <c r="E10" s="25" t="s">
        <v>72</v>
      </c>
      <c r="F10" s="11" t="s">
        <v>1090</v>
      </c>
      <c r="G10" s="11">
        <v>1</v>
      </c>
      <c r="H10" s="11"/>
      <c r="I10" s="26" t="str">
        <f>IF(F10="","",IF(OR(E10="Variable seule",G10=""),F10,F10&amp;"["&amp;G10&amp;"]"))</f>
        <v>Pompes[1]</v>
      </c>
      <c r="J10" s="26">
        <f>IF(A10="","",COUNTIF(Cablage!$A:$A,A10))</f>
        <v>0</v>
      </c>
      <c r="K10" s="26">
        <f>IF(A10="","",COUNTIF(Liens!$A:$A,A10))</f>
        <v>25</v>
      </c>
      <c r="L10" s="26" t="str">
        <f t="shared" si="0"/>
        <v/>
      </c>
      <c r="M10" s="11"/>
    </row>
    <row r="11" spans="1:13" ht="15" customHeight="1" x14ac:dyDescent="0.25">
      <c r="A11" s="11" t="s">
        <v>1179</v>
      </c>
      <c r="B11" s="25" t="s">
        <v>751</v>
      </c>
      <c r="C11" s="11" t="s">
        <v>1179</v>
      </c>
      <c r="D11" s="25" t="s">
        <v>95</v>
      </c>
      <c r="E11" s="25" t="s">
        <v>72</v>
      </c>
      <c r="F11" s="11" t="s">
        <v>1090</v>
      </c>
      <c r="G11" s="11">
        <v>2</v>
      </c>
      <c r="H11" s="11"/>
      <c r="I11" s="26" t="str">
        <f>IF(F11="","",IF(OR(E11="Variable seule",G11=""),F11,F11&amp;"["&amp;G11&amp;"]"))</f>
        <v>Pompes[2]</v>
      </c>
      <c r="J11" s="26">
        <f>IF(A11="","",COUNTIF(Cablage!$A:$A,A11))</f>
        <v>0</v>
      </c>
      <c r="K11" s="26">
        <f>IF(A11="","",COUNTIF(Liens!$A:$A,A11))</f>
        <v>25</v>
      </c>
      <c r="L11" s="26" t="str">
        <f t="shared" si="0"/>
        <v/>
      </c>
      <c r="M11" s="11"/>
    </row>
    <row r="12" spans="1:13" ht="15" customHeight="1" x14ac:dyDescent="0.25">
      <c r="A12" s="11"/>
      <c r="B12" s="25"/>
      <c r="C12" s="11"/>
      <c r="D12" s="25"/>
      <c r="E12" s="25"/>
      <c r="F12" s="11"/>
      <c r="G12" s="11"/>
      <c r="H12" s="11"/>
      <c r="I12" s="26" t="str">
        <f t="shared" ref="I9:I72" si="1">IF(F12="","",IF(OR(E12="Variable seule",G12=""),F12,F12&amp;"["&amp;G12&amp;"]"))</f>
        <v/>
      </c>
      <c r="J12" s="26" t="str">
        <f>IF(A12="","",COUNTIF(Cablage!$A:$A,A12))</f>
        <v/>
      </c>
      <c r="K12" s="26" t="str">
        <f>IF(A12="","",COUNTIF(Liens!$A:$A,A12))</f>
        <v/>
      </c>
      <c r="L12" s="26" t="str">
        <f t="shared" si="0"/>
        <v/>
      </c>
      <c r="M12" s="11"/>
    </row>
    <row r="13" spans="1:13" ht="15" customHeight="1" x14ac:dyDescent="0.25">
      <c r="A13" s="11"/>
      <c r="B13" s="25"/>
      <c r="C13" s="11"/>
      <c r="D13" s="25"/>
      <c r="E13" s="25"/>
      <c r="F13" s="11"/>
      <c r="G13" s="11"/>
      <c r="H13" s="11"/>
      <c r="I13" s="26" t="str">
        <f t="shared" si="1"/>
        <v/>
      </c>
      <c r="J13" s="26" t="str">
        <f>IF(A13="","",COUNTIF(Cablage!$A:$A,A13))</f>
        <v/>
      </c>
      <c r="K13" s="26" t="str">
        <f>IF(A13="","",COUNTIF(Liens!$A:$A,A13))</f>
        <v/>
      </c>
      <c r="L13" s="26" t="str">
        <f t="shared" si="0"/>
        <v/>
      </c>
      <c r="M13" s="11"/>
    </row>
    <row r="14" spans="1:13" ht="15" customHeight="1" x14ac:dyDescent="0.25">
      <c r="A14" s="11"/>
      <c r="B14" s="25"/>
      <c r="C14" s="11"/>
      <c r="D14" s="25"/>
      <c r="E14" s="25"/>
      <c r="F14" s="11"/>
      <c r="G14" s="11"/>
      <c r="H14" s="11"/>
      <c r="I14" s="26" t="str">
        <f t="shared" si="1"/>
        <v/>
      </c>
      <c r="J14" s="26" t="str">
        <f>IF(A14="","",COUNTIF(Cablage!$A:$A,A14))</f>
        <v/>
      </c>
      <c r="K14" s="26" t="str">
        <f>IF(A14="","",COUNTIF(Liens!$A:$A,A14))</f>
        <v/>
      </c>
      <c r="L14" s="26" t="str">
        <f t="shared" si="0"/>
        <v/>
      </c>
      <c r="M14" s="11"/>
    </row>
    <row r="15" spans="1:13" ht="15" customHeight="1" x14ac:dyDescent="0.25">
      <c r="A15" s="11"/>
      <c r="B15" s="25"/>
      <c r="C15" s="11"/>
      <c r="D15" s="25"/>
      <c r="E15" s="25"/>
      <c r="F15" s="11"/>
      <c r="G15" s="11"/>
      <c r="H15" s="11"/>
      <c r="I15" s="26" t="str">
        <f t="shared" si="1"/>
        <v/>
      </c>
      <c r="J15" s="26" t="str">
        <f>IF(A15="","",COUNTIF(Cablage!$A:$A,A15))</f>
        <v/>
      </c>
      <c r="K15" s="26" t="str">
        <f>IF(A15="","",COUNTIF(Liens!$A:$A,A15))</f>
        <v/>
      </c>
      <c r="L15" s="26" t="str">
        <f t="shared" si="0"/>
        <v/>
      </c>
      <c r="M15" s="11"/>
    </row>
    <row r="16" spans="1:13" ht="15" customHeight="1" x14ac:dyDescent="0.25">
      <c r="A16" s="11"/>
      <c r="B16" s="25"/>
      <c r="C16" s="11"/>
      <c r="D16" s="25"/>
      <c r="E16" s="25"/>
      <c r="F16" s="11"/>
      <c r="G16" s="11"/>
      <c r="H16" s="11"/>
      <c r="I16" s="26" t="str">
        <f t="shared" si="1"/>
        <v/>
      </c>
      <c r="J16" s="26" t="str">
        <f>IF(A16="","",COUNTIF(Cablage!$A:$A,A16))</f>
        <v/>
      </c>
      <c r="K16" s="26" t="str">
        <f>IF(A16="","",COUNTIF(Liens!$A:$A,A16))</f>
        <v/>
      </c>
      <c r="L16" s="26" t="str">
        <f t="shared" si="0"/>
        <v/>
      </c>
      <c r="M16" s="11"/>
    </row>
    <row r="17" spans="1:13" ht="15" customHeight="1" x14ac:dyDescent="0.25">
      <c r="A17" s="11"/>
      <c r="B17" s="25"/>
      <c r="C17" s="11"/>
      <c r="D17" s="25"/>
      <c r="E17" s="25"/>
      <c r="F17" s="11"/>
      <c r="G17" s="11"/>
      <c r="H17" s="11"/>
      <c r="I17" s="26" t="str">
        <f t="shared" si="1"/>
        <v/>
      </c>
      <c r="J17" s="26" t="str">
        <f>IF(A17="","",COUNTIF(Cablage!$A:$A,A17))</f>
        <v/>
      </c>
      <c r="K17" s="26" t="str">
        <f>IF(A17="","",COUNTIF(Liens!$A:$A,A17))</f>
        <v/>
      </c>
      <c r="L17" s="26" t="str">
        <f t="shared" si="0"/>
        <v/>
      </c>
      <c r="M17" s="11"/>
    </row>
    <row r="18" spans="1:13" ht="15" customHeight="1" x14ac:dyDescent="0.25">
      <c r="A18" s="11"/>
      <c r="B18" s="25"/>
      <c r="C18" s="11"/>
      <c r="D18" s="25"/>
      <c r="E18" s="25"/>
      <c r="F18" s="11"/>
      <c r="G18" s="11"/>
      <c r="H18" s="11"/>
      <c r="I18" s="26" t="str">
        <f t="shared" si="1"/>
        <v/>
      </c>
      <c r="J18" s="26" t="str">
        <f>IF(A18="","",COUNTIF(Cablage!$A:$A,A18))</f>
        <v/>
      </c>
      <c r="K18" s="26" t="str">
        <f>IF(A18="","",COUNTIF(Liens!$A:$A,A18))</f>
        <v/>
      </c>
      <c r="L18" s="26" t="str">
        <f t="shared" si="0"/>
        <v/>
      </c>
      <c r="M18" s="11"/>
    </row>
    <row r="19" spans="1:13" ht="15" customHeight="1" x14ac:dyDescent="0.25">
      <c r="A19" s="11"/>
      <c r="B19" s="25"/>
      <c r="C19" s="11"/>
      <c r="D19" s="25"/>
      <c r="E19" s="25"/>
      <c r="F19" s="11"/>
      <c r="G19" s="11"/>
      <c r="H19" s="11"/>
      <c r="I19" s="26" t="str">
        <f t="shared" si="1"/>
        <v/>
      </c>
      <c r="J19" s="26" t="str">
        <f>IF(A19="","",COUNTIF(Cablage!$A:$A,A19))</f>
        <v/>
      </c>
      <c r="K19" s="26" t="str">
        <f>IF(A19="","",COUNTIF(Liens!$A:$A,A19))</f>
        <v/>
      </c>
      <c r="L19" s="26" t="str">
        <f t="shared" si="0"/>
        <v/>
      </c>
      <c r="M19" s="11"/>
    </row>
    <row r="20" spans="1:13" ht="15" customHeight="1" x14ac:dyDescent="0.25">
      <c r="A20" s="11"/>
      <c r="B20" s="25"/>
      <c r="C20" s="11"/>
      <c r="D20" s="25"/>
      <c r="E20" s="25"/>
      <c r="F20" s="11"/>
      <c r="G20" s="11"/>
      <c r="H20" s="11"/>
      <c r="I20" s="26" t="str">
        <f t="shared" si="1"/>
        <v/>
      </c>
      <c r="J20" s="26" t="str">
        <f>IF(A20="","",COUNTIF(Cablage!$A:$A,A20))</f>
        <v/>
      </c>
      <c r="K20" s="26" t="str">
        <f>IF(A20="","",COUNTIF(Liens!$A:$A,A20))</f>
        <v/>
      </c>
      <c r="L20" s="26" t="str">
        <f t="shared" si="0"/>
        <v/>
      </c>
      <c r="M20" s="11"/>
    </row>
    <row r="21" spans="1:13" ht="15" customHeight="1" x14ac:dyDescent="0.25">
      <c r="A21" s="11"/>
      <c r="B21" s="25"/>
      <c r="C21" s="11"/>
      <c r="D21" s="25"/>
      <c r="E21" s="25"/>
      <c r="F21" s="11"/>
      <c r="G21" s="11"/>
      <c r="H21" s="11"/>
      <c r="I21" s="26" t="str">
        <f t="shared" si="1"/>
        <v/>
      </c>
      <c r="J21" s="26" t="str">
        <f>IF(A21="","",COUNTIF(Cablage!$A:$A,A21))</f>
        <v/>
      </c>
      <c r="K21" s="26" t="str">
        <f>IF(A21="","",COUNTIF(Liens!$A:$A,A21))</f>
        <v/>
      </c>
      <c r="L21" s="26" t="str">
        <f t="shared" si="0"/>
        <v/>
      </c>
      <c r="M21" s="11"/>
    </row>
    <row r="22" spans="1:13" ht="15" customHeight="1" x14ac:dyDescent="0.25">
      <c r="A22" s="11"/>
      <c r="B22" s="25"/>
      <c r="C22" s="11"/>
      <c r="D22" s="25"/>
      <c r="E22" s="25"/>
      <c r="F22" s="11"/>
      <c r="G22" s="11"/>
      <c r="H22" s="11"/>
      <c r="I22" s="26" t="str">
        <f t="shared" si="1"/>
        <v/>
      </c>
      <c r="J22" s="26" t="str">
        <f>IF(A22="","",COUNTIF(Cablage!$A:$A,A22))</f>
        <v/>
      </c>
      <c r="K22" s="26" t="str">
        <f>IF(A22="","",COUNTIF(Liens!$A:$A,A22))</f>
        <v/>
      </c>
      <c r="L22" s="26" t="str">
        <f t="shared" si="0"/>
        <v/>
      </c>
      <c r="M22" s="11"/>
    </row>
    <row r="23" spans="1:13" ht="15" customHeight="1" x14ac:dyDescent="0.25">
      <c r="A23" s="11"/>
      <c r="B23" s="25"/>
      <c r="C23" s="11"/>
      <c r="D23" s="25"/>
      <c r="E23" s="25"/>
      <c r="F23" s="11"/>
      <c r="G23" s="11"/>
      <c r="H23" s="11"/>
      <c r="I23" s="26" t="str">
        <f t="shared" si="1"/>
        <v/>
      </c>
      <c r="J23" s="26" t="str">
        <f>IF(A23="","",COUNTIF(Cablage!$A:$A,A23))</f>
        <v/>
      </c>
      <c r="K23" s="26" t="str">
        <f>IF(A23="","",COUNTIF(Liens!$A:$A,A23))</f>
        <v/>
      </c>
      <c r="L23" s="26" t="str">
        <f t="shared" si="0"/>
        <v/>
      </c>
      <c r="M23" s="11"/>
    </row>
    <row r="24" spans="1:13" ht="15" customHeight="1" x14ac:dyDescent="0.25">
      <c r="A24" s="11"/>
      <c r="B24" s="25"/>
      <c r="C24" s="11"/>
      <c r="D24" s="25"/>
      <c r="E24" s="25"/>
      <c r="F24" s="11"/>
      <c r="G24" s="11"/>
      <c r="H24" s="11"/>
      <c r="I24" s="26" t="str">
        <f t="shared" si="1"/>
        <v/>
      </c>
      <c r="J24" s="26" t="str">
        <f>IF(A24="","",COUNTIF(Cablage!$A:$A,A24))</f>
        <v/>
      </c>
      <c r="K24" s="26" t="str">
        <f>IF(A24="","",COUNTIF(Liens!$A:$A,A24))</f>
        <v/>
      </c>
      <c r="L24" s="26" t="str">
        <f t="shared" si="0"/>
        <v/>
      </c>
      <c r="M24" s="11"/>
    </row>
    <row r="25" spans="1:13" ht="15" customHeight="1" x14ac:dyDescent="0.25">
      <c r="A25" s="11"/>
      <c r="B25" s="25"/>
      <c r="C25" s="11"/>
      <c r="D25" s="25"/>
      <c r="E25" s="25"/>
      <c r="F25" s="11"/>
      <c r="G25" s="11"/>
      <c r="H25" s="11"/>
      <c r="I25" s="26" t="str">
        <f t="shared" si="1"/>
        <v/>
      </c>
      <c r="J25" s="26" t="str">
        <f>IF(A25="","",COUNTIF(Cablage!$A:$A,A25))</f>
        <v/>
      </c>
      <c r="K25" s="26" t="str">
        <f>IF(A25="","",COUNTIF(Liens!$A:$A,A25))</f>
        <v/>
      </c>
      <c r="L25" s="26" t="str">
        <f t="shared" si="0"/>
        <v/>
      </c>
      <c r="M25" s="11"/>
    </row>
    <row r="26" spans="1:13" ht="15" customHeight="1" x14ac:dyDescent="0.25">
      <c r="A26" s="11"/>
      <c r="B26" s="25"/>
      <c r="C26" s="11"/>
      <c r="D26" s="25"/>
      <c r="E26" s="25"/>
      <c r="F26" s="11"/>
      <c r="G26" s="11"/>
      <c r="H26" s="11"/>
      <c r="I26" s="26" t="str">
        <f t="shared" si="1"/>
        <v/>
      </c>
      <c r="J26" s="26" t="str">
        <f>IF(A26="","",COUNTIF(Cablage!$A:$A,A26))</f>
        <v/>
      </c>
      <c r="K26" s="26" t="str">
        <f>IF(A26="","",COUNTIF(Liens!$A:$A,A26))</f>
        <v/>
      </c>
      <c r="L26" s="26" t="str">
        <f t="shared" si="0"/>
        <v/>
      </c>
      <c r="M26" s="11"/>
    </row>
    <row r="27" spans="1:13" ht="15" customHeight="1" x14ac:dyDescent="0.25">
      <c r="A27" s="11"/>
      <c r="B27" s="25"/>
      <c r="C27" s="11"/>
      <c r="D27" s="25"/>
      <c r="E27" s="25"/>
      <c r="F27" s="11"/>
      <c r="G27" s="11"/>
      <c r="H27" s="11"/>
      <c r="I27" s="26" t="str">
        <f t="shared" si="1"/>
        <v/>
      </c>
      <c r="J27" s="26" t="str">
        <f>IF(A27="","",COUNTIF(Cablage!$A:$A,A27))</f>
        <v/>
      </c>
      <c r="K27" s="26" t="str">
        <f>IF(A27="","",COUNTIF(Liens!$A:$A,A27))</f>
        <v/>
      </c>
      <c r="L27" s="26" t="str">
        <f t="shared" si="0"/>
        <v/>
      </c>
      <c r="M27" s="11"/>
    </row>
    <row r="28" spans="1:13" ht="15" customHeight="1" x14ac:dyDescent="0.25">
      <c r="A28" s="11"/>
      <c r="B28" s="25"/>
      <c r="C28" s="11"/>
      <c r="D28" s="25"/>
      <c r="E28" s="25"/>
      <c r="F28" s="11"/>
      <c r="G28" s="11"/>
      <c r="H28" s="11"/>
      <c r="I28" s="26" t="str">
        <f t="shared" si="1"/>
        <v/>
      </c>
      <c r="J28" s="26" t="str">
        <f>IF(A28="","",COUNTIF(Cablage!$A:$A,A28))</f>
        <v/>
      </c>
      <c r="K28" s="26" t="str">
        <f>IF(A28="","",COUNTIF(Liens!$A:$A,A28))</f>
        <v/>
      </c>
      <c r="L28" s="26" t="str">
        <f t="shared" si="0"/>
        <v/>
      </c>
      <c r="M28" s="11"/>
    </row>
    <row r="29" spans="1:13" ht="15" customHeight="1" x14ac:dyDescent="0.25">
      <c r="A29" s="11"/>
      <c r="B29" s="25"/>
      <c r="C29" s="11"/>
      <c r="D29" s="25"/>
      <c r="E29" s="25"/>
      <c r="F29" s="11"/>
      <c r="G29" s="11"/>
      <c r="H29" s="11"/>
      <c r="I29" s="26" t="str">
        <f t="shared" si="1"/>
        <v/>
      </c>
      <c r="J29" s="26" t="str">
        <f>IF(A29="","",COUNTIF(Cablage!$A:$A,A29))</f>
        <v/>
      </c>
      <c r="K29" s="26" t="str">
        <f>IF(A29="","",COUNTIF(Liens!$A:$A,A29))</f>
        <v/>
      </c>
      <c r="L29" s="26" t="str">
        <f t="shared" si="0"/>
        <v/>
      </c>
      <c r="M29" s="11"/>
    </row>
    <row r="30" spans="1:13" ht="15" customHeight="1" x14ac:dyDescent="0.25">
      <c r="A30" s="11"/>
      <c r="B30" s="25"/>
      <c r="C30" s="11"/>
      <c r="D30" s="25"/>
      <c r="E30" s="25"/>
      <c r="F30" s="11"/>
      <c r="G30" s="11"/>
      <c r="H30" s="11"/>
      <c r="I30" s="26" t="str">
        <f t="shared" si="1"/>
        <v/>
      </c>
      <c r="J30" s="26" t="str">
        <f>IF(A30="","",COUNTIF(Cablage!$A:$A,A30))</f>
        <v/>
      </c>
      <c r="K30" s="26" t="str">
        <f>IF(A30="","",COUNTIF(Liens!$A:$A,A30))</f>
        <v/>
      </c>
      <c r="L30" s="26" t="str">
        <f t="shared" si="0"/>
        <v/>
      </c>
      <c r="M30" s="11"/>
    </row>
    <row r="31" spans="1:13" ht="15" customHeight="1" x14ac:dyDescent="0.25">
      <c r="A31" s="11"/>
      <c r="B31" s="25"/>
      <c r="C31" s="11"/>
      <c r="D31" s="25"/>
      <c r="E31" s="25"/>
      <c r="F31" s="11"/>
      <c r="G31" s="11"/>
      <c r="H31" s="11"/>
      <c r="I31" s="26" t="str">
        <f t="shared" si="1"/>
        <v/>
      </c>
      <c r="J31" s="26" t="str">
        <f>IF(A31="","",COUNTIF(Cablage!$A:$A,A31))</f>
        <v/>
      </c>
      <c r="K31" s="26" t="str">
        <f>IF(A31="","",COUNTIF(Liens!$A:$A,A31))</f>
        <v/>
      </c>
      <c r="L31" s="26" t="str">
        <f t="shared" si="0"/>
        <v/>
      </c>
      <c r="M31" s="11"/>
    </row>
    <row r="32" spans="1:13" ht="15" customHeight="1" x14ac:dyDescent="0.25">
      <c r="A32" s="11"/>
      <c r="B32" s="25"/>
      <c r="C32" s="11"/>
      <c r="D32" s="25"/>
      <c r="E32" s="25"/>
      <c r="F32" s="11"/>
      <c r="G32" s="11"/>
      <c r="H32" s="11"/>
      <c r="I32" s="26" t="str">
        <f t="shared" si="1"/>
        <v/>
      </c>
      <c r="J32" s="26" t="str">
        <f>IF(A32="","",COUNTIF(Cablage!$A:$A,A32))</f>
        <v/>
      </c>
      <c r="K32" s="26" t="str">
        <f>IF(A32="","",COUNTIF(Liens!$A:$A,A32))</f>
        <v/>
      </c>
      <c r="L32" s="26" t="str">
        <f t="shared" si="0"/>
        <v/>
      </c>
      <c r="M32" s="11"/>
    </row>
    <row r="33" spans="1:13" ht="15" customHeight="1" x14ac:dyDescent="0.25">
      <c r="A33" s="11"/>
      <c r="B33" s="25"/>
      <c r="C33" s="11"/>
      <c r="D33" s="25"/>
      <c r="E33" s="25"/>
      <c r="F33" s="11"/>
      <c r="G33" s="11"/>
      <c r="H33" s="11"/>
      <c r="I33" s="26" t="str">
        <f t="shared" si="1"/>
        <v/>
      </c>
      <c r="J33" s="26" t="str">
        <f>IF(A33="","",COUNTIF(Cablage!$A:$A,A33))</f>
        <v/>
      </c>
      <c r="K33" s="26" t="str">
        <f>IF(A33="","",COUNTIF(Liens!$A:$A,A33))</f>
        <v/>
      </c>
      <c r="L33" s="26" t="str">
        <f t="shared" si="0"/>
        <v/>
      </c>
      <c r="M33" s="11"/>
    </row>
    <row r="34" spans="1:13" ht="15" customHeight="1" x14ac:dyDescent="0.25">
      <c r="A34" s="11"/>
      <c r="B34" s="25"/>
      <c r="C34" s="11"/>
      <c r="D34" s="25"/>
      <c r="E34" s="25"/>
      <c r="F34" s="11"/>
      <c r="G34" s="11"/>
      <c r="H34" s="11"/>
      <c r="I34" s="26" t="str">
        <f t="shared" si="1"/>
        <v/>
      </c>
      <c r="J34" s="26" t="str">
        <f>IF(A34="","",COUNTIF(Cablage!$A:$A,A34))</f>
        <v/>
      </c>
      <c r="K34" s="26" t="str">
        <f>IF(A34="","",COUNTIF(Liens!$A:$A,A34))</f>
        <v/>
      </c>
      <c r="L34" s="26" t="str">
        <f t="shared" si="0"/>
        <v/>
      </c>
      <c r="M34" s="11"/>
    </row>
    <row r="35" spans="1:13" ht="15" customHeight="1" x14ac:dyDescent="0.25">
      <c r="A35" s="11"/>
      <c r="B35" s="25"/>
      <c r="C35" s="11"/>
      <c r="D35" s="25"/>
      <c r="E35" s="25"/>
      <c r="F35" s="11"/>
      <c r="G35" s="11"/>
      <c r="H35" s="11"/>
      <c r="I35" s="26" t="str">
        <f t="shared" si="1"/>
        <v/>
      </c>
      <c r="J35" s="26" t="str">
        <f>IF(A35="","",COUNTIF(Cablage!$A:$A,A35))</f>
        <v/>
      </c>
      <c r="K35" s="26" t="str">
        <f>IF(A35="","",COUNTIF(Liens!$A:$A,A35))</f>
        <v/>
      </c>
      <c r="L35" s="26" t="str">
        <f t="shared" si="0"/>
        <v/>
      </c>
      <c r="M35" s="11"/>
    </row>
    <row r="36" spans="1:13" ht="15" customHeight="1" x14ac:dyDescent="0.25">
      <c r="A36" s="11"/>
      <c r="B36" s="25"/>
      <c r="C36" s="11"/>
      <c r="D36" s="25"/>
      <c r="E36" s="25"/>
      <c r="F36" s="11"/>
      <c r="G36" s="11"/>
      <c r="H36" s="11"/>
      <c r="I36" s="26" t="str">
        <f t="shared" si="1"/>
        <v/>
      </c>
      <c r="J36" s="26" t="str">
        <f>IF(A36="","",COUNTIF(Cablage!$A:$A,A36))</f>
        <v/>
      </c>
      <c r="K36" s="26" t="str">
        <f>IF(A36="","",COUNTIF(Liens!$A:$A,A36))</f>
        <v/>
      </c>
      <c r="L36" s="26" t="str">
        <f t="shared" si="0"/>
        <v/>
      </c>
      <c r="M36" s="11"/>
    </row>
    <row r="37" spans="1:13" ht="15" customHeight="1" x14ac:dyDescent="0.25">
      <c r="A37" s="11"/>
      <c r="B37" s="25"/>
      <c r="C37" s="11"/>
      <c r="D37" s="25"/>
      <c r="E37" s="25"/>
      <c r="F37" s="11"/>
      <c r="G37" s="11"/>
      <c r="H37" s="11"/>
      <c r="I37" s="26" t="str">
        <f t="shared" si="1"/>
        <v/>
      </c>
      <c r="J37" s="26" t="str">
        <f>IF(A37="","",COUNTIF(Cablage!$A:$A,A37))</f>
        <v/>
      </c>
      <c r="K37" s="26" t="str">
        <f>IF(A37="","",COUNTIF(Liens!$A:$A,A37))</f>
        <v/>
      </c>
      <c r="L37" s="26" t="str">
        <f t="shared" si="0"/>
        <v/>
      </c>
      <c r="M37" s="11"/>
    </row>
    <row r="38" spans="1:13" ht="15" customHeight="1" x14ac:dyDescent="0.25">
      <c r="A38" s="11"/>
      <c r="B38" s="25"/>
      <c r="C38" s="11"/>
      <c r="D38" s="25"/>
      <c r="E38" s="25"/>
      <c r="F38" s="11"/>
      <c r="G38" s="11"/>
      <c r="H38" s="11"/>
      <c r="I38" s="26" t="str">
        <f t="shared" si="1"/>
        <v/>
      </c>
      <c r="J38" s="26" t="str">
        <f>IF(A38="","",COUNTIF(Cablage!$A:$A,A38))</f>
        <v/>
      </c>
      <c r="K38" s="26" t="str">
        <f>IF(A38="","",COUNTIF(Liens!$A:$A,A38))</f>
        <v/>
      </c>
      <c r="L38" s="26" t="str">
        <f t="shared" si="0"/>
        <v/>
      </c>
      <c r="M38" s="11"/>
    </row>
    <row r="39" spans="1:13" ht="15" customHeight="1" x14ac:dyDescent="0.25">
      <c r="A39" s="11"/>
      <c r="B39" s="25"/>
      <c r="C39" s="11"/>
      <c r="D39" s="25"/>
      <c r="E39" s="25"/>
      <c r="F39" s="11"/>
      <c r="G39" s="11"/>
      <c r="H39" s="11"/>
      <c r="I39" s="26" t="str">
        <f t="shared" si="1"/>
        <v/>
      </c>
      <c r="J39" s="26" t="str">
        <f>IF(A39="","",COUNTIF(Cablage!$A:$A,A39))</f>
        <v/>
      </c>
      <c r="K39" s="26" t="str">
        <f>IF(A39="","",COUNTIF(Liens!$A:$A,A39))</f>
        <v/>
      </c>
      <c r="L39" s="26" t="str">
        <f t="shared" si="0"/>
        <v/>
      </c>
      <c r="M39" s="11"/>
    </row>
    <row r="40" spans="1:13" ht="15" customHeight="1" x14ac:dyDescent="0.25">
      <c r="A40" s="11"/>
      <c r="B40" s="25"/>
      <c r="C40" s="11"/>
      <c r="D40" s="25"/>
      <c r="E40" s="25"/>
      <c r="F40" s="11"/>
      <c r="G40" s="11"/>
      <c r="H40" s="11"/>
      <c r="I40" s="26" t="str">
        <f t="shared" si="1"/>
        <v/>
      </c>
      <c r="J40" s="26" t="str">
        <f>IF(A40="","",COUNTIF(Cablage!$A:$A,A40))</f>
        <v/>
      </c>
      <c r="K40" s="26" t="str">
        <f>IF(A40="","",COUNTIF(Liens!$A:$A,A40))</f>
        <v/>
      </c>
      <c r="L40" s="26" t="str">
        <f t="shared" si="0"/>
        <v/>
      </c>
      <c r="M40" s="11"/>
    </row>
    <row r="41" spans="1:13" ht="15" customHeight="1" x14ac:dyDescent="0.25">
      <c r="A41" s="11"/>
      <c r="B41" s="25"/>
      <c r="C41" s="11"/>
      <c r="D41" s="25"/>
      <c r="E41" s="25"/>
      <c r="F41" s="11"/>
      <c r="G41" s="11"/>
      <c r="H41" s="11"/>
      <c r="I41" s="26" t="str">
        <f t="shared" si="1"/>
        <v/>
      </c>
      <c r="J41" s="26" t="str">
        <f>IF(A41="","",COUNTIF(Cablage!$A:$A,A41))</f>
        <v/>
      </c>
      <c r="K41" s="26" t="str">
        <f>IF(A41="","",COUNTIF(Liens!$A:$A,A41))</f>
        <v/>
      </c>
      <c r="L41" s="26" t="str">
        <f t="shared" si="0"/>
        <v/>
      </c>
      <c r="M41" s="11"/>
    </row>
    <row r="42" spans="1:13" ht="15" customHeight="1" x14ac:dyDescent="0.25">
      <c r="A42" s="11"/>
      <c r="B42" s="25"/>
      <c r="C42" s="11"/>
      <c r="D42" s="25"/>
      <c r="E42" s="25"/>
      <c r="F42" s="11"/>
      <c r="G42" s="11"/>
      <c r="H42" s="11"/>
      <c r="I42" s="26" t="str">
        <f t="shared" si="1"/>
        <v/>
      </c>
      <c r="J42" s="26" t="str">
        <f>IF(A42="","",COUNTIF(Cablage!$A:$A,A42))</f>
        <v/>
      </c>
      <c r="K42" s="26" t="str">
        <f>IF(A42="","",COUNTIF(Liens!$A:$A,A42))</f>
        <v/>
      </c>
      <c r="L42" s="26" t="str">
        <f t="shared" si="0"/>
        <v/>
      </c>
      <c r="M42" s="11"/>
    </row>
    <row r="43" spans="1:13" ht="15" customHeight="1" x14ac:dyDescent="0.25">
      <c r="A43" s="11"/>
      <c r="B43" s="25"/>
      <c r="C43" s="11"/>
      <c r="D43" s="25"/>
      <c r="E43" s="25"/>
      <c r="F43" s="11"/>
      <c r="G43" s="11"/>
      <c r="H43" s="11"/>
      <c r="I43" s="26" t="str">
        <f t="shared" si="1"/>
        <v/>
      </c>
      <c r="J43" s="26" t="str">
        <f>IF(A43="","",COUNTIF(Cablage!$A:$A,A43))</f>
        <v/>
      </c>
      <c r="K43" s="26" t="str">
        <f>IF(A43="","",COUNTIF(Liens!$A:$A,A43))</f>
        <v/>
      </c>
      <c r="L43" s="26" t="str">
        <f t="shared" si="0"/>
        <v/>
      </c>
      <c r="M43" s="11"/>
    </row>
    <row r="44" spans="1:13" ht="15" customHeight="1" x14ac:dyDescent="0.25">
      <c r="A44" s="11"/>
      <c r="B44" s="25"/>
      <c r="C44" s="11"/>
      <c r="D44" s="25"/>
      <c r="E44" s="25"/>
      <c r="F44" s="11"/>
      <c r="G44" s="11"/>
      <c r="H44" s="11"/>
      <c r="I44" s="26" t="str">
        <f t="shared" si="1"/>
        <v/>
      </c>
      <c r="J44" s="26" t="str">
        <f>IF(A44="","",COUNTIF(Cablage!$A:$A,A44))</f>
        <v/>
      </c>
      <c r="K44" s="26" t="str">
        <f>IF(A44="","",COUNTIF(Liens!$A:$A,A44))</f>
        <v/>
      </c>
      <c r="L44" s="26" t="str">
        <f t="shared" si="0"/>
        <v/>
      </c>
      <c r="M44" s="11"/>
    </row>
    <row r="45" spans="1:13" ht="15" customHeight="1" x14ac:dyDescent="0.25">
      <c r="A45" s="11"/>
      <c r="B45" s="25"/>
      <c r="C45" s="11"/>
      <c r="D45" s="25"/>
      <c r="E45" s="25"/>
      <c r="F45" s="11"/>
      <c r="G45" s="11"/>
      <c r="H45" s="11"/>
      <c r="I45" s="26" t="str">
        <f t="shared" si="1"/>
        <v/>
      </c>
      <c r="J45" s="26" t="str">
        <f>IF(A45="","",COUNTIF(Cablage!$A:$A,A45))</f>
        <v/>
      </c>
      <c r="K45" s="26" t="str">
        <f>IF(A45="","",COUNTIF(Liens!$A:$A,A45))</f>
        <v/>
      </c>
      <c r="L45" s="26" t="str">
        <f t="shared" si="0"/>
        <v/>
      </c>
      <c r="M45" s="11"/>
    </row>
    <row r="46" spans="1:13" ht="15" customHeight="1" x14ac:dyDescent="0.25">
      <c r="A46" s="11"/>
      <c r="B46" s="25"/>
      <c r="C46" s="11"/>
      <c r="D46" s="25"/>
      <c r="E46" s="25"/>
      <c r="F46" s="11"/>
      <c r="G46" s="11"/>
      <c r="H46" s="11"/>
      <c r="I46" s="26" t="str">
        <f t="shared" si="1"/>
        <v/>
      </c>
      <c r="J46" s="26" t="str">
        <f>IF(A46="","",COUNTIF(Cablage!$A:$A,A46))</f>
        <v/>
      </c>
      <c r="K46" s="26" t="str">
        <f>IF(A46="","",COUNTIF(Liens!$A:$A,A46))</f>
        <v/>
      </c>
      <c r="L46" s="26" t="str">
        <f t="shared" si="0"/>
        <v/>
      </c>
      <c r="M46" s="11"/>
    </row>
    <row r="47" spans="1:13" ht="15" customHeight="1" x14ac:dyDescent="0.25">
      <c r="A47" s="11"/>
      <c r="B47" s="25"/>
      <c r="C47" s="11"/>
      <c r="D47" s="25"/>
      <c r="E47" s="25"/>
      <c r="F47" s="11"/>
      <c r="G47" s="11"/>
      <c r="H47" s="11"/>
      <c r="I47" s="26" t="str">
        <f t="shared" si="1"/>
        <v/>
      </c>
      <c r="J47" s="26" t="str">
        <f>IF(A47="","",COUNTIF(Cablage!$A:$A,A47))</f>
        <v/>
      </c>
      <c r="K47" s="26" t="str">
        <f>IF(A47="","",COUNTIF(Liens!$A:$A,A47))</f>
        <v/>
      </c>
      <c r="L47" s="26" t="str">
        <f t="shared" si="0"/>
        <v/>
      </c>
      <c r="M47" s="11"/>
    </row>
    <row r="48" spans="1:13" ht="15" customHeight="1" x14ac:dyDescent="0.25">
      <c r="A48" s="11"/>
      <c r="B48" s="25"/>
      <c r="C48" s="11"/>
      <c r="D48" s="25"/>
      <c r="E48" s="25"/>
      <c r="F48" s="11"/>
      <c r="G48" s="11"/>
      <c r="H48" s="11"/>
      <c r="I48" s="26" t="str">
        <f t="shared" si="1"/>
        <v/>
      </c>
      <c r="J48" s="26" t="str">
        <f>IF(A48="","",COUNTIF(Cablage!$A:$A,A48))</f>
        <v/>
      </c>
      <c r="K48" s="26" t="str">
        <f>IF(A48="","",COUNTIF(Liens!$A:$A,A48))</f>
        <v/>
      </c>
      <c r="L48" s="26" t="str">
        <f t="shared" si="0"/>
        <v/>
      </c>
      <c r="M48" s="11"/>
    </row>
    <row r="49" spans="1:13" ht="15" customHeight="1" x14ac:dyDescent="0.25">
      <c r="A49" s="11"/>
      <c r="B49" s="25"/>
      <c r="C49" s="11"/>
      <c r="D49" s="25"/>
      <c r="E49" s="25"/>
      <c r="F49" s="11"/>
      <c r="G49" s="11"/>
      <c r="H49" s="11"/>
      <c r="I49" s="26" t="str">
        <f t="shared" si="1"/>
        <v/>
      </c>
      <c r="J49" s="26" t="str">
        <f>IF(A49="","",COUNTIF(Cablage!$A:$A,A49))</f>
        <v/>
      </c>
      <c r="K49" s="26" t="str">
        <f>IF(A49="","",COUNTIF(Liens!$A:$A,A49))</f>
        <v/>
      </c>
      <c r="L49" s="26" t="str">
        <f t="shared" si="0"/>
        <v/>
      </c>
      <c r="M49" s="11"/>
    </row>
    <row r="50" spans="1:13" ht="15" customHeight="1" x14ac:dyDescent="0.25">
      <c r="A50" s="11"/>
      <c r="B50" s="25"/>
      <c r="C50" s="11"/>
      <c r="D50" s="25"/>
      <c r="E50" s="25"/>
      <c r="F50" s="11"/>
      <c r="G50" s="11"/>
      <c r="H50" s="11"/>
      <c r="I50" s="26" t="str">
        <f t="shared" si="1"/>
        <v/>
      </c>
      <c r="J50" s="26" t="str">
        <f>IF(A50="","",COUNTIF(Cablage!$A:$A,A50))</f>
        <v/>
      </c>
      <c r="K50" s="26" t="str">
        <f>IF(A50="","",COUNTIF(Liens!$A:$A,A50))</f>
        <v/>
      </c>
      <c r="L50" s="26" t="str">
        <f t="shared" si="0"/>
        <v/>
      </c>
      <c r="M50" s="11"/>
    </row>
    <row r="51" spans="1:13" ht="15" customHeight="1" x14ac:dyDescent="0.25">
      <c r="A51" s="11"/>
      <c r="B51" s="25"/>
      <c r="C51" s="11"/>
      <c r="D51" s="25"/>
      <c r="E51" s="25"/>
      <c r="F51" s="11"/>
      <c r="G51" s="11"/>
      <c r="H51" s="11"/>
      <c r="I51" s="26" t="str">
        <f t="shared" si="1"/>
        <v/>
      </c>
      <c r="J51" s="26" t="str">
        <f>IF(A51="","",COUNTIF(Cablage!$A:$A,A51))</f>
        <v/>
      </c>
      <c r="K51" s="26" t="str">
        <f>IF(A51="","",COUNTIF(Liens!$A:$A,A51))</f>
        <v/>
      </c>
      <c r="L51" s="26" t="str">
        <f t="shared" si="0"/>
        <v/>
      </c>
      <c r="M51" s="11"/>
    </row>
    <row r="52" spans="1:13" ht="15" customHeight="1" x14ac:dyDescent="0.25">
      <c r="A52" s="11"/>
      <c r="B52" s="25"/>
      <c r="C52" s="11"/>
      <c r="D52" s="25"/>
      <c r="E52" s="25"/>
      <c r="F52" s="11"/>
      <c r="G52" s="11"/>
      <c r="H52" s="11"/>
      <c r="I52" s="26" t="str">
        <f t="shared" si="1"/>
        <v/>
      </c>
      <c r="J52" s="26" t="str">
        <f>IF(A52="","",COUNTIF(Cablage!$A:$A,A52))</f>
        <v/>
      </c>
      <c r="K52" s="26" t="str">
        <f>IF(A52="","",COUNTIF(Liens!$A:$A,A52))</f>
        <v/>
      </c>
      <c r="L52" s="26" t="str">
        <f t="shared" si="0"/>
        <v/>
      </c>
      <c r="M52" s="11"/>
    </row>
    <row r="53" spans="1:13" ht="15" customHeight="1" x14ac:dyDescent="0.25">
      <c r="A53" s="11"/>
      <c r="B53" s="25"/>
      <c r="C53" s="11"/>
      <c r="D53" s="25"/>
      <c r="E53" s="25"/>
      <c r="F53" s="11"/>
      <c r="G53" s="11"/>
      <c r="H53" s="11"/>
      <c r="I53" s="26" t="str">
        <f t="shared" si="1"/>
        <v/>
      </c>
      <c r="J53" s="26" t="str">
        <f>IF(A53="","",COUNTIF(Cablage!$A:$A,A53))</f>
        <v/>
      </c>
      <c r="K53" s="26" t="str">
        <f>IF(A53="","",COUNTIF(Liens!$A:$A,A53))</f>
        <v/>
      </c>
      <c r="L53" s="26" t="str">
        <f t="shared" si="0"/>
        <v/>
      </c>
      <c r="M53" s="11"/>
    </row>
    <row r="54" spans="1:13" ht="15" customHeight="1" x14ac:dyDescent="0.25">
      <c r="A54" s="11"/>
      <c r="B54" s="25"/>
      <c r="C54" s="11"/>
      <c r="D54" s="25"/>
      <c r="E54" s="25"/>
      <c r="F54" s="11"/>
      <c r="G54" s="11"/>
      <c r="H54" s="11"/>
      <c r="I54" s="26" t="str">
        <f t="shared" si="1"/>
        <v/>
      </c>
      <c r="J54" s="26" t="str">
        <f>IF(A54="","",COUNTIF(Cablage!$A:$A,A54))</f>
        <v/>
      </c>
      <c r="K54" s="26" t="str">
        <f>IF(A54="","",COUNTIF(Liens!$A:$A,A54))</f>
        <v/>
      </c>
      <c r="L54" s="26" t="str">
        <f t="shared" si="0"/>
        <v/>
      </c>
      <c r="M54" s="11"/>
    </row>
    <row r="55" spans="1:13" ht="15" customHeight="1" x14ac:dyDescent="0.25">
      <c r="A55" s="11"/>
      <c r="B55" s="25"/>
      <c r="C55" s="11"/>
      <c r="D55" s="25"/>
      <c r="E55" s="25"/>
      <c r="F55" s="11"/>
      <c r="G55" s="11"/>
      <c r="H55" s="11"/>
      <c r="I55" s="26" t="str">
        <f t="shared" si="1"/>
        <v/>
      </c>
      <c r="J55" s="26" t="str">
        <f>IF(A55="","",COUNTIF(Cablage!$A:$A,A55))</f>
        <v/>
      </c>
      <c r="K55" s="26" t="str">
        <f>IF(A55="","",COUNTIF(Liens!$A:$A,A55))</f>
        <v/>
      </c>
      <c r="L55" s="26" t="str">
        <f t="shared" si="0"/>
        <v/>
      </c>
      <c r="M55" s="11"/>
    </row>
    <row r="56" spans="1:13" ht="15" customHeight="1" x14ac:dyDescent="0.25">
      <c r="A56" s="11"/>
      <c r="B56" s="25"/>
      <c r="C56" s="11"/>
      <c r="D56" s="25"/>
      <c r="E56" s="25"/>
      <c r="F56" s="11"/>
      <c r="G56" s="11"/>
      <c r="H56" s="11"/>
      <c r="I56" s="26" t="str">
        <f t="shared" si="1"/>
        <v/>
      </c>
      <c r="J56" s="26" t="str">
        <f>IF(A56="","",COUNTIF(Cablage!$A:$A,A56))</f>
        <v/>
      </c>
      <c r="K56" s="26" t="str">
        <f>IF(A56="","",COUNTIF(Liens!$A:$A,A56))</f>
        <v/>
      </c>
      <c r="L56" s="26" t="str">
        <f t="shared" si="0"/>
        <v/>
      </c>
      <c r="M56" s="11"/>
    </row>
    <row r="57" spans="1:13" ht="15" customHeight="1" x14ac:dyDescent="0.25">
      <c r="A57" s="11"/>
      <c r="B57" s="25"/>
      <c r="C57" s="11"/>
      <c r="D57" s="25"/>
      <c r="E57" s="25"/>
      <c r="F57" s="11"/>
      <c r="G57" s="11"/>
      <c r="H57" s="11"/>
      <c r="I57" s="26" t="str">
        <f t="shared" si="1"/>
        <v/>
      </c>
      <c r="J57" s="26" t="str">
        <f>IF(A57="","",COUNTIF(Cablage!$A:$A,A57))</f>
        <v/>
      </c>
      <c r="K57" s="26" t="str">
        <f>IF(A57="","",COUNTIF(Liens!$A:$A,A57))</f>
        <v/>
      </c>
      <c r="L57" s="26" t="str">
        <f t="shared" si="0"/>
        <v/>
      </c>
      <c r="M57" s="11"/>
    </row>
    <row r="58" spans="1:13" ht="15" customHeight="1" x14ac:dyDescent="0.25">
      <c r="A58" s="11"/>
      <c r="B58" s="25"/>
      <c r="C58" s="11"/>
      <c r="D58" s="25"/>
      <c r="E58" s="25"/>
      <c r="F58" s="11"/>
      <c r="G58" s="11"/>
      <c r="H58" s="11"/>
      <c r="I58" s="26" t="str">
        <f t="shared" si="1"/>
        <v/>
      </c>
      <c r="J58" s="26" t="str">
        <f>IF(A58="","",COUNTIF(Cablage!$A:$A,A58))</f>
        <v/>
      </c>
      <c r="K58" s="26" t="str">
        <f>IF(A58="","",COUNTIF(Liens!$A:$A,A58))</f>
        <v/>
      </c>
      <c r="L58" s="26" t="str">
        <f t="shared" si="0"/>
        <v/>
      </c>
      <c r="M58" s="11"/>
    </row>
    <row r="59" spans="1:13" ht="15" customHeight="1" x14ac:dyDescent="0.25">
      <c r="A59" s="11"/>
      <c r="B59" s="25"/>
      <c r="C59" s="11"/>
      <c r="D59" s="25"/>
      <c r="E59" s="25"/>
      <c r="F59" s="11"/>
      <c r="G59" s="11"/>
      <c r="H59" s="11"/>
      <c r="I59" s="26" t="str">
        <f t="shared" si="1"/>
        <v/>
      </c>
      <c r="J59" s="26" t="str">
        <f>IF(A59="","",COUNTIF(Cablage!$A:$A,A59))</f>
        <v/>
      </c>
      <c r="K59" s="26" t="str">
        <f>IF(A59="","",COUNTIF(Liens!$A:$A,A59))</f>
        <v/>
      </c>
      <c r="L59" s="26" t="str">
        <f t="shared" si="0"/>
        <v/>
      </c>
      <c r="M59" s="11"/>
    </row>
    <row r="60" spans="1:13" ht="15" customHeight="1" x14ac:dyDescent="0.25">
      <c r="A60" s="11"/>
      <c r="B60" s="25"/>
      <c r="C60" s="11"/>
      <c r="D60" s="25"/>
      <c r="E60" s="25"/>
      <c r="F60" s="11"/>
      <c r="G60" s="11"/>
      <c r="H60" s="11"/>
      <c r="I60" s="26" t="str">
        <f t="shared" si="1"/>
        <v/>
      </c>
      <c r="J60" s="26" t="str">
        <f>IF(A60="","",COUNTIF(Cablage!$A:$A,A60))</f>
        <v/>
      </c>
      <c r="K60" s="26" t="str">
        <f>IF(A60="","",COUNTIF(Liens!$A:$A,A60))</f>
        <v/>
      </c>
      <c r="L60" s="26" t="str">
        <f t="shared" si="0"/>
        <v/>
      </c>
      <c r="M60" s="11"/>
    </row>
    <row r="61" spans="1:13" ht="15" customHeight="1" x14ac:dyDescent="0.25">
      <c r="A61" s="11"/>
      <c r="B61" s="25"/>
      <c r="C61" s="11"/>
      <c r="D61" s="25"/>
      <c r="E61" s="25"/>
      <c r="F61" s="11"/>
      <c r="G61" s="11"/>
      <c r="H61" s="11"/>
      <c r="I61" s="26" t="str">
        <f t="shared" si="1"/>
        <v/>
      </c>
      <c r="J61" s="26" t="str">
        <f>IF(A61="","",COUNTIF(Cablage!$A:$A,A61))</f>
        <v/>
      </c>
      <c r="K61" s="26" t="str">
        <f>IF(A61="","",COUNTIF(Liens!$A:$A,A61))</f>
        <v/>
      </c>
      <c r="L61" s="26" t="str">
        <f t="shared" si="0"/>
        <v/>
      </c>
      <c r="M61" s="11"/>
    </row>
    <row r="62" spans="1:13" ht="15" customHeight="1" x14ac:dyDescent="0.25">
      <c r="A62" s="11"/>
      <c r="B62" s="25"/>
      <c r="C62" s="11"/>
      <c r="D62" s="25"/>
      <c r="E62" s="25"/>
      <c r="F62" s="11"/>
      <c r="G62" s="11"/>
      <c r="H62" s="11"/>
      <c r="I62" s="26" t="str">
        <f t="shared" si="1"/>
        <v/>
      </c>
      <c r="J62" s="26" t="str">
        <f>IF(A62="","",COUNTIF(Cablage!$A:$A,A62))</f>
        <v/>
      </c>
      <c r="K62" s="26" t="str">
        <f>IF(A62="","",COUNTIF(Liens!$A:$A,A62))</f>
        <v/>
      </c>
      <c r="L62" s="26" t="str">
        <f t="shared" si="0"/>
        <v/>
      </c>
      <c r="M62" s="11"/>
    </row>
    <row r="63" spans="1:13" ht="15" customHeight="1" x14ac:dyDescent="0.25">
      <c r="A63" s="11"/>
      <c r="B63" s="25"/>
      <c r="C63" s="11"/>
      <c r="D63" s="25"/>
      <c r="E63" s="25"/>
      <c r="F63" s="11"/>
      <c r="G63" s="11"/>
      <c r="H63" s="11"/>
      <c r="I63" s="26" t="str">
        <f t="shared" si="1"/>
        <v/>
      </c>
      <c r="J63" s="26" t="str">
        <f>IF(A63="","",COUNTIF(Cablage!$A:$A,A63))</f>
        <v/>
      </c>
      <c r="K63" s="26" t="str">
        <f>IF(A63="","",COUNTIF(Liens!$A:$A,A63))</f>
        <v/>
      </c>
      <c r="L63" s="26" t="str">
        <f t="shared" si="0"/>
        <v/>
      </c>
      <c r="M63" s="11"/>
    </row>
    <row r="64" spans="1:13" ht="15" customHeight="1" x14ac:dyDescent="0.25">
      <c r="A64" s="11"/>
      <c r="B64" s="25"/>
      <c r="C64" s="11"/>
      <c r="D64" s="25"/>
      <c r="E64" s="25"/>
      <c r="F64" s="11"/>
      <c r="G64" s="11"/>
      <c r="H64" s="11"/>
      <c r="I64" s="26" t="str">
        <f t="shared" si="1"/>
        <v/>
      </c>
      <c r="J64" s="26" t="str">
        <f>IF(A64="","",COUNTIF(Cablage!$A:$A,A64))</f>
        <v/>
      </c>
      <c r="K64" s="26" t="str">
        <f>IF(A64="","",COUNTIF(Liens!$A:$A,A64))</f>
        <v/>
      </c>
      <c r="L64" s="26" t="str">
        <f t="shared" si="0"/>
        <v/>
      </c>
      <c r="M64" s="11"/>
    </row>
    <row r="65" spans="1:13" ht="15" customHeight="1" x14ac:dyDescent="0.25">
      <c r="A65" s="11"/>
      <c r="B65" s="25"/>
      <c r="C65" s="11"/>
      <c r="D65" s="25"/>
      <c r="E65" s="25"/>
      <c r="F65" s="11"/>
      <c r="G65" s="11"/>
      <c r="H65" s="11"/>
      <c r="I65" s="26" t="str">
        <f t="shared" si="1"/>
        <v/>
      </c>
      <c r="J65" s="26" t="str">
        <f>IF(A65="","",COUNTIF(Cablage!$A:$A,A65))</f>
        <v/>
      </c>
      <c r="K65" s="26" t="str">
        <f>IF(A65="","",COUNTIF(Liens!$A:$A,A65))</f>
        <v/>
      </c>
      <c r="L65" s="26" t="str">
        <f t="shared" si="0"/>
        <v/>
      </c>
      <c r="M65" s="11"/>
    </row>
    <row r="66" spans="1:13" ht="15" customHeight="1" x14ac:dyDescent="0.25">
      <c r="A66" s="11"/>
      <c r="B66" s="25"/>
      <c r="C66" s="11"/>
      <c r="D66" s="25"/>
      <c r="E66" s="25"/>
      <c r="F66" s="11"/>
      <c r="G66" s="11"/>
      <c r="H66" s="11"/>
      <c r="I66" s="26" t="str">
        <f t="shared" si="1"/>
        <v/>
      </c>
      <c r="J66" s="26" t="str">
        <f>IF(A66="","",COUNTIF(Cablage!$A:$A,A66))</f>
        <v/>
      </c>
      <c r="K66" s="26" t="str">
        <f>IF(A66="","",COUNTIF(Liens!$A:$A,A66))</f>
        <v/>
      </c>
      <c r="L66" s="26" t="str">
        <f t="shared" si="0"/>
        <v/>
      </c>
      <c r="M66" s="11"/>
    </row>
    <row r="67" spans="1:13" ht="15" customHeight="1" x14ac:dyDescent="0.25">
      <c r="A67" s="11"/>
      <c r="B67" s="25"/>
      <c r="C67" s="11"/>
      <c r="D67" s="25"/>
      <c r="E67" s="25"/>
      <c r="F67" s="11"/>
      <c r="G67" s="11"/>
      <c r="H67" s="11"/>
      <c r="I67" s="26" t="str">
        <f t="shared" si="1"/>
        <v/>
      </c>
      <c r="J67" s="26" t="str">
        <f>IF(A67="","",COUNTIF(Cablage!$A:$A,A67))</f>
        <v/>
      </c>
      <c r="K67" s="26" t="str">
        <f>IF(A67="","",COUNTIF(Liens!$A:$A,A67))</f>
        <v/>
      </c>
      <c r="L67" s="26" t="str">
        <f t="shared" si="0"/>
        <v/>
      </c>
      <c r="M67" s="11"/>
    </row>
    <row r="68" spans="1:13" ht="15" customHeight="1" x14ac:dyDescent="0.25">
      <c r="A68" s="11"/>
      <c r="B68" s="25"/>
      <c r="C68" s="11"/>
      <c r="D68" s="25"/>
      <c r="E68" s="25"/>
      <c r="F68" s="11"/>
      <c r="G68" s="11"/>
      <c r="H68" s="11"/>
      <c r="I68" s="26" t="str">
        <f t="shared" si="1"/>
        <v/>
      </c>
      <c r="J68" s="26" t="str">
        <f>IF(A68="","",COUNTIF(Cablage!$A:$A,A68))</f>
        <v/>
      </c>
      <c r="K68" s="26" t="str">
        <f>IF(A68="","",COUNTIF(Liens!$A:$A,A68))</f>
        <v/>
      </c>
      <c r="L68" s="26" t="str">
        <f t="shared" si="0"/>
        <v/>
      </c>
      <c r="M68" s="11"/>
    </row>
    <row r="69" spans="1:13" ht="15" customHeight="1" x14ac:dyDescent="0.25">
      <c r="A69" s="11"/>
      <c r="B69" s="25"/>
      <c r="C69" s="11"/>
      <c r="D69" s="25"/>
      <c r="E69" s="25"/>
      <c r="F69" s="11"/>
      <c r="G69" s="11"/>
      <c r="H69" s="11"/>
      <c r="I69" s="26" t="str">
        <f t="shared" si="1"/>
        <v/>
      </c>
      <c r="J69" s="26" t="str">
        <f>IF(A69="","",COUNTIF(Cablage!$A:$A,A69))</f>
        <v/>
      </c>
      <c r="K69" s="26" t="str">
        <f>IF(A69="","",COUNTIF(Liens!$A:$A,A69))</f>
        <v/>
      </c>
      <c r="L69" s="26" t="str">
        <f t="shared" si="0"/>
        <v/>
      </c>
      <c r="M69" s="11"/>
    </row>
    <row r="70" spans="1:13" ht="15" customHeight="1" x14ac:dyDescent="0.25">
      <c r="A70" s="11"/>
      <c r="B70" s="25"/>
      <c r="C70" s="11"/>
      <c r="D70" s="25"/>
      <c r="E70" s="25"/>
      <c r="F70" s="11"/>
      <c r="G70" s="11"/>
      <c r="H70" s="11"/>
      <c r="I70" s="26" t="str">
        <f t="shared" si="1"/>
        <v/>
      </c>
      <c r="J70" s="26" t="str">
        <f>IF(A70="","",COUNTIF(Cablage!$A:$A,A70))</f>
        <v/>
      </c>
      <c r="K70" s="26" t="str">
        <f>IF(A70="","",COUNTIF(Liens!$A:$A,A70))</f>
        <v/>
      </c>
      <c r="L70" s="26" t="str">
        <f t="shared" si="0"/>
        <v/>
      </c>
      <c r="M70" s="11"/>
    </row>
    <row r="71" spans="1:13" ht="15" customHeight="1" x14ac:dyDescent="0.25">
      <c r="A71" s="11"/>
      <c r="B71" s="25"/>
      <c r="C71" s="11"/>
      <c r="D71" s="25"/>
      <c r="E71" s="25"/>
      <c r="F71" s="11"/>
      <c r="G71" s="11"/>
      <c r="H71" s="11"/>
      <c r="I71" s="26" t="str">
        <f t="shared" si="1"/>
        <v/>
      </c>
      <c r="J71" s="26" t="str">
        <f>IF(A71="","",COUNTIF(Cablage!$A:$A,A71))</f>
        <v/>
      </c>
      <c r="K71" s="26" t="str">
        <f>IF(A71="","",COUNTIF(Liens!$A:$A,A71))</f>
        <v/>
      </c>
      <c r="L71" s="26" t="str">
        <f t="shared" si="0"/>
        <v/>
      </c>
      <c r="M71" s="11"/>
    </row>
    <row r="72" spans="1:13" ht="15" customHeight="1" x14ac:dyDescent="0.25">
      <c r="A72" s="11"/>
      <c r="B72" s="25"/>
      <c r="C72" s="11"/>
      <c r="D72" s="25"/>
      <c r="E72" s="25"/>
      <c r="F72" s="11"/>
      <c r="G72" s="11"/>
      <c r="H72" s="11"/>
      <c r="I72" s="26" t="str">
        <f t="shared" si="1"/>
        <v/>
      </c>
      <c r="J72" s="26" t="str">
        <f>IF(A72="","",COUNTIF(Cablage!$A:$A,A72))</f>
        <v/>
      </c>
      <c r="K72" s="26" t="str">
        <f>IF(A72="","",COUNTIF(Liens!$A:$A,A72))</f>
        <v/>
      </c>
      <c r="L72" s="26" t="str">
        <f t="shared" si="0"/>
        <v/>
      </c>
      <c r="M72" s="11"/>
    </row>
    <row r="73" spans="1:13" ht="15" customHeight="1" x14ac:dyDescent="0.25">
      <c r="A73" s="11"/>
      <c r="B73" s="25"/>
      <c r="C73" s="11"/>
      <c r="D73" s="25"/>
      <c r="E73" s="25"/>
      <c r="F73" s="11"/>
      <c r="G73" s="11"/>
      <c r="H73" s="11"/>
      <c r="I73" s="26" t="str">
        <f t="shared" ref="I73:I136" si="2">IF(F73="","",IF(OR(E73="Variable seule",G73=""),F73,F73&amp;"["&amp;G73&amp;"]"))</f>
        <v/>
      </c>
      <c r="J73" s="26" t="str">
        <f>IF(A73="","",COUNTIF(Cablage!$A:$A,A73))</f>
        <v/>
      </c>
      <c r="K73" s="26" t="str">
        <f>IF(A73="","",COUNTIF(Liens!$A:$A,A73))</f>
        <v/>
      </c>
      <c r="L73" s="26" t="str">
        <f t="shared" ref="L73:L136" si="3">IF(OR(A73="",E73="Variable seule",F73="",G73=""),"",IF(COUNTIFS($F$9:$F$308,F73,$G$9:$G$308,G73,$A$9:$A$308,"&lt;&gt;"&amp;A73)&gt;0,"index deja pris",""))</f>
        <v/>
      </c>
      <c r="M73" s="11"/>
    </row>
    <row r="74" spans="1:13" ht="15" customHeight="1" x14ac:dyDescent="0.25">
      <c r="A74" s="11"/>
      <c r="B74" s="25"/>
      <c r="C74" s="11"/>
      <c r="D74" s="25"/>
      <c r="E74" s="25"/>
      <c r="F74" s="11"/>
      <c r="G74" s="11"/>
      <c r="H74" s="11"/>
      <c r="I74" s="26" t="str">
        <f t="shared" si="2"/>
        <v/>
      </c>
      <c r="J74" s="26" t="str">
        <f>IF(A74="","",COUNTIF(Cablage!$A:$A,A74))</f>
        <v/>
      </c>
      <c r="K74" s="26" t="str">
        <f>IF(A74="","",COUNTIF(Liens!$A:$A,A74))</f>
        <v/>
      </c>
      <c r="L74" s="26" t="str">
        <f t="shared" si="3"/>
        <v/>
      </c>
      <c r="M74" s="11"/>
    </row>
    <row r="75" spans="1:13" ht="15" customHeight="1" x14ac:dyDescent="0.25">
      <c r="A75" s="11"/>
      <c r="B75" s="25"/>
      <c r="C75" s="11"/>
      <c r="D75" s="25"/>
      <c r="E75" s="25"/>
      <c r="F75" s="11"/>
      <c r="G75" s="11"/>
      <c r="H75" s="11"/>
      <c r="I75" s="26" t="str">
        <f t="shared" si="2"/>
        <v/>
      </c>
      <c r="J75" s="26" t="str">
        <f>IF(A75="","",COUNTIF(Cablage!$A:$A,A75))</f>
        <v/>
      </c>
      <c r="K75" s="26" t="str">
        <f>IF(A75="","",COUNTIF(Liens!$A:$A,A75))</f>
        <v/>
      </c>
      <c r="L75" s="26" t="str">
        <f t="shared" si="3"/>
        <v/>
      </c>
      <c r="M75" s="11"/>
    </row>
    <row r="76" spans="1:13" ht="15" customHeight="1" x14ac:dyDescent="0.25">
      <c r="A76" s="11"/>
      <c r="B76" s="25"/>
      <c r="C76" s="11"/>
      <c r="D76" s="25"/>
      <c r="E76" s="25"/>
      <c r="F76" s="11"/>
      <c r="G76" s="11"/>
      <c r="H76" s="11"/>
      <c r="I76" s="26" t="str">
        <f t="shared" si="2"/>
        <v/>
      </c>
      <c r="J76" s="26" t="str">
        <f>IF(A76="","",COUNTIF(Cablage!$A:$A,A76))</f>
        <v/>
      </c>
      <c r="K76" s="26" t="str">
        <f>IF(A76="","",COUNTIF(Liens!$A:$A,A76))</f>
        <v/>
      </c>
      <c r="L76" s="26" t="str">
        <f t="shared" si="3"/>
        <v/>
      </c>
      <c r="M76" s="11"/>
    </row>
    <row r="77" spans="1:13" ht="15" customHeight="1" x14ac:dyDescent="0.25">
      <c r="A77" s="11"/>
      <c r="B77" s="25"/>
      <c r="C77" s="11"/>
      <c r="D77" s="25"/>
      <c r="E77" s="25"/>
      <c r="F77" s="11"/>
      <c r="G77" s="11"/>
      <c r="H77" s="11"/>
      <c r="I77" s="26" t="str">
        <f t="shared" si="2"/>
        <v/>
      </c>
      <c r="J77" s="26" t="str">
        <f>IF(A77="","",COUNTIF(Cablage!$A:$A,A77))</f>
        <v/>
      </c>
      <c r="K77" s="26" t="str">
        <f>IF(A77="","",COUNTIF(Liens!$A:$A,A77))</f>
        <v/>
      </c>
      <c r="L77" s="26" t="str">
        <f t="shared" si="3"/>
        <v/>
      </c>
      <c r="M77" s="11"/>
    </row>
    <row r="78" spans="1:13" ht="15" customHeight="1" x14ac:dyDescent="0.25">
      <c r="A78" s="11"/>
      <c r="B78" s="25"/>
      <c r="C78" s="11"/>
      <c r="D78" s="25"/>
      <c r="E78" s="25"/>
      <c r="F78" s="11"/>
      <c r="G78" s="11"/>
      <c r="H78" s="11"/>
      <c r="I78" s="26" t="str">
        <f t="shared" si="2"/>
        <v/>
      </c>
      <c r="J78" s="26" t="str">
        <f>IF(A78="","",COUNTIF(Cablage!$A:$A,A78))</f>
        <v/>
      </c>
      <c r="K78" s="26" t="str">
        <f>IF(A78="","",COUNTIF(Liens!$A:$A,A78))</f>
        <v/>
      </c>
      <c r="L78" s="26" t="str">
        <f t="shared" si="3"/>
        <v/>
      </c>
      <c r="M78" s="11"/>
    </row>
    <row r="79" spans="1:13" ht="15" customHeight="1" x14ac:dyDescent="0.25">
      <c r="A79" s="11"/>
      <c r="B79" s="25"/>
      <c r="C79" s="11"/>
      <c r="D79" s="25"/>
      <c r="E79" s="25"/>
      <c r="F79" s="11"/>
      <c r="G79" s="11"/>
      <c r="H79" s="11"/>
      <c r="I79" s="26" t="str">
        <f t="shared" si="2"/>
        <v/>
      </c>
      <c r="J79" s="26" t="str">
        <f>IF(A79="","",COUNTIF(Cablage!$A:$A,A79))</f>
        <v/>
      </c>
      <c r="K79" s="26" t="str">
        <f>IF(A79="","",COUNTIF(Liens!$A:$A,A79))</f>
        <v/>
      </c>
      <c r="L79" s="26" t="str">
        <f t="shared" si="3"/>
        <v/>
      </c>
      <c r="M79" s="11"/>
    </row>
    <row r="80" spans="1:13" ht="15" customHeight="1" x14ac:dyDescent="0.25">
      <c r="A80" s="11"/>
      <c r="B80" s="25"/>
      <c r="C80" s="11"/>
      <c r="D80" s="25"/>
      <c r="E80" s="25"/>
      <c r="F80" s="11"/>
      <c r="G80" s="11"/>
      <c r="H80" s="11"/>
      <c r="I80" s="26" t="str">
        <f t="shared" si="2"/>
        <v/>
      </c>
      <c r="J80" s="26" t="str">
        <f>IF(A80="","",COUNTIF(Cablage!$A:$A,A80))</f>
        <v/>
      </c>
      <c r="K80" s="26" t="str">
        <f>IF(A80="","",COUNTIF(Liens!$A:$A,A80))</f>
        <v/>
      </c>
      <c r="L80" s="26" t="str">
        <f t="shared" si="3"/>
        <v/>
      </c>
      <c r="M80" s="11"/>
    </row>
    <row r="81" spans="1:13" ht="15" customHeight="1" x14ac:dyDescent="0.25">
      <c r="A81" s="11"/>
      <c r="B81" s="25"/>
      <c r="C81" s="11"/>
      <c r="D81" s="25"/>
      <c r="E81" s="25"/>
      <c r="F81" s="11"/>
      <c r="G81" s="11"/>
      <c r="H81" s="11"/>
      <c r="I81" s="26" t="str">
        <f t="shared" si="2"/>
        <v/>
      </c>
      <c r="J81" s="26" t="str">
        <f>IF(A81="","",COUNTIF(Cablage!$A:$A,A81))</f>
        <v/>
      </c>
      <c r="K81" s="26" t="str">
        <f>IF(A81="","",COUNTIF(Liens!$A:$A,A81))</f>
        <v/>
      </c>
      <c r="L81" s="26" t="str">
        <f t="shared" si="3"/>
        <v/>
      </c>
      <c r="M81" s="11"/>
    </row>
    <row r="82" spans="1:13" ht="15" customHeight="1" x14ac:dyDescent="0.25">
      <c r="A82" s="11"/>
      <c r="B82" s="25"/>
      <c r="C82" s="11"/>
      <c r="D82" s="25"/>
      <c r="E82" s="25"/>
      <c r="F82" s="11"/>
      <c r="G82" s="11"/>
      <c r="H82" s="11"/>
      <c r="I82" s="26" t="str">
        <f t="shared" si="2"/>
        <v/>
      </c>
      <c r="J82" s="26" t="str">
        <f>IF(A82="","",COUNTIF(Cablage!$A:$A,A82))</f>
        <v/>
      </c>
      <c r="K82" s="26" t="str">
        <f>IF(A82="","",COUNTIF(Liens!$A:$A,A82))</f>
        <v/>
      </c>
      <c r="L82" s="26" t="str">
        <f t="shared" si="3"/>
        <v/>
      </c>
      <c r="M82" s="11"/>
    </row>
    <row r="83" spans="1:13" ht="15" customHeight="1" x14ac:dyDescent="0.25">
      <c r="A83" s="11"/>
      <c r="B83" s="25"/>
      <c r="C83" s="11"/>
      <c r="D83" s="25"/>
      <c r="E83" s="25"/>
      <c r="F83" s="11"/>
      <c r="G83" s="11"/>
      <c r="H83" s="11"/>
      <c r="I83" s="26" t="str">
        <f t="shared" si="2"/>
        <v/>
      </c>
      <c r="J83" s="26" t="str">
        <f>IF(A83="","",COUNTIF(Cablage!$A:$A,A83))</f>
        <v/>
      </c>
      <c r="K83" s="26" t="str">
        <f>IF(A83="","",COUNTIF(Liens!$A:$A,A83))</f>
        <v/>
      </c>
      <c r="L83" s="26" t="str">
        <f t="shared" si="3"/>
        <v/>
      </c>
      <c r="M83" s="11"/>
    </row>
    <row r="84" spans="1:13" ht="15" customHeight="1" x14ac:dyDescent="0.25">
      <c r="A84" s="11"/>
      <c r="B84" s="25"/>
      <c r="C84" s="11"/>
      <c r="D84" s="25"/>
      <c r="E84" s="25"/>
      <c r="F84" s="11"/>
      <c r="G84" s="11"/>
      <c r="H84" s="11"/>
      <c r="I84" s="26" t="str">
        <f t="shared" si="2"/>
        <v/>
      </c>
      <c r="J84" s="26" t="str">
        <f>IF(A84="","",COUNTIF(Cablage!$A:$A,A84))</f>
        <v/>
      </c>
      <c r="K84" s="26" t="str">
        <f>IF(A84="","",COUNTIF(Liens!$A:$A,A84))</f>
        <v/>
      </c>
      <c r="L84" s="26" t="str">
        <f t="shared" si="3"/>
        <v/>
      </c>
      <c r="M84" s="11"/>
    </row>
    <row r="85" spans="1:13" ht="15" customHeight="1" x14ac:dyDescent="0.25">
      <c r="A85" s="11"/>
      <c r="B85" s="25"/>
      <c r="C85" s="11"/>
      <c r="D85" s="25"/>
      <c r="E85" s="25"/>
      <c r="F85" s="11"/>
      <c r="G85" s="11"/>
      <c r="H85" s="11"/>
      <c r="I85" s="26" t="str">
        <f t="shared" si="2"/>
        <v/>
      </c>
      <c r="J85" s="26" t="str">
        <f>IF(A85="","",COUNTIF(Cablage!$A:$A,A85))</f>
        <v/>
      </c>
      <c r="K85" s="26" t="str">
        <f>IF(A85="","",COUNTIF(Liens!$A:$A,A85))</f>
        <v/>
      </c>
      <c r="L85" s="26" t="str">
        <f t="shared" si="3"/>
        <v/>
      </c>
      <c r="M85" s="11"/>
    </row>
    <row r="86" spans="1:13" ht="15" customHeight="1" x14ac:dyDescent="0.25">
      <c r="A86" s="11"/>
      <c r="B86" s="25"/>
      <c r="C86" s="11"/>
      <c r="D86" s="25"/>
      <c r="E86" s="25"/>
      <c r="F86" s="11"/>
      <c r="G86" s="11"/>
      <c r="H86" s="11"/>
      <c r="I86" s="26" t="str">
        <f t="shared" si="2"/>
        <v/>
      </c>
      <c r="J86" s="26" t="str">
        <f>IF(A86="","",COUNTIF(Cablage!$A:$A,A86))</f>
        <v/>
      </c>
      <c r="K86" s="26" t="str">
        <f>IF(A86="","",COUNTIF(Liens!$A:$A,A86))</f>
        <v/>
      </c>
      <c r="L86" s="26" t="str">
        <f t="shared" si="3"/>
        <v/>
      </c>
      <c r="M86" s="11"/>
    </row>
    <row r="87" spans="1:13" ht="15" customHeight="1" x14ac:dyDescent="0.25">
      <c r="A87" s="11"/>
      <c r="B87" s="25"/>
      <c r="C87" s="11"/>
      <c r="D87" s="25"/>
      <c r="E87" s="25"/>
      <c r="F87" s="11"/>
      <c r="G87" s="11"/>
      <c r="H87" s="11"/>
      <c r="I87" s="26" t="str">
        <f t="shared" si="2"/>
        <v/>
      </c>
      <c r="J87" s="26" t="str">
        <f>IF(A87="","",COUNTIF(Cablage!$A:$A,A87))</f>
        <v/>
      </c>
      <c r="K87" s="26" t="str">
        <f>IF(A87="","",COUNTIF(Liens!$A:$A,A87))</f>
        <v/>
      </c>
      <c r="L87" s="26" t="str">
        <f t="shared" si="3"/>
        <v/>
      </c>
      <c r="M87" s="11"/>
    </row>
    <row r="88" spans="1:13" ht="15" customHeight="1" x14ac:dyDescent="0.25">
      <c r="A88" s="11"/>
      <c r="B88" s="25"/>
      <c r="C88" s="11"/>
      <c r="D88" s="25"/>
      <c r="E88" s="25"/>
      <c r="F88" s="11"/>
      <c r="G88" s="11"/>
      <c r="H88" s="11"/>
      <c r="I88" s="26" t="str">
        <f t="shared" si="2"/>
        <v/>
      </c>
      <c r="J88" s="26" t="str">
        <f>IF(A88="","",COUNTIF(Cablage!$A:$A,A88))</f>
        <v/>
      </c>
      <c r="K88" s="26" t="str">
        <f>IF(A88="","",COUNTIF(Liens!$A:$A,A88))</f>
        <v/>
      </c>
      <c r="L88" s="26" t="str">
        <f t="shared" si="3"/>
        <v/>
      </c>
      <c r="M88" s="11"/>
    </row>
    <row r="89" spans="1:13" ht="15" customHeight="1" x14ac:dyDescent="0.25">
      <c r="A89" s="11"/>
      <c r="B89" s="25"/>
      <c r="C89" s="11"/>
      <c r="D89" s="25"/>
      <c r="E89" s="25"/>
      <c r="F89" s="11"/>
      <c r="G89" s="11"/>
      <c r="H89" s="11"/>
      <c r="I89" s="26" t="str">
        <f t="shared" si="2"/>
        <v/>
      </c>
      <c r="J89" s="26" t="str">
        <f>IF(A89="","",COUNTIF(Cablage!$A:$A,A89))</f>
        <v/>
      </c>
      <c r="K89" s="26" t="str">
        <f>IF(A89="","",COUNTIF(Liens!$A:$A,A89))</f>
        <v/>
      </c>
      <c r="L89" s="26" t="str">
        <f t="shared" si="3"/>
        <v/>
      </c>
      <c r="M89" s="11"/>
    </row>
    <row r="90" spans="1:13" ht="15" customHeight="1" x14ac:dyDescent="0.25">
      <c r="A90" s="11"/>
      <c r="B90" s="25"/>
      <c r="C90" s="11"/>
      <c r="D90" s="25"/>
      <c r="E90" s="25"/>
      <c r="F90" s="11"/>
      <c r="G90" s="11"/>
      <c r="H90" s="11"/>
      <c r="I90" s="26" t="str">
        <f t="shared" si="2"/>
        <v/>
      </c>
      <c r="J90" s="26" t="str">
        <f>IF(A90="","",COUNTIF(Cablage!$A:$A,A90))</f>
        <v/>
      </c>
      <c r="K90" s="26" t="str">
        <f>IF(A90="","",COUNTIF(Liens!$A:$A,A90))</f>
        <v/>
      </c>
      <c r="L90" s="26" t="str">
        <f t="shared" si="3"/>
        <v/>
      </c>
      <c r="M90" s="11"/>
    </row>
    <row r="91" spans="1:13" ht="15" customHeight="1" x14ac:dyDescent="0.25">
      <c r="A91" s="11"/>
      <c r="B91" s="25"/>
      <c r="C91" s="11"/>
      <c r="D91" s="25"/>
      <c r="E91" s="25"/>
      <c r="F91" s="11"/>
      <c r="G91" s="11"/>
      <c r="H91" s="11"/>
      <c r="I91" s="26" t="str">
        <f t="shared" si="2"/>
        <v/>
      </c>
      <c r="J91" s="26" t="str">
        <f>IF(A91="","",COUNTIF(Cablage!$A:$A,A91))</f>
        <v/>
      </c>
      <c r="K91" s="26" t="str">
        <f>IF(A91="","",COUNTIF(Liens!$A:$A,A91))</f>
        <v/>
      </c>
      <c r="L91" s="26" t="str">
        <f t="shared" si="3"/>
        <v/>
      </c>
      <c r="M91" s="11"/>
    </row>
    <row r="92" spans="1:13" ht="15" customHeight="1" x14ac:dyDescent="0.25">
      <c r="A92" s="11"/>
      <c r="B92" s="25"/>
      <c r="C92" s="11"/>
      <c r="D92" s="25"/>
      <c r="E92" s="25"/>
      <c r="F92" s="11"/>
      <c r="G92" s="11"/>
      <c r="H92" s="11"/>
      <c r="I92" s="26" t="str">
        <f t="shared" si="2"/>
        <v/>
      </c>
      <c r="J92" s="26" t="str">
        <f>IF(A92="","",COUNTIF(Cablage!$A:$A,A92))</f>
        <v/>
      </c>
      <c r="K92" s="26" t="str">
        <f>IF(A92="","",COUNTIF(Liens!$A:$A,A92))</f>
        <v/>
      </c>
      <c r="L92" s="26" t="str">
        <f t="shared" si="3"/>
        <v/>
      </c>
      <c r="M92" s="11"/>
    </row>
    <row r="93" spans="1:13" ht="15" customHeight="1" x14ac:dyDescent="0.25">
      <c r="A93" s="11"/>
      <c r="B93" s="25"/>
      <c r="C93" s="11"/>
      <c r="D93" s="25"/>
      <c r="E93" s="25"/>
      <c r="F93" s="11"/>
      <c r="G93" s="11"/>
      <c r="H93" s="11"/>
      <c r="I93" s="26" t="str">
        <f t="shared" si="2"/>
        <v/>
      </c>
      <c r="J93" s="26" t="str">
        <f>IF(A93="","",COUNTIF(Cablage!$A:$A,A93))</f>
        <v/>
      </c>
      <c r="K93" s="26" t="str">
        <f>IF(A93="","",COUNTIF(Liens!$A:$A,A93))</f>
        <v/>
      </c>
      <c r="L93" s="26" t="str">
        <f t="shared" si="3"/>
        <v/>
      </c>
      <c r="M93" s="11"/>
    </row>
    <row r="94" spans="1:13" ht="15" customHeight="1" x14ac:dyDescent="0.25">
      <c r="A94" s="11"/>
      <c r="B94" s="25"/>
      <c r="C94" s="11"/>
      <c r="D94" s="25"/>
      <c r="E94" s="25"/>
      <c r="F94" s="11"/>
      <c r="G94" s="11"/>
      <c r="H94" s="11"/>
      <c r="I94" s="26" t="str">
        <f t="shared" si="2"/>
        <v/>
      </c>
      <c r="J94" s="26" t="str">
        <f>IF(A94="","",COUNTIF(Cablage!$A:$A,A94))</f>
        <v/>
      </c>
      <c r="K94" s="26" t="str">
        <f>IF(A94="","",COUNTIF(Liens!$A:$A,A94))</f>
        <v/>
      </c>
      <c r="L94" s="26" t="str">
        <f t="shared" si="3"/>
        <v/>
      </c>
      <c r="M94" s="11"/>
    </row>
    <row r="95" spans="1:13" ht="15" customHeight="1" x14ac:dyDescent="0.25">
      <c r="A95" s="11"/>
      <c r="B95" s="25"/>
      <c r="C95" s="11"/>
      <c r="D95" s="25"/>
      <c r="E95" s="25"/>
      <c r="F95" s="11"/>
      <c r="G95" s="11"/>
      <c r="H95" s="11"/>
      <c r="I95" s="26" t="str">
        <f t="shared" si="2"/>
        <v/>
      </c>
      <c r="J95" s="26" t="str">
        <f>IF(A95="","",COUNTIF(Cablage!$A:$A,A95))</f>
        <v/>
      </c>
      <c r="K95" s="26" t="str">
        <f>IF(A95="","",COUNTIF(Liens!$A:$A,A95))</f>
        <v/>
      </c>
      <c r="L95" s="26" t="str">
        <f t="shared" si="3"/>
        <v/>
      </c>
      <c r="M95" s="11"/>
    </row>
    <row r="96" spans="1:13" ht="15" customHeight="1" x14ac:dyDescent="0.25">
      <c r="A96" s="11"/>
      <c r="B96" s="25"/>
      <c r="C96" s="11"/>
      <c r="D96" s="25"/>
      <c r="E96" s="25"/>
      <c r="F96" s="11"/>
      <c r="G96" s="11"/>
      <c r="H96" s="11"/>
      <c r="I96" s="26" t="str">
        <f t="shared" si="2"/>
        <v/>
      </c>
      <c r="J96" s="26" t="str">
        <f>IF(A96="","",COUNTIF(Cablage!$A:$A,A96))</f>
        <v/>
      </c>
      <c r="K96" s="26" t="str">
        <f>IF(A96="","",COUNTIF(Liens!$A:$A,A96))</f>
        <v/>
      </c>
      <c r="L96" s="26" t="str">
        <f t="shared" si="3"/>
        <v/>
      </c>
      <c r="M96" s="11"/>
    </row>
    <row r="97" spans="1:13" ht="15" customHeight="1" x14ac:dyDescent="0.25">
      <c r="A97" s="11"/>
      <c r="B97" s="25"/>
      <c r="C97" s="11"/>
      <c r="D97" s="25"/>
      <c r="E97" s="25"/>
      <c r="F97" s="11"/>
      <c r="G97" s="11"/>
      <c r="H97" s="11"/>
      <c r="I97" s="26" t="str">
        <f t="shared" si="2"/>
        <v/>
      </c>
      <c r="J97" s="26" t="str">
        <f>IF(A97="","",COUNTIF(Cablage!$A:$A,A97))</f>
        <v/>
      </c>
      <c r="K97" s="26" t="str">
        <f>IF(A97="","",COUNTIF(Liens!$A:$A,A97))</f>
        <v/>
      </c>
      <c r="L97" s="26" t="str">
        <f t="shared" si="3"/>
        <v/>
      </c>
      <c r="M97" s="11"/>
    </row>
    <row r="98" spans="1:13" ht="15" customHeight="1" x14ac:dyDescent="0.25">
      <c r="A98" s="11"/>
      <c r="B98" s="25"/>
      <c r="C98" s="11"/>
      <c r="D98" s="25"/>
      <c r="E98" s="25"/>
      <c r="F98" s="11"/>
      <c r="G98" s="11"/>
      <c r="H98" s="11"/>
      <c r="I98" s="26" t="str">
        <f t="shared" si="2"/>
        <v/>
      </c>
      <c r="J98" s="26" t="str">
        <f>IF(A98="","",COUNTIF(Cablage!$A:$A,A98))</f>
        <v/>
      </c>
      <c r="K98" s="26" t="str">
        <f>IF(A98="","",COUNTIF(Liens!$A:$A,A98))</f>
        <v/>
      </c>
      <c r="L98" s="26" t="str">
        <f t="shared" si="3"/>
        <v/>
      </c>
      <c r="M98" s="11"/>
    </row>
    <row r="99" spans="1:13" ht="15" customHeight="1" x14ac:dyDescent="0.25">
      <c r="A99" s="11"/>
      <c r="B99" s="25"/>
      <c r="C99" s="11"/>
      <c r="D99" s="25"/>
      <c r="E99" s="25"/>
      <c r="F99" s="11"/>
      <c r="G99" s="11"/>
      <c r="H99" s="11"/>
      <c r="I99" s="26" t="str">
        <f t="shared" si="2"/>
        <v/>
      </c>
      <c r="J99" s="26" t="str">
        <f>IF(A99="","",COUNTIF(Cablage!$A:$A,A99))</f>
        <v/>
      </c>
      <c r="K99" s="26" t="str">
        <f>IF(A99="","",COUNTIF(Liens!$A:$A,A99))</f>
        <v/>
      </c>
      <c r="L99" s="26" t="str">
        <f t="shared" si="3"/>
        <v/>
      </c>
      <c r="M99" s="11"/>
    </row>
    <row r="100" spans="1:13" ht="15" customHeight="1" x14ac:dyDescent="0.25">
      <c r="A100" s="11"/>
      <c r="B100" s="25"/>
      <c r="C100" s="11"/>
      <c r="D100" s="25"/>
      <c r="E100" s="25"/>
      <c r="F100" s="11"/>
      <c r="G100" s="11"/>
      <c r="H100" s="11"/>
      <c r="I100" s="26" t="str">
        <f t="shared" si="2"/>
        <v/>
      </c>
      <c r="J100" s="26" t="str">
        <f>IF(A100="","",COUNTIF(Cablage!$A:$A,A100))</f>
        <v/>
      </c>
      <c r="K100" s="26" t="str">
        <f>IF(A100="","",COUNTIF(Liens!$A:$A,A100))</f>
        <v/>
      </c>
      <c r="L100" s="26" t="str">
        <f t="shared" si="3"/>
        <v/>
      </c>
      <c r="M100" s="11"/>
    </row>
    <row r="101" spans="1:13" ht="15" customHeight="1" x14ac:dyDescent="0.25">
      <c r="A101" s="11"/>
      <c r="B101" s="25"/>
      <c r="C101" s="11"/>
      <c r="D101" s="25"/>
      <c r="E101" s="25"/>
      <c r="F101" s="11"/>
      <c r="G101" s="11"/>
      <c r="H101" s="11"/>
      <c r="I101" s="26" t="str">
        <f t="shared" si="2"/>
        <v/>
      </c>
      <c r="J101" s="26" t="str">
        <f>IF(A101="","",COUNTIF(Cablage!$A:$A,A101))</f>
        <v/>
      </c>
      <c r="K101" s="26" t="str">
        <f>IF(A101="","",COUNTIF(Liens!$A:$A,A101))</f>
        <v/>
      </c>
      <c r="L101" s="26" t="str">
        <f t="shared" si="3"/>
        <v/>
      </c>
      <c r="M101" s="11"/>
    </row>
    <row r="102" spans="1:13" ht="15" customHeight="1" x14ac:dyDescent="0.25">
      <c r="A102" s="11"/>
      <c r="B102" s="25"/>
      <c r="C102" s="11"/>
      <c r="D102" s="25"/>
      <c r="E102" s="25"/>
      <c r="F102" s="11"/>
      <c r="G102" s="11"/>
      <c r="H102" s="11"/>
      <c r="I102" s="26" t="str">
        <f t="shared" si="2"/>
        <v/>
      </c>
      <c r="J102" s="26" t="str">
        <f>IF(A102="","",COUNTIF(Cablage!$A:$A,A102))</f>
        <v/>
      </c>
      <c r="K102" s="26" t="str">
        <f>IF(A102="","",COUNTIF(Liens!$A:$A,A102))</f>
        <v/>
      </c>
      <c r="L102" s="26" t="str">
        <f t="shared" si="3"/>
        <v/>
      </c>
      <c r="M102" s="11"/>
    </row>
    <row r="103" spans="1:13" ht="15" customHeight="1" x14ac:dyDescent="0.25">
      <c r="A103" s="11"/>
      <c r="B103" s="25"/>
      <c r="C103" s="11"/>
      <c r="D103" s="25"/>
      <c r="E103" s="25"/>
      <c r="F103" s="11"/>
      <c r="G103" s="11"/>
      <c r="H103" s="11"/>
      <c r="I103" s="26" t="str">
        <f t="shared" si="2"/>
        <v/>
      </c>
      <c r="J103" s="26" t="str">
        <f>IF(A103="","",COUNTIF(Cablage!$A:$A,A103))</f>
        <v/>
      </c>
      <c r="K103" s="26" t="str">
        <f>IF(A103="","",COUNTIF(Liens!$A:$A,A103))</f>
        <v/>
      </c>
      <c r="L103" s="26" t="str">
        <f t="shared" si="3"/>
        <v/>
      </c>
      <c r="M103" s="11"/>
    </row>
    <row r="104" spans="1:13" ht="15" customHeight="1" x14ac:dyDescent="0.25">
      <c r="A104" s="11"/>
      <c r="B104" s="25"/>
      <c r="C104" s="11"/>
      <c r="D104" s="25"/>
      <c r="E104" s="25"/>
      <c r="F104" s="11"/>
      <c r="G104" s="11"/>
      <c r="H104" s="11"/>
      <c r="I104" s="26" t="str">
        <f t="shared" si="2"/>
        <v/>
      </c>
      <c r="J104" s="26" t="str">
        <f>IF(A104="","",COUNTIF(Cablage!$A:$A,A104))</f>
        <v/>
      </c>
      <c r="K104" s="26" t="str">
        <f>IF(A104="","",COUNTIF(Liens!$A:$A,A104))</f>
        <v/>
      </c>
      <c r="L104" s="26" t="str">
        <f t="shared" si="3"/>
        <v/>
      </c>
      <c r="M104" s="11"/>
    </row>
    <row r="105" spans="1:13" ht="15" customHeight="1" x14ac:dyDescent="0.25">
      <c r="A105" s="11"/>
      <c r="B105" s="25"/>
      <c r="C105" s="11"/>
      <c r="D105" s="25"/>
      <c r="E105" s="25"/>
      <c r="F105" s="11"/>
      <c r="G105" s="11"/>
      <c r="H105" s="11"/>
      <c r="I105" s="26" t="str">
        <f t="shared" si="2"/>
        <v/>
      </c>
      <c r="J105" s="26" t="str">
        <f>IF(A105="","",COUNTIF(Cablage!$A:$A,A105))</f>
        <v/>
      </c>
      <c r="K105" s="26" t="str">
        <f>IF(A105="","",COUNTIF(Liens!$A:$A,A105))</f>
        <v/>
      </c>
      <c r="L105" s="26" t="str">
        <f t="shared" si="3"/>
        <v/>
      </c>
      <c r="M105" s="11"/>
    </row>
    <row r="106" spans="1:13" ht="15" customHeight="1" x14ac:dyDescent="0.25">
      <c r="A106" s="11"/>
      <c r="B106" s="25"/>
      <c r="C106" s="11"/>
      <c r="D106" s="25"/>
      <c r="E106" s="25"/>
      <c r="F106" s="11"/>
      <c r="G106" s="11"/>
      <c r="H106" s="11"/>
      <c r="I106" s="26" t="str">
        <f t="shared" si="2"/>
        <v/>
      </c>
      <c r="J106" s="26" t="str">
        <f>IF(A106="","",COUNTIF(Cablage!$A:$A,A106))</f>
        <v/>
      </c>
      <c r="K106" s="26" t="str">
        <f>IF(A106="","",COUNTIF(Liens!$A:$A,A106))</f>
        <v/>
      </c>
      <c r="L106" s="26" t="str">
        <f t="shared" si="3"/>
        <v/>
      </c>
      <c r="M106" s="11"/>
    </row>
    <row r="107" spans="1:13" ht="15" customHeight="1" x14ac:dyDescent="0.25">
      <c r="A107" s="11"/>
      <c r="B107" s="25"/>
      <c r="C107" s="11"/>
      <c r="D107" s="25"/>
      <c r="E107" s="25"/>
      <c r="F107" s="11"/>
      <c r="G107" s="11"/>
      <c r="H107" s="11"/>
      <c r="I107" s="26" t="str">
        <f t="shared" si="2"/>
        <v/>
      </c>
      <c r="J107" s="26" t="str">
        <f>IF(A107="","",COUNTIF(Cablage!$A:$A,A107))</f>
        <v/>
      </c>
      <c r="K107" s="26" t="str">
        <f>IF(A107="","",COUNTIF(Liens!$A:$A,A107))</f>
        <v/>
      </c>
      <c r="L107" s="26" t="str">
        <f t="shared" si="3"/>
        <v/>
      </c>
      <c r="M107" s="11"/>
    </row>
    <row r="108" spans="1:13" ht="15" customHeight="1" x14ac:dyDescent="0.25">
      <c r="A108" s="11"/>
      <c r="B108" s="25"/>
      <c r="C108" s="11"/>
      <c r="D108" s="25"/>
      <c r="E108" s="25"/>
      <c r="F108" s="11"/>
      <c r="G108" s="11"/>
      <c r="H108" s="11"/>
      <c r="I108" s="26" t="str">
        <f t="shared" si="2"/>
        <v/>
      </c>
      <c r="J108" s="26" t="str">
        <f>IF(A108="","",COUNTIF(Cablage!$A:$A,A108))</f>
        <v/>
      </c>
      <c r="K108" s="26" t="str">
        <f>IF(A108="","",COUNTIF(Liens!$A:$A,A108))</f>
        <v/>
      </c>
      <c r="L108" s="26" t="str">
        <f t="shared" si="3"/>
        <v/>
      </c>
      <c r="M108" s="11"/>
    </row>
    <row r="109" spans="1:13" ht="15" customHeight="1" x14ac:dyDescent="0.25">
      <c r="A109" s="11"/>
      <c r="B109" s="25"/>
      <c r="C109" s="11"/>
      <c r="D109" s="25"/>
      <c r="E109" s="25"/>
      <c r="F109" s="11"/>
      <c r="G109" s="11"/>
      <c r="H109" s="11"/>
      <c r="I109" s="26" t="str">
        <f t="shared" si="2"/>
        <v/>
      </c>
      <c r="J109" s="26" t="str">
        <f>IF(A109="","",COUNTIF(Cablage!$A:$A,A109))</f>
        <v/>
      </c>
      <c r="K109" s="26" t="str">
        <f>IF(A109="","",COUNTIF(Liens!$A:$A,A109))</f>
        <v/>
      </c>
      <c r="L109" s="26" t="str">
        <f t="shared" si="3"/>
        <v/>
      </c>
      <c r="M109" s="11"/>
    </row>
    <row r="110" spans="1:13" ht="15" customHeight="1" x14ac:dyDescent="0.25">
      <c r="A110" s="11"/>
      <c r="B110" s="25"/>
      <c r="C110" s="11"/>
      <c r="D110" s="25"/>
      <c r="E110" s="25"/>
      <c r="F110" s="11"/>
      <c r="G110" s="11"/>
      <c r="H110" s="11"/>
      <c r="I110" s="26" t="str">
        <f t="shared" si="2"/>
        <v/>
      </c>
      <c r="J110" s="26" t="str">
        <f>IF(A110="","",COUNTIF(Cablage!$A:$A,A110))</f>
        <v/>
      </c>
      <c r="K110" s="26" t="str">
        <f>IF(A110="","",COUNTIF(Liens!$A:$A,A110))</f>
        <v/>
      </c>
      <c r="L110" s="26" t="str">
        <f t="shared" si="3"/>
        <v/>
      </c>
      <c r="M110" s="11"/>
    </row>
    <row r="111" spans="1:13" ht="15" customHeight="1" x14ac:dyDescent="0.25">
      <c r="A111" s="11"/>
      <c r="B111" s="25"/>
      <c r="C111" s="11"/>
      <c r="D111" s="25"/>
      <c r="E111" s="25"/>
      <c r="F111" s="11"/>
      <c r="G111" s="11"/>
      <c r="H111" s="11"/>
      <c r="I111" s="26" t="str">
        <f t="shared" si="2"/>
        <v/>
      </c>
      <c r="J111" s="26" t="str">
        <f>IF(A111="","",COUNTIF(Cablage!$A:$A,A111))</f>
        <v/>
      </c>
      <c r="K111" s="26" t="str">
        <f>IF(A111="","",COUNTIF(Liens!$A:$A,A111))</f>
        <v/>
      </c>
      <c r="L111" s="26" t="str">
        <f t="shared" si="3"/>
        <v/>
      </c>
      <c r="M111" s="11"/>
    </row>
    <row r="112" spans="1:13" ht="15" customHeight="1" x14ac:dyDescent="0.25">
      <c r="A112" s="11"/>
      <c r="B112" s="25"/>
      <c r="C112" s="11"/>
      <c r="D112" s="25"/>
      <c r="E112" s="25"/>
      <c r="F112" s="11"/>
      <c r="G112" s="11"/>
      <c r="H112" s="11"/>
      <c r="I112" s="26" t="str">
        <f t="shared" si="2"/>
        <v/>
      </c>
      <c r="J112" s="26" t="str">
        <f>IF(A112="","",COUNTIF(Cablage!$A:$A,A112))</f>
        <v/>
      </c>
      <c r="K112" s="26" t="str">
        <f>IF(A112="","",COUNTIF(Liens!$A:$A,A112))</f>
        <v/>
      </c>
      <c r="L112" s="26" t="str">
        <f t="shared" si="3"/>
        <v/>
      </c>
      <c r="M112" s="11"/>
    </row>
    <row r="113" spans="1:13" ht="15" customHeight="1" x14ac:dyDescent="0.25">
      <c r="A113" s="11"/>
      <c r="B113" s="25"/>
      <c r="C113" s="11"/>
      <c r="D113" s="25"/>
      <c r="E113" s="25"/>
      <c r="F113" s="11"/>
      <c r="G113" s="11"/>
      <c r="H113" s="11"/>
      <c r="I113" s="26" t="str">
        <f t="shared" si="2"/>
        <v/>
      </c>
      <c r="J113" s="26" t="str">
        <f>IF(A113="","",COUNTIF(Cablage!$A:$A,A113))</f>
        <v/>
      </c>
      <c r="K113" s="26" t="str">
        <f>IF(A113="","",COUNTIF(Liens!$A:$A,A113))</f>
        <v/>
      </c>
      <c r="L113" s="26" t="str">
        <f t="shared" si="3"/>
        <v/>
      </c>
      <c r="M113" s="11"/>
    </row>
    <row r="114" spans="1:13" ht="15" customHeight="1" x14ac:dyDescent="0.25">
      <c r="A114" s="11"/>
      <c r="B114" s="25"/>
      <c r="C114" s="11"/>
      <c r="D114" s="25"/>
      <c r="E114" s="25"/>
      <c r="F114" s="11"/>
      <c r="G114" s="11"/>
      <c r="H114" s="11"/>
      <c r="I114" s="26" t="str">
        <f t="shared" si="2"/>
        <v/>
      </c>
      <c r="J114" s="26" t="str">
        <f>IF(A114="","",COUNTIF(Cablage!$A:$A,A114))</f>
        <v/>
      </c>
      <c r="K114" s="26" t="str">
        <f>IF(A114="","",COUNTIF(Liens!$A:$A,A114))</f>
        <v/>
      </c>
      <c r="L114" s="26" t="str">
        <f t="shared" si="3"/>
        <v/>
      </c>
      <c r="M114" s="11"/>
    </row>
    <row r="115" spans="1:13" ht="15" customHeight="1" x14ac:dyDescent="0.25">
      <c r="A115" s="11"/>
      <c r="B115" s="25"/>
      <c r="C115" s="11"/>
      <c r="D115" s="25"/>
      <c r="E115" s="25"/>
      <c r="F115" s="11"/>
      <c r="G115" s="11"/>
      <c r="H115" s="11"/>
      <c r="I115" s="26" t="str">
        <f t="shared" si="2"/>
        <v/>
      </c>
      <c r="J115" s="26" t="str">
        <f>IF(A115="","",COUNTIF(Cablage!$A:$A,A115))</f>
        <v/>
      </c>
      <c r="K115" s="26" t="str">
        <f>IF(A115="","",COUNTIF(Liens!$A:$A,A115))</f>
        <v/>
      </c>
      <c r="L115" s="26" t="str">
        <f t="shared" si="3"/>
        <v/>
      </c>
      <c r="M115" s="11"/>
    </row>
    <row r="116" spans="1:13" ht="15" customHeight="1" x14ac:dyDescent="0.25">
      <c r="A116" s="11"/>
      <c r="B116" s="25"/>
      <c r="C116" s="11"/>
      <c r="D116" s="25"/>
      <c r="E116" s="25"/>
      <c r="F116" s="11"/>
      <c r="G116" s="11"/>
      <c r="H116" s="11"/>
      <c r="I116" s="26" t="str">
        <f t="shared" si="2"/>
        <v/>
      </c>
      <c r="J116" s="26" t="str">
        <f>IF(A116="","",COUNTIF(Cablage!$A:$A,A116))</f>
        <v/>
      </c>
      <c r="K116" s="26" t="str">
        <f>IF(A116="","",COUNTIF(Liens!$A:$A,A116))</f>
        <v/>
      </c>
      <c r="L116" s="26" t="str">
        <f t="shared" si="3"/>
        <v/>
      </c>
      <c r="M116" s="11"/>
    </row>
    <row r="117" spans="1:13" ht="15" customHeight="1" x14ac:dyDescent="0.25">
      <c r="A117" s="11"/>
      <c r="B117" s="25"/>
      <c r="C117" s="11"/>
      <c r="D117" s="25"/>
      <c r="E117" s="25"/>
      <c r="F117" s="11"/>
      <c r="G117" s="11"/>
      <c r="H117" s="11"/>
      <c r="I117" s="26" t="str">
        <f t="shared" si="2"/>
        <v/>
      </c>
      <c r="J117" s="26" t="str">
        <f>IF(A117="","",COUNTIF(Cablage!$A:$A,A117))</f>
        <v/>
      </c>
      <c r="K117" s="26" t="str">
        <f>IF(A117="","",COUNTIF(Liens!$A:$A,A117))</f>
        <v/>
      </c>
      <c r="L117" s="26" t="str">
        <f t="shared" si="3"/>
        <v/>
      </c>
      <c r="M117" s="11"/>
    </row>
    <row r="118" spans="1:13" ht="15" customHeight="1" x14ac:dyDescent="0.25">
      <c r="A118" s="11"/>
      <c r="B118" s="25"/>
      <c r="C118" s="11"/>
      <c r="D118" s="25"/>
      <c r="E118" s="25"/>
      <c r="F118" s="11"/>
      <c r="G118" s="11"/>
      <c r="H118" s="11"/>
      <c r="I118" s="26" t="str">
        <f t="shared" si="2"/>
        <v/>
      </c>
      <c r="J118" s="26" t="str">
        <f>IF(A118="","",COUNTIF(Cablage!$A:$A,A118))</f>
        <v/>
      </c>
      <c r="K118" s="26" t="str">
        <f>IF(A118="","",COUNTIF(Liens!$A:$A,A118))</f>
        <v/>
      </c>
      <c r="L118" s="26" t="str">
        <f t="shared" si="3"/>
        <v/>
      </c>
      <c r="M118" s="11"/>
    </row>
    <row r="119" spans="1:13" ht="15" customHeight="1" x14ac:dyDescent="0.25">
      <c r="A119" s="11"/>
      <c r="B119" s="25"/>
      <c r="C119" s="11"/>
      <c r="D119" s="25"/>
      <c r="E119" s="25"/>
      <c r="F119" s="11"/>
      <c r="G119" s="11"/>
      <c r="H119" s="11"/>
      <c r="I119" s="26" t="str">
        <f t="shared" si="2"/>
        <v/>
      </c>
      <c r="J119" s="26" t="str">
        <f>IF(A119="","",COUNTIF(Cablage!$A:$A,A119))</f>
        <v/>
      </c>
      <c r="K119" s="26" t="str">
        <f>IF(A119="","",COUNTIF(Liens!$A:$A,A119))</f>
        <v/>
      </c>
      <c r="L119" s="26" t="str">
        <f t="shared" si="3"/>
        <v/>
      </c>
      <c r="M119" s="11"/>
    </row>
    <row r="120" spans="1:13" ht="15" customHeight="1" x14ac:dyDescent="0.25">
      <c r="A120" s="11"/>
      <c r="B120" s="25"/>
      <c r="C120" s="11"/>
      <c r="D120" s="25"/>
      <c r="E120" s="25"/>
      <c r="F120" s="11"/>
      <c r="G120" s="11"/>
      <c r="H120" s="11"/>
      <c r="I120" s="26" t="str">
        <f t="shared" si="2"/>
        <v/>
      </c>
      <c r="J120" s="26" t="str">
        <f>IF(A120="","",COUNTIF(Cablage!$A:$A,A120))</f>
        <v/>
      </c>
      <c r="K120" s="26" t="str">
        <f>IF(A120="","",COUNTIF(Liens!$A:$A,A120))</f>
        <v/>
      </c>
      <c r="L120" s="26" t="str">
        <f t="shared" si="3"/>
        <v/>
      </c>
      <c r="M120" s="11"/>
    </row>
    <row r="121" spans="1:13" ht="15" customHeight="1" x14ac:dyDescent="0.25">
      <c r="A121" s="11"/>
      <c r="B121" s="25"/>
      <c r="C121" s="11"/>
      <c r="D121" s="25"/>
      <c r="E121" s="25"/>
      <c r="F121" s="11"/>
      <c r="G121" s="11"/>
      <c r="H121" s="11"/>
      <c r="I121" s="26" t="str">
        <f t="shared" si="2"/>
        <v/>
      </c>
      <c r="J121" s="26" t="str">
        <f>IF(A121="","",COUNTIF(Cablage!$A:$A,A121))</f>
        <v/>
      </c>
      <c r="K121" s="26" t="str">
        <f>IF(A121="","",COUNTIF(Liens!$A:$A,A121))</f>
        <v/>
      </c>
      <c r="L121" s="26" t="str">
        <f t="shared" si="3"/>
        <v/>
      </c>
      <c r="M121" s="11"/>
    </row>
    <row r="122" spans="1:13" ht="15" customHeight="1" x14ac:dyDescent="0.25">
      <c r="A122" s="11"/>
      <c r="B122" s="25"/>
      <c r="C122" s="11"/>
      <c r="D122" s="25"/>
      <c r="E122" s="25"/>
      <c r="F122" s="11"/>
      <c r="G122" s="11"/>
      <c r="H122" s="11"/>
      <c r="I122" s="26" t="str">
        <f t="shared" si="2"/>
        <v/>
      </c>
      <c r="J122" s="26" t="str">
        <f>IF(A122="","",COUNTIF(Cablage!$A:$A,A122))</f>
        <v/>
      </c>
      <c r="K122" s="26" t="str">
        <f>IF(A122="","",COUNTIF(Liens!$A:$A,A122))</f>
        <v/>
      </c>
      <c r="L122" s="26" t="str">
        <f t="shared" si="3"/>
        <v/>
      </c>
      <c r="M122" s="11"/>
    </row>
    <row r="123" spans="1:13" ht="15" customHeight="1" x14ac:dyDescent="0.25">
      <c r="A123" s="11"/>
      <c r="B123" s="25"/>
      <c r="C123" s="11"/>
      <c r="D123" s="25"/>
      <c r="E123" s="25"/>
      <c r="F123" s="11"/>
      <c r="G123" s="11"/>
      <c r="H123" s="11"/>
      <c r="I123" s="26" t="str">
        <f t="shared" si="2"/>
        <v/>
      </c>
      <c r="J123" s="26" t="str">
        <f>IF(A123="","",COUNTIF(Cablage!$A:$A,A123))</f>
        <v/>
      </c>
      <c r="K123" s="26" t="str">
        <f>IF(A123="","",COUNTIF(Liens!$A:$A,A123))</f>
        <v/>
      </c>
      <c r="L123" s="26" t="str">
        <f t="shared" si="3"/>
        <v/>
      </c>
      <c r="M123" s="11"/>
    </row>
    <row r="124" spans="1:13" ht="15" customHeight="1" x14ac:dyDescent="0.25">
      <c r="A124" s="11"/>
      <c r="B124" s="25"/>
      <c r="C124" s="11"/>
      <c r="D124" s="25"/>
      <c r="E124" s="25"/>
      <c r="F124" s="11"/>
      <c r="G124" s="11"/>
      <c r="H124" s="11"/>
      <c r="I124" s="26" t="str">
        <f t="shared" si="2"/>
        <v/>
      </c>
      <c r="J124" s="26" t="str">
        <f>IF(A124="","",COUNTIF(Cablage!$A:$A,A124))</f>
        <v/>
      </c>
      <c r="K124" s="26" t="str">
        <f>IF(A124="","",COUNTIF(Liens!$A:$A,A124))</f>
        <v/>
      </c>
      <c r="L124" s="26" t="str">
        <f t="shared" si="3"/>
        <v/>
      </c>
      <c r="M124" s="11"/>
    </row>
    <row r="125" spans="1:13" ht="15" customHeight="1" x14ac:dyDescent="0.25">
      <c r="A125" s="11"/>
      <c r="B125" s="25"/>
      <c r="C125" s="11"/>
      <c r="D125" s="25"/>
      <c r="E125" s="25"/>
      <c r="F125" s="11"/>
      <c r="G125" s="11"/>
      <c r="H125" s="11"/>
      <c r="I125" s="26" t="str">
        <f t="shared" si="2"/>
        <v/>
      </c>
      <c r="J125" s="26" t="str">
        <f>IF(A125="","",COUNTIF(Cablage!$A:$A,A125))</f>
        <v/>
      </c>
      <c r="K125" s="26" t="str">
        <f>IF(A125="","",COUNTIF(Liens!$A:$A,A125))</f>
        <v/>
      </c>
      <c r="L125" s="26" t="str">
        <f t="shared" si="3"/>
        <v/>
      </c>
      <c r="M125" s="11"/>
    </row>
    <row r="126" spans="1:13" ht="15" customHeight="1" x14ac:dyDescent="0.25">
      <c r="A126" s="11"/>
      <c r="B126" s="25"/>
      <c r="C126" s="11"/>
      <c r="D126" s="25"/>
      <c r="E126" s="25"/>
      <c r="F126" s="11"/>
      <c r="G126" s="11"/>
      <c r="H126" s="11"/>
      <c r="I126" s="26" t="str">
        <f t="shared" si="2"/>
        <v/>
      </c>
      <c r="J126" s="26" t="str">
        <f>IF(A126="","",COUNTIF(Cablage!$A:$A,A126))</f>
        <v/>
      </c>
      <c r="K126" s="26" t="str">
        <f>IF(A126="","",COUNTIF(Liens!$A:$A,A126))</f>
        <v/>
      </c>
      <c r="L126" s="26" t="str">
        <f t="shared" si="3"/>
        <v/>
      </c>
      <c r="M126" s="11"/>
    </row>
    <row r="127" spans="1:13" ht="15" customHeight="1" x14ac:dyDescent="0.25">
      <c r="A127" s="11"/>
      <c r="B127" s="25"/>
      <c r="C127" s="11"/>
      <c r="D127" s="25"/>
      <c r="E127" s="25"/>
      <c r="F127" s="11"/>
      <c r="G127" s="11"/>
      <c r="H127" s="11"/>
      <c r="I127" s="26" t="str">
        <f t="shared" si="2"/>
        <v/>
      </c>
      <c r="J127" s="26" t="str">
        <f>IF(A127="","",COUNTIF(Cablage!$A:$A,A127))</f>
        <v/>
      </c>
      <c r="K127" s="26" t="str">
        <f>IF(A127="","",COUNTIF(Liens!$A:$A,A127))</f>
        <v/>
      </c>
      <c r="L127" s="26" t="str">
        <f t="shared" si="3"/>
        <v/>
      </c>
      <c r="M127" s="11"/>
    </row>
    <row r="128" spans="1:13" ht="15" customHeight="1" x14ac:dyDescent="0.25">
      <c r="A128" s="11"/>
      <c r="B128" s="25"/>
      <c r="C128" s="11"/>
      <c r="D128" s="25"/>
      <c r="E128" s="25"/>
      <c r="F128" s="11"/>
      <c r="G128" s="11"/>
      <c r="H128" s="11"/>
      <c r="I128" s="26" t="str">
        <f t="shared" si="2"/>
        <v/>
      </c>
      <c r="J128" s="26" t="str">
        <f>IF(A128="","",COUNTIF(Cablage!$A:$A,A128))</f>
        <v/>
      </c>
      <c r="K128" s="26" t="str">
        <f>IF(A128="","",COUNTIF(Liens!$A:$A,A128))</f>
        <v/>
      </c>
      <c r="L128" s="26" t="str">
        <f t="shared" si="3"/>
        <v/>
      </c>
      <c r="M128" s="11"/>
    </row>
    <row r="129" spans="1:13" ht="15" customHeight="1" x14ac:dyDescent="0.25">
      <c r="A129" s="11"/>
      <c r="B129" s="25"/>
      <c r="C129" s="11"/>
      <c r="D129" s="25"/>
      <c r="E129" s="25"/>
      <c r="F129" s="11"/>
      <c r="G129" s="11"/>
      <c r="H129" s="11"/>
      <c r="I129" s="26" t="str">
        <f t="shared" si="2"/>
        <v/>
      </c>
      <c r="J129" s="26" t="str">
        <f>IF(A129="","",COUNTIF(Cablage!$A:$A,A129))</f>
        <v/>
      </c>
      <c r="K129" s="26" t="str">
        <f>IF(A129="","",COUNTIF(Liens!$A:$A,A129))</f>
        <v/>
      </c>
      <c r="L129" s="26" t="str">
        <f t="shared" si="3"/>
        <v/>
      </c>
      <c r="M129" s="11"/>
    </row>
    <row r="130" spans="1:13" ht="15" customHeight="1" x14ac:dyDescent="0.25">
      <c r="A130" s="11"/>
      <c r="B130" s="25"/>
      <c r="C130" s="11"/>
      <c r="D130" s="25"/>
      <c r="E130" s="25"/>
      <c r="F130" s="11"/>
      <c r="G130" s="11"/>
      <c r="H130" s="11"/>
      <c r="I130" s="26" t="str">
        <f t="shared" si="2"/>
        <v/>
      </c>
      <c r="J130" s="26" t="str">
        <f>IF(A130="","",COUNTIF(Cablage!$A:$A,A130))</f>
        <v/>
      </c>
      <c r="K130" s="26" t="str">
        <f>IF(A130="","",COUNTIF(Liens!$A:$A,A130))</f>
        <v/>
      </c>
      <c r="L130" s="26" t="str">
        <f t="shared" si="3"/>
        <v/>
      </c>
      <c r="M130" s="11"/>
    </row>
    <row r="131" spans="1:13" ht="15" customHeight="1" x14ac:dyDescent="0.25">
      <c r="A131" s="11"/>
      <c r="B131" s="25"/>
      <c r="C131" s="11"/>
      <c r="D131" s="25"/>
      <c r="E131" s="25"/>
      <c r="F131" s="11"/>
      <c r="G131" s="11"/>
      <c r="H131" s="11"/>
      <c r="I131" s="26" t="str">
        <f t="shared" si="2"/>
        <v/>
      </c>
      <c r="J131" s="26" t="str">
        <f>IF(A131="","",COUNTIF(Cablage!$A:$A,A131))</f>
        <v/>
      </c>
      <c r="K131" s="26" t="str">
        <f>IF(A131="","",COUNTIF(Liens!$A:$A,A131))</f>
        <v/>
      </c>
      <c r="L131" s="26" t="str">
        <f t="shared" si="3"/>
        <v/>
      </c>
      <c r="M131" s="11"/>
    </row>
    <row r="132" spans="1:13" ht="15" customHeight="1" x14ac:dyDescent="0.25">
      <c r="A132" s="11"/>
      <c r="B132" s="25"/>
      <c r="C132" s="11"/>
      <c r="D132" s="25"/>
      <c r="E132" s="25"/>
      <c r="F132" s="11"/>
      <c r="G132" s="11"/>
      <c r="H132" s="11"/>
      <c r="I132" s="26" t="str">
        <f t="shared" si="2"/>
        <v/>
      </c>
      <c r="J132" s="26" t="str">
        <f>IF(A132="","",COUNTIF(Cablage!$A:$A,A132))</f>
        <v/>
      </c>
      <c r="K132" s="26" t="str">
        <f>IF(A132="","",COUNTIF(Liens!$A:$A,A132))</f>
        <v/>
      </c>
      <c r="L132" s="26" t="str">
        <f t="shared" si="3"/>
        <v/>
      </c>
      <c r="M132" s="11"/>
    </row>
    <row r="133" spans="1:13" ht="15" customHeight="1" x14ac:dyDescent="0.25">
      <c r="A133" s="11"/>
      <c r="B133" s="25"/>
      <c r="C133" s="11"/>
      <c r="D133" s="25"/>
      <c r="E133" s="25"/>
      <c r="F133" s="11"/>
      <c r="G133" s="11"/>
      <c r="H133" s="11"/>
      <c r="I133" s="26" t="str">
        <f t="shared" si="2"/>
        <v/>
      </c>
      <c r="J133" s="26" t="str">
        <f>IF(A133="","",COUNTIF(Cablage!$A:$A,A133))</f>
        <v/>
      </c>
      <c r="K133" s="26" t="str">
        <f>IF(A133="","",COUNTIF(Liens!$A:$A,A133))</f>
        <v/>
      </c>
      <c r="L133" s="26" t="str">
        <f t="shared" si="3"/>
        <v/>
      </c>
      <c r="M133" s="11"/>
    </row>
    <row r="134" spans="1:13" ht="15" customHeight="1" x14ac:dyDescent="0.25">
      <c r="A134" s="11"/>
      <c r="B134" s="25"/>
      <c r="C134" s="11"/>
      <c r="D134" s="25"/>
      <c r="E134" s="25"/>
      <c r="F134" s="11"/>
      <c r="G134" s="11"/>
      <c r="H134" s="11"/>
      <c r="I134" s="26" t="str">
        <f t="shared" si="2"/>
        <v/>
      </c>
      <c r="J134" s="26" t="str">
        <f>IF(A134="","",COUNTIF(Cablage!$A:$A,A134))</f>
        <v/>
      </c>
      <c r="K134" s="26" t="str">
        <f>IF(A134="","",COUNTIF(Liens!$A:$A,A134))</f>
        <v/>
      </c>
      <c r="L134" s="26" t="str">
        <f t="shared" si="3"/>
        <v/>
      </c>
      <c r="M134" s="11"/>
    </row>
    <row r="135" spans="1:13" ht="15" customHeight="1" x14ac:dyDescent="0.25">
      <c r="A135" s="11"/>
      <c r="B135" s="25"/>
      <c r="C135" s="11"/>
      <c r="D135" s="25"/>
      <c r="E135" s="25"/>
      <c r="F135" s="11"/>
      <c r="G135" s="11"/>
      <c r="H135" s="11"/>
      <c r="I135" s="26" t="str">
        <f t="shared" si="2"/>
        <v/>
      </c>
      <c r="J135" s="26" t="str">
        <f>IF(A135="","",COUNTIF(Cablage!$A:$A,A135))</f>
        <v/>
      </c>
      <c r="K135" s="26" t="str">
        <f>IF(A135="","",COUNTIF(Liens!$A:$A,A135))</f>
        <v/>
      </c>
      <c r="L135" s="26" t="str">
        <f t="shared" si="3"/>
        <v/>
      </c>
      <c r="M135" s="11"/>
    </row>
    <row r="136" spans="1:13" ht="15" customHeight="1" x14ac:dyDescent="0.25">
      <c r="A136" s="11"/>
      <c r="B136" s="25"/>
      <c r="C136" s="11"/>
      <c r="D136" s="25"/>
      <c r="E136" s="25"/>
      <c r="F136" s="11"/>
      <c r="G136" s="11"/>
      <c r="H136" s="11"/>
      <c r="I136" s="26" t="str">
        <f t="shared" si="2"/>
        <v/>
      </c>
      <c r="J136" s="26" t="str">
        <f>IF(A136="","",COUNTIF(Cablage!$A:$A,A136))</f>
        <v/>
      </c>
      <c r="K136" s="26" t="str">
        <f>IF(A136="","",COUNTIF(Liens!$A:$A,A136))</f>
        <v/>
      </c>
      <c r="L136" s="26" t="str">
        <f t="shared" si="3"/>
        <v/>
      </c>
      <c r="M136" s="11"/>
    </row>
    <row r="137" spans="1:13" ht="15" customHeight="1" x14ac:dyDescent="0.25">
      <c r="A137" s="11"/>
      <c r="B137" s="25"/>
      <c r="C137" s="11"/>
      <c r="D137" s="25"/>
      <c r="E137" s="25"/>
      <c r="F137" s="11"/>
      <c r="G137" s="11"/>
      <c r="H137" s="11"/>
      <c r="I137" s="26" t="str">
        <f t="shared" ref="I137:I200" si="4">IF(F137="","",IF(OR(E137="Variable seule",G137=""),F137,F137&amp;"["&amp;G137&amp;"]"))</f>
        <v/>
      </c>
      <c r="J137" s="26" t="str">
        <f>IF(A137="","",COUNTIF(Cablage!$A:$A,A137))</f>
        <v/>
      </c>
      <c r="K137" s="26" t="str">
        <f>IF(A137="","",COUNTIF(Liens!$A:$A,A137))</f>
        <v/>
      </c>
      <c r="L137" s="26" t="str">
        <f t="shared" ref="L137:L200" si="5">IF(OR(A137="",E137="Variable seule",F137="",G137=""),"",IF(COUNTIFS($F$9:$F$308,F137,$G$9:$G$308,G137,$A$9:$A$308,"&lt;&gt;"&amp;A137)&gt;0,"index deja pris",""))</f>
        <v/>
      </c>
      <c r="M137" s="11"/>
    </row>
    <row r="138" spans="1:13" ht="15" customHeight="1" x14ac:dyDescent="0.25">
      <c r="A138" s="11"/>
      <c r="B138" s="25"/>
      <c r="C138" s="11"/>
      <c r="D138" s="25"/>
      <c r="E138" s="25"/>
      <c r="F138" s="11"/>
      <c r="G138" s="11"/>
      <c r="H138" s="11"/>
      <c r="I138" s="26" t="str">
        <f t="shared" si="4"/>
        <v/>
      </c>
      <c r="J138" s="26" t="str">
        <f>IF(A138="","",COUNTIF(Cablage!$A:$A,A138))</f>
        <v/>
      </c>
      <c r="K138" s="26" t="str">
        <f>IF(A138="","",COUNTIF(Liens!$A:$A,A138))</f>
        <v/>
      </c>
      <c r="L138" s="26" t="str">
        <f t="shared" si="5"/>
        <v/>
      </c>
      <c r="M138" s="11"/>
    </row>
    <row r="139" spans="1:13" ht="15" customHeight="1" x14ac:dyDescent="0.25">
      <c r="A139" s="11"/>
      <c r="B139" s="25"/>
      <c r="C139" s="11"/>
      <c r="D139" s="25"/>
      <c r="E139" s="25"/>
      <c r="F139" s="11"/>
      <c r="G139" s="11"/>
      <c r="H139" s="11"/>
      <c r="I139" s="26" t="str">
        <f t="shared" si="4"/>
        <v/>
      </c>
      <c r="J139" s="26" t="str">
        <f>IF(A139="","",COUNTIF(Cablage!$A:$A,A139))</f>
        <v/>
      </c>
      <c r="K139" s="26" t="str">
        <f>IF(A139="","",COUNTIF(Liens!$A:$A,A139))</f>
        <v/>
      </c>
      <c r="L139" s="26" t="str">
        <f t="shared" si="5"/>
        <v/>
      </c>
      <c r="M139" s="11"/>
    </row>
    <row r="140" spans="1:13" ht="15" customHeight="1" x14ac:dyDescent="0.25">
      <c r="A140" s="11"/>
      <c r="B140" s="25"/>
      <c r="C140" s="11"/>
      <c r="D140" s="25"/>
      <c r="E140" s="25"/>
      <c r="F140" s="11"/>
      <c r="G140" s="11"/>
      <c r="H140" s="11"/>
      <c r="I140" s="26" t="str">
        <f t="shared" si="4"/>
        <v/>
      </c>
      <c r="J140" s="26" t="str">
        <f>IF(A140="","",COUNTIF(Cablage!$A:$A,A140))</f>
        <v/>
      </c>
      <c r="K140" s="26" t="str">
        <f>IF(A140="","",COUNTIF(Liens!$A:$A,A140))</f>
        <v/>
      </c>
      <c r="L140" s="26" t="str">
        <f t="shared" si="5"/>
        <v/>
      </c>
      <c r="M140" s="11"/>
    </row>
    <row r="141" spans="1:13" ht="15" customHeight="1" x14ac:dyDescent="0.25">
      <c r="A141" s="11"/>
      <c r="B141" s="25"/>
      <c r="C141" s="11"/>
      <c r="D141" s="25"/>
      <c r="E141" s="25"/>
      <c r="F141" s="11"/>
      <c r="G141" s="11"/>
      <c r="H141" s="11"/>
      <c r="I141" s="26" t="str">
        <f t="shared" si="4"/>
        <v/>
      </c>
      <c r="J141" s="26" t="str">
        <f>IF(A141="","",COUNTIF(Cablage!$A:$A,A141))</f>
        <v/>
      </c>
      <c r="K141" s="26" t="str">
        <f>IF(A141="","",COUNTIF(Liens!$A:$A,A141))</f>
        <v/>
      </c>
      <c r="L141" s="26" t="str">
        <f t="shared" si="5"/>
        <v/>
      </c>
      <c r="M141" s="11"/>
    </row>
    <row r="142" spans="1:13" ht="15" customHeight="1" x14ac:dyDescent="0.25">
      <c r="A142" s="11"/>
      <c r="B142" s="25"/>
      <c r="C142" s="11"/>
      <c r="D142" s="25"/>
      <c r="E142" s="25"/>
      <c r="F142" s="11"/>
      <c r="G142" s="11"/>
      <c r="H142" s="11"/>
      <c r="I142" s="26" t="str">
        <f t="shared" si="4"/>
        <v/>
      </c>
      <c r="J142" s="26" t="str">
        <f>IF(A142="","",COUNTIF(Cablage!$A:$A,A142))</f>
        <v/>
      </c>
      <c r="K142" s="26" t="str">
        <f>IF(A142="","",COUNTIF(Liens!$A:$A,A142))</f>
        <v/>
      </c>
      <c r="L142" s="26" t="str">
        <f t="shared" si="5"/>
        <v/>
      </c>
      <c r="M142" s="11"/>
    </row>
    <row r="143" spans="1:13" ht="15" customHeight="1" x14ac:dyDescent="0.25">
      <c r="A143" s="11"/>
      <c r="B143" s="25"/>
      <c r="C143" s="11"/>
      <c r="D143" s="25"/>
      <c r="E143" s="25"/>
      <c r="F143" s="11"/>
      <c r="G143" s="11"/>
      <c r="H143" s="11"/>
      <c r="I143" s="26" t="str">
        <f t="shared" si="4"/>
        <v/>
      </c>
      <c r="J143" s="26" t="str">
        <f>IF(A143="","",COUNTIF(Cablage!$A:$A,A143))</f>
        <v/>
      </c>
      <c r="K143" s="26" t="str">
        <f>IF(A143="","",COUNTIF(Liens!$A:$A,A143))</f>
        <v/>
      </c>
      <c r="L143" s="26" t="str">
        <f t="shared" si="5"/>
        <v/>
      </c>
      <c r="M143" s="11"/>
    </row>
    <row r="144" spans="1:13" ht="15" customHeight="1" x14ac:dyDescent="0.25">
      <c r="A144" s="11"/>
      <c r="B144" s="25"/>
      <c r="C144" s="11"/>
      <c r="D144" s="25"/>
      <c r="E144" s="25"/>
      <c r="F144" s="11"/>
      <c r="G144" s="11"/>
      <c r="H144" s="11"/>
      <c r="I144" s="26" t="str">
        <f t="shared" si="4"/>
        <v/>
      </c>
      <c r="J144" s="26" t="str">
        <f>IF(A144="","",COUNTIF(Cablage!$A:$A,A144))</f>
        <v/>
      </c>
      <c r="K144" s="26" t="str">
        <f>IF(A144="","",COUNTIF(Liens!$A:$A,A144))</f>
        <v/>
      </c>
      <c r="L144" s="26" t="str">
        <f t="shared" si="5"/>
        <v/>
      </c>
      <c r="M144" s="11"/>
    </row>
    <row r="145" spans="1:13" ht="15" customHeight="1" x14ac:dyDescent="0.25">
      <c r="A145" s="11"/>
      <c r="B145" s="25"/>
      <c r="C145" s="11"/>
      <c r="D145" s="25"/>
      <c r="E145" s="25"/>
      <c r="F145" s="11"/>
      <c r="G145" s="11"/>
      <c r="H145" s="11"/>
      <c r="I145" s="26" t="str">
        <f t="shared" si="4"/>
        <v/>
      </c>
      <c r="J145" s="26" t="str">
        <f>IF(A145="","",COUNTIF(Cablage!$A:$A,A145))</f>
        <v/>
      </c>
      <c r="K145" s="26" t="str">
        <f>IF(A145="","",COUNTIF(Liens!$A:$A,A145))</f>
        <v/>
      </c>
      <c r="L145" s="26" t="str">
        <f t="shared" si="5"/>
        <v/>
      </c>
      <c r="M145" s="11"/>
    </row>
    <row r="146" spans="1:13" ht="15" customHeight="1" x14ac:dyDescent="0.25">
      <c r="A146" s="11"/>
      <c r="B146" s="25"/>
      <c r="C146" s="11"/>
      <c r="D146" s="25"/>
      <c r="E146" s="25"/>
      <c r="F146" s="11"/>
      <c r="G146" s="11"/>
      <c r="H146" s="11"/>
      <c r="I146" s="26" t="str">
        <f t="shared" si="4"/>
        <v/>
      </c>
      <c r="J146" s="26" t="str">
        <f>IF(A146="","",COUNTIF(Cablage!$A:$A,A146))</f>
        <v/>
      </c>
      <c r="K146" s="26" t="str">
        <f>IF(A146="","",COUNTIF(Liens!$A:$A,A146))</f>
        <v/>
      </c>
      <c r="L146" s="26" t="str">
        <f t="shared" si="5"/>
        <v/>
      </c>
      <c r="M146" s="11"/>
    </row>
    <row r="147" spans="1:13" ht="15" customHeight="1" x14ac:dyDescent="0.25">
      <c r="A147" s="11"/>
      <c r="B147" s="25"/>
      <c r="C147" s="11"/>
      <c r="D147" s="25"/>
      <c r="E147" s="25"/>
      <c r="F147" s="11"/>
      <c r="G147" s="11"/>
      <c r="H147" s="11"/>
      <c r="I147" s="26" t="str">
        <f t="shared" si="4"/>
        <v/>
      </c>
      <c r="J147" s="26" t="str">
        <f>IF(A147="","",COUNTIF(Cablage!$A:$A,A147))</f>
        <v/>
      </c>
      <c r="K147" s="26" t="str">
        <f>IF(A147="","",COUNTIF(Liens!$A:$A,A147))</f>
        <v/>
      </c>
      <c r="L147" s="26" t="str">
        <f t="shared" si="5"/>
        <v/>
      </c>
      <c r="M147" s="11"/>
    </row>
    <row r="148" spans="1:13" ht="15" customHeight="1" x14ac:dyDescent="0.25">
      <c r="A148" s="11"/>
      <c r="B148" s="25"/>
      <c r="C148" s="11"/>
      <c r="D148" s="25"/>
      <c r="E148" s="25"/>
      <c r="F148" s="11"/>
      <c r="G148" s="11"/>
      <c r="H148" s="11"/>
      <c r="I148" s="26" t="str">
        <f t="shared" si="4"/>
        <v/>
      </c>
      <c r="J148" s="26" t="str">
        <f>IF(A148="","",COUNTIF(Cablage!$A:$A,A148))</f>
        <v/>
      </c>
      <c r="K148" s="26" t="str">
        <f>IF(A148="","",COUNTIF(Liens!$A:$A,A148))</f>
        <v/>
      </c>
      <c r="L148" s="26" t="str">
        <f t="shared" si="5"/>
        <v/>
      </c>
      <c r="M148" s="11"/>
    </row>
    <row r="149" spans="1:13" ht="15" customHeight="1" x14ac:dyDescent="0.25">
      <c r="A149" s="11"/>
      <c r="B149" s="25"/>
      <c r="C149" s="11"/>
      <c r="D149" s="25"/>
      <c r="E149" s="25"/>
      <c r="F149" s="11"/>
      <c r="G149" s="11"/>
      <c r="H149" s="11"/>
      <c r="I149" s="26" t="str">
        <f t="shared" si="4"/>
        <v/>
      </c>
      <c r="J149" s="26" t="str">
        <f>IF(A149="","",COUNTIF(Cablage!$A:$A,A149))</f>
        <v/>
      </c>
      <c r="K149" s="26" t="str">
        <f>IF(A149="","",COUNTIF(Liens!$A:$A,A149))</f>
        <v/>
      </c>
      <c r="L149" s="26" t="str">
        <f t="shared" si="5"/>
        <v/>
      </c>
      <c r="M149" s="11"/>
    </row>
    <row r="150" spans="1:13" ht="15" customHeight="1" x14ac:dyDescent="0.25">
      <c r="A150" s="11"/>
      <c r="B150" s="25"/>
      <c r="C150" s="11"/>
      <c r="D150" s="25"/>
      <c r="E150" s="25"/>
      <c r="F150" s="11"/>
      <c r="G150" s="11"/>
      <c r="H150" s="11"/>
      <c r="I150" s="26" t="str">
        <f t="shared" si="4"/>
        <v/>
      </c>
      <c r="J150" s="26" t="str">
        <f>IF(A150="","",COUNTIF(Cablage!$A:$A,A150))</f>
        <v/>
      </c>
      <c r="K150" s="26" t="str">
        <f>IF(A150="","",COUNTIF(Liens!$A:$A,A150))</f>
        <v/>
      </c>
      <c r="L150" s="26" t="str">
        <f t="shared" si="5"/>
        <v/>
      </c>
      <c r="M150" s="11"/>
    </row>
    <row r="151" spans="1:13" ht="15" customHeight="1" x14ac:dyDescent="0.25">
      <c r="A151" s="11"/>
      <c r="B151" s="25"/>
      <c r="C151" s="11"/>
      <c r="D151" s="25"/>
      <c r="E151" s="25"/>
      <c r="F151" s="11"/>
      <c r="G151" s="11"/>
      <c r="H151" s="11"/>
      <c r="I151" s="26" t="str">
        <f t="shared" si="4"/>
        <v/>
      </c>
      <c r="J151" s="26" t="str">
        <f>IF(A151="","",COUNTIF(Cablage!$A:$A,A151))</f>
        <v/>
      </c>
      <c r="K151" s="26" t="str">
        <f>IF(A151="","",COUNTIF(Liens!$A:$A,A151))</f>
        <v/>
      </c>
      <c r="L151" s="26" t="str">
        <f t="shared" si="5"/>
        <v/>
      </c>
      <c r="M151" s="11"/>
    </row>
    <row r="152" spans="1:13" ht="15" customHeight="1" x14ac:dyDescent="0.25">
      <c r="A152" s="11"/>
      <c r="B152" s="25"/>
      <c r="C152" s="11"/>
      <c r="D152" s="25"/>
      <c r="E152" s="25"/>
      <c r="F152" s="11"/>
      <c r="G152" s="11"/>
      <c r="H152" s="11"/>
      <c r="I152" s="26" t="str">
        <f t="shared" si="4"/>
        <v/>
      </c>
      <c r="J152" s="26" t="str">
        <f>IF(A152="","",COUNTIF(Cablage!$A:$A,A152))</f>
        <v/>
      </c>
      <c r="K152" s="26" t="str">
        <f>IF(A152="","",COUNTIF(Liens!$A:$A,A152))</f>
        <v/>
      </c>
      <c r="L152" s="26" t="str">
        <f t="shared" si="5"/>
        <v/>
      </c>
      <c r="M152" s="11"/>
    </row>
    <row r="153" spans="1:13" ht="15" customHeight="1" x14ac:dyDescent="0.25">
      <c r="A153" s="11"/>
      <c r="B153" s="25"/>
      <c r="C153" s="11"/>
      <c r="D153" s="25"/>
      <c r="E153" s="25"/>
      <c r="F153" s="11"/>
      <c r="G153" s="11"/>
      <c r="H153" s="11"/>
      <c r="I153" s="26" t="str">
        <f t="shared" si="4"/>
        <v/>
      </c>
      <c r="J153" s="26" t="str">
        <f>IF(A153="","",COUNTIF(Cablage!$A:$A,A153))</f>
        <v/>
      </c>
      <c r="K153" s="26" t="str">
        <f>IF(A153="","",COUNTIF(Liens!$A:$A,A153))</f>
        <v/>
      </c>
      <c r="L153" s="26" t="str">
        <f t="shared" si="5"/>
        <v/>
      </c>
      <c r="M153" s="11"/>
    </row>
    <row r="154" spans="1:13" ht="15" customHeight="1" x14ac:dyDescent="0.25">
      <c r="A154" s="11"/>
      <c r="B154" s="25"/>
      <c r="C154" s="11"/>
      <c r="D154" s="25"/>
      <c r="E154" s="25"/>
      <c r="F154" s="11"/>
      <c r="G154" s="11"/>
      <c r="H154" s="11"/>
      <c r="I154" s="26" t="str">
        <f t="shared" si="4"/>
        <v/>
      </c>
      <c r="J154" s="26" t="str">
        <f>IF(A154="","",COUNTIF(Cablage!$A:$A,A154))</f>
        <v/>
      </c>
      <c r="K154" s="26" t="str">
        <f>IF(A154="","",COUNTIF(Liens!$A:$A,A154))</f>
        <v/>
      </c>
      <c r="L154" s="26" t="str">
        <f t="shared" si="5"/>
        <v/>
      </c>
      <c r="M154" s="11"/>
    </row>
    <row r="155" spans="1:13" ht="15" customHeight="1" x14ac:dyDescent="0.25">
      <c r="A155" s="11"/>
      <c r="B155" s="25"/>
      <c r="C155" s="11"/>
      <c r="D155" s="25"/>
      <c r="E155" s="25"/>
      <c r="F155" s="11"/>
      <c r="G155" s="11"/>
      <c r="H155" s="11"/>
      <c r="I155" s="26" t="str">
        <f t="shared" si="4"/>
        <v/>
      </c>
      <c r="J155" s="26" t="str">
        <f>IF(A155="","",COUNTIF(Cablage!$A:$A,A155))</f>
        <v/>
      </c>
      <c r="K155" s="26" t="str">
        <f>IF(A155="","",COUNTIF(Liens!$A:$A,A155))</f>
        <v/>
      </c>
      <c r="L155" s="26" t="str">
        <f t="shared" si="5"/>
        <v/>
      </c>
      <c r="M155" s="11"/>
    </row>
    <row r="156" spans="1:13" ht="15" customHeight="1" x14ac:dyDescent="0.25">
      <c r="A156" s="11"/>
      <c r="B156" s="25"/>
      <c r="C156" s="11"/>
      <c r="D156" s="25"/>
      <c r="E156" s="25"/>
      <c r="F156" s="11"/>
      <c r="G156" s="11"/>
      <c r="H156" s="11"/>
      <c r="I156" s="26" t="str">
        <f t="shared" si="4"/>
        <v/>
      </c>
      <c r="J156" s="26" t="str">
        <f>IF(A156="","",COUNTIF(Cablage!$A:$A,A156))</f>
        <v/>
      </c>
      <c r="K156" s="26" t="str">
        <f>IF(A156="","",COUNTIF(Liens!$A:$A,A156))</f>
        <v/>
      </c>
      <c r="L156" s="26" t="str">
        <f t="shared" si="5"/>
        <v/>
      </c>
      <c r="M156" s="11"/>
    </row>
    <row r="157" spans="1:13" ht="15" customHeight="1" x14ac:dyDescent="0.25">
      <c r="A157" s="11"/>
      <c r="B157" s="25"/>
      <c r="C157" s="11"/>
      <c r="D157" s="25"/>
      <c r="E157" s="25"/>
      <c r="F157" s="11"/>
      <c r="G157" s="11"/>
      <c r="H157" s="11"/>
      <c r="I157" s="26" t="str">
        <f t="shared" si="4"/>
        <v/>
      </c>
      <c r="J157" s="26" t="str">
        <f>IF(A157="","",COUNTIF(Cablage!$A:$A,A157))</f>
        <v/>
      </c>
      <c r="K157" s="26" t="str">
        <f>IF(A157="","",COUNTIF(Liens!$A:$A,A157))</f>
        <v/>
      </c>
      <c r="L157" s="26" t="str">
        <f t="shared" si="5"/>
        <v/>
      </c>
      <c r="M157" s="11"/>
    </row>
    <row r="158" spans="1:13" ht="15" customHeight="1" x14ac:dyDescent="0.25">
      <c r="A158" s="11"/>
      <c r="B158" s="25"/>
      <c r="C158" s="11"/>
      <c r="D158" s="25"/>
      <c r="E158" s="25"/>
      <c r="F158" s="11"/>
      <c r="G158" s="11"/>
      <c r="H158" s="11"/>
      <c r="I158" s="26" t="str">
        <f t="shared" si="4"/>
        <v/>
      </c>
      <c r="J158" s="26" t="str">
        <f>IF(A158="","",COUNTIF(Cablage!$A:$A,A158))</f>
        <v/>
      </c>
      <c r="K158" s="26" t="str">
        <f>IF(A158="","",COUNTIF(Liens!$A:$A,A158))</f>
        <v/>
      </c>
      <c r="L158" s="26" t="str">
        <f t="shared" si="5"/>
        <v/>
      </c>
      <c r="M158" s="11"/>
    </row>
    <row r="159" spans="1:13" ht="15" customHeight="1" x14ac:dyDescent="0.25">
      <c r="A159" s="11"/>
      <c r="B159" s="25"/>
      <c r="C159" s="11"/>
      <c r="D159" s="25"/>
      <c r="E159" s="25"/>
      <c r="F159" s="11"/>
      <c r="G159" s="11"/>
      <c r="H159" s="11"/>
      <c r="I159" s="26" t="str">
        <f t="shared" si="4"/>
        <v/>
      </c>
      <c r="J159" s="26" t="str">
        <f>IF(A159="","",COUNTIF(Cablage!$A:$A,A159))</f>
        <v/>
      </c>
      <c r="K159" s="26" t="str">
        <f>IF(A159="","",COUNTIF(Liens!$A:$A,A159))</f>
        <v/>
      </c>
      <c r="L159" s="26" t="str">
        <f t="shared" si="5"/>
        <v/>
      </c>
      <c r="M159" s="11"/>
    </row>
    <row r="160" spans="1:13" ht="15" customHeight="1" x14ac:dyDescent="0.25">
      <c r="A160" s="11"/>
      <c r="B160" s="25"/>
      <c r="C160" s="11"/>
      <c r="D160" s="25"/>
      <c r="E160" s="25"/>
      <c r="F160" s="11"/>
      <c r="G160" s="11"/>
      <c r="H160" s="11"/>
      <c r="I160" s="26" t="str">
        <f t="shared" si="4"/>
        <v/>
      </c>
      <c r="J160" s="26" t="str">
        <f>IF(A160="","",COUNTIF(Cablage!$A:$A,A160))</f>
        <v/>
      </c>
      <c r="K160" s="26" t="str">
        <f>IF(A160="","",COUNTIF(Liens!$A:$A,A160))</f>
        <v/>
      </c>
      <c r="L160" s="26" t="str">
        <f t="shared" si="5"/>
        <v/>
      </c>
      <c r="M160" s="11"/>
    </row>
    <row r="161" spans="1:13" ht="15" customHeight="1" x14ac:dyDescent="0.25">
      <c r="A161" s="11"/>
      <c r="B161" s="25"/>
      <c r="C161" s="11"/>
      <c r="D161" s="25"/>
      <c r="E161" s="25"/>
      <c r="F161" s="11"/>
      <c r="G161" s="11"/>
      <c r="H161" s="11"/>
      <c r="I161" s="26" t="str">
        <f t="shared" si="4"/>
        <v/>
      </c>
      <c r="J161" s="26" t="str">
        <f>IF(A161="","",COUNTIF(Cablage!$A:$A,A161))</f>
        <v/>
      </c>
      <c r="K161" s="26" t="str">
        <f>IF(A161="","",COUNTIF(Liens!$A:$A,A161))</f>
        <v/>
      </c>
      <c r="L161" s="26" t="str">
        <f t="shared" si="5"/>
        <v/>
      </c>
      <c r="M161" s="11"/>
    </row>
    <row r="162" spans="1:13" ht="15" customHeight="1" x14ac:dyDescent="0.25">
      <c r="A162" s="11"/>
      <c r="B162" s="25"/>
      <c r="C162" s="11"/>
      <c r="D162" s="25"/>
      <c r="E162" s="25"/>
      <c r="F162" s="11"/>
      <c r="G162" s="11"/>
      <c r="H162" s="11"/>
      <c r="I162" s="26" t="str">
        <f t="shared" si="4"/>
        <v/>
      </c>
      <c r="J162" s="26" t="str">
        <f>IF(A162="","",COUNTIF(Cablage!$A:$A,A162))</f>
        <v/>
      </c>
      <c r="K162" s="26" t="str">
        <f>IF(A162="","",COUNTIF(Liens!$A:$A,A162))</f>
        <v/>
      </c>
      <c r="L162" s="26" t="str">
        <f t="shared" si="5"/>
        <v/>
      </c>
      <c r="M162" s="11"/>
    </row>
    <row r="163" spans="1:13" ht="15" customHeight="1" x14ac:dyDescent="0.25">
      <c r="A163" s="11"/>
      <c r="B163" s="25"/>
      <c r="C163" s="11"/>
      <c r="D163" s="25"/>
      <c r="E163" s="25"/>
      <c r="F163" s="11"/>
      <c r="G163" s="11"/>
      <c r="H163" s="11"/>
      <c r="I163" s="26" t="str">
        <f t="shared" si="4"/>
        <v/>
      </c>
      <c r="J163" s="26" t="str">
        <f>IF(A163="","",COUNTIF(Cablage!$A:$A,A163))</f>
        <v/>
      </c>
      <c r="K163" s="26" t="str">
        <f>IF(A163="","",COUNTIF(Liens!$A:$A,A163))</f>
        <v/>
      </c>
      <c r="L163" s="26" t="str">
        <f t="shared" si="5"/>
        <v/>
      </c>
      <c r="M163" s="11"/>
    </row>
    <row r="164" spans="1:13" ht="15" customHeight="1" x14ac:dyDescent="0.25">
      <c r="A164" s="11"/>
      <c r="B164" s="25"/>
      <c r="C164" s="11"/>
      <c r="D164" s="25"/>
      <c r="E164" s="25"/>
      <c r="F164" s="11"/>
      <c r="G164" s="11"/>
      <c r="H164" s="11"/>
      <c r="I164" s="26" t="str">
        <f t="shared" si="4"/>
        <v/>
      </c>
      <c r="J164" s="26" t="str">
        <f>IF(A164="","",COUNTIF(Cablage!$A:$A,A164))</f>
        <v/>
      </c>
      <c r="K164" s="26" t="str">
        <f>IF(A164="","",COUNTIF(Liens!$A:$A,A164))</f>
        <v/>
      </c>
      <c r="L164" s="26" t="str">
        <f t="shared" si="5"/>
        <v/>
      </c>
      <c r="M164" s="11"/>
    </row>
    <row r="165" spans="1:13" ht="15" customHeight="1" x14ac:dyDescent="0.25">
      <c r="A165" s="11"/>
      <c r="B165" s="25"/>
      <c r="C165" s="11"/>
      <c r="D165" s="25"/>
      <c r="E165" s="25"/>
      <c r="F165" s="11"/>
      <c r="G165" s="11"/>
      <c r="H165" s="11"/>
      <c r="I165" s="26" t="str">
        <f t="shared" si="4"/>
        <v/>
      </c>
      <c r="J165" s="26" t="str">
        <f>IF(A165="","",COUNTIF(Cablage!$A:$A,A165))</f>
        <v/>
      </c>
      <c r="K165" s="26" t="str">
        <f>IF(A165="","",COUNTIF(Liens!$A:$A,A165))</f>
        <v/>
      </c>
      <c r="L165" s="26" t="str">
        <f t="shared" si="5"/>
        <v/>
      </c>
      <c r="M165" s="11"/>
    </row>
    <row r="166" spans="1:13" ht="15" customHeight="1" x14ac:dyDescent="0.25">
      <c r="A166" s="11"/>
      <c r="B166" s="25"/>
      <c r="C166" s="11"/>
      <c r="D166" s="25"/>
      <c r="E166" s="25"/>
      <c r="F166" s="11"/>
      <c r="G166" s="11"/>
      <c r="H166" s="11"/>
      <c r="I166" s="26" t="str">
        <f t="shared" si="4"/>
        <v/>
      </c>
      <c r="J166" s="26" t="str">
        <f>IF(A166="","",COUNTIF(Cablage!$A:$A,A166))</f>
        <v/>
      </c>
      <c r="K166" s="26" t="str">
        <f>IF(A166="","",COUNTIF(Liens!$A:$A,A166))</f>
        <v/>
      </c>
      <c r="L166" s="26" t="str">
        <f t="shared" si="5"/>
        <v/>
      </c>
      <c r="M166" s="11"/>
    </row>
    <row r="167" spans="1:13" ht="15" customHeight="1" x14ac:dyDescent="0.25">
      <c r="A167" s="11"/>
      <c r="B167" s="25"/>
      <c r="C167" s="11"/>
      <c r="D167" s="25"/>
      <c r="E167" s="25"/>
      <c r="F167" s="11"/>
      <c r="G167" s="11"/>
      <c r="H167" s="11"/>
      <c r="I167" s="26" t="str">
        <f t="shared" si="4"/>
        <v/>
      </c>
      <c r="J167" s="26" t="str">
        <f>IF(A167="","",COUNTIF(Cablage!$A:$A,A167))</f>
        <v/>
      </c>
      <c r="K167" s="26" t="str">
        <f>IF(A167="","",COUNTIF(Liens!$A:$A,A167))</f>
        <v/>
      </c>
      <c r="L167" s="26" t="str">
        <f t="shared" si="5"/>
        <v/>
      </c>
      <c r="M167" s="11"/>
    </row>
    <row r="168" spans="1:13" ht="15" customHeight="1" x14ac:dyDescent="0.25">
      <c r="A168" s="11"/>
      <c r="B168" s="25"/>
      <c r="C168" s="11"/>
      <c r="D168" s="25"/>
      <c r="E168" s="25"/>
      <c r="F168" s="11"/>
      <c r="G168" s="11"/>
      <c r="H168" s="11"/>
      <c r="I168" s="26" t="str">
        <f t="shared" si="4"/>
        <v/>
      </c>
      <c r="J168" s="26" t="str">
        <f>IF(A168="","",COUNTIF(Cablage!$A:$A,A168))</f>
        <v/>
      </c>
      <c r="K168" s="26" t="str">
        <f>IF(A168="","",COUNTIF(Liens!$A:$A,A168))</f>
        <v/>
      </c>
      <c r="L168" s="26" t="str">
        <f t="shared" si="5"/>
        <v/>
      </c>
      <c r="M168" s="11"/>
    </row>
    <row r="169" spans="1:13" ht="15" customHeight="1" x14ac:dyDescent="0.25">
      <c r="A169" s="11"/>
      <c r="B169" s="25"/>
      <c r="C169" s="11"/>
      <c r="D169" s="25"/>
      <c r="E169" s="25"/>
      <c r="F169" s="11"/>
      <c r="G169" s="11"/>
      <c r="H169" s="11"/>
      <c r="I169" s="26" t="str">
        <f t="shared" si="4"/>
        <v/>
      </c>
      <c r="J169" s="26" t="str">
        <f>IF(A169="","",COUNTIF(Cablage!$A:$A,A169))</f>
        <v/>
      </c>
      <c r="K169" s="26" t="str">
        <f>IF(A169="","",COUNTIF(Liens!$A:$A,A169))</f>
        <v/>
      </c>
      <c r="L169" s="26" t="str">
        <f t="shared" si="5"/>
        <v/>
      </c>
      <c r="M169" s="11"/>
    </row>
    <row r="170" spans="1:13" ht="15" customHeight="1" x14ac:dyDescent="0.25">
      <c r="A170" s="11"/>
      <c r="B170" s="25"/>
      <c r="C170" s="11"/>
      <c r="D170" s="25"/>
      <c r="E170" s="25"/>
      <c r="F170" s="11"/>
      <c r="G170" s="11"/>
      <c r="H170" s="11"/>
      <c r="I170" s="26" t="str">
        <f t="shared" si="4"/>
        <v/>
      </c>
      <c r="J170" s="26" t="str">
        <f>IF(A170="","",COUNTIF(Cablage!$A:$A,A170))</f>
        <v/>
      </c>
      <c r="K170" s="26" t="str">
        <f>IF(A170="","",COUNTIF(Liens!$A:$A,A170))</f>
        <v/>
      </c>
      <c r="L170" s="26" t="str">
        <f t="shared" si="5"/>
        <v/>
      </c>
      <c r="M170" s="11"/>
    </row>
    <row r="171" spans="1:13" ht="15" customHeight="1" x14ac:dyDescent="0.25">
      <c r="A171" s="11"/>
      <c r="B171" s="25"/>
      <c r="C171" s="11"/>
      <c r="D171" s="25"/>
      <c r="E171" s="25"/>
      <c r="F171" s="11"/>
      <c r="G171" s="11"/>
      <c r="H171" s="11"/>
      <c r="I171" s="26" t="str">
        <f t="shared" si="4"/>
        <v/>
      </c>
      <c r="J171" s="26" t="str">
        <f>IF(A171="","",COUNTIF(Cablage!$A:$A,A171))</f>
        <v/>
      </c>
      <c r="K171" s="26" t="str">
        <f>IF(A171="","",COUNTIF(Liens!$A:$A,A171))</f>
        <v/>
      </c>
      <c r="L171" s="26" t="str">
        <f t="shared" si="5"/>
        <v/>
      </c>
      <c r="M171" s="11"/>
    </row>
    <row r="172" spans="1:13" ht="15" customHeight="1" x14ac:dyDescent="0.25">
      <c r="A172" s="11"/>
      <c r="B172" s="25"/>
      <c r="C172" s="11"/>
      <c r="D172" s="25"/>
      <c r="E172" s="25"/>
      <c r="F172" s="11"/>
      <c r="G172" s="11"/>
      <c r="H172" s="11"/>
      <c r="I172" s="26" t="str">
        <f t="shared" si="4"/>
        <v/>
      </c>
      <c r="J172" s="26" t="str">
        <f>IF(A172="","",COUNTIF(Cablage!$A:$A,A172))</f>
        <v/>
      </c>
      <c r="K172" s="26" t="str">
        <f>IF(A172="","",COUNTIF(Liens!$A:$A,A172))</f>
        <v/>
      </c>
      <c r="L172" s="26" t="str">
        <f t="shared" si="5"/>
        <v/>
      </c>
      <c r="M172" s="11"/>
    </row>
    <row r="173" spans="1:13" ht="15" customHeight="1" x14ac:dyDescent="0.25">
      <c r="A173" s="11"/>
      <c r="B173" s="25"/>
      <c r="C173" s="11"/>
      <c r="D173" s="25"/>
      <c r="E173" s="25"/>
      <c r="F173" s="11"/>
      <c r="G173" s="11"/>
      <c r="H173" s="11"/>
      <c r="I173" s="26" t="str">
        <f t="shared" si="4"/>
        <v/>
      </c>
      <c r="J173" s="26" t="str">
        <f>IF(A173="","",COUNTIF(Cablage!$A:$A,A173))</f>
        <v/>
      </c>
      <c r="K173" s="26" t="str">
        <f>IF(A173="","",COUNTIF(Liens!$A:$A,A173))</f>
        <v/>
      </c>
      <c r="L173" s="26" t="str">
        <f t="shared" si="5"/>
        <v/>
      </c>
      <c r="M173" s="11"/>
    </row>
    <row r="174" spans="1:13" ht="15" customHeight="1" x14ac:dyDescent="0.25">
      <c r="A174" s="11"/>
      <c r="B174" s="25"/>
      <c r="C174" s="11"/>
      <c r="D174" s="25"/>
      <c r="E174" s="25"/>
      <c r="F174" s="11"/>
      <c r="G174" s="11"/>
      <c r="H174" s="11"/>
      <c r="I174" s="26" t="str">
        <f t="shared" si="4"/>
        <v/>
      </c>
      <c r="J174" s="26" t="str">
        <f>IF(A174="","",COUNTIF(Cablage!$A:$A,A174))</f>
        <v/>
      </c>
      <c r="K174" s="26" t="str">
        <f>IF(A174="","",COUNTIF(Liens!$A:$A,A174))</f>
        <v/>
      </c>
      <c r="L174" s="26" t="str">
        <f t="shared" si="5"/>
        <v/>
      </c>
      <c r="M174" s="11"/>
    </row>
    <row r="175" spans="1:13" ht="15" customHeight="1" x14ac:dyDescent="0.25">
      <c r="A175" s="11"/>
      <c r="B175" s="25"/>
      <c r="C175" s="11"/>
      <c r="D175" s="25"/>
      <c r="E175" s="25"/>
      <c r="F175" s="11"/>
      <c r="G175" s="11"/>
      <c r="H175" s="11"/>
      <c r="I175" s="26" t="str">
        <f t="shared" si="4"/>
        <v/>
      </c>
      <c r="J175" s="26" t="str">
        <f>IF(A175="","",COUNTIF(Cablage!$A:$A,A175))</f>
        <v/>
      </c>
      <c r="K175" s="26" t="str">
        <f>IF(A175="","",COUNTIF(Liens!$A:$A,A175))</f>
        <v/>
      </c>
      <c r="L175" s="26" t="str">
        <f t="shared" si="5"/>
        <v/>
      </c>
      <c r="M175" s="11"/>
    </row>
    <row r="176" spans="1:13" ht="15" customHeight="1" x14ac:dyDescent="0.25">
      <c r="A176" s="11"/>
      <c r="B176" s="25"/>
      <c r="C176" s="11"/>
      <c r="D176" s="25"/>
      <c r="E176" s="25"/>
      <c r="F176" s="11"/>
      <c r="G176" s="11"/>
      <c r="H176" s="11"/>
      <c r="I176" s="26" t="str">
        <f t="shared" si="4"/>
        <v/>
      </c>
      <c r="J176" s="26" t="str">
        <f>IF(A176="","",COUNTIF(Cablage!$A:$A,A176))</f>
        <v/>
      </c>
      <c r="K176" s="26" t="str">
        <f>IF(A176="","",COUNTIF(Liens!$A:$A,A176))</f>
        <v/>
      </c>
      <c r="L176" s="26" t="str">
        <f t="shared" si="5"/>
        <v/>
      </c>
      <c r="M176" s="11"/>
    </row>
    <row r="177" spans="1:13" ht="15" customHeight="1" x14ac:dyDescent="0.25">
      <c r="A177" s="11"/>
      <c r="B177" s="25"/>
      <c r="C177" s="11"/>
      <c r="D177" s="25"/>
      <c r="E177" s="25"/>
      <c r="F177" s="11"/>
      <c r="G177" s="11"/>
      <c r="H177" s="11"/>
      <c r="I177" s="26" t="str">
        <f t="shared" si="4"/>
        <v/>
      </c>
      <c r="J177" s="26" t="str">
        <f>IF(A177="","",COUNTIF(Cablage!$A:$A,A177))</f>
        <v/>
      </c>
      <c r="K177" s="26" t="str">
        <f>IF(A177="","",COUNTIF(Liens!$A:$A,A177))</f>
        <v/>
      </c>
      <c r="L177" s="26" t="str">
        <f t="shared" si="5"/>
        <v/>
      </c>
      <c r="M177" s="11"/>
    </row>
    <row r="178" spans="1:13" ht="15" customHeight="1" x14ac:dyDescent="0.25">
      <c r="A178" s="11"/>
      <c r="B178" s="25"/>
      <c r="C178" s="11"/>
      <c r="D178" s="25"/>
      <c r="E178" s="25"/>
      <c r="F178" s="11"/>
      <c r="G178" s="11"/>
      <c r="H178" s="11"/>
      <c r="I178" s="26" t="str">
        <f t="shared" si="4"/>
        <v/>
      </c>
      <c r="J178" s="26" t="str">
        <f>IF(A178="","",COUNTIF(Cablage!$A:$A,A178))</f>
        <v/>
      </c>
      <c r="K178" s="26" t="str">
        <f>IF(A178="","",COUNTIF(Liens!$A:$A,A178))</f>
        <v/>
      </c>
      <c r="L178" s="26" t="str">
        <f t="shared" si="5"/>
        <v/>
      </c>
      <c r="M178" s="11"/>
    </row>
    <row r="179" spans="1:13" ht="15" customHeight="1" x14ac:dyDescent="0.25">
      <c r="A179" s="11"/>
      <c r="B179" s="25"/>
      <c r="C179" s="11"/>
      <c r="D179" s="25"/>
      <c r="E179" s="25"/>
      <c r="F179" s="11"/>
      <c r="G179" s="11"/>
      <c r="H179" s="11"/>
      <c r="I179" s="26" t="str">
        <f t="shared" si="4"/>
        <v/>
      </c>
      <c r="J179" s="26" t="str">
        <f>IF(A179="","",COUNTIF(Cablage!$A:$A,A179))</f>
        <v/>
      </c>
      <c r="K179" s="26" t="str">
        <f>IF(A179="","",COUNTIF(Liens!$A:$A,A179))</f>
        <v/>
      </c>
      <c r="L179" s="26" t="str">
        <f t="shared" si="5"/>
        <v/>
      </c>
      <c r="M179" s="11"/>
    </row>
    <row r="180" spans="1:13" ht="15" customHeight="1" x14ac:dyDescent="0.25">
      <c r="A180" s="11"/>
      <c r="B180" s="25"/>
      <c r="C180" s="11"/>
      <c r="D180" s="25"/>
      <c r="E180" s="25"/>
      <c r="F180" s="11"/>
      <c r="G180" s="11"/>
      <c r="H180" s="11"/>
      <c r="I180" s="26" t="str">
        <f t="shared" si="4"/>
        <v/>
      </c>
      <c r="J180" s="26" t="str">
        <f>IF(A180="","",COUNTIF(Cablage!$A:$A,A180))</f>
        <v/>
      </c>
      <c r="K180" s="26" t="str">
        <f>IF(A180="","",COUNTIF(Liens!$A:$A,A180))</f>
        <v/>
      </c>
      <c r="L180" s="26" t="str">
        <f t="shared" si="5"/>
        <v/>
      </c>
      <c r="M180" s="11"/>
    </row>
    <row r="181" spans="1:13" ht="15" customHeight="1" x14ac:dyDescent="0.25">
      <c r="A181" s="11"/>
      <c r="B181" s="25"/>
      <c r="C181" s="11"/>
      <c r="D181" s="25"/>
      <c r="E181" s="25"/>
      <c r="F181" s="11"/>
      <c r="G181" s="11"/>
      <c r="H181" s="11"/>
      <c r="I181" s="26" t="str">
        <f t="shared" si="4"/>
        <v/>
      </c>
      <c r="J181" s="26" t="str">
        <f>IF(A181="","",COUNTIF(Cablage!$A:$A,A181))</f>
        <v/>
      </c>
      <c r="K181" s="26" t="str">
        <f>IF(A181="","",COUNTIF(Liens!$A:$A,A181))</f>
        <v/>
      </c>
      <c r="L181" s="26" t="str">
        <f t="shared" si="5"/>
        <v/>
      </c>
      <c r="M181" s="11"/>
    </row>
    <row r="182" spans="1:13" ht="15" customHeight="1" x14ac:dyDescent="0.25">
      <c r="A182" s="11"/>
      <c r="B182" s="25"/>
      <c r="C182" s="11"/>
      <c r="D182" s="25"/>
      <c r="E182" s="25"/>
      <c r="F182" s="11"/>
      <c r="G182" s="11"/>
      <c r="H182" s="11"/>
      <c r="I182" s="26" t="str">
        <f t="shared" si="4"/>
        <v/>
      </c>
      <c r="J182" s="26" t="str">
        <f>IF(A182="","",COUNTIF(Cablage!$A:$A,A182))</f>
        <v/>
      </c>
      <c r="K182" s="26" t="str">
        <f>IF(A182="","",COUNTIF(Liens!$A:$A,A182))</f>
        <v/>
      </c>
      <c r="L182" s="26" t="str">
        <f t="shared" si="5"/>
        <v/>
      </c>
      <c r="M182" s="11"/>
    </row>
    <row r="183" spans="1:13" ht="15" customHeight="1" x14ac:dyDescent="0.25">
      <c r="A183" s="11"/>
      <c r="B183" s="25"/>
      <c r="C183" s="11"/>
      <c r="D183" s="25"/>
      <c r="E183" s="25"/>
      <c r="F183" s="11"/>
      <c r="G183" s="11"/>
      <c r="H183" s="11"/>
      <c r="I183" s="26" t="str">
        <f t="shared" si="4"/>
        <v/>
      </c>
      <c r="J183" s="26" t="str">
        <f>IF(A183="","",COUNTIF(Cablage!$A:$A,A183))</f>
        <v/>
      </c>
      <c r="K183" s="26" t="str">
        <f>IF(A183="","",COUNTIF(Liens!$A:$A,A183))</f>
        <v/>
      </c>
      <c r="L183" s="26" t="str">
        <f t="shared" si="5"/>
        <v/>
      </c>
      <c r="M183" s="11"/>
    </row>
    <row r="184" spans="1:13" ht="15" customHeight="1" x14ac:dyDescent="0.25">
      <c r="A184" s="11"/>
      <c r="B184" s="25"/>
      <c r="C184" s="11"/>
      <c r="D184" s="25"/>
      <c r="E184" s="25"/>
      <c r="F184" s="11"/>
      <c r="G184" s="11"/>
      <c r="H184" s="11"/>
      <c r="I184" s="26" t="str">
        <f t="shared" si="4"/>
        <v/>
      </c>
      <c r="J184" s="26" t="str">
        <f>IF(A184="","",COUNTIF(Cablage!$A:$A,A184))</f>
        <v/>
      </c>
      <c r="K184" s="26" t="str">
        <f>IF(A184="","",COUNTIF(Liens!$A:$A,A184))</f>
        <v/>
      </c>
      <c r="L184" s="26" t="str">
        <f t="shared" si="5"/>
        <v/>
      </c>
      <c r="M184" s="11"/>
    </row>
    <row r="185" spans="1:13" ht="15" customHeight="1" x14ac:dyDescent="0.25">
      <c r="A185" s="11"/>
      <c r="B185" s="25"/>
      <c r="C185" s="11"/>
      <c r="D185" s="25"/>
      <c r="E185" s="25"/>
      <c r="F185" s="11"/>
      <c r="G185" s="11"/>
      <c r="H185" s="11"/>
      <c r="I185" s="26" t="str">
        <f t="shared" si="4"/>
        <v/>
      </c>
      <c r="J185" s="26" t="str">
        <f>IF(A185="","",COUNTIF(Cablage!$A:$A,A185))</f>
        <v/>
      </c>
      <c r="K185" s="26" t="str">
        <f>IF(A185="","",COUNTIF(Liens!$A:$A,A185))</f>
        <v/>
      </c>
      <c r="L185" s="26" t="str">
        <f t="shared" si="5"/>
        <v/>
      </c>
      <c r="M185" s="11"/>
    </row>
    <row r="186" spans="1:13" ht="15" customHeight="1" x14ac:dyDescent="0.25">
      <c r="A186" s="11"/>
      <c r="B186" s="25"/>
      <c r="C186" s="11"/>
      <c r="D186" s="25"/>
      <c r="E186" s="25"/>
      <c r="F186" s="11"/>
      <c r="G186" s="11"/>
      <c r="H186" s="11"/>
      <c r="I186" s="26" t="str">
        <f t="shared" si="4"/>
        <v/>
      </c>
      <c r="J186" s="26" t="str">
        <f>IF(A186="","",COUNTIF(Cablage!$A:$A,A186))</f>
        <v/>
      </c>
      <c r="K186" s="26" t="str">
        <f>IF(A186="","",COUNTIF(Liens!$A:$A,A186))</f>
        <v/>
      </c>
      <c r="L186" s="26" t="str">
        <f t="shared" si="5"/>
        <v/>
      </c>
      <c r="M186" s="11"/>
    </row>
    <row r="187" spans="1:13" ht="15" customHeight="1" x14ac:dyDescent="0.25">
      <c r="A187" s="11"/>
      <c r="B187" s="25"/>
      <c r="C187" s="11"/>
      <c r="D187" s="25"/>
      <c r="E187" s="25"/>
      <c r="F187" s="11"/>
      <c r="G187" s="11"/>
      <c r="H187" s="11"/>
      <c r="I187" s="26" t="str">
        <f t="shared" si="4"/>
        <v/>
      </c>
      <c r="J187" s="26" t="str">
        <f>IF(A187="","",COUNTIF(Cablage!$A:$A,A187))</f>
        <v/>
      </c>
      <c r="K187" s="26" t="str">
        <f>IF(A187="","",COUNTIF(Liens!$A:$A,A187))</f>
        <v/>
      </c>
      <c r="L187" s="26" t="str">
        <f t="shared" si="5"/>
        <v/>
      </c>
      <c r="M187" s="11"/>
    </row>
    <row r="188" spans="1:13" ht="15" customHeight="1" x14ac:dyDescent="0.25">
      <c r="A188" s="11"/>
      <c r="B188" s="25"/>
      <c r="C188" s="11"/>
      <c r="D188" s="25"/>
      <c r="E188" s="25"/>
      <c r="F188" s="11"/>
      <c r="G188" s="11"/>
      <c r="H188" s="11"/>
      <c r="I188" s="26" t="str">
        <f t="shared" si="4"/>
        <v/>
      </c>
      <c r="J188" s="26" t="str">
        <f>IF(A188="","",COUNTIF(Cablage!$A:$A,A188))</f>
        <v/>
      </c>
      <c r="K188" s="26" t="str">
        <f>IF(A188="","",COUNTIF(Liens!$A:$A,A188))</f>
        <v/>
      </c>
      <c r="L188" s="26" t="str">
        <f t="shared" si="5"/>
        <v/>
      </c>
      <c r="M188" s="11"/>
    </row>
    <row r="189" spans="1:13" ht="15" customHeight="1" x14ac:dyDescent="0.25">
      <c r="A189" s="11"/>
      <c r="B189" s="25"/>
      <c r="C189" s="11"/>
      <c r="D189" s="25"/>
      <c r="E189" s="25"/>
      <c r="F189" s="11"/>
      <c r="G189" s="11"/>
      <c r="H189" s="11"/>
      <c r="I189" s="26" t="str">
        <f t="shared" si="4"/>
        <v/>
      </c>
      <c r="J189" s="26" t="str">
        <f>IF(A189="","",COUNTIF(Cablage!$A:$A,A189))</f>
        <v/>
      </c>
      <c r="K189" s="26" t="str">
        <f>IF(A189="","",COUNTIF(Liens!$A:$A,A189))</f>
        <v/>
      </c>
      <c r="L189" s="26" t="str">
        <f t="shared" si="5"/>
        <v/>
      </c>
      <c r="M189" s="11"/>
    </row>
    <row r="190" spans="1:13" ht="15" customHeight="1" x14ac:dyDescent="0.25">
      <c r="A190" s="11"/>
      <c r="B190" s="25"/>
      <c r="C190" s="11"/>
      <c r="D190" s="25"/>
      <c r="E190" s="25"/>
      <c r="F190" s="11"/>
      <c r="G190" s="11"/>
      <c r="H190" s="11"/>
      <c r="I190" s="26" t="str">
        <f t="shared" si="4"/>
        <v/>
      </c>
      <c r="J190" s="26" t="str">
        <f>IF(A190="","",COUNTIF(Cablage!$A:$A,A190))</f>
        <v/>
      </c>
      <c r="K190" s="26" t="str">
        <f>IF(A190="","",COUNTIF(Liens!$A:$A,A190))</f>
        <v/>
      </c>
      <c r="L190" s="26" t="str">
        <f t="shared" si="5"/>
        <v/>
      </c>
      <c r="M190" s="11"/>
    </row>
    <row r="191" spans="1:13" ht="15" customHeight="1" x14ac:dyDescent="0.25">
      <c r="A191" s="11"/>
      <c r="B191" s="25"/>
      <c r="C191" s="11"/>
      <c r="D191" s="25"/>
      <c r="E191" s="25"/>
      <c r="F191" s="11"/>
      <c r="G191" s="11"/>
      <c r="H191" s="11"/>
      <c r="I191" s="26" t="str">
        <f t="shared" si="4"/>
        <v/>
      </c>
      <c r="J191" s="26" t="str">
        <f>IF(A191="","",COUNTIF(Cablage!$A:$A,A191))</f>
        <v/>
      </c>
      <c r="K191" s="26" t="str">
        <f>IF(A191="","",COUNTIF(Liens!$A:$A,A191))</f>
        <v/>
      </c>
      <c r="L191" s="26" t="str">
        <f t="shared" si="5"/>
        <v/>
      </c>
      <c r="M191" s="11"/>
    </row>
    <row r="192" spans="1:13" ht="15" customHeight="1" x14ac:dyDescent="0.25">
      <c r="A192" s="11"/>
      <c r="B192" s="25"/>
      <c r="C192" s="11"/>
      <c r="D192" s="25"/>
      <c r="E192" s="25"/>
      <c r="F192" s="11"/>
      <c r="G192" s="11"/>
      <c r="H192" s="11"/>
      <c r="I192" s="26" t="str">
        <f t="shared" si="4"/>
        <v/>
      </c>
      <c r="J192" s="26" t="str">
        <f>IF(A192="","",COUNTIF(Cablage!$A:$A,A192))</f>
        <v/>
      </c>
      <c r="K192" s="26" t="str">
        <f>IF(A192="","",COUNTIF(Liens!$A:$A,A192))</f>
        <v/>
      </c>
      <c r="L192" s="26" t="str">
        <f t="shared" si="5"/>
        <v/>
      </c>
      <c r="M192" s="11"/>
    </row>
    <row r="193" spans="1:13" ht="15" customHeight="1" x14ac:dyDescent="0.25">
      <c r="A193" s="11"/>
      <c r="B193" s="25"/>
      <c r="C193" s="11"/>
      <c r="D193" s="25"/>
      <c r="E193" s="25"/>
      <c r="F193" s="11"/>
      <c r="G193" s="11"/>
      <c r="H193" s="11"/>
      <c r="I193" s="26" t="str">
        <f t="shared" si="4"/>
        <v/>
      </c>
      <c r="J193" s="26" t="str">
        <f>IF(A193="","",COUNTIF(Cablage!$A:$A,A193))</f>
        <v/>
      </c>
      <c r="K193" s="26" t="str">
        <f>IF(A193="","",COUNTIF(Liens!$A:$A,A193))</f>
        <v/>
      </c>
      <c r="L193" s="26" t="str">
        <f t="shared" si="5"/>
        <v/>
      </c>
      <c r="M193" s="11"/>
    </row>
    <row r="194" spans="1:13" ht="15" customHeight="1" x14ac:dyDescent="0.25">
      <c r="A194" s="11"/>
      <c r="B194" s="25"/>
      <c r="C194" s="11"/>
      <c r="D194" s="25"/>
      <c r="E194" s="25"/>
      <c r="F194" s="11"/>
      <c r="G194" s="11"/>
      <c r="H194" s="11"/>
      <c r="I194" s="26" t="str">
        <f t="shared" si="4"/>
        <v/>
      </c>
      <c r="J194" s="26" t="str">
        <f>IF(A194="","",COUNTIF(Cablage!$A:$A,A194))</f>
        <v/>
      </c>
      <c r="K194" s="26" t="str">
        <f>IF(A194="","",COUNTIF(Liens!$A:$A,A194))</f>
        <v/>
      </c>
      <c r="L194" s="26" t="str">
        <f t="shared" si="5"/>
        <v/>
      </c>
      <c r="M194" s="11"/>
    </row>
    <row r="195" spans="1:13" ht="15" customHeight="1" x14ac:dyDescent="0.25">
      <c r="A195" s="11"/>
      <c r="B195" s="25"/>
      <c r="C195" s="11"/>
      <c r="D195" s="25"/>
      <c r="E195" s="25"/>
      <c r="F195" s="11"/>
      <c r="G195" s="11"/>
      <c r="H195" s="11"/>
      <c r="I195" s="26" t="str">
        <f t="shared" si="4"/>
        <v/>
      </c>
      <c r="J195" s="26" t="str">
        <f>IF(A195="","",COUNTIF(Cablage!$A:$A,A195))</f>
        <v/>
      </c>
      <c r="K195" s="26" t="str">
        <f>IF(A195="","",COUNTIF(Liens!$A:$A,A195))</f>
        <v/>
      </c>
      <c r="L195" s="26" t="str">
        <f t="shared" si="5"/>
        <v/>
      </c>
      <c r="M195" s="11"/>
    </row>
    <row r="196" spans="1:13" ht="15" customHeight="1" x14ac:dyDescent="0.25">
      <c r="A196" s="11"/>
      <c r="B196" s="25"/>
      <c r="C196" s="11"/>
      <c r="D196" s="25"/>
      <c r="E196" s="25"/>
      <c r="F196" s="11"/>
      <c r="G196" s="11"/>
      <c r="H196" s="11"/>
      <c r="I196" s="26" t="str">
        <f t="shared" si="4"/>
        <v/>
      </c>
      <c r="J196" s="26" t="str">
        <f>IF(A196="","",COUNTIF(Cablage!$A:$A,A196))</f>
        <v/>
      </c>
      <c r="K196" s="26" t="str">
        <f>IF(A196="","",COUNTIF(Liens!$A:$A,A196))</f>
        <v/>
      </c>
      <c r="L196" s="26" t="str">
        <f t="shared" si="5"/>
        <v/>
      </c>
      <c r="M196" s="11"/>
    </row>
    <row r="197" spans="1:13" ht="15" customHeight="1" x14ac:dyDescent="0.25">
      <c r="A197" s="11"/>
      <c r="B197" s="25"/>
      <c r="C197" s="11"/>
      <c r="D197" s="25"/>
      <c r="E197" s="25"/>
      <c r="F197" s="11"/>
      <c r="G197" s="11"/>
      <c r="H197" s="11"/>
      <c r="I197" s="26" t="str">
        <f t="shared" si="4"/>
        <v/>
      </c>
      <c r="J197" s="26" t="str">
        <f>IF(A197="","",COUNTIF(Cablage!$A:$A,A197))</f>
        <v/>
      </c>
      <c r="K197" s="26" t="str">
        <f>IF(A197="","",COUNTIF(Liens!$A:$A,A197))</f>
        <v/>
      </c>
      <c r="L197" s="26" t="str">
        <f t="shared" si="5"/>
        <v/>
      </c>
      <c r="M197" s="11"/>
    </row>
    <row r="198" spans="1:13" ht="15" customHeight="1" x14ac:dyDescent="0.25">
      <c r="A198" s="11"/>
      <c r="B198" s="25"/>
      <c r="C198" s="11"/>
      <c r="D198" s="25"/>
      <c r="E198" s="25"/>
      <c r="F198" s="11"/>
      <c r="G198" s="11"/>
      <c r="H198" s="11"/>
      <c r="I198" s="26" t="str">
        <f t="shared" si="4"/>
        <v/>
      </c>
      <c r="J198" s="26" t="str">
        <f>IF(A198="","",COUNTIF(Cablage!$A:$A,A198))</f>
        <v/>
      </c>
      <c r="K198" s="26" t="str">
        <f>IF(A198="","",COUNTIF(Liens!$A:$A,A198))</f>
        <v/>
      </c>
      <c r="L198" s="26" t="str">
        <f t="shared" si="5"/>
        <v/>
      </c>
      <c r="M198" s="11"/>
    </row>
    <row r="199" spans="1:13" ht="15" customHeight="1" x14ac:dyDescent="0.25">
      <c r="A199" s="11"/>
      <c r="B199" s="25"/>
      <c r="C199" s="11"/>
      <c r="D199" s="25"/>
      <c r="E199" s="25"/>
      <c r="F199" s="11"/>
      <c r="G199" s="11"/>
      <c r="H199" s="11"/>
      <c r="I199" s="26" t="str">
        <f t="shared" si="4"/>
        <v/>
      </c>
      <c r="J199" s="26" t="str">
        <f>IF(A199="","",COUNTIF(Cablage!$A:$A,A199))</f>
        <v/>
      </c>
      <c r="K199" s="26" t="str">
        <f>IF(A199="","",COUNTIF(Liens!$A:$A,A199))</f>
        <v/>
      </c>
      <c r="L199" s="26" t="str">
        <f t="shared" si="5"/>
        <v/>
      </c>
      <c r="M199" s="11"/>
    </row>
    <row r="200" spans="1:13" ht="15" customHeight="1" x14ac:dyDescent="0.25">
      <c r="A200" s="11"/>
      <c r="B200" s="25"/>
      <c r="C200" s="11"/>
      <c r="D200" s="25"/>
      <c r="E200" s="25"/>
      <c r="F200" s="11"/>
      <c r="G200" s="11"/>
      <c r="H200" s="11"/>
      <c r="I200" s="26" t="str">
        <f t="shared" si="4"/>
        <v/>
      </c>
      <c r="J200" s="26" t="str">
        <f>IF(A200="","",COUNTIF(Cablage!$A:$A,A200))</f>
        <v/>
      </c>
      <c r="K200" s="26" t="str">
        <f>IF(A200="","",COUNTIF(Liens!$A:$A,A200))</f>
        <v/>
      </c>
      <c r="L200" s="26" t="str">
        <f t="shared" si="5"/>
        <v/>
      </c>
      <c r="M200" s="11"/>
    </row>
    <row r="201" spans="1:13" ht="15" customHeight="1" x14ac:dyDescent="0.25">
      <c r="A201" s="11"/>
      <c r="B201" s="25"/>
      <c r="C201" s="11"/>
      <c r="D201" s="25"/>
      <c r="E201" s="25"/>
      <c r="F201" s="11"/>
      <c r="G201" s="11"/>
      <c r="H201" s="11"/>
      <c r="I201" s="26" t="str">
        <f t="shared" ref="I201:I264" si="6">IF(F201="","",IF(OR(E201="Variable seule",G201=""),F201,F201&amp;"["&amp;G201&amp;"]"))</f>
        <v/>
      </c>
      <c r="J201" s="26" t="str">
        <f>IF(A201="","",COUNTIF(Cablage!$A:$A,A201))</f>
        <v/>
      </c>
      <c r="K201" s="26" t="str">
        <f>IF(A201="","",COUNTIF(Liens!$A:$A,A201))</f>
        <v/>
      </c>
      <c r="L201" s="26" t="str">
        <f t="shared" ref="L201:L264" si="7">IF(OR(A201="",E201="Variable seule",F201="",G201=""),"",IF(COUNTIFS($F$9:$F$308,F201,$G$9:$G$308,G201,$A$9:$A$308,"&lt;&gt;"&amp;A201)&gt;0,"index deja pris",""))</f>
        <v/>
      </c>
      <c r="M201" s="11"/>
    </row>
    <row r="202" spans="1:13" ht="15" customHeight="1" x14ac:dyDescent="0.25">
      <c r="A202" s="11"/>
      <c r="B202" s="25"/>
      <c r="C202" s="11"/>
      <c r="D202" s="25"/>
      <c r="E202" s="25"/>
      <c r="F202" s="11"/>
      <c r="G202" s="11"/>
      <c r="H202" s="11"/>
      <c r="I202" s="26" t="str">
        <f t="shared" si="6"/>
        <v/>
      </c>
      <c r="J202" s="26" t="str">
        <f>IF(A202="","",COUNTIF(Cablage!$A:$A,A202))</f>
        <v/>
      </c>
      <c r="K202" s="26" t="str">
        <f>IF(A202="","",COUNTIF(Liens!$A:$A,A202))</f>
        <v/>
      </c>
      <c r="L202" s="26" t="str">
        <f t="shared" si="7"/>
        <v/>
      </c>
      <c r="M202" s="11"/>
    </row>
    <row r="203" spans="1:13" ht="15" customHeight="1" x14ac:dyDescent="0.25">
      <c r="A203" s="11"/>
      <c r="B203" s="25"/>
      <c r="C203" s="11"/>
      <c r="D203" s="25"/>
      <c r="E203" s="25"/>
      <c r="F203" s="11"/>
      <c r="G203" s="11"/>
      <c r="H203" s="11"/>
      <c r="I203" s="26" t="str">
        <f t="shared" si="6"/>
        <v/>
      </c>
      <c r="J203" s="26" t="str">
        <f>IF(A203="","",COUNTIF(Cablage!$A:$A,A203))</f>
        <v/>
      </c>
      <c r="K203" s="26" t="str">
        <f>IF(A203="","",COUNTIF(Liens!$A:$A,A203))</f>
        <v/>
      </c>
      <c r="L203" s="26" t="str">
        <f t="shared" si="7"/>
        <v/>
      </c>
      <c r="M203" s="11"/>
    </row>
    <row r="204" spans="1:13" ht="15" customHeight="1" x14ac:dyDescent="0.25">
      <c r="A204" s="11"/>
      <c r="B204" s="25"/>
      <c r="C204" s="11"/>
      <c r="D204" s="25"/>
      <c r="E204" s="25"/>
      <c r="F204" s="11"/>
      <c r="G204" s="11"/>
      <c r="H204" s="11"/>
      <c r="I204" s="26" t="str">
        <f t="shared" si="6"/>
        <v/>
      </c>
      <c r="J204" s="26" t="str">
        <f>IF(A204="","",COUNTIF(Cablage!$A:$A,A204))</f>
        <v/>
      </c>
      <c r="K204" s="26" t="str">
        <f>IF(A204="","",COUNTIF(Liens!$A:$A,A204))</f>
        <v/>
      </c>
      <c r="L204" s="26" t="str">
        <f t="shared" si="7"/>
        <v/>
      </c>
      <c r="M204" s="11"/>
    </row>
    <row r="205" spans="1:13" ht="15" customHeight="1" x14ac:dyDescent="0.25">
      <c r="A205" s="11"/>
      <c r="B205" s="25"/>
      <c r="C205" s="11"/>
      <c r="D205" s="25"/>
      <c r="E205" s="25"/>
      <c r="F205" s="11"/>
      <c r="G205" s="11"/>
      <c r="H205" s="11"/>
      <c r="I205" s="26" t="str">
        <f t="shared" si="6"/>
        <v/>
      </c>
      <c r="J205" s="26" t="str">
        <f>IF(A205="","",COUNTIF(Cablage!$A:$A,A205))</f>
        <v/>
      </c>
      <c r="K205" s="26" t="str">
        <f>IF(A205="","",COUNTIF(Liens!$A:$A,A205))</f>
        <v/>
      </c>
      <c r="L205" s="26" t="str">
        <f t="shared" si="7"/>
        <v/>
      </c>
      <c r="M205" s="11"/>
    </row>
    <row r="206" spans="1:13" ht="15" customHeight="1" x14ac:dyDescent="0.25">
      <c r="A206" s="11"/>
      <c r="B206" s="25"/>
      <c r="C206" s="11"/>
      <c r="D206" s="25"/>
      <c r="E206" s="25"/>
      <c r="F206" s="11"/>
      <c r="G206" s="11"/>
      <c r="H206" s="11"/>
      <c r="I206" s="26" t="str">
        <f t="shared" si="6"/>
        <v/>
      </c>
      <c r="J206" s="26" t="str">
        <f>IF(A206="","",COUNTIF(Cablage!$A:$A,A206))</f>
        <v/>
      </c>
      <c r="K206" s="26" t="str">
        <f>IF(A206="","",COUNTIF(Liens!$A:$A,A206))</f>
        <v/>
      </c>
      <c r="L206" s="26" t="str">
        <f t="shared" si="7"/>
        <v/>
      </c>
      <c r="M206" s="11"/>
    </row>
    <row r="207" spans="1:13" ht="15" customHeight="1" x14ac:dyDescent="0.25">
      <c r="A207" s="11"/>
      <c r="B207" s="25"/>
      <c r="C207" s="11"/>
      <c r="D207" s="25"/>
      <c r="E207" s="25"/>
      <c r="F207" s="11"/>
      <c r="G207" s="11"/>
      <c r="H207" s="11"/>
      <c r="I207" s="26" t="str">
        <f t="shared" si="6"/>
        <v/>
      </c>
      <c r="J207" s="26" t="str">
        <f>IF(A207="","",COUNTIF(Cablage!$A:$A,A207))</f>
        <v/>
      </c>
      <c r="K207" s="26" t="str">
        <f>IF(A207="","",COUNTIF(Liens!$A:$A,A207))</f>
        <v/>
      </c>
      <c r="L207" s="26" t="str">
        <f t="shared" si="7"/>
        <v/>
      </c>
      <c r="M207" s="11"/>
    </row>
    <row r="208" spans="1:13" ht="15" customHeight="1" x14ac:dyDescent="0.25">
      <c r="A208" s="11"/>
      <c r="B208" s="25"/>
      <c r="C208" s="11"/>
      <c r="D208" s="25"/>
      <c r="E208" s="25"/>
      <c r="F208" s="11"/>
      <c r="G208" s="11"/>
      <c r="H208" s="11"/>
      <c r="I208" s="26" t="str">
        <f t="shared" si="6"/>
        <v/>
      </c>
      <c r="J208" s="26" t="str">
        <f>IF(A208="","",COUNTIF(Cablage!$A:$A,A208))</f>
        <v/>
      </c>
      <c r="K208" s="26" t="str">
        <f>IF(A208="","",COUNTIF(Liens!$A:$A,A208))</f>
        <v/>
      </c>
      <c r="L208" s="26" t="str">
        <f t="shared" si="7"/>
        <v/>
      </c>
      <c r="M208" s="11"/>
    </row>
    <row r="209" spans="1:13" ht="15" customHeight="1" x14ac:dyDescent="0.25">
      <c r="A209" s="11"/>
      <c r="B209" s="25"/>
      <c r="C209" s="11"/>
      <c r="D209" s="25"/>
      <c r="E209" s="25"/>
      <c r="F209" s="11"/>
      <c r="G209" s="11"/>
      <c r="H209" s="11"/>
      <c r="I209" s="26" t="str">
        <f t="shared" si="6"/>
        <v/>
      </c>
      <c r="J209" s="26" t="str">
        <f>IF(A209="","",COUNTIF(Cablage!$A:$A,A209))</f>
        <v/>
      </c>
      <c r="K209" s="26" t="str">
        <f>IF(A209="","",COUNTIF(Liens!$A:$A,A209))</f>
        <v/>
      </c>
      <c r="L209" s="26" t="str">
        <f t="shared" si="7"/>
        <v/>
      </c>
      <c r="M209" s="11"/>
    </row>
    <row r="210" spans="1:13" ht="15" customHeight="1" x14ac:dyDescent="0.25">
      <c r="A210" s="11"/>
      <c r="B210" s="25"/>
      <c r="C210" s="11"/>
      <c r="D210" s="25"/>
      <c r="E210" s="25"/>
      <c r="F210" s="11"/>
      <c r="G210" s="11"/>
      <c r="H210" s="11"/>
      <c r="I210" s="26" t="str">
        <f t="shared" si="6"/>
        <v/>
      </c>
      <c r="J210" s="26" t="str">
        <f>IF(A210="","",COUNTIF(Cablage!$A:$A,A210))</f>
        <v/>
      </c>
      <c r="K210" s="26" t="str">
        <f>IF(A210="","",COUNTIF(Liens!$A:$A,A210))</f>
        <v/>
      </c>
      <c r="L210" s="26" t="str">
        <f t="shared" si="7"/>
        <v/>
      </c>
      <c r="M210" s="11"/>
    </row>
    <row r="211" spans="1:13" ht="15" customHeight="1" x14ac:dyDescent="0.25">
      <c r="A211" s="11"/>
      <c r="B211" s="25"/>
      <c r="C211" s="11"/>
      <c r="D211" s="25"/>
      <c r="E211" s="25"/>
      <c r="F211" s="11"/>
      <c r="G211" s="11"/>
      <c r="H211" s="11"/>
      <c r="I211" s="26" t="str">
        <f t="shared" si="6"/>
        <v/>
      </c>
      <c r="J211" s="26" t="str">
        <f>IF(A211="","",COUNTIF(Cablage!$A:$A,A211))</f>
        <v/>
      </c>
      <c r="K211" s="26" t="str">
        <f>IF(A211="","",COUNTIF(Liens!$A:$A,A211))</f>
        <v/>
      </c>
      <c r="L211" s="26" t="str">
        <f t="shared" si="7"/>
        <v/>
      </c>
      <c r="M211" s="11"/>
    </row>
    <row r="212" spans="1:13" ht="15" customHeight="1" x14ac:dyDescent="0.25">
      <c r="A212" s="11"/>
      <c r="B212" s="25"/>
      <c r="C212" s="11"/>
      <c r="D212" s="25"/>
      <c r="E212" s="25"/>
      <c r="F212" s="11"/>
      <c r="G212" s="11"/>
      <c r="H212" s="11"/>
      <c r="I212" s="26" t="str">
        <f t="shared" si="6"/>
        <v/>
      </c>
      <c r="J212" s="26" t="str">
        <f>IF(A212="","",COUNTIF(Cablage!$A:$A,A212))</f>
        <v/>
      </c>
      <c r="K212" s="26" t="str">
        <f>IF(A212="","",COUNTIF(Liens!$A:$A,A212))</f>
        <v/>
      </c>
      <c r="L212" s="26" t="str">
        <f t="shared" si="7"/>
        <v/>
      </c>
      <c r="M212" s="11"/>
    </row>
    <row r="213" spans="1:13" ht="15" customHeight="1" x14ac:dyDescent="0.25">
      <c r="A213" s="11"/>
      <c r="B213" s="25"/>
      <c r="C213" s="11"/>
      <c r="D213" s="25"/>
      <c r="E213" s="25"/>
      <c r="F213" s="11"/>
      <c r="G213" s="11"/>
      <c r="H213" s="11"/>
      <c r="I213" s="26" t="str">
        <f t="shared" si="6"/>
        <v/>
      </c>
      <c r="J213" s="26" t="str">
        <f>IF(A213="","",COUNTIF(Cablage!$A:$A,A213))</f>
        <v/>
      </c>
      <c r="K213" s="26" t="str">
        <f>IF(A213="","",COUNTIF(Liens!$A:$A,A213))</f>
        <v/>
      </c>
      <c r="L213" s="26" t="str">
        <f t="shared" si="7"/>
        <v/>
      </c>
      <c r="M213" s="11"/>
    </row>
    <row r="214" spans="1:13" ht="15" customHeight="1" x14ac:dyDescent="0.25">
      <c r="A214" s="11"/>
      <c r="B214" s="25"/>
      <c r="C214" s="11"/>
      <c r="D214" s="25"/>
      <c r="E214" s="25"/>
      <c r="F214" s="11"/>
      <c r="G214" s="11"/>
      <c r="H214" s="11"/>
      <c r="I214" s="26" t="str">
        <f t="shared" si="6"/>
        <v/>
      </c>
      <c r="J214" s="26" t="str">
        <f>IF(A214="","",COUNTIF(Cablage!$A:$A,A214))</f>
        <v/>
      </c>
      <c r="K214" s="26" t="str">
        <f>IF(A214="","",COUNTIF(Liens!$A:$A,A214))</f>
        <v/>
      </c>
      <c r="L214" s="26" t="str">
        <f t="shared" si="7"/>
        <v/>
      </c>
      <c r="M214" s="11"/>
    </row>
    <row r="215" spans="1:13" ht="15" customHeight="1" x14ac:dyDescent="0.25">
      <c r="A215" s="11"/>
      <c r="B215" s="25"/>
      <c r="C215" s="11"/>
      <c r="D215" s="25"/>
      <c r="E215" s="25"/>
      <c r="F215" s="11"/>
      <c r="G215" s="11"/>
      <c r="H215" s="11"/>
      <c r="I215" s="26" t="str">
        <f t="shared" si="6"/>
        <v/>
      </c>
      <c r="J215" s="26" t="str">
        <f>IF(A215="","",COUNTIF(Cablage!$A:$A,A215))</f>
        <v/>
      </c>
      <c r="K215" s="26" t="str">
        <f>IF(A215="","",COUNTIF(Liens!$A:$A,A215))</f>
        <v/>
      </c>
      <c r="L215" s="26" t="str">
        <f t="shared" si="7"/>
        <v/>
      </c>
      <c r="M215" s="11"/>
    </row>
    <row r="216" spans="1:13" ht="15" customHeight="1" x14ac:dyDescent="0.25">
      <c r="A216" s="11"/>
      <c r="B216" s="25"/>
      <c r="C216" s="11"/>
      <c r="D216" s="25"/>
      <c r="E216" s="25"/>
      <c r="F216" s="11"/>
      <c r="G216" s="11"/>
      <c r="H216" s="11"/>
      <c r="I216" s="26" t="str">
        <f t="shared" si="6"/>
        <v/>
      </c>
      <c r="J216" s="26" t="str">
        <f>IF(A216="","",COUNTIF(Cablage!$A:$A,A216))</f>
        <v/>
      </c>
      <c r="K216" s="26" t="str">
        <f>IF(A216="","",COUNTIF(Liens!$A:$A,A216))</f>
        <v/>
      </c>
      <c r="L216" s="26" t="str">
        <f t="shared" si="7"/>
        <v/>
      </c>
      <c r="M216" s="11"/>
    </row>
    <row r="217" spans="1:13" ht="15" customHeight="1" x14ac:dyDescent="0.25">
      <c r="A217" s="11"/>
      <c r="B217" s="25"/>
      <c r="C217" s="11"/>
      <c r="D217" s="25"/>
      <c r="E217" s="25"/>
      <c r="F217" s="11"/>
      <c r="G217" s="11"/>
      <c r="H217" s="11"/>
      <c r="I217" s="26" t="str">
        <f t="shared" si="6"/>
        <v/>
      </c>
      <c r="J217" s="26" t="str">
        <f>IF(A217="","",COUNTIF(Cablage!$A:$A,A217))</f>
        <v/>
      </c>
      <c r="K217" s="26" t="str">
        <f>IF(A217="","",COUNTIF(Liens!$A:$A,A217))</f>
        <v/>
      </c>
      <c r="L217" s="26" t="str">
        <f t="shared" si="7"/>
        <v/>
      </c>
      <c r="M217" s="11"/>
    </row>
    <row r="218" spans="1:13" ht="15" customHeight="1" x14ac:dyDescent="0.25">
      <c r="A218" s="11"/>
      <c r="B218" s="25"/>
      <c r="C218" s="11"/>
      <c r="D218" s="25"/>
      <c r="E218" s="25"/>
      <c r="F218" s="11"/>
      <c r="G218" s="11"/>
      <c r="H218" s="11"/>
      <c r="I218" s="26" t="str">
        <f t="shared" si="6"/>
        <v/>
      </c>
      <c r="J218" s="26" t="str">
        <f>IF(A218="","",COUNTIF(Cablage!$A:$A,A218))</f>
        <v/>
      </c>
      <c r="K218" s="26" t="str">
        <f>IF(A218="","",COUNTIF(Liens!$A:$A,A218))</f>
        <v/>
      </c>
      <c r="L218" s="26" t="str">
        <f t="shared" si="7"/>
        <v/>
      </c>
      <c r="M218" s="11"/>
    </row>
    <row r="219" spans="1:13" ht="15" customHeight="1" x14ac:dyDescent="0.25">
      <c r="A219" s="11"/>
      <c r="B219" s="25"/>
      <c r="C219" s="11"/>
      <c r="D219" s="25"/>
      <c r="E219" s="25"/>
      <c r="F219" s="11"/>
      <c r="G219" s="11"/>
      <c r="H219" s="11"/>
      <c r="I219" s="26" t="str">
        <f t="shared" si="6"/>
        <v/>
      </c>
      <c r="J219" s="26" t="str">
        <f>IF(A219="","",COUNTIF(Cablage!$A:$A,A219))</f>
        <v/>
      </c>
      <c r="K219" s="26" t="str">
        <f>IF(A219="","",COUNTIF(Liens!$A:$A,A219))</f>
        <v/>
      </c>
      <c r="L219" s="26" t="str">
        <f t="shared" si="7"/>
        <v/>
      </c>
      <c r="M219" s="11"/>
    </row>
    <row r="220" spans="1:13" ht="15" customHeight="1" x14ac:dyDescent="0.25">
      <c r="A220" s="11"/>
      <c r="B220" s="25"/>
      <c r="C220" s="11"/>
      <c r="D220" s="25"/>
      <c r="E220" s="25"/>
      <c r="F220" s="11"/>
      <c r="G220" s="11"/>
      <c r="H220" s="11"/>
      <c r="I220" s="26" t="str">
        <f t="shared" si="6"/>
        <v/>
      </c>
      <c r="J220" s="26" t="str">
        <f>IF(A220="","",COUNTIF(Cablage!$A:$A,A220))</f>
        <v/>
      </c>
      <c r="K220" s="26" t="str">
        <f>IF(A220="","",COUNTIF(Liens!$A:$A,A220))</f>
        <v/>
      </c>
      <c r="L220" s="26" t="str">
        <f t="shared" si="7"/>
        <v/>
      </c>
      <c r="M220" s="11"/>
    </row>
    <row r="221" spans="1:13" ht="15" customHeight="1" x14ac:dyDescent="0.25">
      <c r="A221" s="11"/>
      <c r="B221" s="25"/>
      <c r="C221" s="11"/>
      <c r="D221" s="25"/>
      <c r="E221" s="25"/>
      <c r="F221" s="11"/>
      <c r="G221" s="11"/>
      <c r="H221" s="11"/>
      <c r="I221" s="26" t="str">
        <f t="shared" si="6"/>
        <v/>
      </c>
      <c r="J221" s="26" t="str">
        <f>IF(A221="","",COUNTIF(Cablage!$A:$A,A221))</f>
        <v/>
      </c>
      <c r="K221" s="26" t="str">
        <f>IF(A221="","",COUNTIF(Liens!$A:$A,A221))</f>
        <v/>
      </c>
      <c r="L221" s="26" t="str">
        <f t="shared" si="7"/>
        <v/>
      </c>
      <c r="M221" s="11"/>
    </row>
    <row r="222" spans="1:13" ht="15" customHeight="1" x14ac:dyDescent="0.25">
      <c r="A222" s="11"/>
      <c r="B222" s="25"/>
      <c r="C222" s="11"/>
      <c r="D222" s="25"/>
      <c r="E222" s="25"/>
      <c r="F222" s="11"/>
      <c r="G222" s="11"/>
      <c r="H222" s="11"/>
      <c r="I222" s="26" t="str">
        <f t="shared" si="6"/>
        <v/>
      </c>
      <c r="J222" s="26" t="str">
        <f>IF(A222="","",COUNTIF(Cablage!$A:$A,A222))</f>
        <v/>
      </c>
      <c r="K222" s="26" t="str">
        <f>IF(A222="","",COUNTIF(Liens!$A:$A,A222))</f>
        <v/>
      </c>
      <c r="L222" s="26" t="str">
        <f t="shared" si="7"/>
        <v/>
      </c>
      <c r="M222" s="11"/>
    </row>
    <row r="223" spans="1:13" ht="15" customHeight="1" x14ac:dyDescent="0.25">
      <c r="A223" s="11"/>
      <c r="B223" s="25"/>
      <c r="C223" s="11"/>
      <c r="D223" s="25"/>
      <c r="E223" s="25"/>
      <c r="F223" s="11"/>
      <c r="G223" s="11"/>
      <c r="H223" s="11"/>
      <c r="I223" s="26" t="str">
        <f t="shared" si="6"/>
        <v/>
      </c>
      <c r="J223" s="26" t="str">
        <f>IF(A223="","",COUNTIF(Cablage!$A:$A,A223))</f>
        <v/>
      </c>
      <c r="K223" s="26" t="str">
        <f>IF(A223="","",COUNTIF(Liens!$A:$A,A223))</f>
        <v/>
      </c>
      <c r="L223" s="26" t="str">
        <f t="shared" si="7"/>
        <v/>
      </c>
      <c r="M223" s="11"/>
    </row>
    <row r="224" spans="1:13" ht="15" customHeight="1" x14ac:dyDescent="0.25">
      <c r="A224" s="11"/>
      <c r="B224" s="25"/>
      <c r="C224" s="11"/>
      <c r="D224" s="25"/>
      <c r="E224" s="25"/>
      <c r="F224" s="11"/>
      <c r="G224" s="11"/>
      <c r="H224" s="11"/>
      <c r="I224" s="26" t="str">
        <f t="shared" si="6"/>
        <v/>
      </c>
      <c r="J224" s="26" t="str">
        <f>IF(A224="","",COUNTIF(Cablage!$A:$A,A224))</f>
        <v/>
      </c>
      <c r="K224" s="26" t="str">
        <f>IF(A224="","",COUNTIF(Liens!$A:$A,A224))</f>
        <v/>
      </c>
      <c r="L224" s="26" t="str">
        <f t="shared" si="7"/>
        <v/>
      </c>
      <c r="M224" s="11"/>
    </row>
    <row r="225" spans="1:13" ht="15" customHeight="1" x14ac:dyDescent="0.25">
      <c r="A225" s="11"/>
      <c r="B225" s="25"/>
      <c r="C225" s="11"/>
      <c r="D225" s="25"/>
      <c r="E225" s="25"/>
      <c r="F225" s="11"/>
      <c r="G225" s="11"/>
      <c r="H225" s="11"/>
      <c r="I225" s="26" t="str">
        <f t="shared" si="6"/>
        <v/>
      </c>
      <c r="J225" s="26" t="str">
        <f>IF(A225="","",COUNTIF(Cablage!$A:$A,A225))</f>
        <v/>
      </c>
      <c r="K225" s="26" t="str">
        <f>IF(A225="","",COUNTIF(Liens!$A:$A,A225))</f>
        <v/>
      </c>
      <c r="L225" s="26" t="str">
        <f t="shared" si="7"/>
        <v/>
      </c>
      <c r="M225" s="11"/>
    </row>
    <row r="226" spans="1:13" ht="15" customHeight="1" x14ac:dyDescent="0.25">
      <c r="A226" s="11"/>
      <c r="B226" s="25"/>
      <c r="C226" s="11"/>
      <c r="D226" s="25"/>
      <c r="E226" s="25"/>
      <c r="F226" s="11"/>
      <c r="G226" s="11"/>
      <c r="H226" s="11"/>
      <c r="I226" s="26" t="str">
        <f t="shared" si="6"/>
        <v/>
      </c>
      <c r="J226" s="26" t="str">
        <f>IF(A226="","",COUNTIF(Cablage!$A:$A,A226))</f>
        <v/>
      </c>
      <c r="K226" s="26" t="str">
        <f>IF(A226="","",COUNTIF(Liens!$A:$A,A226))</f>
        <v/>
      </c>
      <c r="L226" s="26" t="str">
        <f t="shared" si="7"/>
        <v/>
      </c>
      <c r="M226" s="11"/>
    </row>
    <row r="227" spans="1:13" ht="15" customHeight="1" x14ac:dyDescent="0.25">
      <c r="A227" s="11"/>
      <c r="B227" s="25"/>
      <c r="C227" s="11"/>
      <c r="D227" s="25"/>
      <c r="E227" s="25"/>
      <c r="F227" s="11"/>
      <c r="G227" s="11"/>
      <c r="H227" s="11"/>
      <c r="I227" s="26" t="str">
        <f t="shared" si="6"/>
        <v/>
      </c>
      <c r="J227" s="26" t="str">
        <f>IF(A227="","",COUNTIF(Cablage!$A:$A,A227))</f>
        <v/>
      </c>
      <c r="K227" s="26" t="str">
        <f>IF(A227="","",COUNTIF(Liens!$A:$A,A227))</f>
        <v/>
      </c>
      <c r="L227" s="26" t="str">
        <f t="shared" si="7"/>
        <v/>
      </c>
      <c r="M227" s="11"/>
    </row>
    <row r="228" spans="1:13" ht="15" customHeight="1" x14ac:dyDescent="0.25">
      <c r="A228" s="11"/>
      <c r="B228" s="25"/>
      <c r="C228" s="11"/>
      <c r="D228" s="25"/>
      <c r="E228" s="25"/>
      <c r="F228" s="11"/>
      <c r="G228" s="11"/>
      <c r="H228" s="11"/>
      <c r="I228" s="26" t="str">
        <f t="shared" si="6"/>
        <v/>
      </c>
      <c r="J228" s="26" t="str">
        <f>IF(A228="","",COUNTIF(Cablage!$A:$A,A228))</f>
        <v/>
      </c>
      <c r="K228" s="26" t="str">
        <f>IF(A228="","",COUNTIF(Liens!$A:$A,A228))</f>
        <v/>
      </c>
      <c r="L228" s="26" t="str">
        <f t="shared" si="7"/>
        <v/>
      </c>
      <c r="M228" s="11"/>
    </row>
    <row r="229" spans="1:13" ht="15" customHeight="1" x14ac:dyDescent="0.25">
      <c r="A229" s="11"/>
      <c r="B229" s="25"/>
      <c r="C229" s="11"/>
      <c r="D229" s="25"/>
      <c r="E229" s="25"/>
      <c r="F229" s="11"/>
      <c r="G229" s="11"/>
      <c r="H229" s="11"/>
      <c r="I229" s="26" t="str">
        <f t="shared" si="6"/>
        <v/>
      </c>
      <c r="J229" s="26" t="str">
        <f>IF(A229="","",COUNTIF(Cablage!$A:$A,A229))</f>
        <v/>
      </c>
      <c r="K229" s="26" t="str">
        <f>IF(A229="","",COUNTIF(Liens!$A:$A,A229))</f>
        <v/>
      </c>
      <c r="L229" s="26" t="str">
        <f t="shared" si="7"/>
        <v/>
      </c>
      <c r="M229" s="11"/>
    </row>
    <row r="230" spans="1:13" ht="15" customHeight="1" x14ac:dyDescent="0.25">
      <c r="A230" s="11"/>
      <c r="B230" s="25"/>
      <c r="C230" s="11"/>
      <c r="D230" s="25"/>
      <c r="E230" s="25"/>
      <c r="F230" s="11"/>
      <c r="G230" s="11"/>
      <c r="H230" s="11"/>
      <c r="I230" s="26" t="str">
        <f t="shared" si="6"/>
        <v/>
      </c>
      <c r="J230" s="26" t="str">
        <f>IF(A230="","",COUNTIF(Cablage!$A:$A,A230))</f>
        <v/>
      </c>
      <c r="K230" s="26" t="str">
        <f>IF(A230="","",COUNTIF(Liens!$A:$A,A230))</f>
        <v/>
      </c>
      <c r="L230" s="26" t="str">
        <f t="shared" si="7"/>
        <v/>
      </c>
      <c r="M230" s="11"/>
    </row>
    <row r="231" spans="1:13" ht="15" customHeight="1" x14ac:dyDescent="0.25">
      <c r="A231" s="11"/>
      <c r="B231" s="25"/>
      <c r="C231" s="11"/>
      <c r="D231" s="25"/>
      <c r="E231" s="25"/>
      <c r="F231" s="11"/>
      <c r="G231" s="11"/>
      <c r="H231" s="11"/>
      <c r="I231" s="26" t="str">
        <f t="shared" si="6"/>
        <v/>
      </c>
      <c r="J231" s="26" t="str">
        <f>IF(A231="","",COUNTIF(Cablage!$A:$A,A231))</f>
        <v/>
      </c>
      <c r="K231" s="26" t="str">
        <f>IF(A231="","",COUNTIF(Liens!$A:$A,A231))</f>
        <v/>
      </c>
      <c r="L231" s="26" t="str">
        <f t="shared" si="7"/>
        <v/>
      </c>
      <c r="M231" s="11"/>
    </row>
    <row r="232" spans="1:13" ht="15" customHeight="1" x14ac:dyDescent="0.25">
      <c r="A232" s="11"/>
      <c r="B232" s="25"/>
      <c r="C232" s="11"/>
      <c r="D232" s="25"/>
      <c r="E232" s="25"/>
      <c r="F232" s="11"/>
      <c r="G232" s="11"/>
      <c r="H232" s="11"/>
      <c r="I232" s="26" t="str">
        <f t="shared" si="6"/>
        <v/>
      </c>
      <c r="J232" s="26" t="str">
        <f>IF(A232="","",COUNTIF(Cablage!$A:$A,A232))</f>
        <v/>
      </c>
      <c r="K232" s="26" t="str">
        <f>IF(A232="","",COUNTIF(Liens!$A:$A,A232))</f>
        <v/>
      </c>
      <c r="L232" s="26" t="str">
        <f t="shared" si="7"/>
        <v/>
      </c>
      <c r="M232" s="11"/>
    </row>
    <row r="233" spans="1:13" ht="15" customHeight="1" x14ac:dyDescent="0.25">
      <c r="A233" s="11"/>
      <c r="B233" s="25"/>
      <c r="C233" s="11"/>
      <c r="D233" s="25"/>
      <c r="E233" s="25"/>
      <c r="F233" s="11"/>
      <c r="G233" s="11"/>
      <c r="H233" s="11"/>
      <c r="I233" s="26" t="str">
        <f t="shared" si="6"/>
        <v/>
      </c>
      <c r="J233" s="26" t="str">
        <f>IF(A233="","",COUNTIF(Cablage!$A:$A,A233))</f>
        <v/>
      </c>
      <c r="K233" s="26" t="str">
        <f>IF(A233="","",COUNTIF(Liens!$A:$A,A233))</f>
        <v/>
      </c>
      <c r="L233" s="26" t="str">
        <f t="shared" si="7"/>
        <v/>
      </c>
      <c r="M233" s="11"/>
    </row>
    <row r="234" spans="1:13" ht="15" customHeight="1" x14ac:dyDescent="0.25">
      <c r="A234" s="11"/>
      <c r="B234" s="25"/>
      <c r="C234" s="11"/>
      <c r="D234" s="25"/>
      <c r="E234" s="25"/>
      <c r="F234" s="11"/>
      <c r="G234" s="11"/>
      <c r="H234" s="11"/>
      <c r="I234" s="26" t="str">
        <f t="shared" si="6"/>
        <v/>
      </c>
      <c r="J234" s="26" t="str">
        <f>IF(A234="","",COUNTIF(Cablage!$A:$A,A234))</f>
        <v/>
      </c>
      <c r="K234" s="26" t="str">
        <f>IF(A234="","",COUNTIF(Liens!$A:$A,A234))</f>
        <v/>
      </c>
      <c r="L234" s="26" t="str">
        <f t="shared" si="7"/>
        <v/>
      </c>
      <c r="M234" s="11"/>
    </row>
    <row r="235" spans="1:13" ht="15" customHeight="1" x14ac:dyDescent="0.25">
      <c r="A235" s="11"/>
      <c r="B235" s="25"/>
      <c r="C235" s="11"/>
      <c r="D235" s="25"/>
      <c r="E235" s="25"/>
      <c r="F235" s="11"/>
      <c r="G235" s="11"/>
      <c r="H235" s="11"/>
      <c r="I235" s="26" t="str">
        <f t="shared" si="6"/>
        <v/>
      </c>
      <c r="J235" s="26" t="str">
        <f>IF(A235="","",COUNTIF(Cablage!$A:$A,A235))</f>
        <v/>
      </c>
      <c r="K235" s="26" t="str">
        <f>IF(A235="","",COUNTIF(Liens!$A:$A,A235))</f>
        <v/>
      </c>
      <c r="L235" s="26" t="str">
        <f t="shared" si="7"/>
        <v/>
      </c>
      <c r="M235" s="11"/>
    </row>
    <row r="236" spans="1:13" ht="15" customHeight="1" x14ac:dyDescent="0.25">
      <c r="A236" s="11"/>
      <c r="B236" s="25"/>
      <c r="C236" s="11"/>
      <c r="D236" s="25"/>
      <c r="E236" s="25"/>
      <c r="F236" s="11"/>
      <c r="G236" s="11"/>
      <c r="H236" s="11"/>
      <c r="I236" s="26" t="str">
        <f t="shared" si="6"/>
        <v/>
      </c>
      <c r="J236" s="26" t="str">
        <f>IF(A236="","",COUNTIF(Cablage!$A:$A,A236))</f>
        <v/>
      </c>
      <c r="K236" s="26" t="str">
        <f>IF(A236="","",COUNTIF(Liens!$A:$A,A236))</f>
        <v/>
      </c>
      <c r="L236" s="26" t="str">
        <f t="shared" si="7"/>
        <v/>
      </c>
      <c r="M236" s="11"/>
    </row>
    <row r="237" spans="1:13" ht="15" customHeight="1" x14ac:dyDescent="0.25">
      <c r="A237" s="11"/>
      <c r="B237" s="25"/>
      <c r="C237" s="11"/>
      <c r="D237" s="25"/>
      <c r="E237" s="25"/>
      <c r="F237" s="11"/>
      <c r="G237" s="11"/>
      <c r="H237" s="11"/>
      <c r="I237" s="26" t="str">
        <f t="shared" si="6"/>
        <v/>
      </c>
      <c r="J237" s="26" t="str">
        <f>IF(A237="","",COUNTIF(Cablage!$A:$A,A237))</f>
        <v/>
      </c>
      <c r="K237" s="26" t="str">
        <f>IF(A237="","",COUNTIF(Liens!$A:$A,A237))</f>
        <v/>
      </c>
      <c r="L237" s="26" t="str">
        <f t="shared" si="7"/>
        <v/>
      </c>
      <c r="M237" s="11"/>
    </row>
    <row r="238" spans="1:13" ht="15" customHeight="1" x14ac:dyDescent="0.25">
      <c r="A238" s="11"/>
      <c r="B238" s="25"/>
      <c r="C238" s="11"/>
      <c r="D238" s="25"/>
      <c r="E238" s="25"/>
      <c r="F238" s="11"/>
      <c r="G238" s="11"/>
      <c r="H238" s="11"/>
      <c r="I238" s="26" t="str">
        <f t="shared" si="6"/>
        <v/>
      </c>
      <c r="J238" s="26" t="str">
        <f>IF(A238="","",COUNTIF(Cablage!$A:$A,A238))</f>
        <v/>
      </c>
      <c r="K238" s="26" t="str">
        <f>IF(A238="","",COUNTIF(Liens!$A:$A,A238))</f>
        <v/>
      </c>
      <c r="L238" s="26" t="str">
        <f t="shared" si="7"/>
        <v/>
      </c>
      <c r="M238" s="11"/>
    </row>
    <row r="239" spans="1:13" ht="15" customHeight="1" x14ac:dyDescent="0.25">
      <c r="A239" s="11"/>
      <c r="B239" s="25"/>
      <c r="C239" s="11"/>
      <c r="D239" s="25"/>
      <c r="E239" s="25"/>
      <c r="F239" s="11"/>
      <c r="G239" s="11"/>
      <c r="H239" s="11"/>
      <c r="I239" s="26" t="str">
        <f t="shared" si="6"/>
        <v/>
      </c>
      <c r="J239" s="26" t="str">
        <f>IF(A239="","",COUNTIF(Cablage!$A:$A,A239))</f>
        <v/>
      </c>
      <c r="K239" s="26" t="str">
        <f>IF(A239="","",COUNTIF(Liens!$A:$A,A239))</f>
        <v/>
      </c>
      <c r="L239" s="26" t="str">
        <f t="shared" si="7"/>
        <v/>
      </c>
      <c r="M239" s="11"/>
    </row>
    <row r="240" spans="1:13" ht="15" customHeight="1" x14ac:dyDescent="0.25">
      <c r="A240" s="11"/>
      <c r="B240" s="25"/>
      <c r="C240" s="11"/>
      <c r="D240" s="25"/>
      <c r="E240" s="25"/>
      <c r="F240" s="11"/>
      <c r="G240" s="11"/>
      <c r="H240" s="11"/>
      <c r="I240" s="26" t="str">
        <f t="shared" si="6"/>
        <v/>
      </c>
      <c r="J240" s="26" t="str">
        <f>IF(A240="","",COUNTIF(Cablage!$A:$A,A240))</f>
        <v/>
      </c>
      <c r="K240" s="26" t="str">
        <f>IF(A240="","",COUNTIF(Liens!$A:$A,A240))</f>
        <v/>
      </c>
      <c r="L240" s="26" t="str">
        <f t="shared" si="7"/>
        <v/>
      </c>
      <c r="M240" s="11"/>
    </row>
    <row r="241" spans="1:13" ht="15" customHeight="1" x14ac:dyDescent="0.25">
      <c r="A241" s="11"/>
      <c r="B241" s="25"/>
      <c r="C241" s="11"/>
      <c r="D241" s="25"/>
      <c r="E241" s="25"/>
      <c r="F241" s="11"/>
      <c r="G241" s="11"/>
      <c r="H241" s="11"/>
      <c r="I241" s="26" t="str">
        <f t="shared" si="6"/>
        <v/>
      </c>
      <c r="J241" s="26" t="str">
        <f>IF(A241="","",COUNTIF(Cablage!$A:$A,A241))</f>
        <v/>
      </c>
      <c r="K241" s="26" t="str">
        <f>IF(A241="","",COUNTIF(Liens!$A:$A,A241))</f>
        <v/>
      </c>
      <c r="L241" s="26" t="str">
        <f t="shared" si="7"/>
        <v/>
      </c>
      <c r="M241" s="11"/>
    </row>
    <row r="242" spans="1:13" ht="15" customHeight="1" x14ac:dyDescent="0.25">
      <c r="A242" s="11"/>
      <c r="B242" s="25"/>
      <c r="C242" s="11"/>
      <c r="D242" s="25"/>
      <c r="E242" s="25"/>
      <c r="F242" s="11"/>
      <c r="G242" s="11"/>
      <c r="H242" s="11"/>
      <c r="I242" s="26" t="str">
        <f t="shared" si="6"/>
        <v/>
      </c>
      <c r="J242" s="26" t="str">
        <f>IF(A242="","",COUNTIF(Cablage!$A:$A,A242))</f>
        <v/>
      </c>
      <c r="K242" s="26" t="str">
        <f>IF(A242="","",COUNTIF(Liens!$A:$A,A242))</f>
        <v/>
      </c>
      <c r="L242" s="26" t="str">
        <f t="shared" si="7"/>
        <v/>
      </c>
      <c r="M242" s="11"/>
    </row>
    <row r="243" spans="1:13" ht="15" customHeight="1" x14ac:dyDescent="0.25">
      <c r="A243" s="11"/>
      <c r="B243" s="25"/>
      <c r="C243" s="11"/>
      <c r="D243" s="25"/>
      <c r="E243" s="25"/>
      <c r="F243" s="11"/>
      <c r="G243" s="11"/>
      <c r="H243" s="11"/>
      <c r="I243" s="26" t="str">
        <f t="shared" si="6"/>
        <v/>
      </c>
      <c r="J243" s="26" t="str">
        <f>IF(A243="","",COUNTIF(Cablage!$A:$A,A243))</f>
        <v/>
      </c>
      <c r="K243" s="26" t="str">
        <f>IF(A243="","",COUNTIF(Liens!$A:$A,A243))</f>
        <v/>
      </c>
      <c r="L243" s="26" t="str">
        <f t="shared" si="7"/>
        <v/>
      </c>
      <c r="M243" s="11"/>
    </row>
    <row r="244" spans="1:13" ht="15" customHeight="1" x14ac:dyDescent="0.25">
      <c r="A244" s="11"/>
      <c r="B244" s="25"/>
      <c r="C244" s="11"/>
      <c r="D244" s="25"/>
      <c r="E244" s="25"/>
      <c r="F244" s="11"/>
      <c r="G244" s="11"/>
      <c r="H244" s="11"/>
      <c r="I244" s="26" t="str">
        <f t="shared" si="6"/>
        <v/>
      </c>
      <c r="J244" s="26" t="str">
        <f>IF(A244="","",COUNTIF(Cablage!$A:$A,A244))</f>
        <v/>
      </c>
      <c r="K244" s="26" t="str">
        <f>IF(A244="","",COUNTIF(Liens!$A:$A,A244))</f>
        <v/>
      </c>
      <c r="L244" s="26" t="str">
        <f t="shared" si="7"/>
        <v/>
      </c>
      <c r="M244" s="11"/>
    </row>
    <row r="245" spans="1:13" ht="15" customHeight="1" x14ac:dyDescent="0.25">
      <c r="A245" s="11"/>
      <c r="B245" s="25"/>
      <c r="C245" s="11"/>
      <c r="D245" s="25"/>
      <c r="E245" s="25"/>
      <c r="F245" s="11"/>
      <c r="G245" s="11"/>
      <c r="H245" s="11"/>
      <c r="I245" s="26" t="str">
        <f t="shared" si="6"/>
        <v/>
      </c>
      <c r="J245" s="26" t="str">
        <f>IF(A245="","",COUNTIF(Cablage!$A:$A,A245))</f>
        <v/>
      </c>
      <c r="K245" s="26" t="str">
        <f>IF(A245="","",COUNTIF(Liens!$A:$A,A245))</f>
        <v/>
      </c>
      <c r="L245" s="26" t="str">
        <f t="shared" si="7"/>
        <v/>
      </c>
      <c r="M245" s="11"/>
    </row>
    <row r="246" spans="1:13" ht="15" customHeight="1" x14ac:dyDescent="0.25">
      <c r="A246" s="11"/>
      <c r="B246" s="25"/>
      <c r="C246" s="11"/>
      <c r="D246" s="25"/>
      <c r="E246" s="25"/>
      <c r="F246" s="11"/>
      <c r="G246" s="11"/>
      <c r="H246" s="11"/>
      <c r="I246" s="26" t="str">
        <f t="shared" si="6"/>
        <v/>
      </c>
      <c r="J246" s="26" t="str">
        <f>IF(A246="","",COUNTIF(Cablage!$A:$A,A246))</f>
        <v/>
      </c>
      <c r="K246" s="26" t="str">
        <f>IF(A246="","",COUNTIF(Liens!$A:$A,A246))</f>
        <v/>
      </c>
      <c r="L246" s="26" t="str">
        <f t="shared" si="7"/>
        <v/>
      </c>
      <c r="M246" s="11"/>
    </row>
    <row r="247" spans="1:13" ht="15" customHeight="1" x14ac:dyDescent="0.25">
      <c r="A247" s="11"/>
      <c r="B247" s="25"/>
      <c r="C247" s="11"/>
      <c r="D247" s="25"/>
      <c r="E247" s="25"/>
      <c r="F247" s="11"/>
      <c r="G247" s="11"/>
      <c r="H247" s="11"/>
      <c r="I247" s="26" t="str">
        <f t="shared" si="6"/>
        <v/>
      </c>
      <c r="J247" s="26" t="str">
        <f>IF(A247="","",COUNTIF(Cablage!$A:$A,A247))</f>
        <v/>
      </c>
      <c r="K247" s="26" t="str">
        <f>IF(A247="","",COUNTIF(Liens!$A:$A,A247))</f>
        <v/>
      </c>
      <c r="L247" s="26" t="str">
        <f t="shared" si="7"/>
        <v/>
      </c>
      <c r="M247" s="11"/>
    </row>
    <row r="248" spans="1:13" ht="15" customHeight="1" x14ac:dyDescent="0.25">
      <c r="A248" s="11"/>
      <c r="B248" s="25"/>
      <c r="C248" s="11"/>
      <c r="D248" s="25"/>
      <c r="E248" s="25"/>
      <c r="F248" s="11"/>
      <c r="G248" s="11"/>
      <c r="H248" s="11"/>
      <c r="I248" s="26" t="str">
        <f t="shared" si="6"/>
        <v/>
      </c>
      <c r="J248" s="26" t="str">
        <f>IF(A248="","",COUNTIF(Cablage!$A:$A,A248))</f>
        <v/>
      </c>
      <c r="K248" s="26" t="str">
        <f>IF(A248="","",COUNTIF(Liens!$A:$A,A248))</f>
        <v/>
      </c>
      <c r="L248" s="26" t="str">
        <f t="shared" si="7"/>
        <v/>
      </c>
      <c r="M248" s="11"/>
    </row>
    <row r="249" spans="1:13" ht="15" customHeight="1" x14ac:dyDescent="0.25">
      <c r="A249" s="11"/>
      <c r="B249" s="25"/>
      <c r="C249" s="11"/>
      <c r="D249" s="25"/>
      <c r="E249" s="25"/>
      <c r="F249" s="11"/>
      <c r="G249" s="11"/>
      <c r="H249" s="11"/>
      <c r="I249" s="26" t="str">
        <f t="shared" si="6"/>
        <v/>
      </c>
      <c r="J249" s="26" t="str">
        <f>IF(A249="","",COUNTIF(Cablage!$A:$A,A249))</f>
        <v/>
      </c>
      <c r="K249" s="26" t="str">
        <f>IF(A249="","",COUNTIF(Liens!$A:$A,A249))</f>
        <v/>
      </c>
      <c r="L249" s="26" t="str">
        <f t="shared" si="7"/>
        <v/>
      </c>
      <c r="M249" s="11"/>
    </row>
    <row r="250" spans="1:13" ht="15" customHeight="1" x14ac:dyDescent="0.25">
      <c r="A250" s="11"/>
      <c r="B250" s="25"/>
      <c r="C250" s="11"/>
      <c r="D250" s="25"/>
      <c r="E250" s="25"/>
      <c r="F250" s="11"/>
      <c r="G250" s="11"/>
      <c r="H250" s="11"/>
      <c r="I250" s="26" t="str">
        <f t="shared" si="6"/>
        <v/>
      </c>
      <c r="J250" s="26" t="str">
        <f>IF(A250="","",COUNTIF(Cablage!$A:$A,A250))</f>
        <v/>
      </c>
      <c r="K250" s="26" t="str">
        <f>IF(A250="","",COUNTIF(Liens!$A:$A,A250))</f>
        <v/>
      </c>
      <c r="L250" s="26" t="str">
        <f t="shared" si="7"/>
        <v/>
      </c>
      <c r="M250" s="11"/>
    </row>
    <row r="251" spans="1:13" ht="15" customHeight="1" x14ac:dyDescent="0.25">
      <c r="A251" s="11"/>
      <c r="B251" s="25"/>
      <c r="C251" s="11"/>
      <c r="D251" s="25"/>
      <c r="E251" s="25"/>
      <c r="F251" s="11"/>
      <c r="G251" s="11"/>
      <c r="H251" s="11"/>
      <c r="I251" s="26" t="str">
        <f t="shared" si="6"/>
        <v/>
      </c>
      <c r="J251" s="26" t="str">
        <f>IF(A251="","",COUNTIF(Cablage!$A:$A,A251))</f>
        <v/>
      </c>
      <c r="K251" s="26" t="str">
        <f>IF(A251="","",COUNTIF(Liens!$A:$A,A251))</f>
        <v/>
      </c>
      <c r="L251" s="26" t="str">
        <f t="shared" si="7"/>
        <v/>
      </c>
      <c r="M251" s="11"/>
    </row>
    <row r="252" spans="1:13" ht="15" customHeight="1" x14ac:dyDescent="0.25">
      <c r="A252" s="11"/>
      <c r="B252" s="25"/>
      <c r="C252" s="11"/>
      <c r="D252" s="25"/>
      <c r="E252" s="25"/>
      <c r="F252" s="11"/>
      <c r="G252" s="11"/>
      <c r="H252" s="11"/>
      <c r="I252" s="26" t="str">
        <f t="shared" si="6"/>
        <v/>
      </c>
      <c r="J252" s="26" t="str">
        <f>IF(A252="","",COUNTIF(Cablage!$A:$A,A252))</f>
        <v/>
      </c>
      <c r="K252" s="26" t="str">
        <f>IF(A252="","",COUNTIF(Liens!$A:$A,A252))</f>
        <v/>
      </c>
      <c r="L252" s="26" t="str">
        <f t="shared" si="7"/>
        <v/>
      </c>
      <c r="M252" s="11"/>
    </row>
    <row r="253" spans="1:13" ht="15" customHeight="1" x14ac:dyDescent="0.25">
      <c r="A253" s="11"/>
      <c r="B253" s="25"/>
      <c r="C253" s="11"/>
      <c r="D253" s="25"/>
      <c r="E253" s="25"/>
      <c r="F253" s="11"/>
      <c r="G253" s="11"/>
      <c r="H253" s="11"/>
      <c r="I253" s="26" t="str">
        <f t="shared" si="6"/>
        <v/>
      </c>
      <c r="J253" s="26" t="str">
        <f>IF(A253="","",COUNTIF(Cablage!$A:$A,A253))</f>
        <v/>
      </c>
      <c r="K253" s="26" t="str">
        <f>IF(A253="","",COUNTIF(Liens!$A:$A,A253))</f>
        <v/>
      </c>
      <c r="L253" s="26" t="str">
        <f t="shared" si="7"/>
        <v/>
      </c>
      <c r="M253" s="11"/>
    </row>
    <row r="254" spans="1:13" ht="15" customHeight="1" x14ac:dyDescent="0.25">
      <c r="A254" s="11"/>
      <c r="B254" s="25"/>
      <c r="C254" s="11"/>
      <c r="D254" s="25"/>
      <c r="E254" s="25"/>
      <c r="F254" s="11"/>
      <c r="G254" s="11"/>
      <c r="H254" s="11"/>
      <c r="I254" s="26" t="str">
        <f t="shared" si="6"/>
        <v/>
      </c>
      <c r="J254" s="26" t="str">
        <f>IF(A254="","",COUNTIF(Cablage!$A:$A,A254))</f>
        <v/>
      </c>
      <c r="K254" s="26" t="str">
        <f>IF(A254="","",COUNTIF(Liens!$A:$A,A254))</f>
        <v/>
      </c>
      <c r="L254" s="26" t="str">
        <f t="shared" si="7"/>
        <v/>
      </c>
      <c r="M254" s="11"/>
    </row>
    <row r="255" spans="1:13" ht="15" customHeight="1" x14ac:dyDescent="0.25">
      <c r="A255" s="11"/>
      <c r="B255" s="25"/>
      <c r="C255" s="11"/>
      <c r="D255" s="25"/>
      <c r="E255" s="25"/>
      <c r="F255" s="11"/>
      <c r="G255" s="11"/>
      <c r="H255" s="11"/>
      <c r="I255" s="26" t="str">
        <f t="shared" si="6"/>
        <v/>
      </c>
      <c r="J255" s="26" t="str">
        <f>IF(A255="","",COUNTIF(Cablage!$A:$A,A255))</f>
        <v/>
      </c>
      <c r="K255" s="26" t="str">
        <f>IF(A255="","",COUNTIF(Liens!$A:$A,A255))</f>
        <v/>
      </c>
      <c r="L255" s="26" t="str">
        <f t="shared" si="7"/>
        <v/>
      </c>
      <c r="M255" s="11"/>
    </row>
    <row r="256" spans="1:13" ht="15" customHeight="1" x14ac:dyDescent="0.25">
      <c r="A256" s="11"/>
      <c r="B256" s="25"/>
      <c r="C256" s="11"/>
      <c r="D256" s="25"/>
      <c r="E256" s="25"/>
      <c r="F256" s="11"/>
      <c r="G256" s="11"/>
      <c r="H256" s="11"/>
      <c r="I256" s="26" t="str">
        <f t="shared" si="6"/>
        <v/>
      </c>
      <c r="J256" s="26" t="str">
        <f>IF(A256="","",COUNTIF(Cablage!$A:$A,A256))</f>
        <v/>
      </c>
      <c r="K256" s="26" t="str">
        <f>IF(A256="","",COUNTIF(Liens!$A:$A,A256))</f>
        <v/>
      </c>
      <c r="L256" s="26" t="str">
        <f t="shared" si="7"/>
        <v/>
      </c>
      <c r="M256" s="11"/>
    </row>
    <row r="257" spans="1:13" ht="15" customHeight="1" x14ac:dyDescent="0.25">
      <c r="A257" s="11"/>
      <c r="B257" s="25"/>
      <c r="C257" s="11"/>
      <c r="D257" s="25"/>
      <c r="E257" s="25"/>
      <c r="F257" s="11"/>
      <c r="G257" s="11"/>
      <c r="H257" s="11"/>
      <c r="I257" s="26" t="str">
        <f t="shared" si="6"/>
        <v/>
      </c>
      <c r="J257" s="26" t="str">
        <f>IF(A257="","",COUNTIF(Cablage!$A:$A,A257))</f>
        <v/>
      </c>
      <c r="K257" s="26" t="str">
        <f>IF(A257="","",COUNTIF(Liens!$A:$A,A257))</f>
        <v/>
      </c>
      <c r="L257" s="26" t="str">
        <f t="shared" si="7"/>
        <v/>
      </c>
      <c r="M257" s="11"/>
    </row>
    <row r="258" spans="1:13" ht="15" customHeight="1" x14ac:dyDescent="0.25">
      <c r="A258" s="11"/>
      <c r="B258" s="25"/>
      <c r="C258" s="11"/>
      <c r="D258" s="25"/>
      <c r="E258" s="25"/>
      <c r="F258" s="11"/>
      <c r="G258" s="11"/>
      <c r="H258" s="11"/>
      <c r="I258" s="26" t="str">
        <f t="shared" si="6"/>
        <v/>
      </c>
      <c r="J258" s="26" t="str">
        <f>IF(A258="","",COUNTIF(Cablage!$A:$A,A258))</f>
        <v/>
      </c>
      <c r="K258" s="26" t="str">
        <f>IF(A258="","",COUNTIF(Liens!$A:$A,A258))</f>
        <v/>
      </c>
      <c r="L258" s="26" t="str">
        <f t="shared" si="7"/>
        <v/>
      </c>
      <c r="M258" s="11"/>
    </row>
    <row r="259" spans="1:13" ht="15" customHeight="1" x14ac:dyDescent="0.25">
      <c r="A259" s="11"/>
      <c r="B259" s="25"/>
      <c r="C259" s="11"/>
      <c r="D259" s="25"/>
      <c r="E259" s="25"/>
      <c r="F259" s="11"/>
      <c r="G259" s="11"/>
      <c r="H259" s="11"/>
      <c r="I259" s="26" t="str">
        <f t="shared" si="6"/>
        <v/>
      </c>
      <c r="J259" s="26" t="str">
        <f>IF(A259="","",COUNTIF(Cablage!$A:$A,A259))</f>
        <v/>
      </c>
      <c r="K259" s="26" t="str">
        <f>IF(A259="","",COUNTIF(Liens!$A:$A,A259))</f>
        <v/>
      </c>
      <c r="L259" s="26" t="str">
        <f t="shared" si="7"/>
        <v/>
      </c>
      <c r="M259" s="11"/>
    </row>
    <row r="260" spans="1:13" ht="15" customHeight="1" x14ac:dyDescent="0.25">
      <c r="A260" s="11"/>
      <c r="B260" s="25"/>
      <c r="C260" s="11"/>
      <c r="D260" s="25"/>
      <c r="E260" s="25"/>
      <c r="F260" s="11"/>
      <c r="G260" s="11"/>
      <c r="H260" s="11"/>
      <c r="I260" s="26" t="str">
        <f t="shared" si="6"/>
        <v/>
      </c>
      <c r="J260" s="26" t="str">
        <f>IF(A260="","",COUNTIF(Cablage!$A:$A,A260))</f>
        <v/>
      </c>
      <c r="K260" s="26" t="str">
        <f>IF(A260="","",COUNTIF(Liens!$A:$A,A260))</f>
        <v/>
      </c>
      <c r="L260" s="26" t="str">
        <f t="shared" si="7"/>
        <v/>
      </c>
      <c r="M260" s="11"/>
    </row>
    <row r="261" spans="1:13" ht="15" customHeight="1" x14ac:dyDescent="0.25">
      <c r="A261" s="11"/>
      <c r="B261" s="25"/>
      <c r="C261" s="11"/>
      <c r="D261" s="25"/>
      <c r="E261" s="25"/>
      <c r="F261" s="11"/>
      <c r="G261" s="11"/>
      <c r="H261" s="11"/>
      <c r="I261" s="26" t="str">
        <f t="shared" si="6"/>
        <v/>
      </c>
      <c r="J261" s="26" t="str">
        <f>IF(A261="","",COUNTIF(Cablage!$A:$A,A261))</f>
        <v/>
      </c>
      <c r="K261" s="26" t="str">
        <f>IF(A261="","",COUNTIF(Liens!$A:$A,A261))</f>
        <v/>
      </c>
      <c r="L261" s="26" t="str">
        <f t="shared" si="7"/>
        <v/>
      </c>
      <c r="M261" s="11"/>
    </row>
    <row r="262" spans="1:13" ht="15" customHeight="1" x14ac:dyDescent="0.25">
      <c r="A262" s="11"/>
      <c r="B262" s="25"/>
      <c r="C262" s="11"/>
      <c r="D262" s="25"/>
      <c r="E262" s="25"/>
      <c r="F262" s="11"/>
      <c r="G262" s="11"/>
      <c r="H262" s="11"/>
      <c r="I262" s="26" t="str">
        <f t="shared" si="6"/>
        <v/>
      </c>
      <c r="J262" s="26" t="str">
        <f>IF(A262="","",COUNTIF(Cablage!$A:$A,A262))</f>
        <v/>
      </c>
      <c r="K262" s="26" t="str">
        <f>IF(A262="","",COUNTIF(Liens!$A:$A,A262))</f>
        <v/>
      </c>
      <c r="L262" s="26" t="str">
        <f t="shared" si="7"/>
        <v/>
      </c>
      <c r="M262" s="11"/>
    </row>
    <row r="263" spans="1:13" ht="15" customHeight="1" x14ac:dyDescent="0.25">
      <c r="A263" s="11"/>
      <c r="B263" s="25"/>
      <c r="C263" s="11"/>
      <c r="D263" s="25"/>
      <c r="E263" s="25"/>
      <c r="F263" s="11"/>
      <c r="G263" s="11"/>
      <c r="H263" s="11"/>
      <c r="I263" s="26" t="str">
        <f t="shared" si="6"/>
        <v/>
      </c>
      <c r="J263" s="26" t="str">
        <f>IF(A263="","",COUNTIF(Cablage!$A:$A,A263))</f>
        <v/>
      </c>
      <c r="K263" s="26" t="str">
        <f>IF(A263="","",COUNTIF(Liens!$A:$A,A263))</f>
        <v/>
      </c>
      <c r="L263" s="26" t="str">
        <f t="shared" si="7"/>
        <v/>
      </c>
      <c r="M263" s="11"/>
    </row>
    <row r="264" spans="1:13" ht="15" customHeight="1" x14ac:dyDescent="0.25">
      <c r="A264" s="11"/>
      <c r="B264" s="25"/>
      <c r="C264" s="11"/>
      <c r="D264" s="25"/>
      <c r="E264" s="25"/>
      <c r="F264" s="11"/>
      <c r="G264" s="11"/>
      <c r="H264" s="11"/>
      <c r="I264" s="26" t="str">
        <f t="shared" si="6"/>
        <v/>
      </c>
      <c r="J264" s="26" t="str">
        <f>IF(A264="","",COUNTIF(Cablage!$A:$A,A264))</f>
        <v/>
      </c>
      <c r="K264" s="26" t="str">
        <f>IF(A264="","",COUNTIF(Liens!$A:$A,A264))</f>
        <v/>
      </c>
      <c r="L264" s="26" t="str">
        <f t="shared" si="7"/>
        <v/>
      </c>
      <c r="M264" s="11"/>
    </row>
    <row r="265" spans="1:13" ht="15" customHeight="1" x14ac:dyDescent="0.25">
      <c r="A265" s="11"/>
      <c r="B265" s="25"/>
      <c r="C265" s="11"/>
      <c r="D265" s="25"/>
      <c r="E265" s="25"/>
      <c r="F265" s="11"/>
      <c r="G265" s="11"/>
      <c r="H265" s="11"/>
      <c r="I265" s="26" t="str">
        <f t="shared" ref="I265:I308" si="8">IF(F265="","",IF(OR(E265="Variable seule",G265=""),F265,F265&amp;"["&amp;G265&amp;"]"))</f>
        <v/>
      </c>
      <c r="J265" s="26" t="str">
        <f>IF(A265="","",COUNTIF(Cablage!$A:$A,A265))</f>
        <v/>
      </c>
      <c r="K265" s="26" t="str">
        <f>IF(A265="","",COUNTIF(Liens!$A:$A,A265))</f>
        <v/>
      </c>
      <c r="L265" s="26" t="str">
        <f t="shared" ref="L265:L308" si="9">IF(OR(A265="",E265="Variable seule",F265="",G265=""),"",IF(COUNTIFS($F$9:$F$308,F265,$G$9:$G$308,G265,$A$9:$A$308,"&lt;&gt;"&amp;A265)&gt;0,"index deja pris",""))</f>
        <v/>
      </c>
      <c r="M265" s="11"/>
    </row>
    <row r="266" spans="1:13" ht="15" customHeight="1" x14ac:dyDescent="0.25">
      <c r="A266" s="11"/>
      <c r="B266" s="25"/>
      <c r="C266" s="11"/>
      <c r="D266" s="25"/>
      <c r="E266" s="25"/>
      <c r="F266" s="11"/>
      <c r="G266" s="11"/>
      <c r="H266" s="11"/>
      <c r="I266" s="26" t="str">
        <f t="shared" si="8"/>
        <v/>
      </c>
      <c r="J266" s="26" t="str">
        <f>IF(A266="","",COUNTIF(Cablage!$A:$A,A266))</f>
        <v/>
      </c>
      <c r="K266" s="26" t="str">
        <f>IF(A266="","",COUNTIF(Liens!$A:$A,A266))</f>
        <v/>
      </c>
      <c r="L266" s="26" t="str">
        <f t="shared" si="9"/>
        <v/>
      </c>
      <c r="M266" s="11"/>
    </row>
    <row r="267" spans="1:13" ht="15" customHeight="1" x14ac:dyDescent="0.25">
      <c r="A267" s="11"/>
      <c r="B267" s="25"/>
      <c r="C267" s="11"/>
      <c r="D267" s="25"/>
      <c r="E267" s="25"/>
      <c r="F267" s="11"/>
      <c r="G267" s="11"/>
      <c r="H267" s="11"/>
      <c r="I267" s="26" t="str">
        <f t="shared" si="8"/>
        <v/>
      </c>
      <c r="J267" s="26" t="str">
        <f>IF(A267="","",COUNTIF(Cablage!$A:$A,A267))</f>
        <v/>
      </c>
      <c r="K267" s="26" t="str">
        <f>IF(A267="","",COUNTIF(Liens!$A:$A,A267))</f>
        <v/>
      </c>
      <c r="L267" s="26" t="str">
        <f t="shared" si="9"/>
        <v/>
      </c>
      <c r="M267" s="11"/>
    </row>
    <row r="268" spans="1:13" ht="15" customHeight="1" x14ac:dyDescent="0.25">
      <c r="A268" s="11"/>
      <c r="B268" s="25"/>
      <c r="C268" s="11"/>
      <c r="D268" s="25"/>
      <c r="E268" s="25"/>
      <c r="F268" s="11"/>
      <c r="G268" s="11"/>
      <c r="H268" s="11"/>
      <c r="I268" s="26" t="str">
        <f t="shared" si="8"/>
        <v/>
      </c>
      <c r="J268" s="26" t="str">
        <f>IF(A268="","",COUNTIF(Cablage!$A:$A,A268))</f>
        <v/>
      </c>
      <c r="K268" s="26" t="str">
        <f>IF(A268="","",COUNTIF(Liens!$A:$A,A268))</f>
        <v/>
      </c>
      <c r="L268" s="26" t="str">
        <f t="shared" si="9"/>
        <v/>
      </c>
      <c r="M268" s="11"/>
    </row>
    <row r="269" spans="1:13" ht="15" customHeight="1" x14ac:dyDescent="0.25">
      <c r="A269" s="11"/>
      <c r="B269" s="25"/>
      <c r="C269" s="11"/>
      <c r="D269" s="25"/>
      <c r="E269" s="25"/>
      <c r="F269" s="11"/>
      <c r="G269" s="11"/>
      <c r="H269" s="11"/>
      <c r="I269" s="26" t="str">
        <f t="shared" si="8"/>
        <v/>
      </c>
      <c r="J269" s="26" t="str">
        <f>IF(A269="","",COUNTIF(Cablage!$A:$A,A269))</f>
        <v/>
      </c>
      <c r="K269" s="26" t="str">
        <f>IF(A269="","",COUNTIF(Liens!$A:$A,A269))</f>
        <v/>
      </c>
      <c r="L269" s="26" t="str">
        <f t="shared" si="9"/>
        <v/>
      </c>
      <c r="M269" s="11"/>
    </row>
    <row r="270" spans="1:13" ht="15" customHeight="1" x14ac:dyDescent="0.25">
      <c r="A270" s="11"/>
      <c r="B270" s="25"/>
      <c r="C270" s="11"/>
      <c r="D270" s="25"/>
      <c r="E270" s="25"/>
      <c r="F270" s="11"/>
      <c r="G270" s="11"/>
      <c r="H270" s="11"/>
      <c r="I270" s="26" t="str">
        <f t="shared" si="8"/>
        <v/>
      </c>
      <c r="J270" s="26" t="str">
        <f>IF(A270="","",COUNTIF(Cablage!$A:$A,A270))</f>
        <v/>
      </c>
      <c r="K270" s="26" t="str">
        <f>IF(A270="","",COUNTIF(Liens!$A:$A,A270))</f>
        <v/>
      </c>
      <c r="L270" s="26" t="str">
        <f t="shared" si="9"/>
        <v/>
      </c>
      <c r="M270" s="11"/>
    </row>
    <row r="271" spans="1:13" ht="15" customHeight="1" x14ac:dyDescent="0.25">
      <c r="A271" s="11"/>
      <c r="B271" s="25"/>
      <c r="C271" s="11"/>
      <c r="D271" s="25"/>
      <c r="E271" s="25"/>
      <c r="F271" s="11"/>
      <c r="G271" s="11"/>
      <c r="H271" s="11"/>
      <c r="I271" s="26" t="str">
        <f t="shared" si="8"/>
        <v/>
      </c>
      <c r="J271" s="26" t="str">
        <f>IF(A271="","",COUNTIF(Cablage!$A:$A,A271))</f>
        <v/>
      </c>
      <c r="K271" s="26" t="str">
        <f>IF(A271="","",COUNTIF(Liens!$A:$A,A271))</f>
        <v/>
      </c>
      <c r="L271" s="26" t="str">
        <f t="shared" si="9"/>
        <v/>
      </c>
      <c r="M271" s="11"/>
    </row>
    <row r="272" spans="1:13" ht="15" customHeight="1" x14ac:dyDescent="0.25">
      <c r="A272" s="11"/>
      <c r="B272" s="25"/>
      <c r="C272" s="11"/>
      <c r="D272" s="25"/>
      <c r="E272" s="25"/>
      <c r="F272" s="11"/>
      <c r="G272" s="11"/>
      <c r="H272" s="11"/>
      <c r="I272" s="26" t="str">
        <f t="shared" si="8"/>
        <v/>
      </c>
      <c r="J272" s="26" t="str">
        <f>IF(A272="","",COUNTIF(Cablage!$A:$A,A272))</f>
        <v/>
      </c>
      <c r="K272" s="26" t="str">
        <f>IF(A272="","",COUNTIF(Liens!$A:$A,A272))</f>
        <v/>
      </c>
      <c r="L272" s="26" t="str">
        <f t="shared" si="9"/>
        <v/>
      </c>
      <c r="M272" s="11"/>
    </row>
    <row r="273" spans="1:13" ht="15" customHeight="1" x14ac:dyDescent="0.25">
      <c r="A273" s="11"/>
      <c r="B273" s="25"/>
      <c r="C273" s="11"/>
      <c r="D273" s="25"/>
      <c r="E273" s="25"/>
      <c r="F273" s="11"/>
      <c r="G273" s="11"/>
      <c r="H273" s="11"/>
      <c r="I273" s="26" t="str">
        <f t="shared" si="8"/>
        <v/>
      </c>
      <c r="J273" s="26" t="str">
        <f>IF(A273="","",COUNTIF(Cablage!$A:$A,A273))</f>
        <v/>
      </c>
      <c r="K273" s="26" t="str">
        <f>IF(A273="","",COUNTIF(Liens!$A:$A,A273))</f>
        <v/>
      </c>
      <c r="L273" s="26" t="str">
        <f t="shared" si="9"/>
        <v/>
      </c>
      <c r="M273" s="11"/>
    </row>
    <row r="274" spans="1:13" ht="15" customHeight="1" x14ac:dyDescent="0.25">
      <c r="A274" s="11"/>
      <c r="B274" s="25"/>
      <c r="C274" s="11"/>
      <c r="D274" s="25"/>
      <c r="E274" s="25"/>
      <c r="F274" s="11"/>
      <c r="G274" s="11"/>
      <c r="H274" s="11"/>
      <c r="I274" s="26" t="str">
        <f t="shared" si="8"/>
        <v/>
      </c>
      <c r="J274" s="26" t="str">
        <f>IF(A274="","",COUNTIF(Cablage!$A:$A,A274))</f>
        <v/>
      </c>
      <c r="K274" s="26" t="str">
        <f>IF(A274="","",COUNTIF(Liens!$A:$A,A274))</f>
        <v/>
      </c>
      <c r="L274" s="26" t="str">
        <f t="shared" si="9"/>
        <v/>
      </c>
      <c r="M274" s="11"/>
    </row>
    <row r="275" spans="1:13" ht="15" customHeight="1" x14ac:dyDescent="0.25">
      <c r="A275" s="11"/>
      <c r="B275" s="25"/>
      <c r="C275" s="11"/>
      <c r="D275" s="25"/>
      <c r="E275" s="25"/>
      <c r="F275" s="11"/>
      <c r="G275" s="11"/>
      <c r="H275" s="11"/>
      <c r="I275" s="26" t="str">
        <f t="shared" si="8"/>
        <v/>
      </c>
      <c r="J275" s="26" t="str">
        <f>IF(A275="","",COUNTIF(Cablage!$A:$A,A275))</f>
        <v/>
      </c>
      <c r="K275" s="26" t="str">
        <f>IF(A275="","",COUNTIF(Liens!$A:$A,A275))</f>
        <v/>
      </c>
      <c r="L275" s="26" t="str">
        <f t="shared" si="9"/>
        <v/>
      </c>
      <c r="M275" s="11"/>
    </row>
    <row r="276" spans="1:13" ht="15" customHeight="1" x14ac:dyDescent="0.25">
      <c r="A276" s="11"/>
      <c r="B276" s="25"/>
      <c r="C276" s="11"/>
      <c r="D276" s="25"/>
      <c r="E276" s="25"/>
      <c r="F276" s="11"/>
      <c r="G276" s="11"/>
      <c r="H276" s="11"/>
      <c r="I276" s="26" t="str">
        <f t="shared" si="8"/>
        <v/>
      </c>
      <c r="J276" s="26" t="str">
        <f>IF(A276="","",COUNTIF(Cablage!$A:$A,A276))</f>
        <v/>
      </c>
      <c r="K276" s="26" t="str">
        <f>IF(A276="","",COUNTIF(Liens!$A:$A,A276))</f>
        <v/>
      </c>
      <c r="L276" s="26" t="str">
        <f t="shared" si="9"/>
        <v/>
      </c>
      <c r="M276" s="11"/>
    </row>
    <row r="277" spans="1:13" ht="15" customHeight="1" x14ac:dyDescent="0.25">
      <c r="A277" s="11"/>
      <c r="B277" s="25"/>
      <c r="C277" s="11"/>
      <c r="D277" s="25"/>
      <c r="E277" s="25"/>
      <c r="F277" s="11"/>
      <c r="G277" s="11"/>
      <c r="H277" s="11"/>
      <c r="I277" s="26" t="str">
        <f t="shared" si="8"/>
        <v/>
      </c>
      <c r="J277" s="26" t="str">
        <f>IF(A277="","",COUNTIF(Cablage!$A:$A,A277))</f>
        <v/>
      </c>
      <c r="K277" s="26" t="str">
        <f>IF(A277="","",COUNTIF(Liens!$A:$A,A277))</f>
        <v/>
      </c>
      <c r="L277" s="26" t="str">
        <f t="shared" si="9"/>
        <v/>
      </c>
      <c r="M277" s="11"/>
    </row>
    <row r="278" spans="1:13" ht="15" customHeight="1" x14ac:dyDescent="0.25">
      <c r="A278" s="11"/>
      <c r="B278" s="25"/>
      <c r="C278" s="11"/>
      <c r="D278" s="25"/>
      <c r="E278" s="25"/>
      <c r="F278" s="11"/>
      <c r="G278" s="11"/>
      <c r="H278" s="11"/>
      <c r="I278" s="26" t="str">
        <f t="shared" si="8"/>
        <v/>
      </c>
      <c r="J278" s="26" t="str">
        <f>IF(A278="","",COUNTIF(Cablage!$A:$A,A278))</f>
        <v/>
      </c>
      <c r="K278" s="26" t="str">
        <f>IF(A278="","",COUNTIF(Liens!$A:$A,A278))</f>
        <v/>
      </c>
      <c r="L278" s="26" t="str">
        <f t="shared" si="9"/>
        <v/>
      </c>
      <c r="M278" s="11"/>
    </row>
    <row r="279" spans="1:13" ht="15" customHeight="1" x14ac:dyDescent="0.25">
      <c r="A279" s="11"/>
      <c r="B279" s="25"/>
      <c r="C279" s="11"/>
      <c r="D279" s="25"/>
      <c r="E279" s="25"/>
      <c r="F279" s="11"/>
      <c r="G279" s="11"/>
      <c r="H279" s="11"/>
      <c r="I279" s="26" t="str">
        <f t="shared" si="8"/>
        <v/>
      </c>
      <c r="J279" s="26" t="str">
        <f>IF(A279="","",COUNTIF(Cablage!$A:$A,A279))</f>
        <v/>
      </c>
      <c r="K279" s="26" t="str">
        <f>IF(A279="","",COUNTIF(Liens!$A:$A,A279))</f>
        <v/>
      </c>
      <c r="L279" s="26" t="str">
        <f t="shared" si="9"/>
        <v/>
      </c>
      <c r="M279" s="11"/>
    </row>
    <row r="280" spans="1:13" ht="15" customHeight="1" x14ac:dyDescent="0.25">
      <c r="A280" s="11"/>
      <c r="B280" s="25"/>
      <c r="C280" s="11"/>
      <c r="D280" s="25"/>
      <c r="E280" s="25"/>
      <c r="F280" s="11"/>
      <c r="G280" s="11"/>
      <c r="H280" s="11"/>
      <c r="I280" s="26" t="str">
        <f t="shared" si="8"/>
        <v/>
      </c>
      <c r="J280" s="26" t="str">
        <f>IF(A280="","",COUNTIF(Cablage!$A:$A,A280))</f>
        <v/>
      </c>
      <c r="K280" s="26" t="str">
        <f>IF(A280="","",COUNTIF(Liens!$A:$A,A280))</f>
        <v/>
      </c>
      <c r="L280" s="26" t="str">
        <f t="shared" si="9"/>
        <v/>
      </c>
      <c r="M280" s="11"/>
    </row>
    <row r="281" spans="1:13" ht="15" customHeight="1" x14ac:dyDescent="0.25">
      <c r="A281" s="11"/>
      <c r="B281" s="25"/>
      <c r="C281" s="11"/>
      <c r="D281" s="25"/>
      <c r="E281" s="25"/>
      <c r="F281" s="11"/>
      <c r="G281" s="11"/>
      <c r="H281" s="11"/>
      <c r="I281" s="26" t="str">
        <f t="shared" si="8"/>
        <v/>
      </c>
      <c r="J281" s="26" t="str">
        <f>IF(A281="","",COUNTIF(Cablage!$A:$A,A281))</f>
        <v/>
      </c>
      <c r="K281" s="26" t="str">
        <f>IF(A281="","",COUNTIF(Liens!$A:$A,A281))</f>
        <v/>
      </c>
      <c r="L281" s="26" t="str">
        <f t="shared" si="9"/>
        <v/>
      </c>
      <c r="M281" s="11"/>
    </row>
    <row r="282" spans="1:13" ht="15" customHeight="1" x14ac:dyDescent="0.25">
      <c r="A282" s="11"/>
      <c r="B282" s="25"/>
      <c r="C282" s="11"/>
      <c r="D282" s="25"/>
      <c r="E282" s="25"/>
      <c r="F282" s="11"/>
      <c r="G282" s="11"/>
      <c r="H282" s="11"/>
      <c r="I282" s="26" t="str">
        <f t="shared" si="8"/>
        <v/>
      </c>
      <c r="J282" s="26" t="str">
        <f>IF(A282="","",COUNTIF(Cablage!$A:$A,A282))</f>
        <v/>
      </c>
      <c r="K282" s="26" t="str">
        <f>IF(A282="","",COUNTIF(Liens!$A:$A,A282))</f>
        <v/>
      </c>
      <c r="L282" s="26" t="str">
        <f t="shared" si="9"/>
        <v/>
      </c>
      <c r="M282" s="11"/>
    </row>
    <row r="283" spans="1:13" ht="15" customHeight="1" x14ac:dyDescent="0.25">
      <c r="A283" s="11"/>
      <c r="B283" s="25"/>
      <c r="C283" s="11"/>
      <c r="D283" s="25"/>
      <c r="E283" s="25"/>
      <c r="F283" s="11"/>
      <c r="G283" s="11"/>
      <c r="H283" s="11"/>
      <c r="I283" s="26" t="str">
        <f t="shared" si="8"/>
        <v/>
      </c>
      <c r="J283" s="26" t="str">
        <f>IF(A283="","",COUNTIF(Cablage!$A:$A,A283))</f>
        <v/>
      </c>
      <c r="K283" s="26" t="str">
        <f>IF(A283="","",COUNTIF(Liens!$A:$A,A283))</f>
        <v/>
      </c>
      <c r="L283" s="26" t="str">
        <f t="shared" si="9"/>
        <v/>
      </c>
      <c r="M283" s="11"/>
    </row>
    <row r="284" spans="1:13" ht="15" customHeight="1" x14ac:dyDescent="0.25">
      <c r="A284" s="11"/>
      <c r="B284" s="25"/>
      <c r="C284" s="11"/>
      <c r="D284" s="25"/>
      <c r="E284" s="25"/>
      <c r="F284" s="11"/>
      <c r="G284" s="11"/>
      <c r="H284" s="11"/>
      <c r="I284" s="26" t="str">
        <f t="shared" si="8"/>
        <v/>
      </c>
      <c r="J284" s="26" t="str">
        <f>IF(A284="","",COUNTIF(Cablage!$A:$A,A284))</f>
        <v/>
      </c>
      <c r="K284" s="26" t="str">
        <f>IF(A284="","",COUNTIF(Liens!$A:$A,A284))</f>
        <v/>
      </c>
      <c r="L284" s="26" t="str">
        <f t="shared" si="9"/>
        <v/>
      </c>
      <c r="M284" s="11"/>
    </row>
    <row r="285" spans="1:13" ht="15" customHeight="1" x14ac:dyDescent="0.25">
      <c r="A285" s="11"/>
      <c r="B285" s="25"/>
      <c r="C285" s="11"/>
      <c r="D285" s="25"/>
      <c r="E285" s="25"/>
      <c r="F285" s="11"/>
      <c r="G285" s="11"/>
      <c r="H285" s="11"/>
      <c r="I285" s="26" t="str">
        <f t="shared" si="8"/>
        <v/>
      </c>
      <c r="J285" s="26" t="str">
        <f>IF(A285="","",COUNTIF(Cablage!$A:$A,A285))</f>
        <v/>
      </c>
      <c r="K285" s="26" t="str">
        <f>IF(A285="","",COUNTIF(Liens!$A:$A,A285))</f>
        <v/>
      </c>
      <c r="L285" s="26" t="str">
        <f t="shared" si="9"/>
        <v/>
      </c>
      <c r="M285" s="11"/>
    </row>
    <row r="286" spans="1:13" ht="15" customHeight="1" x14ac:dyDescent="0.25">
      <c r="A286" s="11"/>
      <c r="B286" s="25"/>
      <c r="C286" s="11"/>
      <c r="D286" s="25"/>
      <c r="E286" s="25"/>
      <c r="F286" s="11"/>
      <c r="G286" s="11"/>
      <c r="H286" s="11"/>
      <c r="I286" s="26" t="str">
        <f t="shared" si="8"/>
        <v/>
      </c>
      <c r="J286" s="26" t="str">
        <f>IF(A286="","",COUNTIF(Cablage!$A:$A,A286))</f>
        <v/>
      </c>
      <c r="K286" s="26" t="str">
        <f>IF(A286="","",COUNTIF(Liens!$A:$A,A286))</f>
        <v/>
      </c>
      <c r="L286" s="26" t="str">
        <f t="shared" si="9"/>
        <v/>
      </c>
      <c r="M286" s="11"/>
    </row>
    <row r="287" spans="1:13" ht="15" customHeight="1" x14ac:dyDescent="0.25">
      <c r="A287" s="11"/>
      <c r="B287" s="25"/>
      <c r="C287" s="11"/>
      <c r="D287" s="25"/>
      <c r="E287" s="25"/>
      <c r="F287" s="11"/>
      <c r="G287" s="11"/>
      <c r="H287" s="11"/>
      <c r="I287" s="26" t="str">
        <f t="shared" si="8"/>
        <v/>
      </c>
      <c r="J287" s="26" t="str">
        <f>IF(A287="","",COUNTIF(Cablage!$A:$A,A287))</f>
        <v/>
      </c>
      <c r="K287" s="26" t="str">
        <f>IF(A287="","",COUNTIF(Liens!$A:$A,A287))</f>
        <v/>
      </c>
      <c r="L287" s="26" t="str">
        <f t="shared" si="9"/>
        <v/>
      </c>
      <c r="M287" s="11"/>
    </row>
    <row r="288" spans="1:13" ht="15" customHeight="1" x14ac:dyDescent="0.25">
      <c r="A288" s="11"/>
      <c r="B288" s="25"/>
      <c r="C288" s="11"/>
      <c r="D288" s="25"/>
      <c r="E288" s="25"/>
      <c r="F288" s="11"/>
      <c r="G288" s="11"/>
      <c r="H288" s="11"/>
      <c r="I288" s="26" t="str">
        <f t="shared" si="8"/>
        <v/>
      </c>
      <c r="J288" s="26" t="str">
        <f>IF(A288="","",COUNTIF(Cablage!$A:$A,A288))</f>
        <v/>
      </c>
      <c r="K288" s="26" t="str">
        <f>IF(A288="","",COUNTIF(Liens!$A:$A,A288))</f>
        <v/>
      </c>
      <c r="L288" s="26" t="str">
        <f t="shared" si="9"/>
        <v/>
      </c>
      <c r="M288" s="11"/>
    </row>
    <row r="289" spans="1:13" ht="15" customHeight="1" x14ac:dyDescent="0.25">
      <c r="A289" s="11"/>
      <c r="B289" s="25"/>
      <c r="C289" s="11"/>
      <c r="D289" s="25"/>
      <c r="E289" s="25"/>
      <c r="F289" s="11"/>
      <c r="G289" s="11"/>
      <c r="H289" s="11"/>
      <c r="I289" s="26" t="str">
        <f t="shared" si="8"/>
        <v/>
      </c>
      <c r="J289" s="26" t="str">
        <f>IF(A289="","",COUNTIF(Cablage!$A:$A,A289))</f>
        <v/>
      </c>
      <c r="K289" s="26" t="str">
        <f>IF(A289="","",COUNTIF(Liens!$A:$A,A289))</f>
        <v/>
      </c>
      <c r="L289" s="26" t="str">
        <f t="shared" si="9"/>
        <v/>
      </c>
      <c r="M289" s="11"/>
    </row>
    <row r="290" spans="1:13" ht="15" customHeight="1" x14ac:dyDescent="0.25">
      <c r="A290" s="11"/>
      <c r="B290" s="25"/>
      <c r="C290" s="11"/>
      <c r="D290" s="25"/>
      <c r="E290" s="25"/>
      <c r="F290" s="11"/>
      <c r="G290" s="11"/>
      <c r="H290" s="11"/>
      <c r="I290" s="26" t="str">
        <f t="shared" si="8"/>
        <v/>
      </c>
      <c r="J290" s="26" t="str">
        <f>IF(A290="","",COUNTIF(Cablage!$A:$A,A290))</f>
        <v/>
      </c>
      <c r="K290" s="26" t="str">
        <f>IF(A290="","",COUNTIF(Liens!$A:$A,A290))</f>
        <v/>
      </c>
      <c r="L290" s="26" t="str">
        <f t="shared" si="9"/>
        <v/>
      </c>
      <c r="M290" s="11"/>
    </row>
    <row r="291" spans="1:13" ht="15" customHeight="1" x14ac:dyDescent="0.25">
      <c r="A291" s="11"/>
      <c r="B291" s="25"/>
      <c r="C291" s="11"/>
      <c r="D291" s="25"/>
      <c r="E291" s="25"/>
      <c r="F291" s="11"/>
      <c r="G291" s="11"/>
      <c r="H291" s="11"/>
      <c r="I291" s="26" t="str">
        <f t="shared" si="8"/>
        <v/>
      </c>
      <c r="J291" s="26" t="str">
        <f>IF(A291="","",COUNTIF(Cablage!$A:$A,A291))</f>
        <v/>
      </c>
      <c r="K291" s="26" t="str">
        <f>IF(A291="","",COUNTIF(Liens!$A:$A,A291))</f>
        <v/>
      </c>
      <c r="L291" s="26" t="str">
        <f t="shared" si="9"/>
        <v/>
      </c>
      <c r="M291" s="11"/>
    </row>
    <row r="292" spans="1:13" ht="15" customHeight="1" x14ac:dyDescent="0.25">
      <c r="A292" s="11"/>
      <c r="B292" s="25"/>
      <c r="C292" s="11"/>
      <c r="D292" s="25"/>
      <c r="E292" s="25"/>
      <c r="F292" s="11"/>
      <c r="G292" s="11"/>
      <c r="H292" s="11"/>
      <c r="I292" s="26" t="str">
        <f t="shared" si="8"/>
        <v/>
      </c>
      <c r="J292" s="26" t="str">
        <f>IF(A292="","",COUNTIF(Cablage!$A:$A,A292))</f>
        <v/>
      </c>
      <c r="K292" s="26" t="str">
        <f>IF(A292="","",COUNTIF(Liens!$A:$A,A292))</f>
        <v/>
      </c>
      <c r="L292" s="26" t="str">
        <f t="shared" si="9"/>
        <v/>
      </c>
      <c r="M292" s="11"/>
    </row>
    <row r="293" spans="1:13" ht="15" customHeight="1" x14ac:dyDescent="0.25">
      <c r="A293" s="11"/>
      <c r="B293" s="25"/>
      <c r="C293" s="11"/>
      <c r="D293" s="25"/>
      <c r="E293" s="25"/>
      <c r="F293" s="11"/>
      <c r="G293" s="11"/>
      <c r="H293" s="11"/>
      <c r="I293" s="26" t="str">
        <f t="shared" si="8"/>
        <v/>
      </c>
      <c r="J293" s="26" t="str">
        <f>IF(A293="","",COUNTIF(Cablage!$A:$A,A293))</f>
        <v/>
      </c>
      <c r="K293" s="26" t="str">
        <f>IF(A293="","",COUNTIF(Liens!$A:$A,A293))</f>
        <v/>
      </c>
      <c r="L293" s="26" t="str">
        <f t="shared" si="9"/>
        <v/>
      </c>
      <c r="M293" s="11"/>
    </row>
    <row r="294" spans="1:13" ht="15" customHeight="1" x14ac:dyDescent="0.25">
      <c r="A294" s="11"/>
      <c r="B294" s="25"/>
      <c r="C294" s="11"/>
      <c r="D294" s="25"/>
      <c r="E294" s="25"/>
      <c r="F294" s="11"/>
      <c r="G294" s="11"/>
      <c r="H294" s="11"/>
      <c r="I294" s="26" t="str">
        <f t="shared" si="8"/>
        <v/>
      </c>
      <c r="J294" s="26" t="str">
        <f>IF(A294="","",COUNTIF(Cablage!$A:$A,A294))</f>
        <v/>
      </c>
      <c r="K294" s="26" t="str">
        <f>IF(A294="","",COUNTIF(Liens!$A:$A,A294))</f>
        <v/>
      </c>
      <c r="L294" s="26" t="str">
        <f t="shared" si="9"/>
        <v/>
      </c>
      <c r="M294" s="11"/>
    </row>
    <row r="295" spans="1:13" ht="15" customHeight="1" x14ac:dyDescent="0.25">
      <c r="A295" s="11"/>
      <c r="B295" s="25"/>
      <c r="C295" s="11"/>
      <c r="D295" s="25"/>
      <c r="E295" s="25"/>
      <c r="F295" s="11"/>
      <c r="G295" s="11"/>
      <c r="H295" s="11"/>
      <c r="I295" s="26" t="str">
        <f t="shared" si="8"/>
        <v/>
      </c>
      <c r="J295" s="26" t="str">
        <f>IF(A295="","",COUNTIF(Cablage!$A:$A,A295))</f>
        <v/>
      </c>
      <c r="K295" s="26" t="str">
        <f>IF(A295="","",COUNTIF(Liens!$A:$A,A295))</f>
        <v/>
      </c>
      <c r="L295" s="26" t="str">
        <f t="shared" si="9"/>
        <v/>
      </c>
      <c r="M295" s="11"/>
    </row>
    <row r="296" spans="1:13" ht="15" customHeight="1" x14ac:dyDescent="0.25">
      <c r="A296" s="11"/>
      <c r="B296" s="25"/>
      <c r="C296" s="11"/>
      <c r="D296" s="25"/>
      <c r="E296" s="25"/>
      <c r="F296" s="11"/>
      <c r="G296" s="11"/>
      <c r="H296" s="11"/>
      <c r="I296" s="26" t="str">
        <f t="shared" si="8"/>
        <v/>
      </c>
      <c r="J296" s="26" t="str">
        <f>IF(A296="","",COUNTIF(Cablage!$A:$A,A296))</f>
        <v/>
      </c>
      <c r="K296" s="26" t="str">
        <f>IF(A296="","",COUNTIF(Liens!$A:$A,A296))</f>
        <v/>
      </c>
      <c r="L296" s="26" t="str">
        <f t="shared" si="9"/>
        <v/>
      </c>
      <c r="M296" s="11"/>
    </row>
    <row r="297" spans="1:13" ht="15" customHeight="1" x14ac:dyDescent="0.25">
      <c r="A297" s="11"/>
      <c r="B297" s="25"/>
      <c r="C297" s="11"/>
      <c r="D297" s="25"/>
      <c r="E297" s="25"/>
      <c r="F297" s="11"/>
      <c r="G297" s="11"/>
      <c r="H297" s="11"/>
      <c r="I297" s="26" t="str">
        <f t="shared" si="8"/>
        <v/>
      </c>
      <c r="J297" s="26" t="str">
        <f>IF(A297="","",COUNTIF(Cablage!$A:$A,A297))</f>
        <v/>
      </c>
      <c r="K297" s="26" t="str">
        <f>IF(A297="","",COUNTIF(Liens!$A:$A,A297))</f>
        <v/>
      </c>
      <c r="L297" s="26" t="str">
        <f t="shared" si="9"/>
        <v/>
      </c>
      <c r="M297" s="11"/>
    </row>
    <row r="298" spans="1:13" ht="15" customHeight="1" x14ac:dyDescent="0.25">
      <c r="A298" s="11"/>
      <c r="B298" s="25"/>
      <c r="C298" s="11"/>
      <c r="D298" s="25"/>
      <c r="E298" s="25"/>
      <c r="F298" s="11"/>
      <c r="G298" s="11"/>
      <c r="H298" s="11"/>
      <c r="I298" s="26" t="str">
        <f t="shared" si="8"/>
        <v/>
      </c>
      <c r="J298" s="26" t="str">
        <f>IF(A298="","",COUNTIF(Cablage!$A:$A,A298))</f>
        <v/>
      </c>
      <c r="K298" s="26" t="str">
        <f>IF(A298="","",COUNTIF(Liens!$A:$A,A298))</f>
        <v/>
      </c>
      <c r="L298" s="26" t="str">
        <f t="shared" si="9"/>
        <v/>
      </c>
      <c r="M298" s="11"/>
    </row>
    <row r="299" spans="1:13" ht="15" customHeight="1" x14ac:dyDescent="0.25">
      <c r="A299" s="11"/>
      <c r="B299" s="25"/>
      <c r="C299" s="11"/>
      <c r="D299" s="25"/>
      <c r="E299" s="25"/>
      <c r="F299" s="11"/>
      <c r="G299" s="11"/>
      <c r="H299" s="11"/>
      <c r="I299" s="26" t="str">
        <f t="shared" si="8"/>
        <v/>
      </c>
      <c r="J299" s="26" t="str">
        <f>IF(A299="","",COUNTIF(Cablage!$A:$A,A299))</f>
        <v/>
      </c>
      <c r="K299" s="26" t="str">
        <f>IF(A299="","",COUNTIF(Liens!$A:$A,A299))</f>
        <v/>
      </c>
      <c r="L299" s="26" t="str">
        <f t="shared" si="9"/>
        <v/>
      </c>
      <c r="M299" s="11"/>
    </row>
    <row r="300" spans="1:13" ht="15" customHeight="1" x14ac:dyDescent="0.25">
      <c r="A300" s="11"/>
      <c r="B300" s="25"/>
      <c r="C300" s="11"/>
      <c r="D300" s="25"/>
      <c r="E300" s="25"/>
      <c r="F300" s="11"/>
      <c r="G300" s="11"/>
      <c r="H300" s="11"/>
      <c r="I300" s="26" t="str">
        <f t="shared" si="8"/>
        <v/>
      </c>
      <c r="J300" s="26" t="str">
        <f>IF(A300="","",COUNTIF(Cablage!$A:$A,A300))</f>
        <v/>
      </c>
      <c r="K300" s="26" t="str">
        <f>IF(A300="","",COUNTIF(Liens!$A:$A,A300))</f>
        <v/>
      </c>
      <c r="L300" s="26" t="str">
        <f t="shared" si="9"/>
        <v/>
      </c>
      <c r="M300" s="11"/>
    </row>
    <row r="301" spans="1:13" ht="15" customHeight="1" x14ac:dyDescent="0.25">
      <c r="A301" s="11"/>
      <c r="B301" s="25"/>
      <c r="C301" s="11"/>
      <c r="D301" s="25"/>
      <c r="E301" s="25"/>
      <c r="F301" s="11"/>
      <c r="G301" s="11"/>
      <c r="H301" s="11"/>
      <c r="I301" s="26" t="str">
        <f t="shared" si="8"/>
        <v/>
      </c>
      <c r="J301" s="26" t="str">
        <f>IF(A301="","",COUNTIF(Cablage!$A:$A,A301))</f>
        <v/>
      </c>
      <c r="K301" s="26" t="str">
        <f>IF(A301="","",COUNTIF(Liens!$A:$A,A301))</f>
        <v/>
      </c>
      <c r="L301" s="26" t="str">
        <f t="shared" si="9"/>
        <v/>
      </c>
      <c r="M301" s="11"/>
    </row>
    <row r="302" spans="1:13" ht="15" customHeight="1" x14ac:dyDescent="0.25">
      <c r="A302" s="11"/>
      <c r="B302" s="25"/>
      <c r="C302" s="11"/>
      <c r="D302" s="25"/>
      <c r="E302" s="25"/>
      <c r="F302" s="11"/>
      <c r="G302" s="11"/>
      <c r="H302" s="11"/>
      <c r="I302" s="26" t="str">
        <f t="shared" si="8"/>
        <v/>
      </c>
      <c r="J302" s="26" t="str">
        <f>IF(A302="","",COUNTIF(Cablage!$A:$A,A302))</f>
        <v/>
      </c>
      <c r="K302" s="26" t="str">
        <f>IF(A302="","",COUNTIF(Liens!$A:$A,A302))</f>
        <v/>
      </c>
      <c r="L302" s="26" t="str">
        <f t="shared" si="9"/>
        <v/>
      </c>
      <c r="M302" s="11"/>
    </row>
    <row r="303" spans="1:13" ht="15" customHeight="1" x14ac:dyDescent="0.25">
      <c r="A303" s="11"/>
      <c r="B303" s="25"/>
      <c r="C303" s="11"/>
      <c r="D303" s="25"/>
      <c r="E303" s="25"/>
      <c r="F303" s="11"/>
      <c r="G303" s="11"/>
      <c r="H303" s="11"/>
      <c r="I303" s="26" t="str">
        <f t="shared" si="8"/>
        <v/>
      </c>
      <c r="J303" s="26" t="str">
        <f>IF(A303="","",COUNTIF(Cablage!$A:$A,A303))</f>
        <v/>
      </c>
      <c r="K303" s="26" t="str">
        <f>IF(A303="","",COUNTIF(Liens!$A:$A,A303))</f>
        <v/>
      </c>
      <c r="L303" s="26" t="str">
        <f t="shared" si="9"/>
        <v/>
      </c>
      <c r="M303" s="11"/>
    </row>
    <row r="304" spans="1:13" ht="15" customHeight="1" x14ac:dyDescent="0.25">
      <c r="A304" s="11"/>
      <c r="B304" s="25"/>
      <c r="C304" s="11"/>
      <c r="D304" s="25"/>
      <c r="E304" s="25"/>
      <c r="F304" s="11"/>
      <c r="G304" s="11"/>
      <c r="H304" s="11"/>
      <c r="I304" s="26" t="str">
        <f t="shared" si="8"/>
        <v/>
      </c>
      <c r="J304" s="26" t="str">
        <f>IF(A304="","",COUNTIF(Cablage!$A:$A,A304))</f>
        <v/>
      </c>
      <c r="K304" s="26" t="str">
        <f>IF(A304="","",COUNTIF(Liens!$A:$A,A304))</f>
        <v/>
      </c>
      <c r="L304" s="26" t="str">
        <f t="shared" si="9"/>
        <v/>
      </c>
      <c r="M304" s="11"/>
    </row>
    <row r="305" spans="1:70" ht="15" customHeight="1" x14ac:dyDescent="0.25">
      <c r="A305" s="11"/>
      <c r="B305" s="25"/>
      <c r="C305" s="11"/>
      <c r="D305" s="25"/>
      <c r="E305" s="25"/>
      <c r="F305" s="11"/>
      <c r="G305" s="11"/>
      <c r="H305" s="11"/>
      <c r="I305" s="26" t="str">
        <f t="shared" si="8"/>
        <v/>
      </c>
      <c r="J305" s="26" t="str">
        <f>IF(A305="","",COUNTIF(Cablage!$A:$A,A305))</f>
        <v/>
      </c>
      <c r="K305" s="26" t="str">
        <f>IF(A305="","",COUNTIF(Liens!$A:$A,A305))</f>
        <v/>
      </c>
      <c r="L305" s="26" t="str">
        <f t="shared" si="9"/>
        <v/>
      </c>
      <c r="M305" s="11"/>
    </row>
    <row r="306" spans="1:70" ht="15" customHeight="1" x14ac:dyDescent="0.25">
      <c r="A306" s="11"/>
      <c r="B306" s="25"/>
      <c r="C306" s="11"/>
      <c r="D306" s="25"/>
      <c r="E306" s="25"/>
      <c r="F306" s="11"/>
      <c r="G306" s="11"/>
      <c r="H306" s="11"/>
      <c r="I306" s="26" t="str">
        <f t="shared" si="8"/>
        <v/>
      </c>
      <c r="J306" s="26" t="str">
        <f>IF(A306="","",COUNTIF(Cablage!$A:$A,A306))</f>
        <v/>
      </c>
      <c r="K306" s="26" t="str">
        <f>IF(A306="","",COUNTIF(Liens!$A:$A,A306))</f>
        <v/>
      </c>
      <c r="L306" s="26" t="str">
        <f t="shared" si="9"/>
        <v/>
      </c>
      <c r="M306" s="11"/>
    </row>
    <row r="307" spans="1:70" ht="15" customHeight="1" x14ac:dyDescent="0.25">
      <c r="A307" s="11"/>
      <c r="B307" s="25"/>
      <c r="C307" s="11"/>
      <c r="D307" s="25"/>
      <c r="E307" s="25"/>
      <c r="F307" s="11"/>
      <c r="G307" s="11"/>
      <c r="H307" s="11"/>
      <c r="I307" s="26" t="str">
        <f t="shared" si="8"/>
        <v/>
      </c>
      <c r="J307" s="26" t="str">
        <f>IF(A307="","",COUNTIF(Cablage!$A:$A,A307))</f>
        <v/>
      </c>
      <c r="K307" s="26" t="str">
        <f>IF(A307="","",COUNTIF(Liens!$A:$A,A307))</f>
        <v/>
      </c>
      <c r="L307" s="26" t="str">
        <f t="shared" si="9"/>
        <v/>
      </c>
      <c r="M307" s="11"/>
    </row>
    <row r="308" spans="1:70" ht="15" customHeight="1" x14ac:dyDescent="0.25">
      <c r="A308" s="11"/>
      <c r="B308" s="25"/>
      <c r="C308" s="11"/>
      <c r="D308" s="25"/>
      <c r="E308" s="25"/>
      <c r="F308" s="11"/>
      <c r="G308" s="11"/>
      <c r="H308" s="11"/>
      <c r="I308" s="26" t="str">
        <f t="shared" si="8"/>
        <v/>
      </c>
      <c r="J308" s="26" t="str">
        <f>IF(A308="","",COUNTIF(Cablage!$A:$A,A308))</f>
        <v/>
      </c>
      <c r="K308" s="26" t="str">
        <f>IF(A308="","",COUNTIF(Liens!$A:$A,A308))</f>
        <v/>
      </c>
      <c r="L308" s="26" t="str">
        <f t="shared" si="9"/>
        <v/>
      </c>
      <c r="M308" s="11"/>
    </row>
    <row r="310" spans="1:70" x14ac:dyDescent="0.25">
      <c r="BR310" s="17" t="s">
        <v>243</v>
      </c>
    </row>
  </sheetData>
  <autoFilter ref="A7:M7" xr:uid="{00000000-0009-0000-0000-000005000000}"/>
  <mergeCells count="5">
    <mergeCell ref="A1:M1"/>
    <mergeCell ref="A2:M2"/>
    <mergeCell ref="A6:D6"/>
    <mergeCell ref="E6:I6"/>
    <mergeCell ref="J6:L6"/>
  </mergeCells>
  <dataValidations count="3">
    <dataValidation type="list" allowBlank="1" sqref="B9:B308" xr:uid="{00000000-0002-0000-0500-000000000000}">
      <formula1>CatFamilles</formula1>
      <formula2>0</formula2>
    </dataValidation>
    <dataValidation type="list" allowBlank="1" sqref="D9:D308" xr:uid="{00000000-0002-0000-0500-000001000000}">
      <formula1>"O,N"</formula1>
      <formula2>0</formula2>
    </dataValidation>
    <dataValidation type="list" allowBlank="1" sqref="E9:E308" xr:uid="{00000000-0002-0000-0500-000002000000}">
      <formula1>"Tableau,Variable seule"</formula1>
      <formula2>0</formula2>
    </dataValidation>
  </dataValidations>
  <printOptions horizontalCentered="1"/>
  <pageMargins left="0.35" right="0.35" top="0.45" bottom="0.5" header="0.511811023622047" footer="0.5"/>
  <pageSetup paperSize="9" fitToHeight="0" orientation="landscape" horizontalDpi="300" verticalDpi="300"/>
  <headerFooter>
    <oddFooter>&amp;L&amp;7 Affaire 2024_06_264 - Equipements&amp;C&amp;7 &amp;D&amp;R&amp;7 page 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pageSetUpPr fitToPage="1"/>
  </sheetPr>
  <dimension ref="A1:BR610"/>
  <sheetViews>
    <sheetView zoomScaleNormal="100" workbookViewId="0">
      <pane ySplit="8" topLeftCell="A9" activePane="bottomLeft" state="frozen"/>
      <selection pane="bottomLeft" sqref="A1:J1"/>
    </sheetView>
  </sheetViews>
  <sheetFormatPr baseColWidth="10" defaultColWidth="8.7109375" defaultRowHeight="15" x14ac:dyDescent="0.25"/>
  <cols>
    <col min="1" max="1" width="24" customWidth="1"/>
    <col min="2" max="2" width="6.85546875" customWidth="1"/>
    <col min="3" max="3" width="15.42578125" customWidth="1"/>
    <col min="4" max="4" width="13.42578125" customWidth="1"/>
    <col min="5" max="5" width="6.42578125" customWidth="1"/>
    <col min="6" max="6" width="22" customWidth="1"/>
    <col min="7" max="7" width="6.42578125" customWidth="1"/>
    <col min="8" max="8" width="24" customWidth="1"/>
    <col min="9" max="9" width="9.42578125" customWidth="1"/>
    <col min="10" max="10" width="30" customWidth="1"/>
  </cols>
  <sheetData>
    <row r="1" spans="1:10" ht="25.5" customHeight="1" x14ac:dyDescent="0.25">
      <c r="A1" s="9" t="s">
        <v>244</v>
      </c>
      <c r="B1" s="9"/>
      <c r="C1" s="9"/>
      <c r="D1" s="9"/>
      <c r="E1" s="9"/>
      <c r="F1" s="9"/>
      <c r="G1" s="9"/>
      <c r="H1" s="9"/>
      <c r="I1" s="9"/>
      <c r="J1" s="9"/>
    </row>
    <row r="2" spans="1:10" ht="15.75" customHeight="1" x14ac:dyDescent="0.25">
      <c r="A2" s="8" t="s">
        <v>245</v>
      </c>
      <c r="B2" s="8"/>
      <c r="C2" s="8"/>
      <c r="D2" s="8"/>
      <c r="E2" s="8"/>
      <c r="F2" s="8"/>
      <c r="G2" s="8"/>
      <c r="H2" s="8"/>
      <c r="I2" s="8"/>
      <c r="J2" s="8"/>
    </row>
    <row r="3" spans="1:10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0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0" ht="15" customHeight="1" x14ac:dyDescent="0.25">
      <c r="A6" s="5" t="s">
        <v>155</v>
      </c>
      <c r="B6" s="5"/>
      <c r="C6" s="5"/>
      <c r="D6" s="4" t="s">
        <v>143</v>
      </c>
      <c r="E6" s="4"/>
      <c r="F6" s="4"/>
      <c r="G6" s="4"/>
      <c r="H6" s="4"/>
      <c r="I6" s="4"/>
      <c r="J6" s="4"/>
    </row>
    <row r="7" spans="1:10" ht="30" customHeight="1" x14ac:dyDescent="0.25">
      <c r="A7" s="23" t="s">
        <v>155</v>
      </c>
      <c r="B7" s="23" t="s">
        <v>215</v>
      </c>
      <c r="C7" s="23" t="s">
        <v>246</v>
      </c>
      <c r="D7" s="23" t="s">
        <v>247</v>
      </c>
      <c r="E7" s="23" t="s">
        <v>248</v>
      </c>
      <c r="F7" s="23" t="s">
        <v>249</v>
      </c>
      <c r="G7" s="23" t="s">
        <v>250</v>
      </c>
      <c r="H7" s="23" t="s">
        <v>251</v>
      </c>
      <c r="I7" s="23" t="s">
        <v>152</v>
      </c>
      <c r="J7" s="23" t="s">
        <v>150</v>
      </c>
    </row>
    <row r="8" spans="1:10" ht="12.75" customHeight="1" x14ac:dyDescent="0.25">
      <c r="A8" s="24"/>
      <c r="B8" s="24"/>
      <c r="C8" s="24"/>
      <c r="D8" s="24" t="s">
        <v>252</v>
      </c>
      <c r="E8" s="24"/>
      <c r="F8" s="24"/>
      <c r="G8" s="24"/>
      <c r="H8" s="24"/>
      <c r="I8" s="24"/>
      <c r="J8" s="24"/>
    </row>
    <row r="9" spans="1:10" ht="15" customHeight="1" x14ac:dyDescent="0.25">
      <c r="A9" s="26" t="s">
        <v>1088</v>
      </c>
      <c r="B9" s="26" t="s">
        <v>738</v>
      </c>
      <c r="C9" s="26" t="str">
        <f>IFERROR(IF(OR(A9="",B9=""),"",INDEX(Equipements!$H:$H,MATCH(A9,Equipements!$A:$A,0))&amp;"."&amp;B9),"")</f>
        <v>.Fbk</v>
      </c>
      <c r="D9" s="26" t="s">
        <v>93</v>
      </c>
      <c r="E9" s="26">
        <v>12</v>
      </c>
      <c r="F9" s="26" t="s">
        <v>1099</v>
      </c>
      <c r="G9" s="26" t="s">
        <v>905</v>
      </c>
      <c r="H9" s="26" t="str">
        <f>IF(F9="","",F9&amp;IF(G9="","","."&amp;G9))</f>
        <v>CarteDI_R0S4[3].Val</v>
      </c>
      <c r="I9" s="26" t="s">
        <v>1100</v>
      </c>
      <c r="J9" s="26"/>
    </row>
    <row r="10" spans="1:10" ht="15" customHeight="1" x14ac:dyDescent="0.25">
      <c r="A10" s="26"/>
      <c r="B10" s="26"/>
      <c r="C10" s="26" t="str">
        <f>IFERROR(IF(OR(A10="",B10=""),"",INDEX(Equipements!$H:$H,MATCH(A10,Equipements!$A:$A,0))&amp;"."&amp;B10),"")</f>
        <v/>
      </c>
      <c r="D10" s="26"/>
      <c r="E10" s="26"/>
      <c r="F10" s="26"/>
      <c r="G10" s="26"/>
      <c r="H10" s="26"/>
      <c r="I10" s="26"/>
      <c r="J10" s="26"/>
    </row>
    <row r="11" spans="1:10" ht="15" customHeight="1" x14ac:dyDescent="0.25">
      <c r="A11" s="26"/>
      <c r="B11" s="26"/>
      <c r="C11" s="26" t="str">
        <f>IFERROR(IF(OR(A11="",B11=""),"",INDEX(Equipements!$H:$H,MATCH(A11,Equipements!$A:$A,0))&amp;"."&amp;B11),"")</f>
        <v/>
      </c>
      <c r="D11" s="26"/>
      <c r="E11" s="26"/>
      <c r="F11" s="26"/>
      <c r="G11" s="26"/>
      <c r="H11" s="26"/>
      <c r="I11" s="26"/>
      <c r="J11" s="26"/>
    </row>
    <row r="12" spans="1:10" ht="15" customHeight="1" x14ac:dyDescent="0.25">
      <c r="A12" s="26"/>
      <c r="B12" s="26"/>
      <c r="C12" s="26" t="str">
        <f>IFERROR(IF(OR(A12="",B12=""),"",INDEX(Equipements!$H:$H,MATCH(A12,Equipements!$A:$A,0))&amp;"."&amp;B12),"")</f>
        <v/>
      </c>
      <c r="D12" s="26"/>
      <c r="E12" s="26"/>
      <c r="F12" s="26"/>
      <c r="G12" s="26"/>
      <c r="H12" s="26"/>
      <c r="I12" s="26"/>
      <c r="J12" s="26"/>
    </row>
    <row r="13" spans="1:10" ht="15" customHeight="1" x14ac:dyDescent="0.25">
      <c r="A13" s="26"/>
      <c r="B13" s="26"/>
      <c r="C13" s="26" t="str">
        <f>IFERROR(IF(OR(A13="",B13=""),"",INDEX(Equipements!$H:$H,MATCH(A13,Equipements!$A:$A,0))&amp;"."&amp;B13),"")</f>
        <v/>
      </c>
      <c r="D13" s="26"/>
      <c r="E13" s="26"/>
      <c r="F13" s="26"/>
      <c r="G13" s="26"/>
      <c r="H13" s="26"/>
      <c r="I13" s="26"/>
      <c r="J13" s="26"/>
    </row>
    <row r="14" spans="1:10" ht="15" customHeight="1" x14ac:dyDescent="0.25">
      <c r="A14" s="26"/>
      <c r="B14" s="26"/>
      <c r="C14" s="26" t="str">
        <f>IFERROR(IF(OR(A14="",B14=""),"",INDEX(Equipements!$H:$H,MATCH(A14,Equipements!$A:$A,0))&amp;"."&amp;B14),"")</f>
        <v/>
      </c>
      <c r="D14" s="26"/>
      <c r="E14" s="26"/>
      <c r="F14" s="26"/>
      <c r="G14" s="26"/>
      <c r="H14" s="26"/>
      <c r="I14" s="26"/>
      <c r="J14" s="26"/>
    </row>
    <row r="15" spans="1:10" ht="15" customHeight="1" x14ac:dyDescent="0.25">
      <c r="A15" s="26"/>
      <c r="B15" s="26"/>
      <c r="C15" s="26" t="str">
        <f>IFERROR(IF(OR(A15="",B15=""),"",INDEX(Equipements!$H:$H,MATCH(A15,Equipements!$A:$A,0))&amp;"."&amp;B15),"")</f>
        <v/>
      </c>
      <c r="D15" s="26"/>
      <c r="E15" s="26"/>
      <c r="F15" s="26"/>
      <c r="G15" s="26"/>
      <c r="H15" s="26"/>
      <c r="I15" s="26"/>
      <c r="J15" s="26"/>
    </row>
    <row r="16" spans="1:10" ht="15" customHeight="1" x14ac:dyDescent="0.25">
      <c r="A16" s="26"/>
      <c r="B16" s="26"/>
      <c r="C16" s="26" t="str">
        <f>IFERROR(IF(OR(A16="",B16=""),"",INDEX(Equipements!$H:$H,MATCH(A16,Equipements!$A:$A,0))&amp;"."&amp;B16),"")</f>
        <v/>
      </c>
      <c r="D16" s="26"/>
      <c r="E16" s="26"/>
      <c r="F16" s="26"/>
      <c r="G16" s="26"/>
      <c r="H16" s="26"/>
      <c r="I16" s="26"/>
      <c r="J16" s="26"/>
    </row>
    <row r="17" spans="1:10" ht="15" customHeight="1" x14ac:dyDescent="0.25">
      <c r="A17" s="26"/>
      <c r="B17" s="26"/>
      <c r="C17" s="26" t="str">
        <f>IFERROR(IF(OR(A17="",B17=""),"",INDEX(Equipements!$H:$H,MATCH(A17,Equipements!$A:$A,0))&amp;"."&amp;B17),"")</f>
        <v/>
      </c>
      <c r="D17" s="26"/>
      <c r="E17" s="26"/>
      <c r="F17" s="26"/>
      <c r="G17" s="26"/>
      <c r="H17" s="26"/>
      <c r="I17" s="26"/>
      <c r="J17" s="26"/>
    </row>
    <row r="18" spans="1:10" ht="15" customHeight="1" x14ac:dyDescent="0.25">
      <c r="A18" s="26"/>
      <c r="B18" s="26"/>
      <c r="C18" s="26" t="str">
        <f>IFERROR(IF(OR(A18="",B18=""),"",INDEX(Equipements!$H:$H,MATCH(A18,Equipements!$A:$A,0))&amp;"."&amp;B18),"")</f>
        <v/>
      </c>
      <c r="D18" s="26"/>
      <c r="E18" s="26"/>
      <c r="F18" s="26"/>
      <c r="G18" s="26"/>
      <c r="H18" s="26"/>
      <c r="I18" s="26"/>
      <c r="J18" s="26"/>
    </row>
    <row r="19" spans="1:10" ht="15" customHeight="1" x14ac:dyDescent="0.25">
      <c r="A19" s="26"/>
      <c r="B19" s="26"/>
      <c r="C19" s="26" t="str">
        <f>IFERROR(IF(OR(A19="",B19=""),"",INDEX(Equipements!$H:$H,MATCH(A19,Equipements!$A:$A,0))&amp;"."&amp;B19),"")</f>
        <v/>
      </c>
      <c r="D19" s="26"/>
      <c r="E19" s="26"/>
      <c r="F19" s="26"/>
      <c r="G19" s="26"/>
      <c r="H19" s="26"/>
      <c r="I19" s="26"/>
      <c r="J19" s="26"/>
    </row>
    <row r="20" spans="1:10" ht="15" customHeight="1" x14ac:dyDescent="0.25">
      <c r="A20" s="26"/>
      <c r="B20" s="26"/>
      <c r="C20" s="26" t="str">
        <f>IFERROR(IF(OR(A20="",B20=""),"",INDEX(Equipements!$H:$H,MATCH(A20,Equipements!$A:$A,0))&amp;"."&amp;B20),"")</f>
        <v/>
      </c>
      <c r="D20" s="26"/>
      <c r="E20" s="26"/>
      <c r="F20" s="26"/>
      <c r="G20" s="26"/>
      <c r="H20" s="26"/>
      <c r="I20" s="26"/>
      <c r="J20" s="26"/>
    </row>
    <row r="21" spans="1:10" ht="15" customHeight="1" x14ac:dyDescent="0.25">
      <c r="A21" s="26"/>
      <c r="B21" s="26"/>
      <c r="C21" s="26" t="str">
        <f>IFERROR(IF(OR(A21="",B21=""),"",INDEX(Equipements!$H:$H,MATCH(A21,Equipements!$A:$A,0))&amp;"."&amp;B21),"")</f>
        <v/>
      </c>
      <c r="D21" s="26"/>
      <c r="E21" s="26"/>
      <c r="F21" s="26"/>
      <c r="G21" s="26"/>
      <c r="H21" s="26"/>
      <c r="I21" s="26"/>
      <c r="J21" s="26"/>
    </row>
    <row r="22" spans="1:10" ht="15" customHeight="1" x14ac:dyDescent="0.25">
      <c r="A22" s="26"/>
      <c r="B22" s="26"/>
      <c r="C22" s="26" t="str">
        <f>IFERROR(IF(OR(A22="",B22=""),"",INDEX(Equipements!$H:$H,MATCH(A22,Equipements!$A:$A,0))&amp;"."&amp;B22),"")</f>
        <v/>
      </c>
      <c r="D22" s="26"/>
      <c r="E22" s="26"/>
      <c r="F22" s="26"/>
      <c r="G22" s="26"/>
      <c r="H22" s="26"/>
      <c r="I22" s="26"/>
      <c r="J22" s="26"/>
    </row>
    <row r="23" spans="1:10" ht="15" customHeight="1" x14ac:dyDescent="0.25">
      <c r="A23" s="26"/>
      <c r="B23" s="26"/>
      <c r="C23" s="26" t="str">
        <f>IFERROR(IF(OR(A23="",B23=""),"",INDEX(Equipements!$H:$H,MATCH(A23,Equipements!$A:$A,0))&amp;"."&amp;B23),"")</f>
        <v/>
      </c>
      <c r="D23" s="26"/>
      <c r="E23" s="26"/>
      <c r="F23" s="26"/>
      <c r="G23" s="26"/>
      <c r="H23" s="26"/>
      <c r="I23" s="26"/>
      <c r="J23" s="26"/>
    </row>
    <row r="24" spans="1:10" ht="15" customHeight="1" x14ac:dyDescent="0.25">
      <c r="A24" s="26"/>
      <c r="B24" s="26"/>
      <c r="C24" s="26" t="str">
        <f>IFERROR(IF(OR(A24="",B24=""),"",INDEX(Equipements!$H:$H,MATCH(A24,Equipements!$A:$A,0))&amp;"."&amp;B24),"")</f>
        <v/>
      </c>
      <c r="D24" s="26"/>
      <c r="E24" s="26"/>
      <c r="F24" s="26"/>
      <c r="G24" s="26"/>
      <c r="H24" s="26"/>
      <c r="I24" s="26"/>
      <c r="J24" s="26"/>
    </row>
    <row r="25" spans="1:10" ht="15" customHeight="1" x14ac:dyDescent="0.25">
      <c r="A25" s="26"/>
      <c r="B25" s="26"/>
      <c r="C25" s="26" t="str">
        <f>IFERROR(IF(OR(A25="",B25=""),"",INDEX(Equipements!$H:$H,MATCH(A25,Equipements!$A:$A,0))&amp;"."&amp;B25),"")</f>
        <v/>
      </c>
      <c r="D25" s="26"/>
      <c r="E25" s="26"/>
      <c r="F25" s="26"/>
      <c r="G25" s="26"/>
      <c r="H25" s="26"/>
      <c r="I25" s="26"/>
      <c r="J25" s="26"/>
    </row>
    <row r="26" spans="1:10" ht="15" customHeight="1" x14ac:dyDescent="0.25">
      <c r="A26" s="26"/>
      <c r="B26" s="26"/>
      <c r="C26" s="26" t="str">
        <f>IFERROR(IF(OR(A26="",B26=""),"",INDEX(Equipements!$H:$H,MATCH(A26,Equipements!$A:$A,0))&amp;"."&amp;B26),"")</f>
        <v/>
      </c>
      <c r="D26" s="26"/>
      <c r="E26" s="26"/>
      <c r="F26" s="26"/>
      <c r="G26" s="26"/>
      <c r="H26" s="26"/>
      <c r="I26" s="26"/>
      <c r="J26" s="26"/>
    </row>
    <row r="27" spans="1:10" ht="15" customHeight="1" x14ac:dyDescent="0.25">
      <c r="A27" s="26"/>
      <c r="B27" s="26"/>
      <c r="C27" s="26" t="str">
        <f>IFERROR(IF(OR(A27="",B27=""),"",INDEX(Equipements!$H:$H,MATCH(A27,Equipements!$A:$A,0))&amp;"."&amp;B27),"")</f>
        <v/>
      </c>
      <c r="D27" s="26"/>
      <c r="E27" s="26"/>
      <c r="F27" s="26"/>
      <c r="G27" s="26"/>
      <c r="H27" s="26"/>
      <c r="I27" s="26"/>
      <c r="J27" s="26"/>
    </row>
    <row r="28" spans="1:10" ht="15" customHeight="1" x14ac:dyDescent="0.25">
      <c r="A28" s="26"/>
      <c r="B28" s="26"/>
      <c r="C28" s="26" t="str">
        <f>IFERROR(IF(OR(A28="",B28=""),"",INDEX(Equipements!$H:$H,MATCH(A28,Equipements!$A:$A,0))&amp;"."&amp;B28),"")</f>
        <v/>
      </c>
      <c r="D28" s="26"/>
      <c r="E28" s="26"/>
      <c r="F28" s="26"/>
      <c r="G28" s="26"/>
      <c r="H28" s="26"/>
      <c r="I28" s="26"/>
      <c r="J28" s="26"/>
    </row>
    <row r="29" spans="1:10" ht="15" customHeight="1" x14ac:dyDescent="0.25">
      <c r="A29" s="26"/>
      <c r="B29" s="26"/>
      <c r="C29" s="26" t="str">
        <f>IFERROR(IF(OR(A29="",B29=""),"",INDEX(Equipements!$H:$H,MATCH(A29,Equipements!$A:$A,0))&amp;"."&amp;B29),"")</f>
        <v/>
      </c>
      <c r="D29" s="26"/>
      <c r="E29" s="26"/>
      <c r="F29" s="26"/>
      <c r="G29" s="26"/>
      <c r="H29" s="26"/>
      <c r="I29" s="26"/>
      <c r="J29" s="26"/>
    </row>
    <row r="30" spans="1:10" ht="15" customHeight="1" x14ac:dyDescent="0.25">
      <c r="A30" s="26"/>
      <c r="B30" s="26"/>
      <c r="C30" s="26" t="str">
        <f>IFERROR(IF(OR(A30="",B30=""),"",INDEX(Equipements!$H:$H,MATCH(A30,Equipements!$A:$A,0))&amp;"."&amp;B30),"")</f>
        <v/>
      </c>
      <c r="D30" s="26"/>
      <c r="E30" s="26"/>
      <c r="F30" s="26"/>
      <c r="G30" s="26"/>
      <c r="H30" s="26"/>
      <c r="I30" s="26"/>
      <c r="J30" s="26"/>
    </row>
    <row r="31" spans="1:10" ht="15" customHeight="1" x14ac:dyDescent="0.25">
      <c r="A31" s="26"/>
      <c r="B31" s="26"/>
      <c r="C31" s="26" t="str">
        <f>IFERROR(IF(OR(A31="",B31=""),"",INDEX(Equipements!$H:$H,MATCH(A31,Equipements!$A:$A,0))&amp;"."&amp;B31),"")</f>
        <v/>
      </c>
      <c r="D31" s="26"/>
      <c r="E31" s="26"/>
      <c r="F31" s="26"/>
      <c r="G31" s="26"/>
      <c r="H31" s="26"/>
      <c r="I31" s="26"/>
      <c r="J31" s="26"/>
    </row>
    <row r="32" spans="1:10" ht="15" customHeight="1" x14ac:dyDescent="0.25">
      <c r="A32" s="26"/>
      <c r="B32" s="26"/>
      <c r="C32" s="26" t="str">
        <f>IFERROR(IF(OR(A32="",B32=""),"",INDEX(Equipements!$H:$H,MATCH(A32,Equipements!$A:$A,0))&amp;"."&amp;B32),"")</f>
        <v/>
      </c>
      <c r="D32" s="26"/>
      <c r="E32" s="26"/>
      <c r="F32" s="26"/>
      <c r="G32" s="26"/>
      <c r="H32" s="26"/>
      <c r="I32" s="26"/>
      <c r="J32" s="26"/>
    </row>
    <row r="33" spans="1:10" ht="15" customHeight="1" x14ac:dyDescent="0.25">
      <c r="A33" s="26"/>
      <c r="B33" s="26"/>
      <c r="C33" s="26" t="str">
        <f>IFERROR(IF(OR(A33="",B33=""),"",INDEX(Equipements!$H:$H,MATCH(A33,Equipements!$A:$A,0))&amp;"."&amp;B33),"")</f>
        <v/>
      </c>
      <c r="D33" s="26"/>
      <c r="E33" s="26"/>
      <c r="F33" s="26"/>
      <c r="G33" s="26"/>
      <c r="H33" s="26"/>
      <c r="I33" s="26"/>
      <c r="J33" s="26"/>
    </row>
    <row r="34" spans="1:10" ht="15" customHeight="1" x14ac:dyDescent="0.25">
      <c r="A34" s="26"/>
      <c r="B34" s="26"/>
      <c r="C34" s="26" t="str">
        <f>IFERROR(IF(OR(A34="",B34=""),"",INDEX(Equipements!$H:$H,MATCH(A34,Equipements!$A:$A,0))&amp;"."&amp;B34),"")</f>
        <v/>
      </c>
      <c r="D34" s="26"/>
      <c r="E34" s="26"/>
      <c r="F34" s="26"/>
      <c r="G34" s="26"/>
      <c r="H34" s="26"/>
      <c r="I34" s="26"/>
      <c r="J34" s="26"/>
    </row>
    <row r="35" spans="1:10" ht="15" customHeight="1" x14ac:dyDescent="0.25">
      <c r="A35" s="26"/>
      <c r="B35" s="26"/>
      <c r="C35" s="26" t="str">
        <f>IFERROR(IF(OR(A35="",B35=""),"",INDEX(Equipements!$H:$H,MATCH(A35,Equipements!$A:$A,0))&amp;"."&amp;B35),"")</f>
        <v/>
      </c>
      <c r="D35" s="26"/>
      <c r="E35" s="26"/>
      <c r="F35" s="26"/>
      <c r="G35" s="26"/>
      <c r="H35" s="26"/>
      <c r="I35" s="26"/>
      <c r="J35" s="26"/>
    </row>
    <row r="36" spans="1:10" ht="15" customHeight="1" x14ac:dyDescent="0.25">
      <c r="A36" s="26"/>
      <c r="B36" s="26"/>
      <c r="C36" s="26" t="str">
        <f>IFERROR(IF(OR(A36="",B36=""),"",INDEX(Equipements!$H:$H,MATCH(A36,Equipements!$A:$A,0))&amp;"."&amp;B36),"")</f>
        <v/>
      </c>
      <c r="D36" s="26"/>
      <c r="E36" s="26"/>
      <c r="F36" s="26"/>
      <c r="G36" s="26"/>
      <c r="H36" s="26"/>
      <c r="I36" s="26"/>
      <c r="J36" s="26"/>
    </row>
    <row r="37" spans="1:10" ht="15" customHeight="1" x14ac:dyDescent="0.25">
      <c r="A37" s="26"/>
      <c r="B37" s="26"/>
      <c r="C37" s="26" t="str">
        <f>IFERROR(IF(OR(A37="",B37=""),"",INDEX(Equipements!$H:$H,MATCH(A37,Equipements!$A:$A,0))&amp;"."&amp;B37),"")</f>
        <v/>
      </c>
      <c r="D37" s="26"/>
      <c r="E37" s="26"/>
      <c r="F37" s="26"/>
      <c r="G37" s="26"/>
      <c r="H37" s="26"/>
      <c r="I37" s="26"/>
      <c r="J37" s="26"/>
    </row>
    <row r="38" spans="1:10" ht="15" customHeight="1" x14ac:dyDescent="0.25">
      <c r="A38" s="26"/>
      <c r="B38" s="26"/>
      <c r="C38" s="26" t="str">
        <f>IFERROR(IF(OR(A38="",B38=""),"",INDEX(Equipements!$H:$H,MATCH(A38,Equipements!$A:$A,0))&amp;"."&amp;B38),"")</f>
        <v/>
      </c>
      <c r="D38" s="26"/>
      <c r="E38" s="26"/>
      <c r="F38" s="26"/>
      <c r="G38" s="26"/>
      <c r="H38" s="26"/>
      <c r="I38" s="26"/>
      <c r="J38" s="26"/>
    </row>
    <row r="39" spans="1:10" ht="15" customHeight="1" x14ac:dyDescent="0.25">
      <c r="A39" s="26"/>
      <c r="B39" s="26"/>
      <c r="C39" s="26" t="str">
        <f>IFERROR(IF(OR(A39="",B39=""),"",INDEX(Equipements!$H:$H,MATCH(A39,Equipements!$A:$A,0))&amp;"."&amp;B39),"")</f>
        <v/>
      </c>
      <c r="D39" s="26"/>
      <c r="E39" s="26"/>
      <c r="F39" s="26"/>
      <c r="G39" s="26"/>
      <c r="H39" s="26"/>
      <c r="I39" s="26"/>
      <c r="J39" s="26"/>
    </row>
    <row r="40" spans="1:10" ht="15" customHeight="1" x14ac:dyDescent="0.25">
      <c r="A40" s="26"/>
      <c r="B40" s="26"/>
      <c r="C40" s="26" t="str">
        <f>IFERROR(IF(OR(A40="",B40=""),"",INDEX(Equipements!$H:$H,MATCH(A40,Equipements!$A:$A,0))&amp;"."&amp;B40),"")</f>
        <v/>
      </c>
      <c r="D40" s="26"/>
      <c r="E40" s="26"/>
      <c r="F40" s="26"/>
      <c r="G40" s="26"/>
      <c r="H40" s="26"/>
      <c r="I40" s="26"/>
      <c r="J40" s="26"/>
    </row>
    <row r="41" spans="1:10" ht="15" customHeight="1" x14ac:dyDescent="0.25">
      <c r="A41" s="26"/>
      <c r="B41" s="26"/>
      <c r="C41" s="26" t="str">
        <f>IFERROR(IF(OR(A41="",B41=""),"",INDEX(Equipements!$H:$H,MATCH(A41,Equipements!$A:$A,0))&amp;"."&amp;B41),"")</f>
        <v/>
      </c>
      <c r="D41" s="26"/>
      <c r="E41" s="26"/>
      <c r="F41" s="26"/>
      <c r="G41" s="26"/>
      <c r="H41" s="26"/>
      <c r="I41" s="26"/>
      <c r="J41" s="26"/>
    </row>
    <row r="42" spans="1:10" ht="15" customHeight="1" x14ac:dyDescent="0.25">
      <c r="A42" s="26"/>
      <c r="B42" s="26"/>
      <c r="C42" s="26" t="str">
        <f>IFERROR(IF(OR(A42="",B42=""),"",INDEX(Equipements!$H:$H,MATCH(A42,Equipements!$A:$A,0))&amp;"."&amp;B42),"")</f>
        <v/>
      </c>
      <c r="D42" s="26"/>
      <c r="E42" s="26"/>
      <c r="F42" s="26"/>
      <c r="G42" s="26"/>
      <c r="H42" s="26"/>
      <c r="I42" s="26"/>
      <c r="J42" s="26"/>
    </row>
    <row r="43" spans="1:10" ht="15" customHeight="1" x14ac:dyDescent="0.25">
      <c r="A43" s="26"/>
      <c r="B43" s="26"/>
      <c r="C43" s="26" t="str">
        <f>IFERROR(IF(OR(A43="",B43=""),"",INDEX(Equipements!$H:$H,MATCH(A43,Equipements!$A:$A,0))&amp;"."&amp;B43),"")</f>
        <v/>
      </c>
      <c r="D43" s="26"/>
      <c r="E43" s="26"/>
      <c r="F43" s="26"/>
      <c r="G43" s="26"/>
      <c r="H43" s="26"/>
      <c r="I43" s="26"/>
      <c r="J43" s="26"/>
    </row>
    <row r="44" spans="1:10" ht="15" customHeight="1" x14ac:dyDescent="0.25">
      <c r="A44" s="26"/>
      <c r="B44" s="26"/>
      <c r="C44" s="26" t="str">
        <f>IFERROR(IF(OR(A44="",B44=""),"",INDEX(Equipements!$H:$H,MATCH(A44,Equipements!$A:$A,0))&amp;"."&amp;B44),"")</f>
        <v/>
      </c>
      <c r="D44" s="26"/>
      <c r="E44" s="26"/>
      <c r="F44" s="26"/>
      <c r="G44" s="26"/>
      <c r="H44" s="26"/>
      <c r="I44" s="26"/>
      <c r="J44" s="26"/>
    </row>
    <row r="45" spans="1:10" ht="15" customHeight="1" x14ac:dyDescent="0.25">
      <c r="A45" s="26"/>
      <c r="B45" s="26"/>
      <c r="C45" s="26" t="str">
        <f>IFERROR(IF(OR(A45="",B45=""),"",INDEX(Equipements!$H:$H,MATCH(A45,Equipements!$A:$A,0))&amp;"."&amp;B45),"")</f>
        <v/>
      </c>
      <c r="D45" s="26"/>
      <c r="E45" s="26"/>
      <c r="F45" s="26"/>
      <c r="G45" s="26"/>
      <c r="H45" s="26"/>
      <c r="I45" s="26"/>
      <c r="J45" s="26"/>
    </row>
    <row r="46" spans="1:10" ht="15" customHeight="1" x14ac:dyDescent="0.25">
      <c r="A46" s="26"/>
      <c r="B46" s="26"/>
      <c r="C46" s="26" t="str">
        <f>IFERROR(IF(OR(A46="",B46=""),"",INDEX(Equipements!$H:$H,MATCH(A46,Equipements!$A:$A,0))&amp;"."&amp;B46),"")</f>
        <v/>
      </c>
      <c r="D46" s="26"/>
      <c r="E46" s="26"/>
      <c r="F46" s="26"/>
      <c r="G46" s="26"/>
      <c r="H46" s="26"/>
      <c r="I46" s="26"/>
      <c r="J46" s="26"/>
    </row>
    <row r="47" spans="1:10" ht="15" customHeight="1" x14ac:dyDescent="0.25">
      <c r="A47" s="26"/>
      <c r="B47" s="26"/>
      <c r="C47" s="26" t="str">
        <f>IFERROR(IF(OR(A47="",B47=""),"",INDEX(Equipements!$H:$H,MATCH(A47,Equipements!$A:$A,0))&amp;"."&amp;B47),"")</f>
        <v/>
      </c>
      <c r="D47" s="26"/>
      <c r="E47" s="26"/>
      <c r="F47" s="26"/>
      <c r="G47" s="26"/>
      <c r="H47" s="26"/>
      <c r="I47" s="26"/>
      <c r="J47" s="26"/>
    </row>
    <row r="48" spans="1:10" ht="15" customHeight="1" x14ac:dyDescent="0.25">
      <c r="A48" s="26"/>
      <c r="B48" s="26"/>
      <c r="C48" s="26" t="str">
        <f>IFERROR(IF(OR(A48="",B48=""),"",INDEX(Equipements!$H:$H,MATCH(A48,Equipements!$A:$A,0))&amp;"."&amp;B48),"")</f>
        <v/>
      </c>
      <c r="D48" s="26"/>
      <c r="E48" s="26"/>
      <c r="F48" s="26"/>
      <c r="G48" s="26"/>
      <c r="H48" s="26"/>
      <c r="I48" s="26"/>
      <c r="J48" s="26"/>
    </row>
    <row r="49" spans="1:10" ht="15" customHeight="1" x14ac:dyDescent="0.25">
      <c r="A49" s="26"/>
      <c r="B49" s="26"/>
      <c r="C49" s="26" t="str">
        <f>IFERROR(IF(OR(A49="",B49=""),"",INDEX(Equipements!$H:$H,MATCH(A49,Equipements!$A:$A,0))&amp;"."&amp;B49),"")</f>
        <v/>
      </c>
      <c r="D49" s="26"/>
      <c r="E49" s="26"/>
      <c r="F49" s="26"/>
      <c r="G49" s="26"/>
      <c r="H49" s="26"/>
      <c r="I49" s="26"/>
      <c r="J49" s="26"/>
    </row>
    <row r="50" spans="1:10" ht="15" customHeight="1" x14ac:dyDescent="0.25">
      <c r="A50" s="26"/>
      <c r="B50" s="26"/>
      <c r="C50" s="26" t="str">
        <f>IFERROR(IF(OR(A50="",B50=""),"",INDEX(Equipements!$H:$H,MATCH(A50,Equipements!$A:$A,0))&amp;"."&amp;B50),"")</f>
        <v/>
      </c>
      <c r="D50" s="26"/>
      <c r="E50" s="26"/>
      <c r="F50" s="26"/>
      <c r="G50" s="26"/>
      <c r="H50" s="26"/>
      <c r="I50" s="26"/>
      <c r="J50" s="26"/>
    </row>
    <row r="51" spans="1:10" ht="15" customHeight="1" x14ac:dyDescent="0.25">
      <c r="A51" s="26"/>
      <c r="B51" s="26"/>
      <c r="C51" s="26" t="str">
        <f>IFERROR(IF(OR(A51="",B51=""),"",INDEX(Equipements!$H:$H,MATCH(A51,Equipements!$A:$A,0))&amp;"."&amp;B51),"")</f>
        <v/>
      </c>
      <c r="D51" s="26"/>
      <c r="E51" s="26"/>
      <c r="F51" s="26"/>
      <c r="G51" s="26"/>
      <c r="H51" s="26"/>
      <c r="I51" s="26"/>
      <c r="J51" s="26"/>
    </row>
    <row r="52" spans="1:10" ht="15" customHeight="1" x14ac:dyDescent="0.25">
      <c r="A52" s="26"/>
      <c r="B52" s="26"/>
      <c r="C52" s="26" t="str">
        <f>IFERROR(IF(OR(A52="",B52=""),"",INDEX(Equipements!$H:$H,MATCH(A52,Equipements!$A:$A,0))&amp;"."&amp;B52),"")</f>
        <v/>
      </c>
      <c r="D52" s="26"/>
      <c r="E52" s="26"/>
      <c r="F52" s="26"/>
      <c r="G52" s="26"/>
      <c r="H52" s="26"/>
      <c r="I52" s="26"/>
      <c r="J52" s="26"/>
    </row>
    <row r="53" spans="1:10" ht="15" customHeight="1" x14ac:dyDescent="0.25">
      <c r="A53" s="26"/>
      <c r="B53" s="26"/>
      <c r="C53" s="26" t="str">
        <f>IFERROR(IF(OR(A53="",B53=""),"",INDEX(Equipements!$H:$H,MATCH(A53,Equipements!$A:$A,0))&amp;"."&amp;B53),"")</f>
        <v/>
      </c>
      <c r="D53" s="26"/>
      <c r="E53" s="26"/>
      <c r="F53" s="26"/>
      <c r="G53" s="26"/>
      <c r="H53" s="26"/>
      <c r="I53" s="26"/>
      <c r="J53" s="26"/>
    </row>
    <row r="54" spans="1:10" ht="15" customHeight="1" x14ac:dyDescent="0.25">
      <c r="A54" s="26"/>
      <c r="B54" s="26"/>
      <c r="C54" s="26" t="str">
        <f>IFERROR(IF(OR(A54="",B54=""),"",INDEX(Equipements!$H:$H,MATCH(A54,Equipements!$A:$A,0))&amp;"."&amp;B54),"")</f>
        <v/>
      </c>
      <c r="D54" s="26"/>
      <c r="E54" s="26"/>
      <c r="F54" s="26"/>
      <c r="G54" s="26"/>
      <c r="H54" s="26"/>
      <c r="I54" s="26"/>
      <c r="J54" s="26"/>
    </row>
    <row r="55" spans="1:10" ht="15" customHeight="1" x14ac:dyDescent="0.25">
      <c r="A55" s="26"/>
      <c r="B55" s="26"/>
      <c r="C55" s="26" t="str">
        <f>IFERROR(IF(OR(A55="",B55=""),"",INDEX(Equipements!$H:$H,MATCH(A55,Equipements!$A:$A,0))&amp;"."&amp;B55),"")</f>
        <v/>
      </c>
      <c r="D55" s="26"/>
      <c r="E55" s="26"/>
      <c r="F55" s="26"/>
      <c r="G55" s="26"/>
      <c r="H55" s="26"/>
      <c r="I55" s="26"/>
      <c r="J55" s="26"/>
    </row>
    <row r="56" spans="1:10" ht="15" customHeight="1" x14ac:dyDescent="0.25">
      <c r="A56" s="26"/>
      <c r="B56" s="26"/>
      <c r="C56" s="26" t="str">
        <f>IFERROR(IF(OR(A56="",B56=""),"",INDEX(Equipements!$H:$H,MATCH(A56,Equipements!$A:$A,0))&amp;"."&amp;B56),"")</f>
        <v/>
      </c>
      <c r="D56" s="26"/>
      <c r="E56" s="26"/>
      <c r="F56" s="26"/>
      <c r="G56" s="26"/>
      <c r="H56" s="26"/>
      <c r="I56" s="26"/>
      <c r="J56" s="26"/>
    </row>
    <row r="57" spans="1:10" ht="15" customHeight="1" x14ac:dyDescent="0.25">
      <c r="A57" s="26"/>
      <c r="B57" s="26"/>
      <c r="C57" s="26" t="str">
        <f>IFERROR(IF(OR(A57="",B57=""),"",INDEX(Equipements!$H:$H,MATCH(A57,Equipements!$A:$A,0))&amp;"."&amp;B57),"")</f>
        <v/>
      </c>
      <c r="D57" s="26"/>
      <c r="E57" s="26"/>
      <c r="F57" s="26"/>
      <c r="G57" s="26"/>
      <c r="H57" s="26"/>
      <c r="I57" s="26"/>
      <c r="J57" s="26"/>
    </row>
    <row r="58" spans="1:10" ht="15" customHeight="1" x14ac:dyDescent="0.25">
      <c r="A58" s="26"/>
      <c r="B58" s="26"/>
      <c r="C58" s="26" t="str">
        <f>IFERROR(IF(OR(A58="",B58=""),"",INDEX(Equipements!$H:$H,MATCH(A58,Equipements!$A:$A,0))&amp;"."&amp;B58),"")</f>
        <v/>
      </c>
      <c r="D58" s="26"/>
      <c r="E58" s="26"/>
      <c r="F58" s="26"/>
      <c r="G58" s="26"/>
      <c r="H58" s="26"/>
      <c r="I58" s="26"/>
      <c r="J58" s="26"/>
    </row>
    <row r="59" spans="1:10" ht="15" customHeight="1" x14ac:dyDescent="0.25">
      <c r="A59" s="26"/>
      <c r="B59" s="26"/>
      <c r="C59" s="26" t="str">
        <f>IFERROR(IF(OR(A59="",B59=""),"",INDEX(Equipements!$H:$H,MATCH(A59,Equipements!$A:$A,0))&amp;"."&amp;B59),"")</f>
        <v/>
      </c>
      <c r="D59" s="26"/>
      <c r="E59" s="26"/>
      <c r="F59" s="26"/>
      <c r="G59" s="26"/>
      <c r="H59" s="26"/>
      <c r="I59" s="26"/>
      <c r="J59" s="26"/>
    </row>
    <row r="60" spans="1:10" ht="15" customHeight="1" x14ac:dyDescent="0.25">
      <c r="A60" s="26"/>
      <c r="B60" s="26"/>
      <c r="C60" s="26" t="str">
        <f>IFERROR(IF(OR(A60="",B60=""),"",INDEX(Equipements!$H:$H,MATCH(A60,Equipements!$A:$A,0))&amp;"."&amp;B60),"")</f>
        <v/>
      </c>
      <c r="D60" s="26"/>
      <c r="E60" s="26"/>
      <c r="F60" s="26"/>
      <c r="G60" s="26"/>
      <c r="H60" s="26"/>
      <c r="I60" s="26"/>
      <c r="J60" s="26"/>
    </row>
    <row r="61" spans="1:10" ht="15" customHeight="1" x14ac:dyDescent="0.25">
      <c r="A61" s="26"/>
      <c r="B61" s="26"/>
      <c r="C61" s="26" t="str">
        <f>IFERROR(IF(OR(A61="",B61=""),"",INDEX(Equipements!$H:$H,MATCH(A61,Equipements!$A:$A,0))&amp;"."&amp;B61),"")</f>
        <v/>
      </c>
      <c r="D61" s="26"/>
      <c r="E61" s="26"/>
      <c r="F61" s="26"/>
      <c r="G61" s="26"/>
      <c r="H61" s="26"/>
      <c r="I61" s="26"/>
      <c r="J61" s="26"/>
    </row>
    <row r="62" spans="1:10" ht="15" customHeight="1" x14ac:dyDescent="0.25">
      <c r="A62" s="26"/>
      <c r="B62" s="26"/>
      <c r="C62" s="26" t="str">
        <f>IFERROR(IF(OR(A62="",B62=""),"",INDEX(Equipements!$H:$H,MATCH(A62,Equipements!$A:$A,0))&amp;"."&amp;B62),"")</f>
        <v/>
      </c>
      <c r="D62" s="26"/>
      <c r="E62" s="26"/>
      <c r="F62" s="26"/>
      <c r="G62" s="26"/>
      <c r="H62" s="26"/>
      <c r="I62" s="26"/>
      <c r="J62" s="26"/>
    </row>
    <row r="63" spans="1:10" ht="15" customHeight="1" x14ac:dyDescent="0.25">
      <c r="A63" s="26"/>
      <c r="B63" s="26"/>
      <c r="C63" s="26" t="str">
        <f>IFERROR(IF(OR(A63="",B63=""),"",INDEX(Equipements!$H:$H,MATCH(A63,Equipements!$A:$A,0))&amp;"."&amp;B63),"")</f>
        <v/>
      </c>
      <c r="D63" s="26"/>
      <c r="E63" s="26"/>
      <c r="F63" s="26"/>
      <c r="G63" s="26"/>
      <c r="H63" s="26"/>
      <c r="I63" s="26"/>
      <c r="J63" s="26"/>
    </row>
    <row r="64" spans="1:10" ht="15" customHeight="1" x14ac:dyDescent="0.25">
      <c r="A64" s="26"/>
      <c r="B64" s="26"/>
      <c r="C64" s="26" t="str">
        <f>IFERROR(IF(OR(A64="",B64=""),"",INDEX(Equipements!$H:$H,MATCH(A64,Equipements!$A:$A,0))&amp;"."&amp;B64),"")</f>
        <v/>
      </c>
      <c r="D64" s="26"/>
      <c r="E64" s="26"/>
      <c r="F64" s="26"/>
      <c r="G64" s="26"/>
      <c r="H64" s="26"/>
      <c r="I64" s="26"/>
      <c r="J64" s="26"/>
    </row>
    <row r="65" spans="1:10" ht="15" customHeight="1" x14ac:dyDescent="0.25">
      <c r="A65" s="26"/>
      <c r="B65" s="26"/>
      <c r="C65" s="26" t="str">
        <f>IFERROR(IF(OR(A65="",B65=""),"",INDEX(Equipements!$H:$H,MATCH(A65,Equipements!$A:$A,0))&amp;"."&amp;B65),"")</f>
        <v/>
      </c>
      <c r="D65" s="26"/>
      <c r="E65" s="26"/>
      <c r="F65" s="26"/>
      <c r="G65" s="26"/>
      <c r="H65" s="26"/>
      <c r="I65" s="26"/>
      <c r="J65" s="26"/>
    </row>
    <row r="66" spans="1:10" ht="15" customHeight="1" x14ac:dyDescent="0.25">
      <c r="A66" s="26"/>
      <c r="B66" s="26"/>
      <c r="C66" s="26" t="str">
        <f>IFERROR(IF(OR(A66="",B66=""),"",INDEX(Equipements!$H:$H,MATCH(A66,Equipements!$A:$A,0))&amp;"."&amp;B66),"")</f>
        <v/>
      </c>
      <c r="D66" s="26"/>
      <c r="E66" s="26"/>
      <c r="F66" s="26"/>
      <c r="G66" s="26"/>
      <c r="H66" s="26"/>
      <c r="I66" s="26"/>
      <c r="J66" s="26"/>
    </row>
    <row r="67" spans="1:10" ht="15" customHeight="1" x14ac:dyDescent="0.25">
      <c r="A67" s="26"/>
      <c r="B67" s="26"/>
      <c r="C67" s="26" t="str">
        <f>IFERROR(IF(OR(A67="",B67=""),"",INDEX(Equipements!$H:$H,MATCH(A67,Equipements!$A:$A,0))&amp;"."&amp;B67),"")</f>
        <v/>
      </c>
      <c r="D67" s="26"/>
      <c r="E67" s="26"/>
      <c r="F67" s="26"/>
      <c r="G67" s="26"/>
      <c r="H67" s="26"/>
      <c r="I67" s="26"/>
      <c r="J67" s="26"/>
    </row>
    <row r="68" spans="1:10" ht="15" customHeight="1" x14ac:dyDescent="0.25">
      <c r="A68" s="26"/>
      <c r="B68" s="26"/>
      <c r="C68" s="26" t="str">
        <f>IFERROR(IF(OR(A68="",B68=""),"",INDEX(Equipements!$H:$H,MATCH(A68,Equipements!$A:$A,0))&amp;"."&amp;B68),"")</f>
        <v/>
      </c>
      <c r="D68" s="26"/>
      <c r="E68" s="26"/>
      <c r="F68" s="26"/>
      <c r="G68" s="26"/>
      <c r="H68" s="26"/>
      <c r="I68" s="26"/>
      <c r="J68" s="26"/>
    </row>
    <row r="69" spans="1:10" ht="15" customHeight="1" x14ac:dyDescent="0.25">
      <c r="A69" s="26"/>
      <c r="B69" s="26"/>
      <c r="C69" s="26" t="str">
        <f>IFERROR(IF(OR(A69="",B69=""),"",INDEX(Equipements!$H:$H,MATCH(A69,Equipements!$A:$A,0))&amp;"."&amp;B69),"")</f>
        <v/>
      </c>
      <c r="D69" s="26"/>
      <c r="E69" s="26"/>
      <c r="F69" s="26"/>
      <c r="G69" s="26"/>
      <c r="H69" s="26"/>
      <c r="I69" s="26"/>
      <c r="J69" s="26"/>
    </row>
    <row r="70" spans="1:10" ht="15" customHeight="1" x14ac:dyDescent="0.25">
      <c r="A70" s="26"/>
      <c r="B70" s="26"/>
      <c r="C70" s="26" t="str">
        <f>IFERROR(IF(OR(A70="",B70=""),"",INDEX(Equipements!$H:$H,MATCH(A70,Equipements!$A:$A,0))&amp;"."&amp;B70),"")</f>
        <v/>
      </c>
      <c r="D70" s="26"/>
      <c r="E70" s="26"/>
      <c r="F70" s="26"/>
      <c r="G70" s="26"/>
      <c r="H70" s="26"/>
      <c r="I70" s="26"/>
      <c r="J70" s="26"/>
    </row>
    <row r="71" spans="1:10" ht="15" customHeight="1" x14ac:dyDescent="0.25">
      <c r="A71" s="26"/>
      <c r="B71" s="26"/>
      <c r="C71" s="26" t="str">
        <f>IFERROR(IF(OR(A71="",B71=""),"",INDEX(Equipements!$H:$H,MATCH(A71,Equipements!$A:$A,0))&amp;"."&amp;B71),"")</f>
        <v/>
      </c>
      <c r="D71" s="26"/>
      <c r="E71" s="26"/>
      <c r="F71" s="26"/>
      <c r="G71" s="26"/>
      <c r="H71" s="26"/>
      <c r="I71" s="26"/>
      <c r="J71" s="26"/>
    </row>
    <row r="72" spans="1:10" ht="15" customHeight="1" x14ac:dyDescent="0.25">
      <c r="A72" s="26"/>
      <c r="B72" s="26"/>
      <c r="C72" s="26" t="str">
        <f>IFERROR(IF(OR(A72="",B72=""),"",INDEX(Equipements!$H:$H,MATCH(A72,Equipements!$A:$A,0))&amp;"."&amp;B72),"")</f>
        <v/>
      </c>
      <c r="D72" s="26"/>
      <c r="E72" s="26"/>
      <c r="F72" s="26"/>
      <c r="G72" s="26"/>
      <c r="H72" s="26"/>
      <c r="I72" s="26"/>
      <c r="J72" s="26"/>
    </row>
    <row r="73" spans="1:10" ht="15" customHeight="1" x14ac:dyDescent="0.25">
      <c r="A73" s="26"/>
      <c r="B73" s="26"/>
      <c r="C73" s="26" t="str">
        <f>IFERROR(IF(OR(A73="",B73=""),"",INDEX(Equipements!$H:$H,MATCH(A73,Equipements!$A:$A,0))&amp;"."&amp;B73),"")</f>
        <v/>
      </c>
      <c r="D73" s="26"/>
      <c r="E73" s="26"/>
      <c r="F73" s="26"/>
      <c r="G73" s="26"/>
      <c r="H73" s="26"/>
      <c r="I73" s="26"/>
      <c r="J73" s="26"/>
    </row>
    <row r="74" spans="1:10" ht="15" customHeight="1" x14ac:dyDescent="0.25">
      <c r="A74" s="26"/>
      <c r="B74" s="26"/>
      <c r="C74" s="26" t="str">
        <f>IFERROR(IF(OR(A74="",B74=""),"",INDEX(Equipements!$H:$H,MATCH(A74,Equipements!$A:$A,0))&amp;"."&amp;B74),"")</f>
        <v/>
      </c>
      <c r="D74" s="26"/>
      <c r="E74" s="26"/>
      <c r="F74" s="26"/>
      <c r="G74" s="26"/>
      <c r="H74" s="26"/>
      <c r="I74" s="26"/>
      <c r="J74" s="26"/>
    </row>
    <row r="75" spans="1:10" ht="15" customHeight="1" x14ac:dyDescent="0.25">
      <c r="A75" s="26"/>
      <c r="B75" s="26"/>
      <c r="C75" s="26" t="str">
        <f>IFERROR(IF(OR(A75="",B75=""),"",INDEX(Equipements!$H:$H,MATCH(A75,Equipements!$A:$A,0))&amp;"."&amp;B75),"")</f>
        <v/>
      </c>
      <c r="D75" s="26"/>
      <c r="E75" s="26"/>
      <c r="F75" s="26"/>
      <c r="G75" s="26"/>
      <c r="H75" s="26"/>
      <c r="I75" s="26"/>
      <c r="J75" s="26"/>
    </row>
    <row r="76" spans="1:10" ht="15" customHeight="1" x14ac:dyDescent="0.25">
      <c r="A76" s="26"/>
      <c r="B76" s="26"/>
      <c r="C76" s="26" t="str">
        <f>IFERROR(IF(OR(A76="",B76=""),"",INDEX(Equipements!$H:$H,MATCH(A76,Equipements!$A:$A,0))&amp;"."&amp;B76),"")</f>
        <v/>
      </c>
      <c r="D76" s="26"/>
      <c r="E76" s="26"/>
      <c r="F76" s="26"/>
      <c r="G76" s="26"/>
      <c r="H76" s="26"/>
      <c r="I76" s="26"/>
      <c r="J76" s="26"/>
    </row>
    <row r="77" spans="1:10" ht="15" customHeight="1" x14ac:dyDescent="0.25">
      <c r="A77" s="26"/>
      <c r="B77" s="26"/>
      <c r="C77" s="26" t="str">
        <f>IFERROR(IF(OR(A77="",B77=""),"",INDEX(Equipements!$H:$H,MATCH(A77,Equipements!$A:$A,0))&amp;"."&amp;B77),"")</f>
        <v/>
      </c>
      <c r="D77" s="26"/>
      <c r="E77" s="26"/>
      <c r="F77" s="26"/>
      <c r="G77" s="26"/>
      <c r="H77" s="26"/>
      <c r="I77" s="26"/>
      <c r="J77" s="26"/>
    </row>
    <row r="78" spans="1:10" ht="15" customHeight="1" x14ac:dyDescent="0.25">
      <c r="A78" s="26"/>
      <c r="B78" s="26"/>
      <c r="C78" s="26" t="str">
        <f>IFERROR(IF(OR(A78="",B78=""),"",INDEX(Equipements!$H:$H,MATCH(A78,Equipements!$A:$A,0))&amp;"."&amp;B78),"")</f>
        <v/>
      </c>
      <c r="D78" s="26"/>
      <c r="E78" s="26"/>
      <c r="F78" s="26"/>
      <c r="G78" s="26"/>
      <c r="H78" s="26"/>
      <c r="I78" s="26"/>
      <c r="J78" s="26"/>
    </row>
    <row r="79" spans="1:10" ht="15" customHeight="1" x14ac:dyDescent="0.25">
      <c r="A79" s="26"/>
      <c r="B79" s="26"/>
      <c r="C79" s="26" t="str">
        <f>IFERROR(IF(OR(A79="",B79=""),"",INDEX(Equipements!$H:$H,MATCH(A79,Equipements!$A:$A,0))&amp;"."&amp;B79),"")</f>
        <v/>
      </c>
      <c r="D79" s="26"/>
      <c r="E79" s="26"/>
      <c r="F79" s="26"/>
      <c r="G79" s="26"/>
      <c r="H79" s="26"/>
      <c r="I79" s="26"/>
      <c r="J79" s="26"/>
    </row>
    <row r="80" spans="1:10" ht="15" customHeight="1" x14ac:dyDescent="0.25">
      <c r="A80" s="26"/>
      <c r="B80" s="26"/>
      <c r="C80" s="26" t="str">
        <f>IFERROR(IF(OR(A80="",B80=""),"",INDEX(Equipements!$H:$H,MATCH(A80,Equipements!$A:$A,0))&amp;"."&amp;B80),"")</f>
        <v/>
      </c>
      <c r="D80" s="26"/>
      <c r="E80" s="26"/>
      <c r="F80" s="26"/>
      <c r="G80" s="26"/>
      <c r="H80" s="26"/>
      <c r="I80" s="26"/>
      <c r="J80" s="26"/>
    </row>
    <row r="81" spans="1:10" ht="15" customHeight="1" x14ac:dyDescent="0.25">
      <c r="A81" s="26"/>
      <c r="B81" s="26"/>
      <c r="C81" s="26" t="str">
        <f>IFERROR(IF(OR(A81="",B81=""),"",INDEX(Equipements!$H:$H,MATCH(A81,Equipements!$A:$A,0))&amp;"."&amp;B81),"")</f>
        <v/>
      </c>
      <c r="D81" s="26"/>
      <c r="E81" s="26"/>
      <c r="F81" s="26"/>
      <c r="G81" s="26"/>
      <c r="H81" s="26"/>
      <c r="I81" s="26"/>
      <c r="J81" s="26"/>
    </row>
    <row r="82" spans="1:10" ht="15" customHeight="1" x14ac:dyDescent="0.25">
      <c r="A82" s="26"/>
      <c r="B82" s="26"/>
      <c r="C82" s="26" t="str">
        <f>IFERROR(IF(OR(A82="",B82=""),"",INDEX(Equipements!$H:$H,MATCH(A82,Equipements!$A:$A,0))&amp;"."&amp;B82),"")</f>
        <v/>
      </c>
      <c r="D82" s="26"/>
      <c r="E82" s="26"/>
      <c r="F82" s="26"/>
      <c r="G82" s="26"/>
      <c r="H82" s="26"/>
      <c r="I82" s="26"/>
      <c r="J82" s="26"/>
    </row>
    <row r="83" spans="1:10" ht="15" customHeight="1" x14ac:dyDescent="0.25">
      <c r="A83" s="26"/>
      <c r="B83" s="26"/>
      <c r="C83" s="26" t="str">
        <f>IFERROR(IF(OR(A83="",B83=""),"",INDEX(Equipements!$H:$H,MATCH(A83,Equipements!$A:$A,0))&amp;"."&amp;B83),"")</f>
        <v/>
      </c>
      <c r="D83" s="26"/>
      <c r="E83" s="26"/>
      <c r="F83" s="26"/>
      <c r="G83" s="26"/>
      <c r="H83" s="26"/>
      <c r="I83" s="26"/>
      <c r="J83" s="26"/>
    </row>
    <row r="84" spans="1:10" ht="15" customHeight="1" x14ac:dyDescent="0.25">
      <c r="A84" s="26"/>
      <c r="B84" s="26"/>
      <c r="C84" s="26" t="str">
        <f>IFERROR(IF(OR(A84="",B84=""),"",INDEX(Equipements!$H:$H,MATCH(A84,Equipements!$A:$A,0))&amp;"."&amp;B84),"")</f>
        <v/>
      </c>
      <c r="D84" s="26"/>
      <c r="E84" s="26"/>
      <c r="F84" s="26"/>
      <c r="G84" s="26"/>
      <c r="H84" s="26"/>
      <c r="I84" s="26"/>
      <c r="J84" s="26"/>
    </row>
    <row r="85" spans="1:10" ht="15" customHeight="1" x14ac:dyDescent="0.25">
      <c r="A85" s="26"/>
      <c r="B85" s="26"/>
      <c r="C85" s="26" t="str">
        <f>IFERROR(IF(OR(A85="",B85=""),"",INDEX(Equipements!$H:$H,MATCH(A85,Equipements!$A:$A,0))&amp;"."&amp;B85),"")</f>
        <v/>
      </c>
      <c r="D85" s="26"/>
      <c r="E85" s="26"/>
      <c r="F85" s="26"/>
      <c r="G85" s="26"/>
      <c r="H85" s="26"/>
      <c r="I85" s="26"/>
      <c r="J85" s="26"/>
    </row>
    <row r="86" spans="1:10" ht="15" customHeight="1" x14ac:dyDescent="0.25">
      <c r="A86" s="26"/>
      <c r="B86" s="26"/>
      <c r="C86" s="26" t="str">
        <f>IFERROR(IF(OR(A86="",B86=""),"",INDEX(Equipements!$H:$H,MATCH(A86,Equipements!$A:$A,0))&amp;"."&amp;B86),"")</f>
        <v/>
      </c>
      <c r="D86" s="26"/>
      <c r="E86" s="26"/>
      <c r="F86" s="26"/>
      <c r="G86" s="26"/>
      <c r="H86" s="26"/>
      <c r="I86" s="26"/>
      <c r="J86" s="26"/>
    </row>
    <row r="87" spans="1:10" ht="15" customHeight="1" x14ac:dyDescent="0.25">
      <c r="A87" s="26"/>
      <c r="B87" s="26"/>
      <c r="C87" s="26" t="str">
        <f>IFERROR(IF(OR(A87="",B87=""),"",INDEX(Equipements!$H:$H,MATCH(A87,Equipements!$A:$A,0))&amp;"."&amp;B87),"")</f>
        <v/>
      </c>
      <c r="D87" s="26"/>
      <c r="E87" s="26"/>
      <c r="F87" s="26"/>
      <c r="G87" s="26"/>
      <c r="H87" s="26"/>
      <c r="I87" s="26"/>
      <c r="J87" s="26"/>
    </row>
    <row r="88" spans="1:10" ht="15" customHeight="1" x14ac:dyDescent="0.25">
      <c r="A88" s="26"/>
      <c r="B88" s="26"/>
      <c r="C88" s="26" t="str">
        <f>IFERROR(IF(OR(A88="",B88=""),"",INDEX(Equipements!$H:$H,MATCH(A88,Equipements!$A:$A,0))&amp;"."&amp;B88),"")</f>
        <v/>
      </c>
      <c r="D88" s="26"/>
      <c r="E88" s="26"/>
      <c r="F88" s="26"/>
      <c r="G88" s="26"/>
      <c r="H88" s="26"/>
      <c r="I88" s="26"/>
      <c r="J88" s="26"/>
    </row>
    <row r="89" spans="1:10" ht="15" customHeight="1" x14ac:dyDescent="0.25">
      <c r="A89" s="26"/>
      <c r="B89" s="26"/>
      <c r="C89" s="26" t="str">
        <f>IFERROR(IF(OR(A89="",B89=""),"",INDEX(Equipements!$H:$H,MATCH(A89,Equipements!$A:$A,0))&amp;"."&amp;B89),"")</f>
        <v/>
      </c>
      <c r="D89" s="26"/>
      <c r="E89" s="26"/>
      <c r="F89" s="26"/>
      <c r="G89" s="26"/>
      <c r="H89" s="26"/>
      <c r="I89" s="26"/>
      <c r="J89" s="26"/>
    </row>
    <row r="90" spans="1:10" ht="15" customHeight="1" x14ac:dyDescent="0.25">
      <c r="A90" s="26"/>
      <c r="B90" s="26"/>
      <c r="C90" s="26" t="str">
        <f>IFERROR(IF(OR(A90="",B90=""),"",INDEX(Equipements!$H:$H,MATCH(A90,Equipements!$A:$A,0))&amp;"."&amp;B90),"")</f>
        <v/>
      </c>
      <c r="D90" s="26"/>
      <c r="E90" s="26"/>
      <c r="F90" s="26"/>
      <c r="G90" s="26"/>
      <c r="H90" s="26"/>
      <c r="I90" s="26"/>
      <c r="J90" s="26"/>
    </row>
    <row r="91" spans="1:10" ht="15" customHeight="1" x14ac:dyDescent="0.25">
      <c r="A91" s="26"/>
      <c r="B91" s="26"/>
      <c r="C91" s="26" t="str">
        <f>IFERROR(IF(OR(A91="",B91=""),"",INDEX(Equipements!$H:$H,MATCH(A91,Equipements!$A:$A,0))&amp;"."&amp;B91),"")</f>
        <v/>
      </c>
      <c r="D91" s="26"/>
      <c r="E91" s="26"/>
      <c r="F91" s="26"/>
      <c r="G91" s="26"/>
      <c r="H91" s="26"/>
      <c r="I91" s="26"/>
      <c r="J91" s="26"/>
    </row>
    <row r="92" spans="1:10" ht="15" customHeight="1" x14ac:dyDescent="0.25">
      <c r="A92" s="26"/>
      <c r="B92" s="26"/>
      <c r="C92" s="26" t="str">
        <f>IFERROR(IF(OR(A92="",B92=""),"",INDEX(Equipements!$H:$H,MATCH(A92,Equipements!$A:$A,0))&amp;"."&amp;B92),"")</f>
        <v/>
      </c>
      <c r="D92" s="26"/>
      <c r="E92" s="26"/>
      <c r="F92" s="26"/>
      <c r="G92" s="26"/>
      <c r="H92" s="26"/>
      <c r="I92" s="26"/>
      <c r="J92" s="26"/>
    </row>
    <row r="93" spans="1:10" ht="15" customHeight="1" x14ac:dyDescent="0.25">
      <c r="A93" s="26"/>
      <c r="B93" s="26"/>
      <c r="C93" s="26" t="str">
        <f>IFERROR(IF(OR(A93="",B93=""),"",INDEX(Equipements!$H:$H,MATCH(A93,Equipements!$A:$A,0))&amp;"."&amp;B93),"")</f>
        <v/>
      </c>
      <c r="D93" s="26"/>
      <c r="E93" s="26"/>
      <c r="F93" s="26"/>
      <c r="G93" s="26"/>
      <c r="H93" s="26"/>
      <c r="I93" s="26"/>
      <c r="J93" s="26"/>
    </row>
    <row r="94" spans="1:10" ht="15" customHeight="1" x14ac:dyDescent="0.25">
      <c r="A94" s="26"/>
      <c r="B94" s="26"/>
      <c r="C94" s="26" t="str">
        <f>IFERROR(IF(OR(A94="",B94=""),"",INDEX(Equipements!$H:$H,MATCH(A94,Equipements!$A:$A,0))&amp;"."&amp;B94),"")</f>
        <v/>
      </c>
      <c r="D94" s="26"/>
      <c r="E94" s="26"/>
      <c r="F94" s="26"/>
      <c r="G94" s="26"/>
      <c r="H94" s="26"/>
      <c r="I94" s="26"/>
      <c r="J94" s="26"/>
    </row>
    <row r="95" spans="1:10" ht="15" customHeight="1" x14ac:dyDescent="0.25">
      <c r="A95" s="26"/>
      <c r="B95" s="26"/>
      <c r="C95" s="26" t="str">
        <f>IFERROR(IF(OR(A95="",B95=""),"",INDEX(Equipements!$H:$H,MATCH(A95,Equipements!$A:$A,0))&amp;"."&amp;B95),"")</f>
        <v/>
      </c>
      <c r="D95" s="26"/>
      <c r="E95" s="26"/>
      <c r="F95" s="26"/>
      <c r="G95" s="26"/>
      <c r="H95" s="26"/>
      <c r="I95" s="26"/>
      <c r="J95" s="26"/>
    </row>
    <row r="96" spans="1:10" ht="15" customHeight="1" x14ac:dyDescent="0.25">
      <c r="A96" s="26"/>
      <c r="B96" s="26"/>
      <c r="C96" s="26" t="str">
        <f>IFERROR(IF(OR(A96="",B96=""),"",INDEX(Equipements!$H:$H,MATCH(A96,Equipements!$A:$A,0))&amp;"."&amp;B96),"")</f>
        <v/>
      </c>
      <c r="D96" s="26"/>
      <c r="E96" s="26"/>
      <c r="F96" s="26"/>
      <c r="G96" s="26"/>
      <c r="H96" s="26"/>
      <c r="I96" s="26"/>
      <c r="J96" s="26"/>
    </row>
    <row r="97" spans="1:10" ht="15" customHeight="1" x14ac:dyDescent="0.25">
      <c r="A97" s="26"/>
      <c r="B97" s="26"/>
      <c r="C97" s="26" t="str">
        <f>IFERROR(IF(OR(A97="",B97=""),"",INDEX(Equipements!$H:$H,MATCH(A97,Equipements!$A:$A,0))&amp;"."&amp;B97),"")</f>
        <v/>
      </c>
      <c r="D97" s="26"/>
      <c r="E97" s="26"/>
      <c r="F97" s="26"/>
      <c r="G97" s="26"/>
      <c r="H97" s="26"/>
      <c r="I97" s="26"/>
      <c r="J97" s="26"/>
    </row>
    <row r="98" spans="1:10" ht="15" customHeight="1" x14ac:dyDescent="0.25">
      <c r="A98" s="26"/>
      <c r="B98" s="26"/>
      <c r="C98" s="26" t="str">
        <f>IFERROR(IF(OR(A98="",B98=""),"",INDEX(Equipements!$H:$H,MATCH(A98,Equipements!$A:$A,0))&amp;"."&amp;B98),"")</f>
        <v/>
      </c>
      <c r="D98" s="26"/>
      <c r="E98" s="26"/>
      <c r="F98" s="26"/>
      <c r="G98" s="26"/>
      <c r="H98" s="26"/>
      <c r="I98" s="26"/>
      <c r="J98" s="26"/>
    </row>
    <row r="99" spans="1:10" ht="15" customHeight="1" x14ac:dyDescent="0.25">
      <c r="A99" s="26"/>
      <c r="B99" s="26"/>
      <c r="C99" s="26" t="str">
        <f>IFERROR(IF(OR(A99="",B99=""),"",INDEX(Equipements!$H:$H,MATCH(A99,Equipements!$A:$A,0))&amp;"."&amp;B99),"")</f>
        <v/>
      </c>
      <c r="D99" s="26"/>
      <c r="E99" s="26"/>
      <c r="F99" s="26"/>
      <c r="G99" s="26"/>
      <c r="H99" s="26"/>
      <c r="I99" s="26"/>
      <c r="J99" s="26"/>
    </row>
    <row r="100" spans="1:10" ht="15" customHeight="1" x14ac:dyDescent="0.25">
      <c r="A100" s="26"/>
      <c r="B100" s="26"/>
      <c r="C100" s="26" t="str">
        <f>IFERROR(IF(OR(A100="",B100=""),"",INDEX(Equipements!$H:$H,MATCH(A100,Equipements!$A:$A,0))&amp;"."&amp;B100),"")</f>
        <v/>
      </c>
      <c r="D100" s="26"/>
      <c r="E100" s="26"/>
      <c r="F100" s="26"/>
      <c r="G100" s="26"/>
      <c r="H100" s="26"/>
      <c r="I100" s="26"/>
      <c r="J100" s="26"/>
    </row>
    <row r="101" spans="1:10" ht="15" customHeight="1" x14ac:dyDescent="0.25">
      <c r="A101" s="26"/>
      <c r="B101" s="26"/>
      <c r="C101" s="26" t="str">
        <f>IFERROR(IF(OR(A101="",B101=""),"",INDEX(Equipements!$H:$H,MATCH(A101,Equipements!$A:$A,0))&amp;"."&amp;B101),"")</f>
        <v/>
      </c>
      <c r="D101" s="26"/>
      <c r="E101" s="26"/>
      <c r="F101" s="26"/>
      <c r="G101" s="26"/>
      <c r="H101" s="26"/>
      <c r="I101" s="26"/>
      <c r="J101" s="26"/>
    </row>
    <row r="102" spans="1:10" ht="15" customHeight="1" x14ac:dyDescent="0.25">
      <c r="A102" s="26"/>
      <c r="B102" s="26"/>
      <c r="C102" s="26" t="str">
        <f>IFERROR(IF(OR(A102="",B102=""),"",INDEX(Equipements!$H:$H,MATCH(A102,Equipements!$A:$A,0))&amp;"."&amp;B102),"")</f>
        <v/>
      </c>
      <c r="D102" s="26"/>
      <c r="E102" s="26"/>
      <c r="F102" s="26"/>
      <c r="G102" s="26"/>
      <c r="H102" s="26"/>
      <c r="I102" s="26"/>
      <c r="J102" s="26"/>
    </row>
    <row r="103" spans="1:10" ht="15" customHeight="1" x14ac:dyDescent="0.25">
      <c r="A103" s="26"/>
      <c r="B103" s="26"/>
      <c r="C103" s="26" t="str">
        <f>IFERROR(IF(OR(A103="",B103=""),"",INDEX(Equipements!$H:$H,MATCH(A103,Equipements!$A:$A,0))&amp;"."&amp;B103),"")</f>
        <v/>
      </c>
      <c r="D103" s="26"/>
      <c r="E103" s="26"/>
      <c r="F103" s="26"/>
      <c r="G103" s="26"/>
      <c r="H103" s="26"/>
      <c r="I103" s="26"/>
      <c r="J103" s="26"/>
    </row>
    <row r="104" spans="1:10" ht="15" customHeight="1" x14ac:dyDescent="0.25">
      <c r="A104" s="26"/>
      <c r="B104" s="26"/>
      <c r="C104" s="26" t="str">
        <f>IFERROR(IF(OR(A104="",B104=""),"",INDEX(Equipements!$H:$H,MATCH(A104,Equipements!$A:$A,0))&amp;"."&amp;B104),"")</f>
        <v/>
      </c>
      <c r="D104" s="26"/>
      <c r="E104" s="26"/>
      <c r="F104" s="26"/>
      <c r="G104" s="26"/>
      <c r="H104" s="26"/>
      <c r="I104" s="26"/>
      <c r="J104" s="26"/>
    </row>
    <row r="105" spans="1:10" ht="15" customHeight="1" x14ac:dyDescent="0.25">
      <c r="A105" s="26"/>
      <c r="B105" s="26"/>
      <c r="C105" s="26" t="str">
        <f>IFERROR(IF(OR(A105="",B105=""),"",INDEX(Equipements!$H:$H,MATCH(A105,Equipements!$A:$A,0))&amp;"."&amp;B105),"")</f>
        <v/>
      </c>
      <c r="D105" s="26"/>
      <c r="E105" s="26"/>
      <c r="F105" s="26"/>
      <c r="G105" s="26"/>
      <c r="H105" s="26"/>
      <c r="I105" s="26"/>
      <c r="J105" s="26"/>
    </row>
    <row r="106" spans="1:10" ht="15" customHeight="1" x14ac:dyDescent="0.25">
      <c r="A106" s="26"/>
      <c r="B106" s="26"/>
      <c r="C106" s="26" t="str">
        <f>IFERROR(IF(OR(A106="",B106=""),"",INDEX(Equipements!$H:$H,MATCH(A106,Equipements!$A:$A,0))&amp;"."&amp;B106),"")</f>
        <v/>
      </c>
      <c r="D106" s="26"/>
      <c r="E106" s="26"/>
      <c r="F106" s="26"/>
      <c r="G106" s="26"/>
      <c r="H106" s="26"/>
      <c r="I106" s="26"/>
      <c r="J106" s="26"/>
    </row>
    <row r="107" spans="1:10" ht="15" customHeight="1" x14ac:dyDescent="0.25">
      <c r="A107" s="26"/>
      <c r="B107" s="26"/>
      <c r="C107" s="26" t="str">
        <f>IFERROR(IF(OR(A107="",B107=""),"",INDEX(Equipements!$H:$H,MATCH(A107,Equipements!$A:$A,0))&amp;"."&amp;B107),"")</f>
        <v/>
      </c>
      <c r="D107" s="26"/>
      <c r="E107" s="26"/>
      <c r="F107" s="26"/>
      <c r="G107" s="26"/>
      <c r="H107" s="26"/>
      <c r="I107" s="26"/>
      <c r="J107" s="26"/>
    </row>
    <row r="108" spans="1:10" ht="15" customHeight="1" x14ac:dyDescent="0.25">
      <c r="A108" s="26"/>
      <c r="B108" s="26"/>
      <c r="C108" s="26" t="str">
        <f>IFERROR(IF(OR(A108="",B108=""),"",INDEX(Equipements!$H:$H,MATCH(A108,Equipements!$A:$A,0))&amp;"."&amp;B108),"")</f>
        <v/>
      </c>
      <c r="D108" s="26"/>
      <c r="E108" s="26"/>
      <c r="F108" s="26"/>
      <c r="G108" s="26"/>
      <c r="H108" s="26"/>
      <c r="I108" s="26"/>
      <c r="J108" s="26"/>
    </row>
    <row r="109" spans="1:10" ht="15" customHeight="1" x14ac:dyDescent="0.25">
      <c r="A109" s="26"/>
      <c r="B109" s="26"/>
      <c r="C109" s="26" t="str">
        <f>IFERROR(IF(OR(A109="",B109=""),"",INDEX(Equipements!$H:$H,MATCH(A109,Equipements!$A:$A,0))&amp;"."&amp;B109),"")</f>
        <v/>
      </c>
      <c r="D109" s="26"/>
      <c r="E109" s="26"/>
      <c r="F109" s="26"/>
      <c r="G109" s="26"/>
      <c r="H109" s="26"/>
      <c r="I109" s="26"/>
      <c r="J109" s="26"/>
    </row>
    <row r="110" spans="1:10" ht="15" customHeight="1" x14ac:dyDescent="0.25">
      <c r="A110" s="26"/>
      <c r="B110" s="26"/>
      <c r="C110" s="26" t="str">
        <f>IFERROR(IF(OR(A110="",B110=""),"",INDEX(Equipements!$H:$H,MATCH(A110,Equipements!$A:$A,0))&amp;"."&amp;B110),"")</f>
        <v/>
      </c>
      <c r="D110" s="26"/>
      <c r="E110" s="26"/>
      <c r="F110" s="26"/>
      <c r="G110" s="26"/>
      <c r="H110" s="26"/>
      <c r="I110" s="26"/>
      <c r="J110" s="26"/>
    </row>
    <row r="111" spans="1:10" ht="15" customHeight="1" x14ac:dyDescent="0.25">
      <c r="A111" s="26"/>
      <c r="B111" s="26"/>
      <c r="C111" s="26" t="str">
        <f>IFERROR(IF(OR(A111="",B111=""),"",INDEX(Equipements!$H:$H,MATCH(A111,Equipements!$A:$A,0))&amp;"."&amp;B111),"")</f>
        <v/>
      </c>
      <c r="D111" s="26"/>
      <c r="E111" s="26"/>
      <c r="F111" s="26"/>
      <c r="G111" s="26"/>
      <c r="H111" s="26"/>
      <c r="I111" s="26"/>
      <c r="J111" s="26"/>
    </row>
    <row r="112" spans="1:10" ht="15" customHeight="1" x14ac:dyDescent="0.25">
      <c r="A112" s="26"/>
      <c r="B112" s="26"/>
      <c r="C112" s="26" t="str">
        <f>IFERROR(IF(OR(A112="",B112=""),"",INDEX(Equipements!$H:$H,MATCH(A112,Equipements!$A:$A,0))&amp;"."&amp;B112),"")</f>
        <v/>
      </c>
      <c r="D112" s="26"/>
      <c r="E112" s="26"/>
      <c r="F112" s="26"/>
      <c r="G112" s="26"/>
      <c r="H112" s="26"/>
      <c r="I112" s="26"/>
      <c r="J112" s="26"/>
    </row>
    <row r="113" spans="1:10" ht="15" customHeight="1" x14ac:dyDescent="0.25">
      <c r="A113" s="26"/>
      <c r="B113" s="26"/>
      <c r="C113" s="26" t="str">
        <f>IFERROR(IF(OR(A113="",B113=""),"",INDEX(Equipements!$H:$H,MATCH(A113,Equipements!$A:$A,0))&amp;"."&amp;B113),"")</f>
        <v/>
      </c>
      <c r="D113" s="26"/>
      <c r="E113" s="26"/>
      <c r="F113" s="26"/>
      <c r="G113" s="26"/>
      <c r="H113" s="26"/>
      <c r="I113" s="26"/>
      <c r="J113" s="26"/>
    </row>
    <row r="114" spans="1:10" ht="15" customHeight="1" x14ac:dyDescent="0.25">
      <c r="A114" s="26"/>
      <c r="B114" s="26"/>
      <c r="C114" s="26" t="str">
        <f>IFERROR(IF(OR(A114="",B114=""),"",INDEX(Equipements!$H:$H,MATCH(A114,Equipements!$A:$A,0))&amp;"."&amp;B114),"")</f>
        <v/>
      </c>
      <c r="D114" s="26"/>
      <c r="E114" s="26"/>
      <c r="F114" s="26"/>
      <c r="G114" s="26"/>
      <c r="H114" s="26"/>
      <c r="I114" s="26"/>
      <c r="J114" s="26"/>
    </row>
    <row r="115" spans="1:10" ht="15" customHeight="1" x14ac:dyDescent="0.25">
      <c r="A115" s="26"/>
      <c r="B115" s="26"/>
      <c r="C115" s="26" t="str">
        <f>IFERROR(IF(OR(A115="",B115=""),"",INDEX(Equipements!$H:$H,MATCH(A115,Equipements!$A:$A,0))&amp;"."&amp;B115),"")</f>
        <v/>
      </c>
      <c r="D115" s="26"/>
      <c r="E115" s="26"/>
      <c r="F115" s="26"/>
      <c r="G115" s="26"/>
      <c r="H115" s="26"/>
      <c r="I115" s="26"/>
      <c r="J115" s="26"/>
    </row>
    <row r="116" spans="1:10" ht="15" customHeight="1" x14ac:dyDescent="0.25">
      <c r="A116" s="26"/>
      <c r="B116" s="26"/>
      <c r="C116" s="26" t="str">
        <f>IFERROR(IF(OR(A116="",B116=""),"",INDEX(Equipements!$H:$H,MATCH(A116,Equipements!$A:$A,0))&amp;"."&amp;B116),"")</f>
        <v/>
      </c>
      <c r="D116" s="26"/>
      <c r="E116" s="26"/>
      <c r="F116" s="26"/>
      <c r="G116" s="26"/>
      <c r="H116" s="26"/>
      <c r="I116" s="26"/>
      <c r="J116" s="26"/>
    </row>
    <row r="117" spans="1:10" ht="15" customHeight="1" x14ac:dyDescent="0.25">
      <c r="A117" s="26"/>
      <c r="B117" s="26"/>
      <c r="C117" s="26" t="str">
        <f>IFERROR(IF(OR(A117="",B117=""),"",INDEX(Equipements!$H:$H,MATCH(A117,Equipements!$A:$A,0))&amp;"."&amp;B117),"")</f>
        <v/>
      </c>
      <c r="D117" s="26"/>
      <c r="E117" s="26"/>
      <c r="F117" s="26"/>
      <c r="G117" s="26"/>
      <c r="H117" s="26"/>
      <c r="I117" s="26"/>
      <c r="J117" s="26"/>
    </row>
    <row r="118" spans="1:10" ht="15" customHeight="1" x14ac:dyDescent="0.25">
      <c r="A118" s="26"/>
      <c r="B118" s="26"/>
      <c r="C118" s="26" t="str">
        <f>IFERROR(IF(OR(A118="",B118=""),"",INDEX(Equipements!$H:$H,MATCH(A118,Equipements!$A:$A,0))&amp;"."&amp;B118),"")</f>
        <v/>
      </c>
      <c r="D118" s="26"/>
      <c r="E118" s="26"/>
      <c r="F118" s="26"/>
      <c r="G118" s="26"/>
      <c r="H118" s="26"/>
      <c r="I118" s="26"/>
      <c r="J118" s="26"/>
    </row>
    <row r="119" spans="1:10" ht="15" customHeight="1" x14ac:dyDescent="0.25">
      <c r="A119" s="26"/>
      <c r="B119" s="26"/>
      <c r="C119" s="26" t="str">
        <f>IFERROR(IF(OR(A119="",B119=""),"",INDEX(Equipements!$H:$H,MATCH(A119,Equipements!$A:$A,0))&amp;"."&amp;B119),"")</f>
        <v/>
      </c>
      <c r="D119" s="26"/>
      <c r="E119" s="26"/>
      <c r="F119" s="26"/>
      <c r="G119" s="26"/>
      <c r="H119" s="26"/>
      <c r="I119" s="26"/>
      <c r="J119" s="26"/>
    </row>
    <row r="120" spans="1:10" ht="15" customHeight="1" x14ac:dyDescent="0.25">
      <c r="A120" s="26"/>
      <c r="B120" s="26"/>
      <c r="C120" s="26" t="str">
        <f>IFERROR(IF(OR(A120="",B120=""),"",INDEX(Equipements!$H:$H,MATCH(A120,Equipements!$A:$A,0))&amp;"."&amp;B120),"")</f>
        <v/>
      </c>
      <c r="D120" s="26"/>
      <c r="E120" s="26"/>
      <c r="F120" s="26"/>
      <c r="G120" s="26"/>
      <c r="H120" s="26"/>
      <c r="I120" s="26"/>
      <c r="J120" s="26"/>
    </row>
    <row r="121" spans="1:10" ht="15" customHeight="1" x14ac:dyDescent="0.25">
      <c r="A121" s="26"/>
      <c r="B121" s="26"/>
      <c r="C121" s="26" t="str">
        <f>IFERROR(IF(OR(A121="",B121=""),"",INDEX(Equipements!$H:$H,MATCH(A121,Equipements!$A:$A,0))&amp;"."&amp;B121),"")</f>
        <v/>
      </c>
      <c r="D121" s="26"/>
      <c r="E121" s="26"/>
      <c r="F121" s="26"/>
      <c r="G121" s="26"/>
      <c r="H121" s="26"/>
      <c r="I121" s="26"/>
      <c r="J121" s="26"/>
    </row>
    <row r="122" spans="1:10" ht="15" customHeight="1" x14ac:dyDescent="0.25">
      <c r="A122" s="26"/>
      <c r="B122" s="26"/>
      <c r="C122" s="26" t="str">
        <f>IFERROR(IF(OR(A122="",B122=""),"",INDEX(Equipements!$H:$H,MATCH(A122,Equipements!$A:$A,0))&amp;"."&amp;B122),"")</f>
        <v/>
      </c>
      <c r="D122" s="26"/>
      <c r="E122" s="26"/>
      <c r="F122" s="26"/>
      <c r="G122" s="26"/>
      <c r="H122" s="26"/>
      <c r="I122" s="26"/>
      <c r="J122" s="26"/>
    </row>
    <row r="123" spans="1:10" ht="15" customHeight="1" x14ac:dyDescent="0.25">
      <c r="A123" s="26"/>
      <c r="B123" s="26"/>
      <c r="C123" s="26" t="str">
        <f>IFERROR(IF(OR(A123="",B123=""),"",INDEX(Equipements!$H:$H,MATCH(A123,Equipements!$A:$A,0))&amp;"."&amp;B123),"")</f>
        <v/>
      </c>
      <c r="D123" s="26"/>
      <c r="E123" s="26"/>
      <c r="F123" s="26"/>
      <c r="G123" s="26"/>
      <c r="H123" s="26"/>
      <c r="I123" s="26"/>
      <c r="J123" s="26"/>
    </row>
    <row r="124" spans="1:10" ht="15" customHeight="1" x14ac:dyDescent="0.25">
      <c r="A124" s="26"/>
      <c r="B124" s="26"/>
      <c r="C124" s="26" t="str">
        <f>IFERROR(IF(OR(A124="",B124=""),"",INDEX(Equipements!$H:$H,MATCH(A124,Equipements!$A:$A,0))&amp;"."&amp;B124),"")</f>
        <v/>
      </c>
      <c r="D124" s="26"/>
      <c r="E124" s="26"/>
      <c r="F124" s="26"/>
      <c r="G124" s="26"/>
      <c r="H124" s="26"/>
      <c r="I124" s="26"/>
      <c r="J124" s="26"/>
    </row>
    <row r="125" spans="1:10" ht="15" customHeight="1" x14ac:dyDescent="0.25">
      <c r="A125" s="26"/>
      <c r="B125" s="26"/>
      <c r="C125" s="26" t="str">
        <f>IFERROR(IF(OR(A125="",B125=""),"",INDEX(Equipements!$H:$H,MATCH(A125,Equipements!$A:$A,0))&amp;"."&amp;B125),"")</f>
        <v/>
      </c>
      <c r="D125" s="26"/>
      <c r="E125" s="26"/>
      <c r="F125" s="26"/>
      <c r="G125" s="26"/>
      <c r="H125" s="26"/>
      <c r="I125" s="26"/>
      <c r="J125" s="26"/>
    </row>
    <row r="126" spans="1:10" ht="15" customHeight="1" x14ac:dyDescent="0.25">
      <c r="A126" s="26"/>
      <c r="B126" s="26"/>
      <c r="C126" s="26" t="str">
        <f>IFERROR(IF(OR(A126="",B126=""),"",INDEX(Equipements!$H:$H,MATCH(A126,Equipements!$A:$A,0))&amp;"."&amp;B126),"")</f>
        <v/>
      </c>
      <c r="D126" s="26"/>
      <c r="E126" s="26"/>
      <c r="F126" s="26"/>
      <c r="G126" s="26"/>
      <c r="H126" s="26"/>
      <c r="I126" s="26"/>
      <c r="J126" s="26"/>
    </row>
    <row r="127" spans="1:10" ht="15" customHeight="1" x14ac:dyDescent="0.25">
      <c r="A127" s="26"/>
      <c r="B127" s="26"/>
      <c r="C127" s="26" t="str">
        <f>IFERROR(IF(OR(A127="",B127=""),"",INDEX(Equipements!$H:$H,MATCH(A127,Equipements!$A:$A,0))&amp;"."&amp;B127),"")</f>
        <v/>
      </c>
      <c r="D127" s="26"/>
      <c r="E127" s="26"/>
      <c r="F127" s="26"/>
      <c r="G127" s="26"/>
      <c r="H127" s="26"/>
      <c r="I127" s="26"/>
      <c r="J127" s="26"/>
    </row>
    <row r="128" spans="1:10" ht="15" customHeight="1" x14ac:dyDescent="0.25">
      <c r="A128" s="26"/>
      <c r="B128" s="26"/>
      <c r="C128" s="26" t="str">
        <f>IFERROR(IF(OR(A128="",B128=""),"",INDEX(Equipements!$H:$H,MATCH(A128,Equipements!$A:$A,0))&amp;"."&amp;B128),"")</f>
        <v/>
      </c>
      <c r="D128" s="26"/>
      <c r="E128" s="26"/>
      <c r="F128" s="26"/>
      <c r="G128" s="26"/>
      <c r="H128" s="26"/>
      <c r="I128" s="26"/>
      <c r="J128" s="26"/>
    </row>
    <row r="129" spans="1:10" ht="15" customHeight="1" x14ac:dyDescent="0.25">
      <c r="A129" s="26"/>
      <c r="B129" s="26"/>
      <c r="C129" s="26" t="str">
        <f>IFERROR(IF(OR(A129="",B129=""),"",INDEX(Equipements!$H:$H,MATCH(A129,Equipements!$A:$A,0))&amp;"."&amp;B129),"")</f>
        <v/>
      </c>
      <c r="D129" s="26"/>
      <c r="E129" s="26"/>
      <c r="F129" s="26"/>
      <c r="G129" s="26"/>
      <c r="H129" s="26"/>
      <c r="I129" s="26"/>
      <c r="J129" s="26"/>
    </row>
    <row r="130" spans="1:10" ht="15" customHeight="1" x14ac:dyDescent="0.25">
      <c r="A130" s="26"/>
      <c r="B130" s="26"/>
      <c r="C130" s="26" t="str">
        <f>IFERROR(IF(OR(A130="",B130=""),"",INDEX(Equipements!$H:$H,MATCH(A130,Equipements!$A:$A,0))&amp;"."&amp;B130),"")</f>
        <v/>
      </c>
      <c r="D130" s="26"/>
      <c r="E130" s="26"/>
      <c r="F130" s="26"/>
      <c r="G130" s="26"/>
      <c r="H130" s="26"/>
      <c r="I130" s="26"/>
      <c r="J130" s="26"/>
    </row>
    <row r="131" spans="1:10" ht="15" customHeight="1" x14ac:dyDescent="0.25">
      <c r="A131" s="26"/>
      <c r="B131" s="26"/>
      <c r="C131" s="26" t="str">
        <f>IFERROR(IF(OR(A131="",B131=""),"",INDEX(Equipements!$H:$H,MATCH(A131,Equipements!$A:$A,0))&amp;"."&amp;B131),"")</f>
        <v/>
      </c>
      <c r="D131" s="26"/>
      <c r="E131" s="26"/>
      <c r="F131" s="26"/>
      <c r="G131" s="26"/>
      <c r="H131" s="26"/>
      <c r="I131" s="26"/>
      <c r="J131" s="26"/>
    </row>
    <row r="132" spans="1:10" ht="15" customHeight="1" x14ac:dyDescent="0.25">
      <c r="A132" s="26"/>
      <c r="B132" s="26"/>
      <c r="C132" s="26" t="str">
        <f>IFERROR(IF(OR(A132="",B132=""),"",INDEX(Equipements!$H:$H,MATCH(A132,Equipements!$A:$A,0))&amp;"."&amp;B132),"")</f>
        <v/>
      </c>
      <c r="D132" s="26"/>
      <c r="E132" s="26"/>
      <c r="F132" s="26"/>
      <c r="G132" s="26"/>
      <c r="H132" s="26"/>
      <c r="I132" s="26"/>
      <c r="J132" s="26"/>
    </row>
    <row r="133" spans="1:10" ht="15" customHeight="1" x14ac:dyDescent="0.25">
      <c r="A133" s="26"/>
      <c r="B133" s="26"/>
      <c r="C133" s="26" t="str">
        <f>IFERROR(IF(OR(A133="",B133=""),"",INDEX(Equipements!$H:$H,MATCH(A133,Equipements!$A:$A,0))&amp;"."&amp;B133),"")</f>
        <v/>
      </c>
      <c r="D133" s="26"/>
      <c r="E133" s="26"/>
      <c r="F133" s="26"/>
      <c r="G133" s="26"/>
      <c r="H133" s="26"/>
      <c r="I133" s="26"/>
      <c r="J133" s="26"/>
    </row>
    <row r="134" spans="1:10" ht="15" customHeight="1" x14ac:dyDescent="0.25">
      <c r="A134" s="26"/>
      <c r="B134" s="26"/>
      <c r="C134" s="26" t="str">
        <f>IFERROR(IF(OR(A134="",B134=""),"",INDEX(Equipements!$H:$H,MATCH(A134,Equipements!$A:$A,0))&amp;"."&amp;B134),"")</f>
        <v/>
      </c>
      <c r="D134" s="26"/>
      <c r="E134" s="26"/>
      <c r="F134" s="26"/>
      <c r="G134" s="26"/>
      <c r="H134" s="26"/>
      <c r="I134" s="26"/>
      <c r="J134" s="26"/>
    </row>
    <row r="135" spans="1:10" ht="15" customHeight="1" x14ac:dyDescent="0.25">
      <c r="A135" s="26"/>
      <c r="B135" s="26"/>
      <c r="C135" s="26" t="str">
        <f>IFERROR(IF(OR(A135="",B135=""),"",INDEX(Equipements!$H:$H,MATCH(A135,Equipements!$A:$A,0))&amp;"."&amp;B135),"")</f>
        <v/>
      </c>
      <c r="D135" s="26"/>
      <c r="E135" s="26"/>
      <c r="F135" s="26"/>
      <c r="G135" s="26"/>
      <c r="H135" s="26"/>
      <c r="I135" s="26"/>
      <c r="J135" s="26"/>
    </row>
    <row r="136" spans="1:10" ht="15" customHeight="1" x14ac:dyDescent="0.25">
      <c r="A136" s="26"/>
      <c r="B136" s="26"/>
      <c r="C136" s="26" t="str">
        <f>IFERROR(IF(OR(A136="",B136=""),"",INDEX(Equipements!$H:$H,MATCH(A136,Equipements!$A:$A,0))&amp;"."&amp;B136),"")</f>
        <v/>
      </c>
      <c r="D136" s="26"/>
      <c r="E136" s="26"/>
      <c r="F136" s="26"/>
      <c r="G136" s="26"/>
      <c r="H136" s="26"/>
      <c r="I136" s="26"/>
      <c r="J136" s="26"/>
    </row>
    <row r="137" spans="1:10" ht="15" customHeight="1" x14ac:dyDescent="0.25">
      <c r="A137" s="26"/>
      <c r="B137" s="26"/>
      <c r="C137" s="26" t="str">
        <f>IFERROR(IF(OR(A137="",B137=""),"",INDEX(Equipements!$H:$H,MATCH(A137,Equipements!$A:$A,0))&amp;"."&amp;B137),"")</f>
        <v/>
      </c>
      <c r="D137" s="26"/>
      <c r="E137" s="26"/>
      <c r="F137" s="26"/>
      <c r="G137" s="26"/>
      <c r="H137" s="26"/>
      <c r="I137" s="26"/>
      <c r="J137" s="26"/>
    </row>
    <row r="138" spans="1:10" ht="15" customHeight="1" x14ac:dyDescent="0.25">
      <c r="A138" s="26"/>
      <c r="B138" s="26"/>
      <c r="C138" s="26" t="str">
        <f>IFERROR(IF(OR(A138="",B138=""),"",INDEX(Equipements!$H:$H,MATCH(A138,Equipements!$A:$A,0))&amp;"."&amp;B138),"")</f>
        <v/>
      </c>
      <c r="D138" s="26"/>
      <c r="E138" s="26"/>
      <c r="F138" s="26"/>
      <c r="G138" s="26"/>
      <c r="H138" s="26"/>
      <c r="I138" s="26"/>
      <c r="J138" s="26"/>
    </row>
    <row r="139" spans="1:10" ht="15" customHeight="1" x14ac:dyDescent="0.25">
      <c r="A139" s="26"/>
      <c r="B139" s="26"/>
      <c r="C139" s="26" t="str">
        <f>IFERROR(IF(OR(A139="",B139=""),"",INDEX(Equipements!$H:$H,MATCH(A139,Equipements!$A:$A,0))&amp;"."&amp;B139),"")</f>
        <v/>
      </c>
      <c r="D139" s="26"/>
      <c r="E139" s="26"/>
      <c r="F139" s="26"/>
      <c r="G139" s="26"/>
      <c r="H139" s="26"/>
      <c r="I139" s="26"/>
      <c r="J139" s="26"/>
    </row>
    <row r="140" spans="1:10" ht="15" customHeight="1" x14ac:dyDescent="0.25">
      <c r="A140" s="26"/>
      <c r="B140" s="26"/>
      <c r="C140" s="26" t="str">
        <f>IFERROR(IF(OR(A140="",B140=""),"",INDEX(Equipements!$H:$H,MATCH(A140,Equipements!$A:$A,0))&amp;"."&amp;B140),"")</f>
        <v/>
      </c>
      <c r="D140" s="26"/>
      <c r="E140" s="26"/>
      <c r="F140" s="26"/>
      <c r="G140" s="26"/>
      <c r="H140" s="26"/>
      <c r="I140" s="26"/>
      <c r="J140" s="26"/>
    </row>
    <row r="141" spans="1:10" ht="15" customHeight="1" x14ac:dyDescent="0.25">
      <c r="A141" s="26"/>
      <c r="B141" s="26"/>
      <c r="C141" s="26" t="str">
        <f>IFERROR(IF(OR(A141="",B141=""),"",INDEX(Equipements!$H:$H,MATCH(A141,Equipements!$A:$A,0))&amp;"."&amp;B141),"")</f>
        <v/>
      </c>
      <c r="D141" s="26"/>
      <c r="E141" s="26"/>
      <c r="F141" s="26"/>
      <c r="G141" s="26"/>
      <c r="H141" s="26"/>
      <c r="I141" s="26"/>
      <c r="J141" s="26"/>
    </row>
    <row r="142" spans="1:10" ht="15" customHeight="1" x14ac:dyDescent="0.25">
      <c r="A142" s="26"/>
      <c r="B142" s="26"/>
      <c r="C142" s="26" t="str">
        <f>IFERROR(IF(OR(A142="",B142=""),"",INDEX(Equipements!$H:$H,MATCH(A142,Equipements!$A:$A,0))&amp;"."&amp;B142),"")</f>
        <v/>
      </c>
      <c r="D142" s="26"/>
      <c r="E142" s="26"/>
      <c r="F142" s="26"/>
      <c r="G142" s="26"/>
      <c r="H142" s="26"/>
      <c r="I142" s="26"/>
      <c r="J142" s="26"/>
    </row>
    <row r="143" spans="1:10" ht="15" customHeight="1" x14ac:dyDescent="0.25">
      <c r="A143" s="26"/>
      <c r="B143" s="26"/>
      <c r="C143" s="26" t="str">
        <f>IFERROR(IF(OR(A143="",B143=""),"",INDEX(Equipements!$H:$H,MATCH(A143,Equipements!$A:$A,0))&amp;"."&amp;B143),"")</f>
        <v/>
      </c>
      <c r="D143" s="26"/>
      <c r="E143" s="26"/>
      <c r="F143" s="26"/>
      <c r="G143" s="26"/>
      <c r="H143" s="26"/>
      <c r="I143" s="26"/>
      <c r="J143" s="26"/>
    </row>
    <row r="144" spans="1:10" ht="15" customHeight="1" x14ac:dyDescent="0.25">
      <c r="A144" s="26"/>
      <c r="B144" s="26"/>
      <c r="C144" s="26" t="str">
        <f>IFERROR(IF(OR(A144="",B144=""),"",INDEX(Equipements!$H:$H,MATCH(A144,Equipements!$A:$A,0))&amp;"."&amp;B144),"")</f>
        <v/>
      </c>
      <c r="D144" s="26"/>
      <c r="E144" s="26"/>
      <c r="F144" s="26"/>
      <c r="G144" s="26"/>
      <c r="H144" s="26"/>
      <c r="I144" s="26"/>
      <c r="J144" s="26"/>
    </row>
    <row r="145" spans="1:10" ht="15" customHeight="1" x14ac:dyDescent="0.25">
      <c r="A145" s="26"/>
      <c r="B145" s="26"/>
      <c r="C145" s="26" t="str">
        <f>IFERROR(IF(OR(A145="",B145=""),"",INDEX(Equipements!$H:$H,MATCH(A145,Equipements!$A:$A,0))&amp;"."&amp;B145),"")</f>
        <v/>
      </c>
      <c r="D145" s="26"/>
      <c r="E145" s="26"/>
      <c r="F145" s="26"/>
      <c r="G145" s="26"/>
      <c r="H145" s="26"/>
      <c r="I145" s="26"/>
      <c r="J145" s="26"/>
    </row>
    <row r="146" spans="1:10" ht="15" customHeight="1" x14ac:dyDescent="0.25">
      <c r="A146" s="26"/>
      <c r="B146" s="26"/>
      <c r="C146" s="26" t="str">
        <f>IFERROR(IF(OR(A146="",B146=""),"",INDEX(Equipements!$H:$H,MATCH(A146,Equipements!$A:$A,0))&amp;"."&amp;B146),"")</f>
        <v/>
      </c>
      <c r="D146" s="26"/>
      <c r="E146" s="26"/>
      <c r="F146" s="26"/>
      <c r="G146" s="26"/>
      <c r="H146" s="26"/>
      <c r="I146" s="26"/>
      <c r="J146" s="26"/>
    </row>
    <row r="147" spans="1:10" ht="15" customHeight="1" x14ac:dyDescent="0.25">
      <c r="A147" s="26"/>
      <c r="B147" s="26"/>
      <c r="C147" s="26" t="str">
        <f>IFERROR(IF(OR(A147="",B147=""),"",INDEX(Equipements!$H:$H,MATCH(A147,Equipements!$A:$A,0))&amp;"."&amp;B147),"")</f>
        <v/>
      </c>
      <c r="D147" s="26"/>
      <c r="E147" s="26"/>
      <c r="F147" s="26"/>
      <c r="G147" s="26"/>
      <c r="H147" s="26"/>
      <c r="I147" s="26"/>
      <c r="J147" s="26"/>
    </row>
    <row r="148" spans="1:10" ht="15" customHeight="1" x14ac:dyDescent="0.25">
      <c r="A148" s="26"/>
      <c r="B148" s="26"/>
      <c r="C148" s="26" t="str">
        <f>IFERROR(IF(OR(A148="",B148=""),"",INDEX(Equipements!$H:$H,MATCH(A148,Equipements!$A:$A,0))&amp;"."&amp;B148),"")</f>
        <v/>
      </c>
      <c r="D148" s="26"/>
      <c r="E148" s="26"/>
      <c r="F148" s="26"/>
      <c r="G148" s="26"/>
      <c r="H148" s="26"/>
      <c r="I148" s="26"/>
      <c r="J148" s="26"/>
    </row>
    <row r="149" spans="1:10" ht="15" customHeight="1" x14ac:dyDescent="0.25">
      <c r="A149" s="26"/>
      <c r="B149" s="26"/>
      <c r="C149" s="26" t="str">
        <f>IFERROR(IF(OR(A149="",B149=""),"",INDEX(Equipements!$H:$H,MATCH(A149,Equipements!$A:$A,0))&amp;"."&amp;B149),"")</f>
        <v/>
      </c>
      <c r="D149" s="26"/>
      <c r="E149" s="26"/>
      <c r="F149" s="26"/>
      <c r="G149" s="26"/>
      <c r="H149" s="26"/>
      <c r="I149" s="26"/>
      <c r="J149" s="26"/>
    </row>
    <row r="150" spans="1:10" ht="15" customHeight="1" x14ac:dyDescent="0.25">
      <c r="A150" s="26"/>
      <c r="B150" s="26"/>
      <c r="C150" s="26" t="str">
        <f>IFERROR(IF(OR(A150="",B150=""),"",INDEX(Equipements!$H:$H,MATCH(A150,Equipements!$A:$A,0))&amp;"."&amp;B150),"")</f>
        <v/>
      </c>
      <c r="D150" s="26"/>
      <c r="E150" s="26"/>
      <c r="F150" s="26"/>
      <c r="G150" s="26"/>
      <c r="H150" s="26"/>
      <c r="I150" s="26"/>
      <c r="J150" s="26"/>
    </row>
    <row r="151" spans="1:10" ht="15" customHeight="1" x14ac:dyDescent="0.25">
      <c r="A151" s="26"/>
      <c r="B151" s="26"/>
      <c r="C151" s="26" t="str">
        <f>IFERROR(IF(OR(A151="",B151=""),"",INDEX(Equipements!$H:$H,MATCH(A151,Equipements!$A:$A,0))&amp;"."&amp;B151),"")</f>
        <v/>
      </c>
      <c r="D151" s="26"/>
      <c r="E151" s="26"/>
      <c r="F151" s="26"/>
      <c r="G151" s="26"/>
      <c r="H151" s="26"/>
      <c r="I151" s="26"/>
      <c r="J151" s="26"/>
    </row>
    <row r="152" spans="1:10" ht="15" customHeight="1" x14ac:dyDescent="0.25">
      <c r="A152" s="26"/>
      <c r="B152" s="26"/>
      <c r="C152" s="26" t="str">
        <f>IFERROR(IF(OR(A152="",B152=""),"",INDEX(Equipements!$H:$H,MATCH(A152,Equipements!$A:$A,0))&amp;"."&amp;B152),"")</f>
        <v/>
      </c>
      <c r="D152" s="26"/>
      <c r="E152" s="26"/>
      <c r="F152" s="26"/>
      <c r="G152" s="26"/>
      <c r="H152" s="26"/>
      <c r="I152" s="26"/>
      <c r="J152" s="26"/>
    </row>
    <row r="153" spans="1:10" ht="15" customHeight="1" x14ac:dyDescent="0.25">
      <c r="A153" s="26"/>
      <c r="B153" s="26"/>
      <c r="C153" s="26" t="str">
        <f>IFERROR(IF(OR(A153="",B153=""),"",INDEX(Equipements!$H:$H,MATCH(A153,Equipements!$A:$A,0))&amp;"."&amp;B153),"")</f>
        <v/>
      </c>
      <c r="D153" s="26"/>
      <c r="E153" s="26"/>
      <c r="F153" s="26"/>
      <c r="G153" s="26"/>
      <c r="H153" s="26"/>
      <c r="I153" s="26"/>
      <c r="J153" s="26"/>
    </row>
    <row r="154" spans="1:10" ht="15" customHeight="1" x14ac:dyDescent="0.25">
      <c r="A154" s="26"/>
      <c r="B154" s="26"/>
      <c r="C154" s="26" t="str">
        <f>IFERROR(IF(OR(A154="",B154=""),"",INDEX(Equipements!$H:$H,MATCH(A154,Equipements!$A:$A,0))&amp;"."&amp;B154),"")</f>
        <v/>
      </c>
      <c r="D154" s="26"/>
      <c r="E154" s="26"/>
      <c r="F154" s="26"/>
      <c r="G154" s="26"/>
      <c r="H154" s="26"/>
      <c r="I154" s="26"/>
      <c r="J154" s="26"/>
    </row>
    <row r="155" spans="1:10" ht="15" customHeight="1" x14ac:dyDescent="0.25">
      <c r="A155" s="26"/>
      <c r="B155" s="26"/>
      <c r="C155" s="26" t="str">
        <f>IFERROR(IF(OR(A155="",B155=""),"",INDEX(Equipements!$H:$H,MATCH(A155,Equipements!$A:$A,0))&amp;"."&amp;B155),"")</f>
        <v/>
      </c>
      <c r="D155" s="26"/>
      <c r="E155" s="26"/>
      <c r="F155" s="26"/>
      <c r="G155" s="26"/>
      <c r="H155" s="26"/>
      <c r="I155" s="26"/>
      <c r="J155" s="26"/>
    </row>
    <row r="156" spans="1:10" ht="15" customHeight="1" x14ac:dyDescent="0.25">
      <c r="A156" s="26"/>
      <c r="B156" s="26"/>
      <c r="C156" s="26" t="str">
        <f>IFERROR(IF(OR(A156="",B156=""),"",INDEX(Equipements!$H:$H,MATCH(A156,Equipements!$A:$A,0))&amp;"."&amp;B156),"")</f>
        <v/>
      </c>
      <c r="D156" s="26"/>
      <c r="E156" s="26"/>
      <c r="F156" s="26"/>
      <c r="G156" s="26"/>
      <c r="H156" s="26"/>
      <c r="I156" s="26"/>
      <c r="J156" s="26"/>
    </row>
    <row r="157" spans="1:10" ht="15" customHeight="1" x14ac:dyDescent="0.25">
      <c r="A157" s="26"/>
      <c r="B157" s="26"/>
      <c r="C157" s="26" t="str">
        <f>IFERROR(IF(OR(A157="",B157=""),"",INDEX(Equipements!$H:$H,MATCH(A157,Equipements!$A:$A,0))&amp;"."&amp;B157),"")</f>
        <v/>
      </c>
      <c r="D157" s="26"/>
      <c r="E157" s="26"/>
      <c r="F157" s="26"/>
      <c r="G157" s="26"/>
      <c r="H157" s="26"/>
      <c r="I157" s="26"/>
      <c r="J157" s="26"/>
    </row>
    <row r="158" spans="1:10" ht="15" customHeight="1" x14ac:dyDescent="0.25">
      <c r="A158" s="26"/>
      <c r="B158" s="26"/>
      <c r="C158" s="26" t="str">
        <f>IFERROR(IF(OR(A158="",B158=""),"",INDEX(Equipements!$H:$H,MATCH(A158,Equipements!$A:$A,0))&amp;"."&amp;B158),"")</f>
        <v/>
      </c>
      <c r="D158" s="26"/>
      <c r="E158" s="26"/>
      <c r="F158" s="26"/>
      <c r="G158" s="26"/>
      <c r="H158" s="26"/>
      <c r="I158" s="26"/>
      <c r="J158" s="26"/>
    </row>
    <row r="159" spans="1:10" ht="15" customHeight="1" x14ac:dyDescent="0.25">
      <c r="A159" s="26"/>
      <c r="B159" s="26"/>
      <c r="C159" s="26" t="str">
        <f>IFERROR(IF(OR(A159="",B159=""),"",INDEX(Equipements!$H:$H,MATCH(A159,Equipements!$A:$A,0))&amp;"."&amp;B159),"")</f>
        <v/>
      </c>
      <c r="D159" s="26"/>
      <c r="E159" s="26"/>
      <c r="F159" s="26"/>
      <c r="G159" s="26"/>
      <c r="H159" s="26"/>
      <c r="I159" s="26"/>
      <c r="J159" s="26"/>
    </row>
    <row r="160" spans="1:10" ht="15" customHeight="1" x14ac:dyDescent="0.25">
      <c r="A160" s="26"/>
      <c r="B160" s="26"/>
      <c r="C160" s="26" t="str">
        <f>IFERROR(IF(OR(A160="",B160=""),"",INDEX(Equipements!$H:$H,MATCH(A160,Equipements!$A:$A,0))&amp;"."&amp;B160),"")</f>
        <v/>
      </c>
      <c r="D160" s="26"/>
      <c r="E160" s="26"/>
      <c r="F160" s="26"/>
      <c r="G160" s="26"/>
      <c r="H160" s="26"/>
      <c r="I160" s="26"/>
      <c r="J160" s="26"/>
    </row>
    <row r="161" spans="1:10" ht="15" customHeight="1" x14ac:dyDescent="0.25">
      <c r="A161" s="26"/>
      <c r="B161" s="26"/>
      <c r="C161" s="26" t="str">
        <f>IFERROR(IF(OR(A161="",B161=""),"",INDEX(Equipements!$H:$H,MATCH(A161,Equipements!$A:$A,0))&amp;"."&amp;B161),"")</f>
        <v/>
      </c>
      <c r="D161" s="26"/>
      <c r="E161" s="26"/>
      <c r="F161" s="26"/>
      <c r="G161" s="26"/>
      <c r="H161" s="26"/>
      <c r="I161" s="26"/>
      <c r="J161" s="26"/>
    </row>
    <row r="162" spans="1:10" ht="15" customHeight="1" x14ac:dyDescent="0.25">
      <c r="A162" s="26"/>
      <c r="B162" s="26"/>
      <c r="C162" s="26" t="str">
        <f>IFERROR(IF(OR(A162="",B162=""),"",INDEX(Equipements!$H:$H,MATCH(A162,Equipements!$A:$A,0))&amp;"."&amp;B162),"")</f>
        <v/>
      </c>
      <c r="D162" s="26"/>
      <c r="E162" s="26"/>
      <c r="F162" s="26"/>
      <c r="G162" s="26"/>
      <c r="H162" s="26"/>
      <c r="I162" s="26"/>
      <c r="J162" s="26"/>
    </row>
    <row r="163" spans="1:10" ht="15" customHeight="1" x14ac:dyDescent="0.25">
      <c r="A163" s="26"/>
      <c r="B163" s="26"/>
      <c r="C163" s="26" t="str">
        <f>IFERROR(IF(OR(A163="",B163=""),"",INDEX(Equipements!$H:$H,MATCH(A163,Equipements!$A:$A,0))&amp;"."&amp;B163),"")</f>
        <v/>
      </c>
      <c r="D163" s="26"/>
      <c r="E163" s="26"/>
      <c r="F163" s="26"/>
      <c r="G163" s="26"/>
      <c r="H163" s="26"/>
      <c r="I163" s="26"/>
      <c r="J163" s="26"/>
    </row>
    <row r="164" spans="1:10" ht="15" customHeight="1" x14ac:dyDescent="0.25">
      <c r="A164" s="26"/>
      <c r="B164" s="26"/>
      <c r="C164" s="26" t="str">
        <f>IFERROR(IF(OR(A164="",B164=""),"",INDEX(Equipements!$H:$H,MATCH(A164,Equipements!$A:$A,0))&amp;"."&amp;B164),"")</f>
        <v/>
      </c>
      <c r="D164" s="26"/>
      <c r="E164" s="26"/>
      <c r="F164" s="26"/>
      <c r="G164" s="26"/>
      <c r="H164" s="26"/>
      <c r="I164" s="26"/>
      <c r="J164" s="26"/>
    </row>
    <row r="165" spans="1:10" ht="15" customHeight="1" x14ac:dyDescent="0.25">
      <c r="A165" s="26"/>
      <c r="B165" s="26"/>
      <c r="C165" s="26" t="str">
        <f>IFERROR(IF(OR(A165="",B165=""),"",INDEX(Equipements!$H:$H,MATCH(A165,Equipements!$A:$A,0))&amp;"."&amp;B165),"")</f>
        <v/>
      </c>
      <c r="D165" s="26"/>
      <c r="E165" s="26"/>
      <c r="F165" s="26"/>
      <c r="G165" s="26"/>
      <c r="H165" s="26"/>
      <c r="I165" s="26"/>
      <c r="J165" s="26"/>
    </row>
    <row r="166" spans="1:10" ht="15" customHeight="1" x14ac:dyDescent="0.25">
      <c r="A166" s="26"/>
      <c r="B166" s="26"/>
      <c r="C166" s="26" t="str">
        <f>IFERROR(IF(OR(A166="",B166=""),"",INDEX(Equipements!$H:$H,MATCH(A166,Equipements!$A:$A,0))&amp;"."&amp;B166),"")</f>
        <v/>
      </c>
      <c r="D166" s="26"/>
      <c r="E166" s="26"/>
      <c r="F166" s="26"/>
      <c r="G166" s="26"/>
      <c r="H166" s="26"/>
      <c r="I166" s="26"/>
      <c r="J166" s="26"/>
    </row>
    <row r="167" spans="1:10" ht="15" customHeight="1" x14ac:dyDescent="0.25">
      <c r="A167" s="26"/>
      <c r="B167" s="26"/>
      <c r="C167" s="26" t="str">
        <f>IFERROR(IF(OR(A167="",B167=""),"",INDEX(Equipements!$H:$H,MATCH(A167,Equipements!$A:$A,0))&amp;"."&amp;B167),"")</f>
        <v/>
      </c>
      <c r="D167" s="26"/>
      <c r="E167" s="26"/>
      <c r="F167" s="26"/>
      <c r="G167" s="26"/>
      <c r="H167" s="26"/>
      <c r="I167" s="26"/>
      <c r="J167" s="26"/>
    </row>
    <row r="168" spans="1:10" ht="15" customHeight="1" x14ac:dyDescent="0.25">
      <c r="A168" s="26"/>
      <c r="B168" s="26"/>
      <c r="C168" s="26" t="str">
        <f>IFERROR(IF(OR(A168="",B168=""),"",INDEX(Equipements!$H:$H,MATCH(A168,Equipements!$A:$A,0))&amp;"."&amp;B168),"")</f>
        <v/>
      </c>
      <c r="D168" s="26"/>
      <c r="E168" s="26"/>
      <c r="F168" s="26"/>
      <c r="G168" s="26"/>
      <c r="H168" s="26"/>
      <c r="I168" s="26"/>
      <c r="J168" s="26"/>
    </row>
    <row r="169" spans="1:10" ht="15" customHeight="1" x14ac:dyDescent="0.25">
      <c r="A169" s="26"/>
      <c r="B169" s="26"/>
      <c r="C169" s="26" t="str">
        <f>IFERROR(IF(OR(A169="",B169=""),"",INDEX(Equipements!$H:$H,MATCH(A169,Equipements!$A:$A,0))&amp;"."&amp;B169),"")</f>
        <v/>
      </c>
      <c r="D169" s="26"/>
      <c r="E169" s="26"/>
      <c r="F169" s="26"/>
      <c r="G169" s="26"/>
      <c r="H169" s="26"/>
      <c r="I169" s="26"/>
      <c r="J169" s="26"/>
    </row>
    <row r="170" spans="1:10" ht="15" customHeight="1" x14ac:dyDescent="0.25">
      <c r="A170" s="26"/>
      <c r="B170" s="26"/>
      <c r="C170" s="26" t="str">
        <f>IFERROR(IF(OR(A170="",B170=""),"",INDEX(Equipements!$H:$H,MATCH(A170,Equipements!$A:$A,0))&amp;"."&amp;B170),"")</f>
        <v/>
      </c>
      <c r="D170" s="26"/>
      <c r="E170" s="26"/>
      <c r="F170" s="26"/>
      <c r="G170" s="26"/>
      <c r="H170" s="26"/>
      <c r="I170" s="26"/>
      <c r="J170" s="26"/>
    </row>
    <row r="171" spans="1:10" ht="15" customHeight="1" x14ac:dyDescent="0.25">
      <c r="A171" s="26"/>
      <c r="B171" s="26"/>
      <c r="C171" s="26" t="str">
        <f>IFERROR(IF(OR(A171="",B171=""),"",INDEX(Equipements!$H:$H,MATCH(A171,Equipements!$A:$A,0))&amp;"."&amp;B171),"")</f>
        <v/>
      </c>
      <c r="D171" s="26"/>
      <c r="E171" s="26"/>
      <c r="F171" s="26"/>
      <c r="G171" s="26"/>
      <c r="H171" s="26"/>
      <c r="I171" s="26"/>
      <c r="J171" s="26"/>
    </row>
    <row r="172" spans="1:10" ht="15" customHeight="1" x14ac:dyDescent="0.25">
      <c r="A172" s="26"/>
      <c r="B172" s="26"/>
      <c r="C172" s="26" t="str">
        <f>IFERROR(IF(OR(A172="",B172=""),"",INDEX(Equipements!$H:$H,MATCH(A172,Equipements!$A:$A,0))&amp;"."&amp;B172),"")</f>
        <v/>
      </c>
      <c r="D172" s="26"/>
      <c r="E172" s="26"/>
      <c r="F172" s="26"/>
      <c r="G172" s="26"/>
      <c r="H172" s="26"/>
      <c r="I172" s="26"/>
      <c r="J172" s="26"/>
    </row>
    <row r="173" spans="1:10" ht="15" customHeight="1" x14ac:dyDescent="0.25">
      <c r="A173" s="26"/>
      <c r="B173" s="26"/>
      <c r="C173" s="26" t="str">
        <f>IFERROR(IF(OR(A173="",B173=""),"",INDEX(Equipements!$H:$H,MATCH(A173,Equipements!$A:$A,0))&amp;"."&amp;B173),"")</f>
        <v/>
      </c>
      <c r="D173" s="26"/>
      <c r="E173" s="26"/>
      <c r="F173" s="26"/>
      <c r="G173" s="26"/>
      <c r="H173" s="26"/>
      <c r="I173" s="26"/>
      <c r="J173" s="26"/>
    </row>
    <row r="174" spans="1:10" ht="15" customHeight="1" x14ac:dyDescent="0.25">
      <c r="A174" s="26"/>
      <c r="B174" s="26"/>
      <c r="C174" s="26" t="str">
        <f>IFERROR(IF(OR(A174="",B174=""),"",INDEX(Equipements!$H:$H,MATCH(A174,Equipements!$A:$A,0))&amp;"."&amp;B174),"")</f>
        <v/>
      </c>
      <c r="D174" s="26"/>
      <c r="E174" s="26"/>
      <c r="F174" s="26"/>
      <c r="G174" s="26"/>
      <c r="H174" s="26"/>
      <c r="I174" s="26"/>
      <c r="J174" s="26"/>
    </row>
    <row r="175" spans="1:10" ht="15" customHeight="1" x14ac:dyDescent="0.25">
      <c r="A175" s="26"/>
      <c r="B175" s="26"/>
      <c r="C175" s="26" t="str">
        <f>IFERROR(IF(OR(A175="",B175=""),"",INDEX(Equipements!$H:$H,MATCH(A175,Equipements!$A:$A,0))&amp;"."&amp;B175),"")</f>
        <v/>
      </c>
      <c r="D175" s="26"/>
      <c r="E175" s="26"/>
      <c r="F175" s="26"/>
      <c r="G175" s="26"/>
      <c r="H175" s="26"/>
      <c r="I175" s="26"/>
      <c r="J175" s="26"/>
    </row>
    <row r="176" spans="1:10" ht="15" customHeight="1" x14ac:dyDescent="0.25">
      <c r="A176" s="26"/>
      <c r="B176" s="26"/>
      <c r="C176" s="26" t="str">
        <f>IFERROR(IF(OR(A176="",B176=""),"",INDEX(Equipements!$H:$H,MATCH(A176,Equipements!$A:$A,0))&amp;"."&amp;B176),"")</f>
        <v/>
      </c>
      <c r="D176" s="26"/>
      <c r="E176" s="26"/>
      <c r="F176" s="26"/>
      <c r="G176" s="26"/>
      <c r="H176" s="26"/>
      <c r="I176" s="26"/>
      <c r="J176" s="26"/>
    </row>
    <row r="177" spans="1:10" ht="15" customHeight="1" x14ac:dyDescent="0.25">
      <c r="A177" s="26"/>
      <c r="B177" s="26"/>
      <c r="C177" s="26" t="str">
        <f>IFERROR(IF(OR(A177="",B177=""),"",INDEX(Equipements!$H:$H,MATCH(A177,Equipements!$A:$A,0))&amp;"."&amp;B177),"")</f>
        <v/>
      </c>
      <c r="D177" s="26"/>
      <c r="E177" s="26"/>
      <c r="F177" s="26"/>
      <c r="G177" s="26"/>
      <c r="H177" s="26"/>
      <c r="I177" s="26"/>
      <c r="J177" s="26"/>
    </row>
    <row r="178" spans="1:10" ht="15" customHeight="1" x14ac:dyDescent="0.25">
      <c r="A178" s="26"/>
      <c r="B178" s="26"/>
      <c r="C178" s="26" t="str">
        <f>IFERROR(IF(OR(A178="",B178=""),"",INDEX(Equipements!$H:$H,MATCH(A178,Equipements!$A:$A,0))&amp;"."&amp;B178),"")</f>
        <v/>
      </c>
      <c r="D178" s="26"/>
      <c r="E178" s="26"/>
      <c r="F178" s="26"/>
      <c r="G178" s="26"/>
      <c r="H178" s="26"/>
      <c r="I178" s="26"/>
      <c r="J178" s="26"/>
    </row>
    <row r="179" spans="1:10" ht="15" customHeight="1" x14ac:dyDescent="0.25">
      <c r="A179" s="26"/>
      <c r="B179" s="26"/>
      <c r="C179" s="26" t="str">
        <f>IFERROR(IF(OR(A179="",B179=""),"",INDEX(Equipements!$H:$H,MATCH(A179,Equipements!$A:$A,0))&amp;"."&amp;B179),"")</f>
        <v/>
      </c>
      <c r="D179" s="26"/>
      <c r="E179" s="26"/>
      <c r="F179" s="26"/>
      <c r="G179" s="26"/>
      <c r="H179" s="26"/>
      <c r="I179" s="26"/>
      <c r="J179" s="26"/>
    </row>
    <row r="180" spans="1:10" ht="15" customHeight="1" x14ac:dyDescent="0.25">
      <c r="A180" s="26"/>
      <c r="B180" s="26"/>
      <c r="C180" s="26" t="str">
        <f>IFERROR(IF(OR(A180="",B180=""),"",INDEX(Equipements!$H:$H,MATCH(A180,Equipements!$A:$A,0))&amp;"."&amp;B180),"")</f>
        <v/>
      </c>
      <c r="D180" s="26"/>
      <c r="E180" s="26"/>
      <c r="F180" s="26"/>
      <c r="G180" s="26"/>
      <c r="H180" s="26"/>
      <c r="I180" s="26"/>
      <c r="J180" s="26"/>
    </row>
    <row r="181" spans="1:10" ht="15" customHeight="1" x14ac:dyDescent="0.25">
      <c r="A181" s="26"/>
      <c r="B181" s="26"/>
      <c r="C181" s="26" t="str">
        <f>IFERROR(IF(OR(A181="",B181=""),"",INDEX(Equipements!$H:$H,MATCH(A181,Equipements!$A:$A,0))&amp;"."&amp;B181),"")</f>
        <v/>
      </c>
      <c r="D181" s="26"/>
      <c r="E181" s="26"/>
      <c r="F181" s="26"/>
      <c r="G181" s="26"/>
      <c r="H181" s="26"/>
      <c r="I181" s="26"/>
      <c r="J181" s="26"/>
    </row>
    <row r="182" spans="1:10" ht="15" customHeight="1" x14ac:dyDescent="0.25">
      <c r="A182" s="26"/>
      <c r="B182" s="26"/>
      <c r="C182" s="26" t="str">
        <f>IFERROR(IF(OR(A182="",B182=""),"",INDEX(Equipements!$H:$H,MATCH(A182,Equipements!$A:$A,0))&amp;"."&amp;B182),"")</f>
        <v/>
      </c>
      <c r="D182" s="26"/>
      <c r="E182" s="26"/>
      <c r="F182" s="26"/>
      <c r="G182" s="26"/>
      <c r="H182" s="26"/>
      <c r="I182" s="26"/>
      <c r="J182" s="26"/>
    </row>
    <row r="183" spans="1:10" ht="15" customHeight="1" x14ac:dyDescent="0.25">
      <c r="A183" s="26"/>
      <c r="B183" s="26"/>
      <c r="C183" s="26" t="str">
        <f>IFERROR(IF(OR(A183="",B183=""),"",INDEX(Equipements!$H:$H,MATCH(A183,Equipements!$A:$A,0))&amp;"."&amp;B183),"")</f>
        <v/>
      </c>
      <c r="D183" s="26"/>
      <c r="E183" s="26"/>
      <c r="F183" s="26"/>
      <c r="G183" s="26"/>
      <c r="H183" s="26"/>
      <c r="I183" s="26"/>
      <c r="J183" s="26"/>
    </row>
    <row r="184" spans="1:10" ht="15" customHeight="1" x14ac:dyDescent="0.25">
      <c r="A184" s="26"/>
      <c r="B184" s="26"/>
      <c r="C184" s="26" t="str">
        <f>IFERROR(IF(OR(A184="",B184=""),"",INDEX(Equipements!$H:$H,MATCH(A184,Equipements!$A:$A,0))&amp;"."&amp;B184),"")</f>
        <v/>
      </c>
      <c r="D184" s="26"/>
      <c r="E184" s="26"/>
      <c r="F184" s="26"/>
      <c r="G184" s="26"/>
      <c r="H184" s="26"/>
      <c r="I184" s="26"/>
      <c r="J184" s="26"/>
    </row>
    <row r="185" spans="1:10" ht="15" customHeight="1" x14ac:dyDescent="0.25">
      <c r="A185" s="26"/>
      <c r="B185" s="26"/>
      <c r="C185" s="26" t="str">
        <f>IFERROR(IF(OR(A185="",B185=""),"",INDEX(Equipements!$H:$H,MATCH(A185,Equipements!$A:$A,0))&amp;"."&amp;B185),"")</f>
        <v/>
      </c>
      <c r="D185" s="26"/>
      <c r="E185" s="26"/>
      <c r="F185" s="26"/>
      <c r="G185" s="26"/>
      <c r="H185" s="26"/>
      <c r="I185" s="26"/>
      <c r="J185" s="26"/>
    </row>
    <row r="186" spans="1:10" ht="15" customHeight="1" x14ac:dyDescent="0.25">
      <c r="A186" s="26"/>
      <c r="B186" s="26"/>
      <c r="C186" s="26" t="str">
        <f>IFERROR(IF(OR(A186="",B186=""),"",INDEX(Equipements!$H:$H,MATCH(A186,Equipements!$A:$A,0))&amp;"."&amp;B186),"")</f>
        <v/>
      </c>
      <c r="D186" s="26"/>
      <c r="E186" s="26"/>
      <c r="F186" s="26"/>
      <c r="G186" s="26"/>
      <c r="H186" s="26"/>
      <c r="I186" s="26"/>
      <c r="J186" s="26"/>
    </row>
    <row r="187" spans="1:10" ht="15" customHeight="1" x14ac:dyDescent="0.25">
      <c r="A187" s="26"/>
      <c r="B187" s="26"/>
      <c r="C187" s="26" t="str">
        <f>IFERROR(IF(OR(A187="",B187=""),"",INDEX(Equipements!$H:$H,MATCH(A187,Equipements!$A:$A,0))&amp;"."&amp;B187),"")</f>
        <v/>
      </c>
      <c r="D187" s="26"/>
      <c r="E187" s="26"/>
      <c r="F187" s="26"/>
      <c r="G187" s="26"/>
      <c r="H187" s="26"/>
      <c r="I187" s="26"/>
      <c r="J187" s="26"/>
    </row>
    <row r="188" spans="1:10" ht="15" customHeight="1" x14ac:dyDescent="0.25">
      <c r="A188" s="26"/>
      <c r="B188" s="26"/>
      <c r="C188" s="26" t="str">
        <f>IFERROR(IF(OR(A188="",B188=""),"",INDEX(Equipements!$H:$H,MATCH(A188,Equipements!$A:$A,0))&amp;"."&amp;B188),"")</f>
        <v/>
      </c>
      <c r="D188" s="26"/>
      <c r="E188" s="26"/>
      <c r="F188" s="26"/>
      <c r="G188" s="26"/>
      <c r="H188" s="26"/>
      <c r="I188" s="26"/>
      <c r="J188" s="26"/>
    </row>
    <row r="189" spans="1:10" ht="15" customHeight="1" x14ac:dyDescent="0.25">
      <c r="A189" s="26"/>
      <c r="B189" s="26"/>
      <c r="C189" s="26" t="str">
        <f>IFERROR(IF(OR(A189="",B189=""),"",INDEX(Equipements!$H:$H,MATCH(A189,Equipements!$A:$A,0))&amp;"."&amp;B189),"")</f>
        <v/>
      </c>
      <c r="D189" s="26"/>
      <c r="E189" s="26"/>
      <c r="F189" s="26"/>
      <c r="G189" s="26"/>
      <c r="H189" s="26"/>
      <c r="I189" s="26"/>
      <c r="J189" s="26"/>
    </row>
    <row r="190" spans="1:10" ht="15" customHeight="1" x14ac:dyDescent="0.25">
      <c r="A190" s="26"/>
      <c r="B190" s="26"/>
      <c r="C190" s="26" t="str">
        <f>IFERROR(IF(OR(A190="",B190=""),"",INDEX(Equipements!$H:$H,MATCH(A190,Equipements!$A:$A,0))&amp;"."&amp;B190),"")</f>
        <v/>
      </c>
      <c r="D190" s="26"/>
      <c r="E190" s="26"/>
      <c r="F190" s="26"/>
      <c r="G190" s="26"/>
      <c r="H190" s="26"/>
      <c r="I190" s="26"/>
      <c r="J190" s="26"/>
    </row>
    <row r="191" spans="1:10" ht="15" customHeight="1" x14ac:dyDescent="0.25">
      <c r="A191" s="26"/>
      <c r="B191" s="26"/>
      <c r="C191" s="26" t="str">
        <f>IFERROR(IF(OR(A191="",B191=""),"",INDEX(Equipements!$H:$H,MATCH(A191,Equipements!$A:$A,0))&amp;"."&amp;B191),"")</f>
        <v/>
      </c>
      <c r="D191" s="26"/>
      <c r="E191" s="26"/>
      <c r="F191" s="26"/>
      <c r="G191" s="26"/>
      <c r="H191" s="26"/>
      <c r="I191" s="26"/>
      <c r="J191" s="26"/>
    </row>
    <row r="192" spans="1:10" ht="15" customHeight="1" x14ac:dyDescent="0.25">
      <c r="A192" s="26"/>
      <c r="B192" s="26"/>
      <c r="C192" s="26" t="str">
        <f>IFERROR(IF(OR(A192="",B192=""),"",INDEX(Equipements!$H:$H,MATCH(A192,Equipements!$A:$A,0))&amp;"."&amp;B192),"")</f>
        <v/>
      </c>
      <c r="D192" s="26"/>
      <c r="E192" s="26"/>
      <c r="F192" s="26"/>
      <c r="G192" s="26"/>
      <c r="H192" s="26"/>
      <c r="I192" s="26"/>
      <c r="J192" s="26"/>
    </row>
    <row r="193" spans="1:10" ht="15" customHeight="1" x14ac:dyDescent="0.25">
      <c r="A193" s="26"/>
      <c r="B193" s="26"/>
      <c r="C193" s="26" t="str">
        <f>IFERROR(IF(OR(A193="",B193=""),"",INDEX(Equipements!$H:$H,MATCH(A193,Equipements!$A:$A,0))&amp;"."&amp;B193),"")</f>
        <v/>
      </c>
      <c r="D193" s="26"/>
      <c r="E193" s="26"/>
      <c r="F193" s="26"/>
      <c r="G193" s="26"/>
      <c r="H193" s="26"/>
      <c r="I193" s="26"/>
      <c r="J193" s="26"/>
    </row>
    <row r="194" spans="1:10" ht="15" customHeight="1" x14ac:dyDescent="0.25">
      <c r="A194" s="26"/>
      <c r="B194" s="26"/>
      <c r="C194" s="26" t="str">
        <f>IFERROR(IF(OR(A194="",B194=""),"",INDEX(Equipements!$H:$H,MATCH(A194,Equipements!$A:$A,0))&amp;"."&amp;B194),"")</f>
        <v/>
      </c>
      <c r="D194" s="26"/>
      <c r="E194" s="26"/>
      <c r="F194" s="26"/>
      <c r="G194" s="26"/>
      <c r="H194" s="26"/>
      <c r="I194" s="26"/>
      <c r="J194" s="26"/>
    </row>
    <row r="195" spans="1:10" ht="15" customHeight="1" x14ac:dyDescent="0.25">
      <c r="A195" s="26"/>
      <c r="B195" s="26"/>
      <c r="C195" s="26" t="str">
        <f>IFERROR(IF(OR(A195="",B195=""),"",INDEX(Equipements!$H:$H,MATCH(A195,Equipements!$A:$A,0))&amp;"."&amp;B195),"")</f>
        <v/>
      </c>
      <c r="D195" s="26"/>
      <c r="E195" s="26"/>
      <c r="F195" s="26"/>
      <c r="G195" s="26"/>
      <c r="H195" s="26"/>
      <c r="I195" s="26"/>
      <c r="J195" s="26"/>
    </row>
    <row r="196" spans="1:10" ht="15" customHeight="1" x14ac:dyDescent="0.25">
      <c r="A196" s="26"/>
      <c r="B196" s="26"/>
      <c r="C196" s="26" t="str">
        <f>IFERROR(IF(OR(A196="",B196=""),"",INDEX(Equipements!$H:$H,MATCH(A196,Equipements!$A:$A,0))&amp;"."&amp;B196),"")</f>
        <v/>
      </c>
      <c r="D196" s="26"/>
      <c r="E196" s="26"/>
      <c r="F196" s="26"/>
      <c r="G196" s="26"/>
      <c r="H196" s="26"/>
      <c r="I196" s="26"/>
      <c r="J196" s="26"/>
    </row>
    <row r="197" spans="1:10" ht="15" customHeight="1" x14ac:dyDescent="0.25">
      <c r="A197" s="26"/>
      <c r="B197" s="26"/>
      <c r="C197" s="26" t="str">
        <f>IFERROR(IF(OR(A197="",B197=""),"",INDEX(Equipements!$H:$H,MATCH(A197,Equipements!$A:$A,0))&amp;"."&amp;B197),"")</f>
        <v/>
      </c>
      <c r="D197" s="26"/>
      <c r="E197" s="26"/>
      <c r="F197" s="26"/>
      <c r="G197" s="26"/>
      <c r="H197" s="26"/>
      <c r="I197" s="26"/>
      <c r="J197" s="26"/>
    </row>
    <row r="198" spans="1:10" ht="15" customHeight="1" x14ac:dyDescent="0.25">
      <c r="A198" s="26"/>
      <c r="B198" s="26"/>
      <c r="C198" s="26" t="str">
        <f>IFERROR(IF(OR(A198="",B198=""),"",INDEX(Equipements!$H:$H,MATCH(A198,Equipements!$A:$A,0))&amp;"."&amp;B198),"")</f>
        <v/>
      </c>
      <c r="D198" s="26"/>
      <c r="E198" s="26"/>
      <c r="F198" s="26"/>
      <c r="G198" s="26"/>
      <c r="H198" s="26"/>
      <c r="I198" s="26"/>
      <c r="J198" s="26"/>
    </row>
    <row r="199" spans="1:10" ht="15" customHeight="1" x14ac:dyDescent="0.25">
      <c r="A199" s="26"/>
      <c r="B199" s="26"/>
      <c r="C199" s="26" t="str">
        <f>IFERROR(IF(OR(A199="",B199=""),"",INDEX(Equipements!$H:$H,MATCH(A199,Equipements!$A:$A,0))&amp;"."&amp;B199),"")</f>
        <v/>
      </c>
      <c r="D199" s="26"/>
      <c r="E199" s="26"/>
      <c r="F199" s="26"/>
      <c r="G199" s="26"/>
      <c r="H199" s="26"/>
      <c r="I199" s="26"/>
      <c r="J199" s="26"/>
    </row>
    <row r="200" spans="1:10" ht="15" customHeight="1" x14ac:dyDescent="0.25">
      <c r="A200" s="26"/>
      <c r="B200" s="26"/>
      <c r="C200" s="26" t="str">
        <f>IFERROR(IF(OR(A200="",B200=""),"",INDEX(Equipements!$H:$H,MATCH(A200,Equipements!$A:$A,0))&amp;"."&amp;B200),"")</f>
        <v/>
      </c>
      <c r="D200" s="26"/>
      <c r="E200" s="26"/>
      <c r="F200" s="26"/>
      <c r="G200" s="26"/>
      <c r="H200" s="26"/>
      <c r="I200" s="26"/>
      <c r="J200" s="26"/>
    </row>
    <row r="201" spans="1:10" ht="15" customHeight="1" x14ac:dyDescent="0.25">
      <c r="A201" s="26"/>
      <c r="B201" s="26"/>
      <c r="C201" s="26" t="str">
        <f>IFERROR(IF(OR(A201="",B201=""),"",INDEX(Equipements!$H:$H,MATCH(A201,Equipements!$A:$A,0))&amp;"."&amp;B201),"")</f>
        <v/>
      </c>
      <c r="D201" s="26"/>
      <c r="E201" s="26"/>
      <c r="F201" s="26"/>
      <c r="G201" s="26"/>
      <c r="H201" s="26"/>
      <c r="I201" s="26"/>
      <c r="J201" s="26"/>
    </row>
    <row r="202" spans="1:10" ht="15" customHeight="1" x14ac:dyDescent="0.25">
      <c r="A202" s="26"/>
      <c r="B202" s="26"/>
      <c r="C202" s="26" t="str">
        <f>IFERROR(IF(OR(A202="",B202=""),"",INDEX(Equipements!$H:$H,MATCH(A202,Equipements!$A:$A,0))&amp;"."&amp;B202),"")</f>
        <v/>
      </c>
      <c r="D202" s="26"/>
      <c r="E202" s="26"/>
      <c r="F202" s="26"/>
      <c r="G202" s="26"/>
      <c r="H202" s="26"/>
      <c r="I202" s="26"/>
      <c r="J202" s="26"/>
    </row>
    <row r="203" spans="1:10" ht="15" customHeight="1" x14ac:dyDescent="0.25">
      <c r="A203" s="26"/>
      <c r="B203" s="26"/>
      <c r="C203" s="26" t="str">
        <f>IFERROR(IF(OR(A203="",B203=""),"",INDEX(Equipements!$H:$H,MATCH(A203,Equipements!$A:$A,0))&amp;"."&amp;B203),"")</f>
        <v/>
      </c>
      <c r="D203" s="26"/>
      <c r="E203" s="26"/>
      <c r="F203" s="26"/>
      <c r="G203" s="26"/>
      <c r="H203" s="26"/>
      <c r="I203" s="26"/>
      <c r="J203" s="26"/>
    </row>
    <row r="204" spans="1:10" ht="15" customHeight="1" x14ac:dyDescent="0.25">
      <c r="A204" s="26"/>
      <c r="B204" s="26"/>
      <c r="C204" s="26" t="str">
        <f>IFERROR(IF(OR(A204="",B204=""),"",INDEX(Equipements!$H:$H,MATCH(A204,Equipements!$A:$A,0))&amp;"."&amp;B204),"")</f>
        <v/>
      </c>
      <c r="D204" s="26"/>
      <c r="E204" s="26"/>
      <c r="F204" s="26"/>
      <c r="G204" s="26"/>
      <c r="H204" s="26"/>
      <c r="I204" s="26"/>
      <c r="J204" s="26"/>
    </row>
    <row r="205" spans="1:10" ht="15" customHeight="1" x14ac:dyDescent="0.25">
      <c r="A205" s="26"/>
      <c r="B205" s="26"/>
      <c r="C205" s="26" t="str">
        <f>IFERROR(IF(OR(A205="",B205=""),"",INDEX(Equipements!$H:$H,MATCH(A205,Equipements!$A:$A,0))&amp;"."&amp;B205),"")</f>
        <v/>
      </c>
      <c r="D205" s="26"/>
      <c r="E205" s="26"/>
      <c r="F205" s="26"/>
      <c r="G205" s="26"/>
      <c r="H205" s="26"/>
      <c r="I205" s="26"/>
      <c r="J205" s="26"/>
    </row>
    <row r="206" spans="1:10" ht="15" customHeight="1" x14ac:dyDescent="0.25">
      <c r="A206" s="26"/>
      <c r="B206" s="26"/>
      <c r="C206" s="26" t="str">
        <f>IFERROR(IF(OR(A206="",B206=""),"",INDEX(Equipements!$H:$H,MATCH(A206,Equipements!$A:$A,0))&amp;"."&amp;B206),"")</f>
        <v/>
      </c>
      <c r="D206" s="26"/>
      <c r="E206" s="26"/>
      <c r="F206" s="26"/>
      <c r="G206" s="26"/>
      <c r="H206" s="26"/>
      <c r="I206" s="26"/>
      <c r="J206" s="26"/>
    </row>
    <row r="207" spans="1:10" ht="15" customHeight="1" x14ac:dyDescent="0.25">
      <c r="A207" s="26"/>
      <c r="B207" s="26"/>
      <c r="C207" s="26" t="str">
        <f>IFERROR(IF(OR(A207="",B207=""),"",INDEX(Equipements!$H:$H,MATCH(A207,Equipements!$A:$A,0))&amp;"."&amp;B207),"")</f>
        <v/>
      </c>
      <c r="D207" s="26"/>
      <c r="E207" s="26"/>
      <c r="F207" s="26"/>
      <c r="G207" s="26"/>
      <c r="H207" s="26"/>
      <c r="I207" s="26"/>
      <c r="J207" s="26"/>
    </row>
    <row r="208" spans="1:10" ht="15" customHeight="1" x14ac:dyDescent="0.25">
      <c r="A208" s="26"/>
      <c r="B208" s="26"/>
      <c r="C208" s="26" t="str">
        <f>IFERROR(IF(OR(A208="",B208=""),"",INDEX(Equipements!$H:$H,MATCH(A208,Equipements!$A:$A,0))&amp;"."&amp;B208),"")</f>
        <v/>
      </c>
      <c r="D208" s="26"/>
      <c r="E208" s="26"/>
      <c r="F208" s="26"/>
      <c r="G208" s="26"/>
      <c r="H208" s="26"/>
      <c r="I208" s="26"/>
      <c r="J208" s="26"/>
    </row>
    <row r="209" spans="1:10" ht="15" customHeight="1" x14ac:dyDescent="0.25">
      <c r="A209" s="26"/>
      <c r="B209" s="26"/>
      <c r="C209" s="26" t="str">
        <f>IFERROR(IF(OR(A209="",B209=""),"",INDEX(Equipements!$H:$H,MATCH(A209,Equipements!$A:$A,0))&amp;"."&amp;B209),"")</f>
        <v/>
      </c>
      <c r="D209" s="26"/>
      <c r="E209" s="26"/>
      <c r="F209" s="26"/>
      <c r="G209" s="26"/>
      <c r="H209" s="26"/>
      <c r="I209" s="26"/>
      <c r="J209" s="26"/>
    </row>
    <row r="210" spans="1:10" ht="15" customHeight="1" x14ac:dyDescent="0.25">
      <c r="A210" s="26"/>
      <c r="B210" s="26"/>
      <c r="C210" s="26" t="str">
        <f>IFERROR(IF(OR(A210="",B210=""),"",INDEX(Equipements!$H:$H,MATCH(A210,Equipements!$A:$A,0))&amp;"."&amp;B210),"")</f>
        <v/>
      </c>
      <c r="D210" s="26"/>
      <c r="E210" s="26"/>
      <c r="F210" s="26"/>
      <c r="G210" s="26"/>
      <c r="H210" s="26"/>
      <c r="I210" s="26"/>
      <c r="J210" s="26"/>
    </row>
    <row r="211" spans="1:10" ht="15" customHeight="1" x14ac:dyDescent="0.25">
      <c r="A211" s="26"/>
      <c r="B211" s="26"/>
      <c r="C211" s="26" t="str">
        <f>IFERROR(IF(OR(A211="",B211=""),"",INDEX(Equipements!$H:$H,MATCH(A211,Equipements!$A:$A,0))&amp;"."&amp;B211),"")</f>
        <v/>
      </c>
      <c r="D211" s="26"/>
      <c r="E211" s="26"/>
      <c r="F211" s="26"/>
      <c r="G211" s="26"/>
      <c r="H211" s="26"/>
      <c r="I211" s="26"/>
      <c r="J211" s="26"/>
    </row>
    <row r="212" spans="1:10" ht="15" customHeight="1" x14ac:dyDescent="0.25">
      <c r="A212" s="26"/>
      <c r="B212" s="26"/>
      <c r="C212" s="26" t="str">
        <f>IFERROR(IF(OR(A212="",B212=""),"",INDEX(Equipements!$H:$H,MATCH(A212,Equipements!$A:$A,0))&amp;"."&amp;B212),"")</f>
        <v/>
      </c>
      <c r="D212" s="26"/>
      <c r="E212" s="26"/>
      <c r="F212" s="26"/>
      <c r="G212" s="26"/>
      <c r="H212" s="26"/>
      <c r="I212" s="26"/>
      <c r="J212" s="26"/>
    </row>
    <row r="213" spans="1:10" ht="15" customHeight="1" x14ac:dyDescent="0.25">
      <c r="A213" s="26"/>
      <c r="B213" s="26"/>
      <c r="C213" s="26" t="str">
        <f>IFERROR(IF(OR(A213="",B213=""),"",INDEX(Equipements!$H:$H,MATCH(A213,Equipements!$A:$A,0))&amp;"."&amp;B213),"")</f>
        <v/>
      </c>
      <c r="D213" s="26"/>
      <c r="E213" s="26"/>
      <c r="F213" s="26"/>
      <c r="G213" s="26"/>
      <c r="H213" s="26"/>
      <c r="I213" s="26"/>
      <c r="J213" s="26"/>
    </row>
    <row r="214" spans="1:10" ht="15" customHeight="1" x14ac:dyDescent="0.25">
      <c r="A214" s="26"/>
      <c r="B214" s="26"/>
      <c r="C214" s="26" t="str">
        <f>IFERROR(IF(OR(A214="",B214=""),"",INDEX(Equipements!$H:$H,MATCH(A214,Equipements!$A:$A,0))&amp;"."&amp;B214),"")</f>
        <v/>
      </c>
      <c r="D214" s="26"/>
      <c r="E214" s="26"/>
      <c r="F214" s="26"/>
      <c r="G214" s="26"/>
      <c r="H214" s="26"/>
      <c r="I214" s="26"/>
      <c r="J214" s="26"/>
    </row>
    <row r="215" spans="1:10" ht="15" customHeight="1" x14ac:dyDescent="0.25">
      <c r="A215" s="26"/>
      <c r="B215" s="26"/>
      <c r="C215" s="26" t="str">
        <f>IFERROR(IF(OR(A215="",B215=""),"",INDEX(Equipements!$H:$H,MATCH(A215,Equipements!$A:$A,0))&amp;"."&amp;B215),"")</f>
        <v/>
      </c>
      <c r="D215" s="26"/>
      <c r="E215" s="26"/>
      <c r="F215" s="26"/>
      <c r="G215" s="26"/>
      <c r="H215" s="26"/>
      <c r="I215" s="26"/>
      <c r="J215" s="26"/>
    </row>
    <row r="216" spans="1:10" ht="15" customHeight="1" x14ac:dyDescent="0.25">
      <c r="A216" s="26"/>
      <c r="B216" s="26"/>
      <c r="C216" s="26" t="str">
        <f>IFERROR(IF(OR(A216="",B216=""),"",INDEX(Equipements!$H:$H,MATCH(A216,Equipements!$A:$A,0))&amp;"."&amp;B216),"")</f>
        <v/>
      </c>
      <c r="D216" s="26"/>
      <c r="E216" s="26"/>
      <c r="F216" s="26"/>
      <c r="G216" s="26"/>
      <c r="H216" s="26"/>
      <c r="I216" s="26"/>
      <c r="J216" s="26"/>
    </row>
    <row r="217" spans="1:10" ht="15" customHeight="1" x14ac:dyDescent="0.25">
      <c r="A217" s="26"/>
      <c r="B217" s="26"/>
      <c r="C217" s="26" t="str">
        <f>IFERROR(IF(OR(A217="",B217=""),"",INDEX(Equipements!$H:$H,MATCH(A217,Equipements!$A:$A,0))&amp;"."&amp;B217),"")</f>
        <v/>
      </c>
      <c r="D217" s="26"/>
      <c r="E217" s="26"/>
      <c r="F217" s="26"/>
      <c r="G217" s="26"/>
      <c r="H217" s="26"/>
      <c r="I217" s="26"/>
      <c r="J217" s="26"/>
    </row>
    <row r="218" spans="1:10" ht="15" customHeight="1" x14ac:dyDescent="0.25">
      <c r="A218" s="26"/>
      <c r="B218" s="26"/>
      <c r="C218" s="26" t="str">
        <f>IFERROR(IF(OR(A218="",B218=""),"",INDEX(Equipements!$H:$H,MATCH(A218,Equipements!$A:$A,0))&amp;"."&amp;B218),"")</f>
        <v/>
      </c>
      <c r="D218" s="26"/>
      <c r="E218" s="26"/>
      <c r="F218" s="26"/>
      <c r="G218" s="26"/>
      <c r="H218" s="26"/>
      <c r="I218" s="26"/>
      <c r="J218" s="26"/>
    </row>
    <row r="219" spans="1:10" ht="15" customHeight="1" x14ac:dyDescent="0.25">
      <c r="A219" s="26"/>
      <c r="B219" s="26"/>
      <c r="C219" s="26" t="str">
        <f>IFERROR(IF(OR(A219="",B219=""),"",INDEX(Equipements!$H:$H,MATCH(A219,Equipements!$A:$A,0))&amp;"."&amp;B219),"")</f>
        <v/>
      </c>
      <c r="D219" s="26"/>
      <c r="E219" s="26"/>
      <c r="F219" s="26"/>
      <c r="G219" s="26"/>
      <c r="H219" s="26"/>
      <c r="I219" s="26"/>
      <c r="J219" s="26"/>
    </row>
    <row r="220" spans="1:10" ht="15" customHeight="1" x14ac:dyDescent="0.25">
      <c r="A220" s="26"/>
      <c r="B220" s="26"/>
      <c r="C220" s="26" t="str">
        <f>IFERROR(IF(OR(A220="",B220=""),"",INDEX(Equipements!$H:$H,MATCH(A220,Equipements!$A:$A,0))&amp;"."&amp;B220),"")</f>
        <v/>
      </c>
      <c r="D220" s="26"/>
      <c r="E220" s="26"/>
      <c r="F220" s="26"/>
      <c r="G220" s="26"/>
      <c r="H220" s="26"/>
      <c r="I220" s="26"/>
      <c r="J220" s="26"/>
    </row>
    <row r="221" spans="1:10" ht="15" customHeight="1" x14ac:dyDescent="0.25">
      <c r="A221" s="26"/>
      <c r="B221" s="26"/>
      <c r="C221" s="26" t="str">
        <f>IFERROR(IF(OR(A221="",B221=""),"",INDEX(Equipements!$H:$H,MATCH(A221,Equipements!$A:$A,0))&amp;"."&amp;B221),"")</f>
        <v/>
      </c>
      <c r="D221" s="26"/>
      <c r="E221" s="26"/>
      <c r="F221" s="26"/>
      <c r="G221" s="26"/>
      <c r="H221" s="26"/>
      <c r="I221" s="26"/>
      <c r="J221" s="26"/>
    </row>
    <row r="222" spans="1:10" ht="15" customHeight="1" x14ac:dyDescent="0.25">
      <c r="A222" s="26"/>
      <c r="B222" s="26"/>
      <c r="C222" s="26" t="str">
        <f>IFERROR(IF(OR(A222="",B222=""),"",INDEX(Equipements!$H:$H,MATCH(A222,Equipements!$A:$A,0))&amp;"."&amp;B222),"")</f>
        <v/>
      </c>
      <c r="D222" s="26"/>
      <c r="E222" s="26"/>
      <c r="F222" s="26"/>
      <c r="G222" s="26"/>
      <c r="H222" s="26"/>
      <c r="I222" s="26"/>
      <c r="J222" s="26"/>
    </row>
    <row r="223" spans="1:10" ht="15" customHeight="1" x14ac:dyDescent="0.25">
      <c r="A223" s="26"/>
      <c r="B223" s="26"/>
      <c r="C223" s="26" t="str">
        <f>IFERROR(IF(OR(A223="",B223=""),"",INDEX(Equipements!$H:$H,MATCH(A223,Equipements!$A:$A,0))&amp;"."&amp;B223),"")</f>
        <v/>
      </c>
      <c r="D223" s="26"/>
      <c r="E223" s="26"/>
      <c r="F223" s="26"/>
      <c r="G223" s="26"/>
      <c r="H223" s="26"/>
      <c r="I223" s="26"/>
      <c r="J223" s="26"/>
    </row>
    <row r="224" spans="1:10" ht="15" customHeight="1" x14ac:dyDescent="0.25">
      <c r="A224" s="26"/>
      <c r="B224" s="26"/>
      <c r="C224" s="26" t="str">
        <f>IFERROR(IF(OR(A224="",B224=""),"",INDEX(Equipements!$H:$H,MATCH(A224,Equipements!$A:$A,0))&amp;"."&amp;B224),"")</f>
        <v/>
      </c>
      <c r="D224" s="26"/>
      <c r="E224" s="26"/>
      <c r="F224" s="26"/>
      <c r="G224" s="26"/>
      <c r="H224" s="26"/>
      <c r="I224" s="26"/>
      <c r="J224" s="26"/>
    </row>
    <row r="225" spans="1:10" ht="15" customHeight="1" x14ac:dyDescent="0.25">
      <c r="A225" s="26"/>
      <c r="B225" s="26"/>
      <c r="C225" s="26" t="str">
        <f>IFERROR(IF(OR(A225="",B225=""),"",INDEX(Equipements!$H:$H,MATCH(A225,Equipements!$A:$A,0))&amp;"."&amp;B225),"")</f>
        <v/>
      </c>
      <c r="D225" s="26"/>
      <c r="E225" s="26"/>
      <c r="F225" s="26"/>
      <c r="G225" s="26"/>
      <c r="H225" s="26"/>
      <c r="I225" s="26"/>
      <c r="J225" s="26"/>
    </row>
    <row r="226" spans="1:10" ht="15" customHeight="1" x14ac:dyDescent="0.25">
      <c r="A226" s="26"/>
      <c r="B226" s="26"/>
      <c r="C226" s="26" t="str">
        <f>IFERROR(IF(OR(A226="",B226=""),"",INDEX(Equipements!$H:$H,MATCH(A226,Equipements!$A:$A,0))&amp;"."&amp;B226),"")</f>
        <v/>
      </c>
      <c r="D226" s="26"/>
      <c r="E226" s="26"/>
      <c r="F226" s="26"/>
      <c r="G226" s="26"/>
      <c r="H226" s="26"/>
      <c r="I226" s="26"/>
      <c r="J226" s="26"/>
    </row>
    <row r="227" spans="1:10" ht="15" customHeight="1" x14ac:dyDescent="0.25">
      <c r="A227" s="26"/>
      <c r="B227" s="26"/>
      <c r="C227" s="26" t="str">
        <f>IFERROR(IF(OR(A227="",B227=""),"",INDEX(Equipements!$H:$H,MATCH(A227,Equipements!$A:$A,0))&amp;"."&amp;B227),"")</f>
        <v/>
      </c>
      <c r="D227" s="26"/>
      <c r="E227" s="26"/>
      <c r="F227" s="26"/>
      <c r="G227" s="26"/>
      <c r="H227" s="26"/>
      <c r="I227" s="26"/>
      <c r="J227" s="26"/>
    </row>
    <row r="228" spans="1:10" ht="15" customHeight="1" x14ac:dyDescent="0.25">
      <c r="A228" s="26"/>
      <c r="B228" s="26"/>
      <c r="C228" s="26" t="str">
        <f>IFERROR(IF(OR(A228="",B228=""),"",INDEX(Equipements!$H:$H,MATCH(A228,Equipements!$A:$A,0))&amp;"."&amp;B228),"")</f>
        <v/>
      </c>
      <c r="D228" s="26"/>
      <c r="E228" s="26"/>
      <c r="F228" s="26"/>
      <c r="G228" s="26"/>
      <c r="H228" s="26"/>
      <c r="I228" s="26"/>
      <c r="J228" s="26"/>
    </row>
    <row r="229" spans="1:10" ht="15" customHeight="1" x14ac:dyDescent="0.25">
      <c r="A229" s="26"/>
      <c r="B229" s="26"/>
      <c r="C229" s="26" t="str">
        <f>IFERROR(IF(OR(A229="",B229=""),"",INDEX(Equipements!$H:$H,MATCH(A229,Equipements!$A:$A,0))&amp;"."&amp;B229),"")</f>
        <v/>
      </c>
      <c r="D229" s="26"/>
      <c r="E229" s="26"/>
      <c r="F229" s="26"/>
      <c r="G229" s="26"/>
      <c r="H229" s="26"/>
      <c r="I229" s="26"/>
      <c r="J229" s="26"/>
    </row>
    <row r="230" spans="1:10" ht="15" customHeight="1" x14ac:dyDescent="0.25">
      <c r="A230" s="26"/>
      <c r="B230" s="26"/>
      <c r="C230" s="26" t="str">
        <f>IFERROR(IF(OR(A230="",B230=""),"",INDEX(Equipements!$H:$H,MATCH(A230,Equipements!$A:$A,0))&amp;"."&amp;B230),"")</f>
        <v/>
      </c>
      <c r="D230" s="26"/>
      <c r="E230" s="26"/>
      <c r="F230" s="26"/>
      <c r="G230" s="26"/>
      <c r="H230" s="26"/>
      <c r="I230" s="26"/>
      <c r="J230" s="26"/>
    </row>
    <row r="231" spans="1:10" ht="15" customHeight="1" x14ac:dyDescent="0.25">
      <c r="A231" s="26"/>
      <c r="B231" s="26"/>
      <c r="C231" s="26" t="str">
        <f>IFERROR(IF(OR(A231="",B231=""),"",INDEX(Equipements!$H:$H,MATCH(A231,Equipements!$A:$A,0))&amp;"."&amp;B231),"")</f>
        <v/>
      </c>
      <c r="D231" s="26"/>
      <c r="E231" s="26"/>
      <c r="F231" s="26"/>
      <c r="G231" s="26"/>
      <c r="H231" s="26"/>
      <c r="I231" s="26"/>
      <c r="J231" s="26"/>
    </row>
    <row r="232" spans="1:10" ht="15" customHeight="1" x14ac:dyDescent="0.25">
      <c r="A232" s="26"/>
      <c r="B232" s="26"/>
      <c r="C232" s="26" t="str">
        <f>IFERROR(IF(OR(A232="",B232=""),"",INDEX(Equipements!$H:$H,MATCH(A232,Equipements!$A:$A,0))&amp;"."&amp;B232),"")</f>
        <v/>
      </c>
      <c r="D232" s="26"/>
      <c r="E232" s="26"/>
      <c r="F232" s="26"/>
      <c r="G232" s="26"/>
      <c r="H232" s="26"/>
      <c r="I232" s="26"/>
      <c r="J232" s="26"/>
    </row>
    <row r="233" spans="1:10" ht="15" customHeight="1" x14ac:dyDescent="0.25">
      <c r="A233" s="26"/>
      <c r="B233" s="26"/>
      <c r="C233" s="26" t="str">
        <f>IFERROR(IF(OR(A233="",B233=""),"",INDEX(Equipements!$H:$H,MATCH(A233,Equipements!$A:$A,0))&amp;"."&amp;B233),"")</f>
        <v/>
      </c>
      <c r="D233" s="26"/>
      <c r="E233" s="26"/>
      <c r="F233" s="26"/>
      <c r="G233" s="26"/>
      <c r="H233" s="26"/>
      <c r="I233" s="26"/>
      <c r="J233" s="26"/>
    </row>
    <row r="234" spans="1:10" ht="15" customHeight="1" x14ac:dyDescent="0.25">
      <c r="A234" s="26"/>
      <c r="B234" s="26"/>
      <c r="C234" s="26" t="str">
        <f>IFERROR(IF(OR(A234="",B234=""),"",INDEX(Equipements!$H:$H,MATCH(A234,Equipements!$A:$A,0))&amp;"."&amp;B234),"")</f>
        <v/>
      </c>
      <c r="D234" s="26"/>
      <c r="E234" s="26"/>
      <c r="F234" s="26"/>
      <c r="G234" s="26"/>
      <c r="H234" s="26"/>
      <c r="I234" s="26"/>
      <c r="J234" s="26"/>
    </row>
    <row r="235" spans="1:10" ht="15" customHeight="1" x14ac:dyDescent="0.25">
      <c r="A235" s="26"/>
      <c r="B235" s="26"/>
      <c r="C235" s="26" t="str">
        <f>IFERROR(IF(OR(A235="",B235=""),"",INDEX(Equipements!$H:$H,MATCH(A235,Equipements!$A:$A,0))&amp;"."&amp;B235),"")</f>
        <v/>
      </c>
      <c r="D235" s="26"/>
      <c r="E235" s="26"/>
      <c r="F235" s="26"/>
      <c r="G235" s="26"/>
      <c r="H235" s="26"/>
      <c r="I235" s="26"/>
      <c r="J235" s="26"/>
    </row>
    <row r="236" spans="1:10" ht="15" customHeight="1" x14ac:dyDescent="0.25">
      <c r="A236" s="26"/>
      <c r="B236" s="26"/>
      <c r="C236" s="26" t="str">
        <f>IFERROR(IF(OR(A236="",B236=""),"",INDEX(Equipements!$H:$H,MATCH(A236,Equipements!$A:$A,0))&amp;"."&amp;B236),"")</f>
        <v/>
      </c>
      <c r="D236" s="26"/>
      <c r="E236" s="26"/>
      <c r="F236" s="26"/>
      <c r="G236" s="26"/>
      <c r="H236" s="26"/>
      <c r="I236" s="26"/>
      <c r="J236" s="26"/>
    </row>
    <row r="237" spans="1:10" ht="15" customHeight="1" x14ac:dyDescent="0.25">
      <c r="A237" s="26"/>
      <c r="B237" s="26"/>
      <c r="C237" s="26" t="str">
        <f>IFERROR(IF(OR(A237="",B237=""),"",INDEX(Equipements!$H:$H,MATCH(A237,Equipements!$A:$A,0))&amp;"."&amp;B237),"")</f>
        <v/>
      </c>
      <c r="D237" s="26"/>
      <c r="E237" s="26"/>
      <c r="F237" s="26"/>
      <c r="G237" s="26"/>
      <c r="H237" s="26"/>
      <c r="I237" s="26"/>
      <c r="J237" s="26"/>
    </row>
    <row r="238" spans="1:10" ht="15" customHeight="1" x14ac:dyDescent="0.25">
      <c r="A238" s="26"/>
      <c r="B238" s="26"/>
      <c r="C238" s="26" t="str">
        <f>IFERROR(IF(OR(A238="",B238=""),"",INDEX(Equipements!$H:$H,MATCH(A238,Equipements!$A:$A,0))&amp;"."&amp;B238),"")</f>
        <v/>
      </c>
      <c r="D238" s="26"/>
      <c r="E238" s="26"/>
      <c r="F238" s="26"/>
      <c r="G238" s="26"/>
      <c r="H238" s="26"/>
      <c r="I238" s="26"/>
      <c r="J238" s="26"/>
    </row>
    <row r="239" spans="1:10" ht="15" customHeight="1" x14ac:dyDescent="0.25">
      <c r="A239" s="26"/>
      <c r="B239" s="26"/>
      <c r="C239" s="26" t="str">
        <f>IFERROR(IF(OR(A239="",B239=""),"",INDEX(Equipements!$H:$H,MATCH(A239,Equipements!$A:$A,0))&amp;"."&amp;B239),"")</f>
        <v/>
      </c>
      <c r="D239" s="26"/>
      <c r="E239" s="26"/>
      <c r="F239" s="26"/>
      <c r="G239" s="26"/>
      <c r="H239" s="26"/>
      <c r="I239" s="26"/>
      <c r="J239" s="26"/>
    </row>
    <row r="240" spans="1:10" ht="15" customHeight="1" x14ac:dyDescent="0.25">
      <c r="A240" s="26"/>
      <c r="B240" s="26"/>
      <c r="C240" s="26" t="str">
        <f>IFERROR(IF(OR(A240="",B240=""),"",INDEX(Equipements!$H:$H,MATCH(A240,Equipements!$A:$A,0))&amp;"."&amp;B240),"")</f>
        <v/>
      </c>
      <c r="D240" s="26"/>
      <c r="E240" s="26"/>
      <c r="F240" s="26"/>
      <c r="G240" s="26"/>
      <c r="H240" s="26"/>
      <c r="I240" s="26"/>
      <c r="J240" s="26"/>
    </row>
    <row r="241" spans="1:10" ht="15" customHeight="1" x14ac:dyDescent="0.25">
      <c r="A241" s="26"/>
      <c r="B241" s="26"/>
      <c r="C241" s="26" t="str">
        <f>IFERROR(IF(OR(A241="",B241=""),"",INDEX(Equipements!$H:$H,MATCH(A241,Equipements!$A:$A,0))&amp;"."&amp;B241),"")</f>
        <v/>
      </c>
      <c r="D241" s="26"/>
      <c r="E241" s="26"/>
      <c r="F241" s="26"/>
      <c r="G241" s="26"/>
      <c r="H241" s="26"/>
      <c r="I241" s="26"/>
      <c r="J241" s="26"/>
    </row>
    <row r="242" spans="1:10" ht="15" customHeight="1" x14ac:dyDescent="0.25">
      <c r="A242" s="26"/>
      <c r="B242" s="26"/>
      <c r="C242" s="26" t="str">
        <f>IFERROR(IF(OR(A242="",B242=""),"",INDEX(Equipements!$H:$H,MATCH(A242,Equipements!$A:$A,0))&amp;"."&amp;B242),"")</f>
        <v/>
      </c>
      <c r="D242" s="26"/>
      <c r="E242" s="26"/>
      <c r="F242" s="26"/>
      <c r="G242" s="26"/>
      <c r="H242" s="26"/>
      <c r="I242" s="26"/>
      <c r="J242" s="26"/>
    </row>
    <row r="243" spans="1:10" ht="15" customHeight="1" x14ac:dyDescent="0.25">
      <c r="A243" s="26"/>
      <c r="B243" s="26"/>
      <c r="C243" s="26" t="str">
        <f>IFERROR(IF(OR(A243="",B243=""),"",INDEX(Equipements!$H:$H,MATCH(A243,Equipements!$A:$A,0))&amp;"."&amp;B243),"")</f>
        <v/>
      </c>
      <c r="D243" s="26"/>
      <c r="E243" s="26"/>
      <c r="F243" s="26"/>
      <c r="G243" s="26"/>
      <c r="H243" s="26"/>
      <c r="I243" s="26"/>
      <c r="J243" s="26"/>
    </row>
    <row r="244" spans="1:10" ht="15" customHeight="1" x14ac:dyDescent="0.25">
      <c r="A244" s="26"/>
      <c r="B244" s="26"/>
      <c r="C244" s="26" t="str">
        <f>IFERROR(IF(OR(A244="",B244=""),"",INDEX(Equipements!$H:$H,MATCH(A244,Equipements!$A:$A,0))&amp;"."&amp;B244),"")</f>
        <v/>
      </c>
      <c r="D244" s="26"/>
      <c r="E244" s="26"/>
      <c r="F244" s="26"/>
      <c r="G244" s="26"/>
      <c r="H244" s="26"/>
      <c r="I244" s="26"/>
      <c r="J244" s="26"/>
    </row>
    <row r="245" spans="1:10" ht="15" customHeight="1" x14ac:dyDescent="0.25">
      <c r="A245" s="26"/>
      <c r="B245" s="26"/>
      <c r="C245" s="26" t="str">
        <f>IFERROR(IF(OR(A245="",B245=""),"",INDEX(Equipements!$H:$H,MATCH(A245,Equipements!$A:$A,0))&amp;"."&amp;B245),"")</f>
        <v/>
      </c>
      <c r="D245" s="26"/>
      <c r="E245" s="26"/>
      <c r="F245" s="26"/>
      <c r="G245" s="26"/>
      <c r="H245" s="26"/>
      <c r="I245" s="26"/>
      <c r="J245" s="26"/>
    </row>
    <row r="246" spans="1:10" ht="15" customHeight="1" x14ac:dyDescent="0.25">
      <c r="A246" s="26"/>
      <c r="B246" s="26"/>
      <c r="C246" s="26" t="str">
        <f>IFERROR(IF(OR(A246="",B246=""),"",INDEX(Equipements!$H:$H,MATCH(A246,Equipements!$A:$A,0))&amp;"."&amp;B246),"")</f>
        <v/>
      </c>
      <c r="D246" s="26"/>
      <c r="E246" s="26"/>
      <c r="F246" s="26"/>
      <c r="G246" s="26"/>
      <c r="H246" s="26"/>
      <c r="I246" s="26"/>
      <c r="J246" s="26"/>
    </row>
    <row r="247" spans="1:10" ht="15" customHeight="1" x14ac:dyDescent="0.25">
      <c r="A247" s="26"/>
      <c r="B247" s="26"/>
      <c r="C247" s="26" t="str">
        <f>IFERROR(IF(OR(A247="",B247=""),"",INDEX(Equipements!$H:$H,MATCH(A247,Equipements!$A:$A,0))&amp;"."&amp;B247),"")</f>
        <v/>
      </c>
      <c r="D247" s="26"/>
      <c r="E247" s="26"/>
      <c r="F247" s="26"/>
      <c r="G247" s="26"/>
      <c r="H247" s="26"/>
      <c r="I247" s="26"/>
      <c r="J247" s="26"/>
    </row>
    <row r="248" spans="1:10" ht="15" customHeight="1" x14ac:dyDescent="0.25">
      <c r="A248" s="26"/>
      <c r="B248" s="26"/>
      <c r="C248" s="26" t="str">
        <f>IFERROR(IF(OR(A248="",B248=""),"",INDEX(Equipements!$H:$H,MATCH(A248,Equipements!$A:$A,0))&amp;"."&amp;B248),"")</f>
        <v/>
      </c>
      <c r="D248" s="26"/>
      <c r="E248" s="26"/>
      <c r="F248" s="26"/>
      <c r="G248" s="26"/>
      <c r="H248" s="26"/>
      <c r="I248" s="26"/>
      <c r="J248" s="26"/>
    </row>
    <row r="249" spans="1:10" ht="15" customHeight="1" x14ac:dyDescent="0.25">
      <c r="A249" s="26"/>
      <c r="B249" s="26"/>
      <c r="C249" s="26" t="str">
        <f>IFERROR(IF(OR(A249="",B249=""),"",INDEX(Equipements!$H:$H,MATCH(A249,Equipements!$A:$A,0))&amp;"."&amp;B249),"")</f>
        <v/>
      </c>
      <c r="D249" s="26"/>
      <c r="E249" s="26"/>
      <c r="F249" s="26"/>
      <c r="G249" s="26"/>
      <c r="H249" s="26"/>
      <c r="I249" s="26"/>
      <c r="J249" s="26"/>
    </row>
    <row r="250" spans="1:10" ht="15" customHeight="1" x14ac:dyDescent="0.25">
      <c r="A250" s="26"/>
      <c r="B250" s="26"/>
      <c r="C250" s="26" t="str">
        <f>IFERROR(IF(OR(A250="",B250=""),"",INDEX(Equipements!$H:$H,MATCH(A250,Equipements!$A:$A,0))&amp;"."&amp;B250),"")</f>
        <v/>
      </c>
      <c r="D250" s="26"/>
      <c r="E250" s="26"/>
      <c r="F250" s="26"/>
      <c r="G250" s="26"/>
      <c r="H250" s="26"/>
      <c r="I250" s="26"/>
      <c r="J250" s="26"/>
    </row>
    <row r="251" spans="1:10" ht="15" customHeight="1" x14ac:dyDescent="0.25">
      <c r="A251" s="26"/>
      <c r="B251" s="26"/>
      <c r="C251" s="26" t="str">
        <f>IFERROR(IF(OR(A251="",B251=""),"",INDEX(Equipements!$H:$H,MATCH(A251,Equipements!$A:$A,0))&amp;"."&amp;B251),"")</f>
        <v/>
      </c>
      <c r="D251" s="26"/>
      <c r="E251" s="26"/>
      <c r="F251" s="26"/>
      <c r="G251" s="26"/>
      <c r="H251" s="26"/>
      <c r="I251" s="26"/>
      <c r="J251" s="26"/>
    </row>
    <row r="252" spans="1:10" ht="15" customHeight="1" x14ac:dyDescent="0.25">
      <c r="A252" s="26"/>
      <c r="B252" s="26"/>
      <c r="C252" s="26" t="str">
        <f>IFERROR(IF(OR(A252="",B252=""),"",INDEX(Equipements!$H:$H,MATCH(A252,Equipements!$A:$A,0))&amp;"."&amp;B252),"")</f>
        <v/>
      </c>
      <c r="D252" s="26"/>
      <c r="E252" s="26"/>
      <c r="F252" s="26"/>
      <c r="G252" s="26"/>
      <c r="H252" s="26"/>
      <c r="I252" s="26"/>
      <c r="J252" s="26"/>
    </row>
    <row r="253" spans="1:10" ht="15" customHeight="1" x14ac:dyDescent="0.25">
      <c r="A253" s="26"/>
      <c r="B253" s="26"/>
      <c r="C253" s="26" t="str">
        <f>IFERROR(IF(OR(A253="",B253=""),"",INDEX(Equipements!$H:$H,MATCH(A253,Equipements!$A:$A,0))&amp;"."&amp;B253),"")</f>
        <v/>
      </c>
      <c r="D253" s="26"/>
      <c r="E253" s="26"/>
      <c r="F253" s="26"/>
      <c r="G253" s="26"/>
      <c r="H253" s="26"/>
      <c r="I253" s="26"/>
      <c r="J253" s="26"/>
    </row>
    <row r="254" spans="1:10" ht="15" customHeight="1" x14ac:dyDescent="0.25">
      <c r="A254" s="26"/>
      <c r="B254" s="26"/>
      <c r="C254" s="26" t="str">
        <f>IFERROR(IF(OR(A254="",B254=""),"",INDEX(Equipements!$H:$H,MATCH(A254,Equipements!$A:$A,0))&amp;"."&amp;B254),"")</f>
        <v/>
      </c>
      <c r="D254" s="26"/>
      <c r="E254" s="26"/>
      <c r="F254" s="26"/>
      <c r="G254" s="26"/>
      <c r="H254" s="26"/>
      <c r="I254" s="26"/>
      <c r="J254" s="26"/>
    </row>
    <row r="255" spans="1:10" ht="15" customHeight="1" x14ac:dyDescent="0.25">
      <c r="A255" s="26"/>
      <c r="B255" s="26"/>
      <c r="C255" s="26" t="str">
        <f>IFERROR(IF(OR(A255="",B255=""),"",INDEX(Equipements!$H:$H,MATCH(A255,Equipements!$A:$A,0))&amp;"."&amp;B255),"")</f>
        <v/>
      </c>
      <c r="D255" s="26"/>
      <c r="E255" s="26"/>
      <c r="F255" s="26"/>
      <c r="G255" s="26"/>
      <c r="H255" s="26"/>
      <c r="I255" s="26"/>
      <c r="J255" s="26"/>
    </row>
    <row r="256" spans="1:10" ht="15" customHeight="1" x14ac:dyDescent="0.25">
      <c r="A256" s="26"/>
      <c r="B256" s="26"/>
      <c r="C256" s="26" t="str">
        <f>IFERROR(IF(OR(A256="",B256=""),"",INDEX(Equipements!$H:$H,MATCH(A256,Equipements!$A:$A,0))&amp;"."&amp;B256),"")</f>
        <v/>
      </c>
      <c r="D256" s="26"/>
      <c r="E256" s="26"/>
      <c r="F256" s="26"/>
      <c r="G256" s="26"/>
      <c r="H256" s="26"/>
      <c r="I256" s="26"/>
      <c r="J256" s="26"/>
    </row>
    <row r="257" spans="1:10" ht="15" customHeight="1" x14ac:dyDescent="0.25">
      <c r="A257" s="26"/>
      <c r="B257" s="26"/>
      <c r="C257" s="26" t="str">
        <f>IFERROR(IF(OR(A257="",B257=""),"",INDEX(Equipements!$H:$H,MATCH(A257,Equipements!$A:$A,0))&amp;"."&amp;B257),"")</f>
        <v/>
      </c>
      <c r="D257" s="26"/>
      <c r="E257" s="26"/>
      <c r="F257" s="26"/>
      <c r="G257" s="26"/>
      <c r="H257" s="26"/>
      <c r="I257" s="26"/>
      <c r="J257" s="26"/>
    </row>
    <row r="258" spans="1:10" ht="15" customHeight="1" x14ac:dyDescent="0.25">
      <c r="A258" s="26"/>
      <c r="B258" s="26"/>
      <c r="C258" s="26" t="str">
        <f>IFERROR(IF(OR(A258="",B258=""),"",INDEX(Equipements!$H:$H,MATCH(A258,Equipements!$A:$A,0))&amp;"."&amp;B258),"")</f>
        <v/>
      </c>
      <c r="D258" s="26"/>
      <c r="E258" s="26"/>
      <c r="F258" s="26"/>
      <c r="G258" s="26"/>
      <c r="H258" s="26"/>
      <c r="I258" s="26"/>
      <c r="J258" s="26"/>
    </row>
    <row r="259" spans="1:10" ht="15" customHeight="1" x14ac:dyDescent="0.25">
      <c r="A259" s="26"/>
      <c r="B259" s="26"/>
      <c r="C259" s="26" t="str">
        <f>IFERROR(IF(OR(A259="",B259=""),"",INDEX(Equipements!$H:$H,MATCH(A259,Equipements!$A:$A,0))&amp;"."&amp;B259),"")</f>
        <v/>
      </c>
      <c r="D259" s="26"/>
      <c r="E259" s="26"/>
      <c r="F259" s="26"/>
      <c r="G259" s="26"/>
      <c r="H259" s="26"/>
      <c r="I259" s="26"/>
      <c r="J259" s="26"/>
    </row>
    <row r="260" spans="1:10" ht="15" customHeight="1" x14ac:dyDescent="0.25">
      <c r="A260" s="26"/>
      <c r="B260" s="26"/>
      <c r="C260" s="26" t="str">
        <f>IFERROR(IF(OR(A260="",B260=""),"",INDEX(Equipements!$H:$H,MATCH(A260,Equipements!$A:$A,0))&amp;"."&amp;B260),"")</f>
        <v/>
      </c>
      <c r="D260" s="26"/>
      <c r="E260" s="26"/>
      <c r="F260" s="26"/>
      <c r="G260" s="26"/>
      <c r="H260" s="26"/>
      <c r="I260" s="26"/>
      <c r="J260" s="26"/>
    </row>
    <row r="261" spans="1:10" ht="15" customHeight="1" x14ac:dyDescent="0.25">
      <c r="A261" s="26"/>
      <c r="B261" s="26"/>
      <c r="C261" s="26" t="str">
        <f>IFERROR(IF(OR(A261="",B261=""),"",INDEX(Equipements!$H:$H,MATCH(A261,Equipements!$A:$A,0))&amp;"."&amp;B261),"")</f>
        <v/>
      </c>
      <c r="D261" s="26"/>
      <c r="E261" s="26"/>
      <c r="F261" s="26"/>
      <c r="G261" s="26"/>
      <c r="H261" s="26"/>
      <c r="I261" s="26"/>
      <c r="J261" s="26"/>
    </row>
    <row r="262" spans="1:10" ht="15" customHeight="1" x14ac:dyDescent="0.25">
      <c r="A262" s="26"/>
      <c r="B262" s="26"/>
      <c r="C262" s="26" t="str">
        <f>IFERROR(IF(OR(A262="",B262=""),"",INDEX(Equipements!$H:$H,MATCH(A262,Equipements!$A:$A,0))&amp;"."&amp;B262),"")</f>
        <v/>
      </c>
      <c r="D262" s="26"/>
      <c r="E262" s="26"/>
      <c r="F262" s="26"/>
      <c r="G262" s="26"/>
      <c r="H262" s="26"/>
      <c r="I262" s="26"/>
      <c r="J262" s="26"/>
    </row>
    <row r="263" spans="1:10" ht="15" customHeight="1" x14ac:dyDescent="0.25">
      <c r="A263" s="26"/>
      <c r="B263" s="26"/>
      <c r="C263" s="26" t="str">
        <f>IFERROR(IF(OR(A263="",B263=""),"",INDEX(Equipements!$H:$H,MATCH(A263,Equipements!$A:$A,0))&amp;"."&amp;B263),"")</f>
        <v/>
      </c>
      <c r="D263" s="26"/>
      <c r="E263" s="26"/>
      <c r="F263" s="26"/>
      <c r="G263" s="26"/>
      <c r="H263" s="26"/>
      <c r="I263" s="26"/>
      <c r="J263" s="26"/>
    </row>
    <row r="264" spans="1:10" ht="15" customHeight="1" x14ac:dyDescent="0.25">
      <c r="A264" s="26"/>
      <c r="B264" s="26"/>
      <c r="C264" s="26" t="str">
        <f>IFERROR(IF(OR(A264="",B264=""),"",INDEX(Equipements!$H:$H,MATCH(A264,Equipements!$A:$A,0))&amp;"."&amp;B264),"")</f>
        <v/>
      </c>
      <c r="D264" s="26"/>
      <c r="E264" s="26"/>
      <c r="F264" s="26"/>
      <c r="G264" s="26"/>
      <c r="H264" s="26"/>
      <c r="I264" s="26"/>
      <c r="J264" s="26"/>
    </row>
    <row r="265" spans="1:10" ht="15" customHeight="1" x14ac:dyDescent="0.25">
      <c r="A265" s="26"/>
      <c r="B265" s="26"/>
      <c r="C265" s="26" t="str">
        <f>IFERROR(IF(OR(A265="",B265=""),"",INDEX(Equipements!$H:$H,MATCH(A265,Equipements!$A:$A,0))&amp;"."&amp;B265),"")</f>
        <v/>
      </c>
      <c r="D265" s="26"/>
      <c r="E265" s="26"/>
      <c r="F265" s="26"/>
      <c r="G265" s="26"/>
      <c r="H265" s="26"/>
      <c r="I265" s="26"/>
      <c r="J265" s="26"/>
    </row>
    <row r="266" spans="1:10" ht="15" customHeight="1" x14ac:dyDescent="0.25">
      <c r="A266" s="26"/>
      <c r="B266" s="26"/>
      <c r="C266" s="26" t="str">
        <f>IFERROR(IF(OR(A266="",B266=""),"",INDEX(Equipements!$H:$H,MATCH(A266,Equipements!$A:$A,0))&amp;"."&amp;B266),"")</f>
        <v/>
      </c>
      <c r="D266" s="26"/>
      <c r="E266" s="26"/>
      <c r="F266" s="26"/>
      <c r="G266" s="26"/>
      <c r="H266" s="26"/>
      <c r="I266" s="26"/>
      <c r="J266" s="26"/>
    </row>
    <row r="267" spans="1:10" ht="15" customHeight="1" x14ac:dyDescent="0.25">
      <c r="A267" s="26"/>
      <c r="B267" s="26"/>
      <c r="C267" s="26" t="str">
        <f>IFERROR(IF(OR(A267="",B267=""),"",INDEX(Equipements!$H:$H,MATCH(A267,Equipements!$A:$A,0))&amp;"."&amp;B267),"")</f>
        <v/>
      </c>
      <c r="D267" s="26"/>
      <c r="E267" s="26"/>
      <c r="F267" s="26"/>
      <c r="G267" s="26"/>
      <c r="H267" s="26"/>
      <c r="I267" s="26"/>
      <c r="J267" s="26"/>
    </row>
    <row r="268" spans="1:10" ht="15" customHeight="1" x14ac:dyDescent="0.25">
      <c r="A268" s="26"/>
      <c r="B268" s="26"/>
      <c r="C268" s="26" t="str">
        <f>IFERROR(IF(OR(A268="",B268=""),"",INDEX(Equipements!$H:$H,MATCH(A268,Equipements!$A:$A,0))&amp;"."&amp;B268),"")</f>
        <v/>
      </c>
      <c r="D268" s="26"/>
      <c r="E268" s="26"/>
      <c r="F268" s="26"/>
      <c r="G268" s="26"/>
      <c r="H268" s="26"/>
      <c r="I268" s="26"/>
      <c r="J268" s="26"/>
    </row>
    <row r="269" spans="1:10" ht="15" customHeight="1" x14ac:dyDescent="0.25">
      <c r="A269" s="26"/>
      <c r="B269" s="26"/>
      <c r="C269" s="26" t="str">
        <f>IFERROR(IF(OR(A269="",B269=""),"",INDEX(Equipements!$H:$H,MATCH(A269,Equipements!$A:$A,0))&amp;"."&amp;B269),"")</f>
        <v/>
      </c>
      <c r="D269" s="26"/>
      <c r="E269" s="26"/>
      <c r="F269" s="26"/>
      <c r="G269" s="26"/>
      <c r="H269" s="26"/>
      <c r="I269" s="26"/>
      <c r="J269" s="26"/>
    </row>
    <row r="270" spans="1:10" ht="15" customHeight="1" x14ac:dyDescent="0.25">
      <c r="A270" s="26"/>
      <c r="B270" s="26"/>
      <c r="C270" s="26" t="str">
        <f>IFERROR(IF(OR(A270="",B270=""),"",INDEX(Equipements!$H:$H,MATCH(A270,Equipements!$A:$A,0))&amp;"."&amp;B270),"")</f>
        <v/>
      </c>
      <c r="D270" s="26"/>
      <c r="E270" s="26"/>
      <c r="F270" s="26"/>
      <c r="G270" s="26"/>
      <c r="H270" s="26"/>
      <c r="I270" s="26"/>
      <c r="J270" s="26"/>
    </row>
    <row r="271" spans="1:10" ht="15" customHeight="1" x14ac:dyDescent="0.25">
      <c r="A271" s="26"/>
      <c r="B271" s="26"/>
      <c r="C271" s="26" t="str">
        <f>IFERROR(IF(OR(A271="",B271=""),"",INDEX(Equipements!$H:$H,MATCH(A271,Equipements!$A:$A,0))&amp;"."&amp;B271),"")</f>
        <v/>
      </c>
      <c r="D271" s="26"/>
      <c r="E271" s="26"/>
      <c r="F271" s="26"/>
      <c r="G271" s="26"/>
      <c r="H271" s="26"/>
      <c r="I271" s="26"/>
      <c r="J271" s="26"/>
    </row>
    <row r="272" spans="1:10" ht="15" customHeight="1" x14ac:dyDescent="0.25">
      <c r="A272" s="26"/>
      <c r="B272" s="26"/>
      <c r="C272" s="26" t="str">
        <f>IFERROR(IF(OR(A272="",B272=""),"",INDEX(Equipements!$H:$H,MATCH(A272,Equipements!$A:$A,0))&amp;"."&amp;B272),"")</f>
        <v/>
      </c>
      <c r="D272" s="26"/>
      <c r="E272" s="26"/>
      <c r="F272" s="26"/>
      <c r="G272" s="26"/>
      <c r="H272" s="26"/>
      <c r="I272" s="26"/>
      <c r="J272" s="26"/>
    </row>
    <row r="273" spans="1:10" ht="15" customHeight="1" x14ac:dyDescent="0.25">
      <c r="A273" s="26"/>
      <c r="B273" s="26"/>
      <c r="C273" s="26" t="str">
        <f>IFERROR(IF(OR(A273="",B273=""),"",INDEX(Equipements!$H:$H,MATCH(A273,Equipements!$A:$A,0))&amp;"."&amp;B273),"")</f>
        <v/>
      </c>
      <c r="D273" s="26"/>
      <c r="E273" s="26"/>
      <c r="F273" s="26"/>
      <c r="G273" s="26"/>
      <c r="H273" s="26"/>
      <c r="I273" s="26"/>
      <c r="J273" s="26"/>
    </row>
    <row r="274" spans="1:10" ht="15" customHeight="1" x14ac:dyDescent="0.25">
      <c r="A274" s="26"/>
      <c r="B274" s="26"/>
      <c r="C274" s="26" t="str">
        <f>IFERROR(IF(OR(A274="",B274=""),"",INDEX(Equipements!$H:$H,MATCH(A274,Equipements!$A:$A,0))&amp;"."&amp;B274),"")</f>
        <v/>
      </c>
      <c r="D274" s="26"/>
      <c r="E274" s="26"/>
      <c r="F274" s="26"/>
      <c r="G274" s="26"/>
      <c r="H274" s="26"/>
      <c r="I274" s="26"/>
      <c r="J274" s="26"/>
    </row>
    <row r="275" spans="1:10" ht="15" customHeight="1" x14ac:dyDescent="0.25">
      <c r="A275" s="26"/>
      <c r="B275" s="26"/>
      <c r="C275" s="26" t="str">
        <f>IFERROR(IF(OR(A275="",B275=""),"",INDEX(Equipements!$H:$H,MATCH(A275,Equipements!$A:$A,0))&amp;"."&amp;B275),"")</f>
        <v/>
      </c>
      <c r="D275" s="26"/>
      <c r="E275" s="26"/>
      <c r="F275" s="26"/>
      <c r="G275" s="26"/>
      <c r="H275" s="26"/>
      <c r="I275" s="26"/>
      <c r="J275" s="26"/>
    </row>
    <row r="276" spans="1:10" ht="15" customHeight="1" x14ac:dyDescent="0.25">
      <c r="A276" s="26"/>
      <c r="B276" s="26"/>
      <c r="C276" s="26" t="str">
        <f>IFERROR(IF(OR(A276="",B276=""),"",INDEX(Equipements!$H:$H,MATCH(A276,Equipements!$A:$A,0))&amp;"."&amp;B276),"")</f>
        <v/>
      </c>
      <c r="D276" s="26"/>
      <c r="E276" s="26"/>
      <c r="F276" s="26"/>
      <c r="G276" s="26"/>
      <c r="H276" s="26"/>
      <c r="I276" s="26"/>
      <c r="J276" s="26"/>
    </row>
    <row r="277" spans="1:10" ht="15" customHeight="1" x14ac:dyDescent="0.25">
      <c r="A277" s="26"/>
      <c r="B277" s="26"/>
      <c r="C277" s="26" t="str">
        <f>IFERROR(IF(OR(A277="",B277=""),"",INDEX(Equipements!$H:$H,MATCH(A277,Equipements!$A:$A,0))&amp;"."&amp;B277),"")</f>
        <v/>
      </c>
      <c r="D277" s="26"/>
      <c r="E277" s="26"/>
      <c r="F277" s="26"/>
      <c r="G277" s="26"/>
      <c r="H277" s="26"/>
      <c r="I277" s="26"/>
      <c r="J277" s="26"/>
    </row>
    <row r="278" spans="1:10" ht="15" customHeight="1" x14ac:dyDescent="0.25">
      <c r="A278" s="26"/>
      <c r="B278" s="26"/>
      <c r="C278" s="26" t="str">
        <f>IFERROR(IF(OR(A278="",B278=""),"",INDEX(Equipements!$H:$H,MATCH(A278,Equipements!$A:$A,0))&amp;"."&amp;B278),"")</f>
        <v/>
      </c>
      <c r="D278" s="26"/>
      <c r="E278" s="26"/>
      <c r="F278" s="26"/>
      <c r="G278" s="26"/>
      <c r="H278" s="26"/>
      <c r="I278" s="26"/>
      <c r="J278" s="26"/>
    </row>
    <row r="279" spans="1:10" ht="15" customHeight="1" x14ac:dyDescent="0.25">
      <c r="A279" s="26"/>
      <c r="B279" s="26"/>
      <c r="C279" s="26" t="str">
        <f>IFERROR(IF(OR(A279="",B279=""),"",INDEX(Equipements!$H:$H,MATCH(A279,Equipements!$A:$A,0))&amp;"."&amp;B279),"")</f>
        <v/>
      </c>
      <c r="D279" s="26"/>
      <c r="E279" s="26"/>
      <c r="F279" s="26"/>
      <c r="G279" s="26"/>
      <c r="H279" s="26"/>
      <c r="I279" s="26"/>
      <c r="J279" s="26"/>
    </row>
    <row r="280" spans="1:10" ht="15" customHeight="1" x14ac:dyDescent="0.25">
      <c r="A280" s="26"/>
      <c r="B280" s="26"/>
      <c r="C280" s="26" t="str">
        <f>IFERROR(IF(OR(A280="",B280=""),"",INDEX(Equipements!$H:$H,MATCH(A280,Equipements!$A:$A,0))&amp;"."&amp;B280),"")</f>
        <v/>
      </c>
      <c r="D280" s="26"/>
      <c r="E280" s="26"/>
      <c r="F280" s="26"/>
      <c r="G280" s="26"/>
      <c r="H280" s="26"/>
      <c r="I280" s="26"/>
      <c r="J280" s="26"/>
    </row>
    <row r="281" spans="1:10" ht="15" customHeight="1" x14ac:dyDescent="0.25">
      <c r="A281" s="26"/>
      <c r="B281" s="26"/>
      <c r="C281" s="26" t="str">
        <f>IFERROR(IF(OR(A281="",B281=""),"",INDEX(Equipements!$H:$H,MATCH(A281,Equipements!$A:$A,0))&amp;"."&amp;B281),"")</f>
        <v/>
      </c>
      <c r="D281" s="26"/>
      <c r="E281" s="26"/>
      <c r="F281" s="26"/>
      <c r="G281" s="26"/>
      <c r="H281" s="26"/>
      <c r="I281" s="26"/>
      <c r="J281" s="26"/>
    </row>
    <row r="282" spans="1:10" ht="15" customHeight="1" x14ac:dyDescent="0.25">
      <c r="A282" s="26"/>
      <c r="B282" s="26"/>
      <c r="C282" s="26" t="str">
        <f>IFERROR(IF(OR(A282="",B282=""),"",INDEX(Equipements!$H:$H,MATCH(A282,Equipements!$A:$A,0))&amp;"."&amp;B282),"")</f>
        <v/>
      </c>
      <c r="D282" s="26"/>
      <c r="E282" s="26"/>
      <c r="F282" s="26"/>
      <c r="G282" s="26"/>
      <c r="H282" s="26"/>
      <c r="I282" s="26"/>
      <c r="J282" s="26"/>
    </row>
    <row r="283" spans="1:10" ht="15" customHeight="1" x14ac:dyDescent="0.25">
      <c r="A283" s="26"/>
      <c r="B283" s="26"/>
      <c r="C283" s="26" t="str">
        <f>IFERROR(IF(OR(A283="",B283=""),"",INDEX(Equipements!$H:$H,MATCH(A283,Equipements!$A:$A,0))&amp;"."&amp;B283),"")</f>
        <v/>
      </c>
      <c r="D283" s="26"/>
      <c r="E283" s="26"/>
      <c r="F283" s="26"/>
      <c r="G283" s="26"/>
      <c r="H283" s="26"/>
      <c r="I283" s="26"/>
      <c r="J283" s="26"/>
    </row>
    <row r="284" spans="1:10" ht="15" customHeight="1" x14ac:dyDescent="0.25">
      <c r="A284" s="26"/>
      <c r="B284" s="26"/>
      <c r="C284" s="26" t="str">
        <f>IFERROR(IF(OR(A284="",B284=""),"",INDEX(Equipements!$H:$H,MATCH(A284,Equipements!$A:$A,0))&amp;"."&amp;B284),"")</f>
        <v/>
      </c>
      <c r="D284" s="26"/>
      <c r="E284" s="26"/>
      <c r="F284" s="26"/>
      <c r="G284" s="26"/>
      <c r="H284" s="26"/>
      <c r="I284" s="26"/>
      <c r="J284" s="26"/>
    </row>
    <row r="285" spans="1:10" ht="15" customHeight="1" x14ac:dyDescent="0.25">
      <c r="A285" s="26"/>
      <c r="B285" s="26"/>
      <c r="C285" s="26" t="str">
        <f>IFERROR(IF(OR(A285="",B285=""),"",INDEX(Equipements!$H:$H,MATCH(A285,Equipements!$A:$A,0))&amp;"."&amp;B285),"")</f>
        <v/>
      </c>
      <c r="D285" s="26"/>
      <c r="E285" s="26"/>
      <c r="F285" s="26"/>
      <c r="G285" s="26"/>
      <c r="H285" s="26"/>
      <c r="I285" s="26"/>
      <c r="J285" s="26"/>
    </row>
    <row r="286" spans="1:10" ht="15" customHeight="1" x14ac:dyDescent="0.25">
      <c r="A286" s="26"/>
      <c r="B286" s="26"/>
      <c r="C286" s="26" t="str">
        <f>IFERROR(IF(OR(A286="",B286=""),"",INDEX(Equipements!$H:$H,MATCH(A286,Equipements!$A:$A,0))&amp;"."&amp;B286),"")</f>
        <v/>
      </c>
      <c r="D286" s="26"/>
      <c r="E286" s="26"/>
      <c r="F286" s="26"/>
      <c r="G286" s="26"/>
      <c r="H286" s="26"/>
      <c r="I286" s="26"/>
      <c r="J286" s="26"/>
    </row>
    <row r="287" spans="1:10" ht="15" customHeight="1" x14ac:dyDescent="0.25">
      <c r="A287" s="26"/>
      <c r="B287" s="26"/>
      <c r="C287" s="26" t="str">
        <f>IFERROR(IF(OR(A287="",B287=""),"",INDEX(Equipements!$H:$H,MATCH(A287,Equipements!$A:$A,0))&amp;"."&amp;B287),"")</f>
        <v/>
      </c>
      <c r="D287" s="26"/>
      <c r="E287" s="26"/>
      <c r="F287" s="26"/>
      <c r="G287" s="26"/>
      <c r="H287" s="26"/>
      <c r="I287" s="26"/>
      <c r="J287" s="26"/>
    </row>
    <row r="288" spans="1:10" ht="15" customHeight="1" x14ac:dyDescent="0.25">
      <c r="A288" s="26"/>
      <c r="B288" s="26"/>
      <c r="C288" s="26" t="str">
        <f>IFERROR(IF(OR(A288="",B288=""),"",INDEX(Equipements!$H:$H,MATCH(A288,Equipements!$A:$A,0))&amp;"."&amp;B288),"")</f>
        <v/>
      </c>
      <c r="D288" s="26"/>
      <c r="E288" s="26"/>
      <c r="F288" s="26"/>
      <c r="G288" s="26"/>
      <c r="H288" s="26"/>
      <c r="I288" s="26"/>
      <c r="J288" s="26"/>
    </row>
    <row r="289" spans="1:10" ht="15" customHeight="1" x14ac:dyDescent="0.25">
      <c r="A289" s="26"/>
      <c r="B289" s="26"/>
      <c r="C289" s="26" t="str">
        <f>IFERROR(IF(OR(A289="",B289=""),"",INDEX(Equipements!$H:$H,MATCH(A289,Equipements!$A:$A,0))&amp;"."&amp;B289),"")</f>
        <v/>
      </c>
      <c r="D289" s="26"/>
      <c r="E289" s="26"/>
      <c r="F289" s="26"/>
      <c r="G289" s="26"/>
      <c r="H289" s="26"/>
      <c r="I289" s="26"/>
      <c r="J289" s="26"/>
    </row>
    <row r="290" spans="1:10" ht="15" customHeight="1" x14ac:dyDescent="0.25">
      <c r="A290" s="26"/>
      <c r="B290" s="26"/>
      <c r="C290" s="26" t="str">
        <f>IFERROR(IF(OR(A290="",B290=""),"",INDEX(Equipements!$H:$H,MATCH(A290,Equipements!$A:$A,0))&amp;"."&amp;B290),"")</f>
        <v/>
      </c>
      <c r="D290" s="26"/>
      <c r="E290" s="26"/>
      <c r="F290" s="26"/>
      <c r="G290" s="26"/>
      <c r="H290" s="26"/>
      <c r="I290" s="26"/>
      <c r="J290" s="26"/>
    </row>
    <row r="291" spans="1:10" ht="15" customHeight="1" x14ac:dyDescent="0.25">
      <c r="A291" s="26"/>
      <c r="B291" s="26"/>
      <c r="C291" s="26" t="str">
        <f>IFERROR(IF(OR(A291="",B291=""),"",INDEX(Equipements!$H:$H,MATCH(A291,Equipements!$A:$A,0))&amp;"."&amp;B291),"")</f>
        <v/>
      </c>
      <c r="D291" s="26"/>
      <c r="E291" s="26"/>
      <c r="F291" s="26"/>
      <c r="G291" s="26"/>
      <c r="H291" s="26"/>
      <c r="I291" s="26"/>
      <c r="J291" s="26"/>
    </row>
    <row r="292" spans="1:10" ht="15" customHeight="1" x14ac:dyDescent="0.25">
      <c r="A292" s="26"/>
      <c r="B292" s="26"/>
      <c r="C292" s="26" t="str">
        <f>IFERROR(IF(OR(A292="",B292=""),"",INDEX(Equipements!$H:$H,MATCH(A292,Equipements!$A:$A,0))&amp;"."&amp;B292),"")</f>
        <v/>
      </c>
      <c r="D292" s="26"/>
      <c r="E292" s="26"/>
      <c r="F292" s="26"/>
      <c r="G292" s="26"/>
      <c r="H292" s="26"/>
      <c r="I292" s="26"/>
      <c r="J292" s="26"/>
    </row>
    <row r="293" spans="1:10" ht="15" customHeight="1" x14ac:dyDescent="0.25">
      <c r="A293" s="26"/>
      <c r="B293" s="26"/>
      <c r="C293" s="26" t="str">
        <f>IFERROR(IF(OR(A293="",B293=""),"",INDEX(Equipements!$H:$H,MATCH(A293,Equipements!$A:$A,0))&amp;"."&amp;B293),"")</f>
        <v/>
      </c>
      <c r="D293" s="26"/>
      <c r="E293" s="26"/>
      <c r="F293" s="26"/>
      <c r="G293" s="26"/>
      <c r="H293" s="26"/>
      <c r="I293" s="26"/>
      <c r="J293" s="26"/>
    </row>
    <row r="294" spans="1:10" ht="15" customHeight="1" x14ac:dyDescent="0.25">
      <c r="A294" s="26"/>
      <c r="B294" s="26"/>
      <c r="C294" s="26" t="str">
        <f>IFERROR(IF(OR(A294="",B294=""),"",INDEX(Equipements!$H:$H,MATCH(A294,Equipements!$A:$A,0))&amp;"."&amp;B294),"")</f>
        <v/>
      </c>
      <c r="D294" s="26"/>
      <c r="E294" s="26"/>
      <c r="F294" s="26"/>
      <c r="G294" s="26"/>
      <c r="H294" s="26"/>
      <c r="I294" s="26"/>
      <c r="J294" s="26"/>
    </row>
    <row r="295" spans="1:10" ht="15" customHeight="1" x14ac:dyDescent="0.25">
      <c r="A295" s="26"/>
      <c r="B295" s="26"/>
      <c r="C295" s="26" t="str">
        <f>IFERROR(IF(OR(A295="",B295=""),"",INDEX(Equipements!$H:$H,MATCH(A295,Equipements!$A:$A,0))&amp;"."&amp;B295),"")</f>
        <v/>
      </c>
      <c r="D295" s="26"/>
      <c r="E295" s="26"/>
      <c r="F295" s="26"/>
      <c r="G295" s="26"/>
      <c r="H295" s="26"/>
      <c r="I295" s="26"/>
      <c r="J295" s="26"/>
    </row>
    <row r="296" spans="1:10" ht="15" customHeight="1" x14ac:dyDescent="0.25">
      <c r="A296" s="26"/>
      <c r="B296" s="26"/>
      <c r="C296" s="26" t="str">
        <f>IFERROR(IF(OR(A296="",B296=""),"",INDEX(Equipements!$H:$H,MATCH(A296,Equipements!$A:$A,0))&amp;"."&amp;B296),"")</f>
        <v/>
      </c>
      <c r="D296" s="26"/>
      <c r="E296" s="26"/>
      <c r="F296" s="26"/>
      <c r="G296" s="26"/>
      <c r="H296" s="26"/>
      <c r="I296" s="26"/>
      <c r="J296" s="26"/>
    </row>
    <row r="297" spans="1:10" ht="15" customHeight="1" x14ac:dyDescent="0.25">
      <c r="A297" s="26"/>
      <c r="B297" s="26"/>
      <c r="C297" s="26" t="str">
        <f>IFERROR(IF(OR(A297="",B297=""),"",INDEX(Equipements!$H:$H,MATCH(A297,Equipements!$A:$A,0))&amp;"."&amp;B297),"")</f>
        <v/>
      </c>
      <c r="D297" s="26"/>
      <c r="E297" s="26"/>
      <c r="F297" s="26"/>
      <c r="G297" s="26"/>
      <c r="H297" s="26"/>
      <c r="I297" s="26"/>
      <c r="J297" s="26"/>
    </row>
    <row r="298" spans="1:10" ht="15" customHeight="1" x14ac:dyDescent="0.25">
      <c r="A298" s="26"/>
      <c r="B298" s="26"/>
      <c r="C298" s="26" t="str">
        <f>IFERROR(IF(OR(A298="",B298=""),"",INDEX(Equipements!$H:$H,MATCH(A298,Equipements!$A:$A,0))&amp;"."&amp;B298),"")</f>
        <v/>
      </c>
      <c r="D298" s="26"/>
      <c r="E298" s="26"/>
      <c r="F298" s="26"/>
      <c r="G298" s="26"/>
      <c r="H298" s="26"/>
      <c r="I298" s="26"/>
      <c r="J298" s="26"/>
    </row>
    <row r="299" spans="1:10" ht="15" customHeight="1" x14ac:dyDescent="0.25">
      <c r="A299" s="26"/>
      <c r="B299" s="26"/>
      <c r="C299" s="26" t="str">
        <f>IFERROR(IF(OR(A299="",B299=""),"",INDEX(Equipements!$H:$H,MATCH(A299,Equipements!$A:$A,0))&amp;"."&amp;B299),"")</f>
        <v/>
      </c>
      <c r="D299" s="26"/>
      <c r="E299" s="26"/>
      <c r="F299" s="26"/>
      <c r="G299" s="26"/>
      <c r="H299" s="26"/>
      <c r="I299" s="26"/>
      <c r="J299" s="26"/>
    </row>
    <row r="300" spans="1:10" ht="15" customHeight="1" x14ac:dyDescent="0.25">
      <c r="A300" s="26"/>
      <c r="B300" s="26"/>
      <c r="C300" s="26" t="str">
        <f>IFERROR(IF(OR(A300="",B300=""),"",INDEX(Equipements!$H:$H,MATCH(A300,Equipements!$A:$A,0))&amp;"."&amp;B300),"")</f>
        <v/>
      </c>
      <c r="D300" s="26"/>
      <c r="E300" s="26"/>
      <c r="F300" s="26"/>
      <c r="G300" s="26"/>
      <c r="H300" s="26"/>
      <c r="I300" s="26"/>
      <c r="J300" s="26"/>
    </row>
    <row r="301" spans="1:10" ht="15" customHeight="1" x14ac:dyDescent="0.25">
      <c r="A301" s="26"/>
      <c r="B301" s="26"/>
      <c r="C301" s="26" t="str">
        <f>IFERROR(IF(OR(A301="",B301=""),"",INDEX(Equipements!$H:$H,MATCH(A301,Equipements!$A:$A,0))&amp;"."&amp;B301),"")</f>
        <v/>
      </c>
      <c r="D301" s="26"/>
      <c r="E301" s="26"/>
      <c r="F301" s="26"/>
      <c r="G301" s="26"/>
      <c r="H301" s="26"/>
      <c r="I301" s="26"/>
      <c r="J301" s="26"/>
    </row>
    <row r="302" spans="1:10" ht="15" customHeight="1" x14ac:dyDescent="0.25">
      <c r="A302" s="26"/>
      <c r="B302" s="26"/>
      <c r="C302" s="26" t="str">
        <f>IFERROR(IF(OR(A302="",B302=""),"",INDEX(Equipements!$H:$H,MATCH(A302,Equipements!$A:$A,0))&amp;"."&amp;B302),"")</f>
        <v/>
      </c>
      <c r="D302" s="26"/>
      <c r="E302" s="26"/>
      <c r="F302" s="26"/>
      <c r="G302" s="26"/>
      <c r="H302" s="26"/>
      <c r="I302" s="26"/>
      <c r="J302" s="26"/>
    </row>
    <row r="303" spans="1:10" ht="15" customHeight="1" x14ac:dyDescent="0.25">
      <c r="A303" s="26"/>
      <c r="B303" s="26"/>
      <c r="C303" s="26" t="str">
        <f>IFERROR(IF(OR(A303="",B303=""),"",INDEX(Equipements!$H:$H,MATCH(A303,Equipements!$A:$A,0))&amp;"."&amp;B303),"")</f>
        <v/>
      </c>
      <c r="D303" s="26"/>
      <c r="E303" s="26"/>
      <c r="F303" s="26"/>
      <c r="G303" s="26"/>
      <c r="H303" s="26"/>
      <c r="I303" s="26"/>
      <c r="J303" s="26"/>
    </row>
    <row r="304" spans="1:10" ht="15" customHeight="1" x14ac:dyDescent="0.25">
      <c r="A304" s="26"/>
      <c r="B304" s="26"/>
      <c r="C304" s="26" t="str">
        <f>IFERROR(IF(OR(A304="",B304=""),"",INDEX(Equipements!$H:$H,MATCH(A304,Equipements!$A:$A,0))&amp;"."&amp;B304),"")</f>
        <v/>
      </c>
      <c r="D304" s="26"/>
      <c r="E304" s="26"/>
      <c r="F304" s="26"/>
      <c r="G304" s="26"/>
      <c r="H304" s="26"/>
      <c r="I304" s="26"/>
      <c r="J304" s="26"/>
    </row>
    <row r="305" spans="1:10" ht="15" customHeight="1" x14ac:dyDescent="0.25">
      <c r="A305" s="26"/>
      <c r="B305" s="26"/>
      <c r="C305" s="26" t="str">
        <f>IFERROR(IF(OR(A305="",B305=""),"",INDEX(Equipements!$H:$H,MATCH(A305,Equipements!$A:$A,0))&amp;"."&amp;B305),"")</f>
        <v/>
      </c>
      <c r="D305" s="26"/>
      <c r="E305" s="26"/>
      <c r="F305" s="26"/>
      <c r="G305" s="26"/>
      <c r="H305" s="26"/>
      <c r="I305" s="26"/>
      <c r="J305" s="26"/>
    </row>
    <row r="306" spans="1:10" ht="15" customHeight="1" x14ac:dyDescent="0.25">
      <c r="A306" s="26"/>
      <c r="B306" s="26"/>
      <c r="C306" s="26" t="str">
        <f>IFERROR(IF(OR(A306="",B306=""),"",INDEX(Equipements!$H:$H,MATCH(A306,Equipements!$A:$A,0))&amp;"."&amp;B306),"")</f>
        <v/>
      </c>
      <c r="D306" s="26"/>
      <c r="E306" s="26"/>
      <c r="F306" s="26"/>
      <c r="G306" s="26"/>
      <c r="H306" s="26"/>
      <c r="I306" s="26"/>
      <c r="J306" s="26"/>
    </row>
    <row r="307" spans="1:10" ht="15" customHeight="1" x14ac:dyDescent="0.25">
      <c r="A307" s="26"/>
      <c r="B307" s="26"/>
      <c r="C307" s="26" t="str">
        <f>IFERROR(IF(OR(A307="",B307=""),"",INDEX(Equipements!$H:$H,MATCH(A307,Equipements!$A:$A,0))&amp;"."&amp;B307),"")</f>
        <v/>
      </c>
      <c r="D307" s="26"/>
      <c r="E307" s="26"/>
      <c r="F307" s="26"/>
      <c r="G307" s="26"/>
      <c r="H307" s="26"/>
      <c r="I307" s="26"/>
      <c r="J307" s="26"/>
    </row>
    <row r="308" spans="1:10" ht="15" customHeight="1" x14ac:dyDescent="0.25">
      <c r="A308" s="26"/>
      <c r="B308" s="26"/>
      <c r="C308" s="26" t="str">
        <f>IFERROR(IF(OR(A308="",B308=""),"",INDEX(Equipements!$H:$H,MATCH(A308,Equipements!$A:$A,0))&amp;"."&amp;B308),"")</f>
        <v/>
      </c>
      <c r="D308" s="26"/>
      <c r="E308" s="26"/>
      <c r="F308" s="26"/>
      <c r="G308" s="26"/>
      <c r="H308" s="26"/>
      <c r="I308" s="26"/>
      <c r="J308" s="26"/>
    </row>
    <row r="309" spans="1:10" ht="15" customHeight="1" x14ac:dyDescent="0.25">
      <c r="A309" s="26"/>
      <c r="B309" s="26"/>
      <c r="C309" s="26" t="str">
        <f>IFERROR(IF(OR(A309="",B309=""),"",INDEX(Equipements!$H:$H,MATCH(A309,Equipements!$A:$A,0))&amp;"."&amp;B309),"")</f>
        <v/>
      </c>
      <c r="D309" s="26"/>
      <c r="E309" s="26"/>
      <c r="F309" s="26"/>
      <c r="G309" s="26"/>
      <c r="H309" s="26"/>
      <c r="I309" s="26"/>
      <c r="J309" s="26"/>
    </row>
    <row r="310" spans="1:10" ht="15" customHeight="1" x14ac:dyDescent="0.25">
      <c r="A310" s="26"/>
      <c r="B310" s="26"/>
      <c r="C310" s="26" t="str">
        <f>IFERROR(IF(OR(A310="",B310=""),"",INDEX(Equipements!$H:$H,MATCH(A310,Equipements!$A:$A,0))&amp;"."&amp;B310),"")</f>
        <v/>
      </c>
      <c r="D310" s="26"/>
      <c r="E310" s="26"/>
      <c r="F310" s="26"/>
      <c r="G310" s="26"/>
      <c r="H310" s="26"/>
      <c r="I310" s="26"/>
      <c r="J310" s="26"/>
    </row>
    <row r="311" spans="1:10" ht="15" customHeight="1" x14ac:dyDescent="0.25">
      <c r="A311" s="26"/>
      <c r="B311" s="26"/>
      <c r="C311" s="26" t="str">
        <f>IFERROR(IF(OR(A311="",B311=""),"",INDEX(Equipements!$H:$H,MATCH(A311,Equipements!$A:$A,0))&amp;"."&amp;B311),"")</f>
        <v/>
      </c>
      <c r="D311" s="26"/>
      <c r="E311" s="26"/>
      <c r="F311" s="26"/>
      <c r="G311" s="26"/>
      <c r="H311" s="26"/>
      <c r="I311" s="26"/>
      <c r="J311" s="26"/>
    </row>
    <row r="312" spans="1:10" ht="15" customHeight="1" x14ac:dyDescent="0.25">
      <c r="A312" s="26"/>
      <c r="B312" s="26"/>
      <c r="C312" s="26" t="str">
        <f>IFERROR(IF(OR(A312="",B312=""),"",INDEX(Equipements!$H:$H,MATCH(A312,Equipements!$A:$A,0))&amp;"."&amp;B312),"")</f>
        <v/>
      </c>
      <c r="D312" s="26"/>
      <c r="E312" s="26"/>
      <c r="F312" s="26"/>
      <c r="G312" s="26"/>
      <c r="H312" s="26"/>
      <c r="I312" s="26"/>
      <c r="J312" s="26"/>
    </row>
    <row r="313" spans="1:10" ht="15" customHeight="1" x14ac:dyDescent="0.25">
      <c r="A313" s="26"/>
      <c r="B313" s="26"/>
      <c r="C313" s="26" t="str">
        <f>IFERROR(IF(OR(A313="",B313=""),"",INDEX(Equipements!$H:$H,MATCH(A313,Equipements!$A:$A,0))&amp;"."&amp;B313),"")</f>
        <v/>
      </c>
      <c r="D313" s="26"/>
      <c r="E313" s="26"/>
      <c r="F313" s="26"/>
      <c r="G313" s="26"/>
      <c r="H313" s="26"/>
      <c r="I313" s="26"/>
      <c r="J313" s="26"/>
    </row>
    <row r="314" spans="1:10" ht="15" customHeight="1" x14ac:dyDescent="0.25">
      <c r="A314" s="26"/>
      <c r="B314" s="26"/>
      <c r="C314" s="26" t="str">
        <f>IFERROR(IF(OR(A314="",B314=""),"",INDEX(Equipements!$H:$H,MATCH(A314,Equipements!$A:$A,0))&amp;"."&amp;B314),"")</f>
        <v/>
      </c>
      <c r="D314" s="26"/>
      <c r="E314" s="26"/>
      <c r="F314" s="26"/>
      <c r="G314" s="26"/>
      <c r="H314" s="26"/>
      <c r="I314" s="26"/>
      <c r="J314" s="26"/>
    </row>
    <row r="315" spans="1:10" ht="15" customHeight="1" x14ac:dyDescent="0.25">
      <c r="A315" s="26"/>
      <c r="B315" s="26"/>
      <c r="C315" s="26" t="str">
        <f>IFERROR(IF(OR(A315="",B315=""),"",INDEX(Equipements!$H:$H,MATCH(A315,Equipements!$A:$A,0))&amp;"."&amp;B315),"")</f>
        <v/>
      </c>
      <c r="D315" s="26"/>
      <c r="E315" s="26"/>
      <c r="F315" s="26"/>
      <c r="G315" s="26"/>
      <c r="H315" s="26"/>
      <c r="I315" s="26"/>
      <c r="J315" s="26"/>
    </row>
    <row r="316" spans="1:10" ht="15" customHeight="1" x14ac:dyDescent="0.25">
      <c r="A316" s="26"/>
      <c r="B316" s="26"/>
      <c r="C316" s="26" t="str">
        <f>IFERROR(IF(OR(A316="",B316=""),"",INDEX(Equipements!$H:$H,MATCH(A316,Equipements!$A:$A,0))&amp;"."&amp;B316),"")</f>
        <v/>
      </c>
      <c r="D316" s="26"/>
      <c r="E316" s="26"/>
      <c r="F316" s="26"/>
      <c r="G316" s="26"/>
      <c r="H316" s="26"/>
      <c r="I316" s="26"/>
      <c r="J316" s="26"/>
    </row>
    <row r="317" spans="1:10" ht="15" customHeight="1" x14ac:dyDescent="0.25">
      <c r="A317" s="26"/>
      <c r="B317" s="26"/>
      <c r="C317" s="26" t="str">
        <f>IFERROR(IF(OR(A317="",B317=""),"",INDEX(Equipements!$H:$H,MATCH(A317,Equipements!$A:$A,0))&amp;"."&amp;B317),"")</f>
        <v/>
      </c>
      <c r="D317" s="26"/>
      <c r="E317" s="26"/>
      <c r="F317" s="26"/>
      <c r="G317" s="26"/>
      <c r="H317" s="26"/>
      <c r="I317" s="26"/>
      <c r="J317" s="26"/>
    </row>
    <row r="318" spans="1:10" ht="15" customHeight="1" x14ac:dyDescent="0.25">
      <c r="A318" s="26"/>
      <c r="B318" s="26"/>
      <c r="C318" s="26" t="str">
        <f>IFERROR(IF(OR(A318="",B318=""),"",INDEX(Equipements!$H:$H,MATCH(A318,Equipements!$A:$A,0))&amp;"."&amp;B318),"")</f>
        <v/>
      </c>
      <c r="D318" s="26"/>
      <c r="E318" s="26"/>
      <c r="F318" s="26"/>
      <c r="G318" s="26"/>
      <c r="H318" s="26"/>
      <c r="I318" s="26"/>
      <c r="J318" s="26"/>
    </row>
    <row r="319" spans="1:10" ht="15" customHeight="1" x14ac:dyDescent="0.25">
      <c r="A319" s="26"/>
      <c r="B319" s="26"/>
      <c r="C319" s="26" t="str">
        <f>IFERROR(IF(OR(A319="",B319=""),"",INDEX(Equipements!$H:$H,MATCH(A319,Equipements!$A:$A,0))&amp;"."&amp;B319),"")</f>
        <v/>
      </c>
      <c r="D319" s="26"/>
      <c r="E319" s="26"/>
      <c r="F319" s="26"/>
      <c r="G319" s="26"/>
      <c r="H319" s="26"/>
      <c r="I319" s="26"/>
      <c r="J319" s="26"/>
    </row>
    <row r="320" spans="1:10" ht="15" customHeight="1" x14ac:dyDescent="0.25">
      <c r="A320" s="26"/>
      <c r="B320" s="26"/>
      <c r="C320" s="26" t="str">
        <f>IFERROR(IF(OR(A320="",B320=""),"",INDEX(Equipements!$H:$H,MATCH(A320,Equipements!$A:$A,0))&amp;"."&amp;B320),"")</f>
        <v/>
      </c>
      <c r="D320" s="26"/>
      <c r="E320" s="26"/>
      <c r="F320" s="26"/>
      <c r="G320" s="26"/>
      <c r="H320" s="26"/>
      <c r="I320" s="26"/>
      <c r="J320" s="26"/>
    </row>
    <row r="321" spans="1:10" ht="15" customHeight="1" x14ac:dyDescent="0.25">
      <c r="A321" s="26"/>
      <c r="B321" s="26"/>
      <c r="C321" s="26" t="str">
        <f>IFERROR(IF(OR(A321="",B321=""),"",INDEX(Equipements!$H:$H,MATCH(A321,Equipements!$A:$A,0))&amp;"."&amp;B321),"")</f>
        <v/>
      </c>
      <c r="D321" s="26"/>
      <c r="E321" s="26"/>
      <c r="F321" s="26"/>
      <c r="G321" s="26"/>
      <c r="H321" s="26"/>
      <c r="I321" s="26"/>
      <c r="J321" s="26"/>
    </row>
    <row r="322" spans="1:10" ht="15" customHeight="1" x14ac:dyDescent="0.25">
      <c r="A322" s="26"/>
      <c r="B322" s="26"/>
      <c r="C322" s="26" t="str">
        <f>IFERROR(IF(OR(A322="",B322=""),"",INDEX(Equipements!$H:$H,MATCH(A322,Equipements!$A:$A,0))&amp;"."&amp;B322),"")</f>
        <v/>
      </c>
      <c r="D322" s="26"/>
      <c r="E322" s="26"/>
      <c r="F322" s="26"/>
      <c r="G322" s="26"/>
      <c r="H322" s="26"/>
      <c r="I322" s="26"/>
      <c r="J322" s="26"/>
    </row>
    <row r="323" spans="1:10" ht="15" customHeight="1" x14ac:dyDescent="0.25">
      <c r="A323" s="26"/>
      <c r="B323" s="26"/>
      <c r="C323" s="26" t="str">
        <f>IFERROR(IF(OR(A323="",B323=""),"",INDEX(Equipements!$H:$H,MATCH(A323,Equipements!$A:$A,0))&amp;"."&amp;B323),"")</f>
        <v/>
      </c>
      <c r="D323" s="26"/>
      <c r="E323" s="26"/>
      <c r="F323" s="26"/>
      <c r="G323" s="26"/>
      <c r="H323" s="26"/>
      <c r="I323" s="26"/>
      <c r="J323" s="26"/>
    </row>
    <row r="324" spans="1:10" ht="15" customHeight="1" x14ac:dyDescent="0.25">
      <c r="A324" s="26"/>
      <c r="B324" s="26"/>
      <c r="C324" s="26" t="str">
        <f>IFERROR(IF(OR(A324="",B324=""),"",INDEX(Equipements!$H:$H,MATCH(A324,Equipements!$A:$A,0))&amp;"."&amp;B324),"")</f>
        <v/>
      </c>
      <c r="D324" s="26"/>
      <c r="E324" s="26"/>
      <c r="F324" s="26"/>
      <c r="G324" s="26"/>
      <c r="H324" s="26"/>
      <c r="I324" s="26"/>
      <c r="J324" s="26"/>
    </row>
    <row r="325" spans="1:10" ht="15" customHeight="1" x14ac:dyDescent="0.25">
      <c r="A325" s="26"/>
      <c r="B325" s="26"/>
      <c r="C325" s="26" t="str">
        <f>IFERROR(IF(OR(A325="",B325=""),"",INDEX(Equipements!$H:$H,MATCH(A325,Equipements!$A:$A,0))&amp;"."&amp;B325),"")</f>
        <v/>
      </c>
      <c r="D325" s="26"/>
      <c r="E325" s="26"/>
      <c r="F325" s="26"/>
      <c r="G325" s="26"/>
      <c r="H325" s="26"/>
      <c r="I325" s="26"/>
      <c r="J325" s="26"/>
    </row>
    <row r="326" spans="1:10" ht="15" customHeight="1" x14ac:dyDescent="0.25">
      <c r="A326" s="26"/>
      <c r="B326" s="26"/>
      <c r="C326" s="26" t="str">
        <f>IFERROR(IF(OR(A326="",B326=""),"",INDEX(Equipements!$H:$H,MATCH(A326,Equipements!$A:$A,0))&amp;"."&amp;B326),"")</f>
        <v/>
      </c>
      <c r="D326" s="26"/>
      <c r="E326" s="26"/>
      <c r="F326" s="26"/>
      <c r="G326" s="26"/>
      <c r="H326" s="26"/>
      <c r="I326" s="26"/>
      <c r="J326" s="26"/>
    </row>
    <row r="327" spans="1:10" ht="15" customHeight="1" x14ac:dyDescent="0.25">
      <c r="A327" s="26"/>
      <c r="B327" s="26"/>
      <c r="C327" s="26" t="str">
        <f>IFERROR(IF(OR(A327="",B327=""),"",INDEX(Equipements!$H:$H,MATCH(A327,Equipements!$A:$A,0))&amp;"."&amp;B327),"")</f>
        <v/>
      </c>
      <c r="D327" s="26"/>
      <c r="E327" s="26"/>
      <c r="F327" s="26"/>
      <c r="G327" s="26"/>
      <c r="H327" s="26"/>
      <c r="I327" s="26"/>
      <c r="J327" s="26"/>
    </row>
    <row r="328" spans="1:10" ht="15" customHeight="1" x14ac:dyDescent="0.25">
      <c r="A328" s="26"/>
      <c r="B328" s="26"/>
      <c r="C328" s="26" t="str">
        <f>IFERROR(IF(OR(A328="",B328=""),"",INDEX(Equipements!$H:$H,MATCH(A328,Equipements!$A:$A,0))&amp;"."&amp;B328),"")</f>
        <v/>
      </c>
      <c r="D328" s="26"/>
      <c r="E328" s="26"/>
      <c r="F328" s="26"/>
      <c r="G328" s="26"/>
      <c r="H328" s="26"/>
      <c r="I328" s="26"/>
      <c r="J328" s="26"/>
    </row>
    <row r="329" spans="1:10" ht="15" customHeight="1" x14ac:dyDescent="0.25">
      <c r="A329" s="26"/>
      <c r="B329" s="26"/>
      <c r="C329" s="26" t="str">
        <f>IFERROR(IF(OR(A329="",B329=""),"",INDEX(Equipements!$H:$H,MATCH(A329,Equipements!$A:$A,0))&amp;"."&amp;B329),"")</f>
        <v/>
      </c>
      <c r="D329" s="26"/>
      <c r="E329" s="26"/>
      <c r="F329" s="26"/>
      <c r="G329" s="26"/>
      <c r="H329" s="26"/>
      <c r="I329" s="26"/>
      <c r="J329" s="26"/>
    </row>
    <row r="330" spans="1:10" ht="15" customHeight="1" x14ac:dyDescent="0.25">
      <c r="A330" s="26"/>
      <c r="B330" s="26"/>
      <c r="C330" s="26" t="str">
        <f>IFERROR(IF(OR(A330="",B330=""),"",INDEX(Equipements!$H:$H,MATCH(A330,Equipements!$A:$A,0))&amp;"."&amp;B330),"")</f>
        <v/>
      </c>
      <c r="D330" s="26"/>
      <c r="E330" s="26"/>
      <c r="F330" s="26"/>
      <c r="G330" s="26"/>
      <c r="H330" s="26"/>
      <c r="I330" s="26"/>
      <c r="J330" s="26"/>
    </row>
    <row r="331" spans="1:10" ht="15" customHeight="1" x14ac:dyDescent="0.25">
      <c r="A331" s="26"/>
      <c r="B331" s="26"/>
      <c r="C331" s="26" t="str">
        <f>IFERROR(IF(OR(A331="",B331=""),"",INDEX(Equipements!$H:$H,MATCH(A331,Equipements!$A:$A,0))&amp;"."&amp;B331),"")</f>
        <v/>
      </c>
      <c r="D331" s="26"/>
      <c r="E331" s="26"/>
      <c r="F331" s="26"/>
      <c r="G331" s="26"/>
      <c r="H331" s="26"/>
      <c r="I331" s="26"/>
      <c r="J331" s="26"/>
    </row>
    <row r="332" spans="1:10" ht="15" customHeight="1" x14ac:dyDescent="0.25">
      <c r="A332" s="26"/>
      <c r="B332" s="26"/>
      <c r="C332" s="26" t="str">
        <f>IFERROR(IF(OR(A332="",B332=""),"",INDEX(Equipements!$H:$H,MATCH(A332,Equipements!$A:$A,0))&amp;"."&amp;B332),"")</f>
        <v/>
      </c>
      <c r="D332" s="26"/>
      <c r="E332" s="26"/>
      <c r="F332" s="26"/>
      <c r="G332" s="26"/>
      <c r="H332" s="26"/>
      <c r="I332" s="26"/>
      <c r="J332" s="26"/>
    </row>
    <row r="333" spans="1:10" ht="15" customHeight="1" x14ac:dyDescent="0.25">
      <c r="A333" s="26"/>
      <c r="B333" s="26"/>
      <c r="C333" s="26" t="str">
        <f>IFERROR(IF(OR(A333="",B333=""),"",INDEX(Equipements!$H:$H,MATCH(A333,Equipements!$A:$A,0))&amp;"."&amp;B333),"")</f>
        <v/>
      </c>
      <c r="D333" s="26"/>
      <c r="E333" s="26"/>
      <c r="F333" s="26"/>
      <c r="G333" s="26"/>
      <c r="H333" s="26"/>
      <c r="I333" s="26"/>
      <c r="J333" s="26"/>
    </row>
    <row r="334" spans="1:10" ht="15" customHeight="1" x14ac:dyDescent="0.25">
      <c r="A334" s="26"/>
      <c r="B334" s="26"/>
      <c r="C334" s="26" t="str">
        <f>IFERROR(IF(OR(A334="",B334=""),"",INDEX(Equipements!$H:$H,MATCH(A334,Equipements!$A:$A,0))&amp;"."&amp;B334),"")</f>
        <v/>
      </c>
      <c r="D334" s="26"/>
      <c r="E334" s="26"/>
      <c r="F334" s="26"/>
      <c r="G334" s="26"/>
      <c r="H334" s="26"/>
      <c r="I334" s="26"/>
      <c r="J334" s="26"/>
    </row>
    <row r="335" spans="1:10" ht="15" customHeight="1" x14ac:dyDescent="0.25">
      <c r="A335" s="26"/>
      <c r="B335" s="26"/>
      <c r="C335" s="26" t="str">
        <f>IFERROR(IF(OR(A335="",B335=""),"",INDEX(Equipements!$H:$H,MATCH(A335,Equipements!$A:$A,0))&amp;"."&amp;B335),"")</f>
        <v/>
      </c>
      <c r="D335" s="26"/>
      <c r="E335" s="26"/>
      <c r="F335" s="26"/>
      <c r="G335" s="26"/>
      <c r="H335" s="26"/>
      <c r="I335" s="26"/>
      <c r="J335" s="26"/>
    </row>
    <row r="336" spans="1:10" ht="15" customHeight="1" x14ac:dyDescent="0.25">
      <c r="A336" s="26"/>
      <c r="B336" s="26"/>
      <c r="C336" s="26" t="str">
        <f>IFERROR(IF(OR(A336="",B336=""),"",INDEX(Equipements!$H:$H,MATCH(A336,Equipements!$A:$A,0))&amp;"."&amp;B336),"")</f>
        <v/>
      </c>
      <c r="D336" s="26"/>
      <c r="E336" s="26"/>
      <c r="F336" s="26"/>
      <c r="G336" s="26"/>
      <c r="H336" s="26"/>
      <c r="I336" s="26"/>
      <c r="J336" s="26"/>
    </row>
    <row r="337" spans="1:10" ht="15" customHeight="1" x14ac:dyDescent="0.25">
      <c r="A337" s="26"/>
      <c r="B337" s="26"/>
      <c r="C337" s="26" t="str">
        <f>IFERROR(IF(OR(A337="",B337=""),"",INDEX(Equipements!$H:$H,MATCH(A337,Equipements!$A:$A,0))&amp;"."&amp;B337),"")</f>
        <v/>
      </c>
      <c r="D337" s="26"/>
      <c r="E337" s="26"/>
      <c r="F337" s="26"/>
      <c r="G337" s="26"/>
      <c r="H337" s="26"/>
      <c r="I337" s="26"/>
      <c r="J337" s="26"/>
    </row>
    <row r="338" spans="1:10" ht="15" customHeight="1" x14ac:dyDescent="0.25">
      <c r="A338" s="26"/>
      <c r="B338" s="26"/>
      <c r="C338" s="26" t="str">
        <f>IFERROR(IF(OR(A338="",B338=""),"",INDEX(Equipements!$H:$H,MATCH(A338,Equipements!$A:$A,0))&amp;"."&amp;B338),"")</f>
        <v/>
      </c>
      <c r="D338" s="26"/>
      <c r="E338" s="26"/>
      <c r="F338" s="26"/>
      <c r="G338" s="26"/>
      <c r="H338" s="26"/>
      <c r="I338" s="26"/>
      <c r="J338" s="26"/>
    </row>
    <row r="339" spans="1:10" ht="15" customHeight="1" x14ac:dyDescent="0.25">
      <c r="A339" s="26"/>
      <c r="B339" s="26"/>
      <c r="C339" s="26" t="str">
        <f>IFERROR(IF(OR(A339="",B339=""),"",INDEX(Equipements!$H:$H,MATCH(A339,Equipements!$A:$A,0))&amp;"."&amp;B339),"")</f>
        <v/>
      </c>
      <c r="D339" s="26"/>
      <c r="E339" s="26"/>
      <c r="F339" s="26"/>
      <c r="G339" s="26"/>
      <c r="H339" s="26"/>
      <c r="I339" s="26"/>
      <c r="J339" s="26"/>
    </row>
    <row r="340" spans="1:10" ht="15" customHeight="1" x14ac:dyDescent="0.25">
      <c r="A340" s="26"/>
      <c r="B340" s="26"/>
      <c r="C340" s="26" t="str">
        <f>IFERROR(IF(OR(A340="",B340=""),"",INDEX(Equipements!$H:$H,MATCH(A340,Equipements!$A:$A,0))&amp;"."&amp;B340),"")</f>
        <v/>
      </c>
      <c r="D340" s="26"/>
      <c r="E340" s="26"/>
      <c r="F340" s="26"/>
      <c r="G340" s="26"/>
      <c r="H340" s="26"/>
      <c r="I340" s="26"/>
      <c r="J340" s="26"/>
    </row>
    <row r="341" spans="1:10" ht="15" customHeight="1" x14ac:dyDescent="0.25">
      <c r="A341" s="26"/>
      <c r="B341" s="26"/>
      <c r="C341" s="26" t="str">
        <f>IFERROR(IF(OR(A341="",B341=""),"",INDEX(Equipements!$H:$H,MATCH(A341,Equipements!$A:$A,0))&amp;"."&amp;B341),"")</f>
        <v/>
      </c>
      <c r="D341" s="26"/>
      <c r="E341" s="26"/>
      <c r="F341" s="26"/>
      <c r="G341" s="26"/>
      <c r="H341" s="26"/>
      <c r="I341" s="26"/>
      <c r="J341" s="26"/>
    </row>
    <row r="342" spans="1:10" ht="15" customHeight="1" x14ac:dyDescent="0.25">
      <c r="A342" s="26"/>
      <c r="B342" s="26"/>
      <c r="C342" s="26" t="str">
        <f>IFERROR(IF(OR(A342="",B342=""),"",INDEX(Equipements!$H:$H,MATCH(A342,Equipements!$A:$A,0))&amp;"."&amp;B342),"")</f>
        <v/>
      </c>
      <c r="D342" s="26"/>
      <c r="E342" s="26"/>
      <c r="F342" s="26"/>
      <c r="G342" s="26"/>
      <c r="H342" s="26"/>
      <c r="I342" s="26"/>
      <c r="J342" s="26"/>
    </row>
    <row r="343" spans="1:10" ht="15" customHeight="1" x14ac:dyDescent="0.25">
      <c r="A343" s="26"/>
      <c r="B343" s="26"/>
      <c r="C343" s="26" t="str">
        <f>IFERROR(IF(OR(A343="",B343=""),"",INDEX(Equipements!$H:$H,MATCH(A343,Equipements!$A:$A,0))&amp;"."&amp;B343),"")</f>
        <v/>
      </c>
      <c r="D343" s="26"/>
      <c r="E343" s="26"/>
      <c r="F343" s="26"/>
      <c r="G343" s="26"/>
      <c r="H343" s="26"/>
      <c r="I343" s="26"/>
      <c r="J343" s="26"/>
    </row>
    <row r="344" spans="1:10" ht="15" customHeight="1" x14ac:dyDescent="0.25">
      <c r="A344" s="26"/>
      <c r="B344" s="26"/>
      <c r="C344" s="26" t="str">
        <f>IFERROR(IF(OR(A344="",B344=""),"",INDEX(Equipements!$H:$H,MATCH(A344,Equipements!$A:$A,0))&amp;"."&amp;B344),"")</f>
        <v/>
      </c>
      <c r="D344" s="26"/>
      <c r="E344" s="26"/>
      <c r="F344" s="26"/>
      <c r="G344" s="26"/>
      <c r="H344" s="26"/>
      <c r="I344" s="26"/>
      <c r="J344" s="26"/>
    </row>
    <row r="345" spans="1:10" ht="15" customHeight="1" x14ac:dyDescent="0.25">
      <c r="A345" s="26"/>
      <c r="B345" s="26"/>
      <c r="C345" s="26" t="str">
        <f>IFERROR(IF(OR(A345="",B345=""),"",INDEX(Equipements!$H:$H,MATCH(A345,Equipements!$A:$A,0))&amp;"."&amp;B345),"")</f>
        <v/>
      </c>
      <c r="D345" s="26"/>
      <c r="E345" s="26"/>
      <c r="F345" s="26"/>
      <c r="G345" s="26"/>
      <c r="H345" s="26"/>
      <c r="I345" s="26"/>
      <c r="J345" s="26"/>
    </row>
    <row r="346" spans="1:10" ht="15" customHeight="1" x14ac:dyDescent="0.25">
      <c r="A346" s="26"/>
      <c r="B346" s="26"/>
      <c r="C346" s="26" t="str">
        <f>IFERROR(IF(OR(A346="",B346=""),"",INDEX(Equipements!$H:$H,MATCH(A346,Equipements!$A:$A,0))&amp;"."&amp;B346),"")</f>
        <v/>
      </c>
      <c r="D346" s="26"/>
      <c r="E346" s="26"/>
      <c r="F346" s="26"/>
      <c r="G346" s="26"/>
      <c r="H346" s="26"/>
      <c r="I346" s="26"/>
      <c r="J346" s="26"/>
    </row>
    <row r="347" spans="1:10" ht="15" customHeight="1" x14ac:dyDescent="0.25">
      <c r="A347" s="26"/>
      <c r="B347" s="26"/>
      <c r="C347" s="26" t="str">
        <f>IFERROR(IF(OR(A347="",B347=""),"",INDEX(Equipements!$H:$H,MATCH(A347,Equipements!$A:$A,0))&amp;"."&amp;B347),"")</f>
        <v/>
      </c>
      <c r="D347" s="26"/>
      <c r="E347" s="26"/>
      <c r="F347" s="26"/>
      <c r="G347" s="26"/>
      <c r="H347" s="26"/>
      <c r="I347" s="26"/>
      <c r="J347" s="26"/>
    </row>
    <row r="348" spans="1:10" ht="15" customHeight="1" x14ac:dyDescent="0.25">
      <c r="A348" s="26"/>
      <c r="B348" s="26"/>
      <c r="C348" s="26" t="str">
        <f>IFERROR(IF(OR(A348="",B348=""),"",INDEX(Equipements!$H:$H,MATCH(A348,Equipements!$A:$A,0))&amp;"."&amp;B348),"")</f>
        <v/>
      </c>
      <c r="D348" s="26"/>
      <c r="E348" s="26"/>
      <c r="F348" s="26"/>
      <c r="G348" s="26"/>
      <c r="H348" s="26"/>
      <c r="I348" s="26"/>
      <c r="J348" s="26"/>
    </row>
    <row r="349" spans="1:10" ht="15" customHeight="1" x14ac:dyDescent="0.25">
      <c r="A349" s="26"/>
      <c r="B349" s="26"/>
      <c r="C349" s="26" t="str">
        <f>IFERROR(IF(OR(A349="",B349=""),"",INDEX(Equipements!$H:$H,MATCH(A349,Equipements!$A:$A,0))&amp;"."&amp;B349),"")</f>
        <v/>
      </c>
      <c r="D349" s="26"/>
      <c r="E349" s="26"/>
      <c r="F349" s="26"/>
      <c r="G349" s="26"/>
      <c r="H349" s="26"/>
      <c r="I349" s="26"/>
      <c r="J349" s="26"/>
    </row>
    <row r="350" spans="1:10" ht="15" customHeight="1" x14ac:dyDescent="0.25">
      <c r="A350" s="26"/>
      <c r="B350" s="26"/>
      <c r="C350" s="26" t="str">
        <f>IFERROR(IF(OR(A350="",B350=""),"",INDEX(Equipements!$H:$H,MATCH(A350,Equipements!$A:$A,0))&amp;"."&amp;B350),"")</f>
        <v/>
      </c>
      <c r="D350" s="26"/>
      <c r="E350" s="26"/>
      <c r="F350" s="26"/>
      <c r="G350" s="26"/>
      <c r="H350" s="26"/>
      <c r="I350" s="26"/>
      <c r="J350" s="26"/>
    </row>
    <row r="351" spans="1:10" ht="15" customHeight="1" x14ac:dyDescent="0.25">
      <c r="A351" s="26"/>
      <c r="B351" s="26"/>
      <c r="C351" s="26" t="str">
        <f>IFERROR(IF(OR(A351="",B351=""),"",INDEX(Equipements!$H:$H,MATCH(A351,Equipements!$A:$A,0))&amp;"."&amp;B351),"")</f>
        <v/>
      </c>
      <c r="D351" s="26"/>
      <c r="E351" s="26"/>
      <c r="F351" s="26"/>
      <c r="G351" s="26"/>
      <c r="H351" s="26"/>
      <c r="I351" s="26"/>
      <c r="J351" s="26"/>
    </row>
    <row r="352" spans="1:10" ht="15" customHeight="1" x14ac:dyDescent="0.25">
      <c r="A352" s="26"/>
      <c r="B352" s="26"/>
      <c r="C352" s="26" t="str">
        <f>IFERROR(IF(OR(A352="",B352=""),"",INDEX(Equipements!$H:$H,MATCH(A352,Equipements!$A:$A,0))&amp;"."&amp;B352),"")</f>
        <v/>
      </c>
      <c r="D352" s="26"/>
      <c r="E352" s="26"/>
      <c r="F352" s="26"/>
      <c r="G352" s="26"/>
      <c r="H352" s="26"/>
      <c r="I352" s="26"/>
      <c r="J352" s="26"/>
    </row>
    <row r="353" spans="1:10" ht="15" customHeight="1" x14ac:dyDescent="0.25">
      <c r="A353" s="26"/>
      <c r="B353" s="26"/>
      <c r="C353" s="26" t="str">
        <f>IFERROR(IF(OR(A353="",B353=""),"",INDEX(Equipements!$H:$H,MATCH(A353,Equipements!$A:$A,0))&amp;"."&amp;B353),"")</f>
        <v/>
      </c>
      <c r="D353" s="26"/>
      <c r="E353" s="26"/>
      <c r="F353" s="26"/>
      <c r="G353" s="26"/>
      <c r="H353" s="26"/>
      <c r="I353" s="26"/>
      <c r="J353" s="26"/>
    </row>
    <row r="354" spans="1:10" ht="15" customHeight="1" x14ac:dyDescent="0.25">
      <c r="A354" s="26"/>
      <c r="B354" s="26"/>
      <c r="C354" s="26" t="str">
        <f>IFERROR(IF(OR(A354="",B354=""),"",INDEX(Equipements!$H:$H,MATCH(A354,Equipements!$A:$A,0))&amp;"."&amp;B354),"")</f>
        <v/>
      </c>
      <c r="D354" s="26"/>
      <c r="E354" s="26"/>
      <c r="F354" s="26"/>
      <c r="G354" s="26"/>
      <c r="H354" s="26"/>
      <c r="I354" s="26"/>
      <c r="J354" s="26"/>
    </row>
    <row r="355" spans="1:10" ht="15" customHeight="1" x14ac:dyDescent="0.25">
      <c r="A355" s="26"/>
      <c r="B355" s="26"/>
      <c r="C355" s="26" t="str">
        <f>IFERROR(IF(OR(A355="",B355=""),"",INDEX(Equipements!$H:$H,MATCH(A355,Equipements!$A:$A,0))&amp;"."&amp;B355),"")</f>
        <v/>
      </c>
      <c r="D355" s="26"/>
      <c r="E355" s="26"/>
      <c r="F355" s="26"/>
      <c r="G355" s="26"/>
      <c r="H355" s="26"/>
      <c r="I355" s="26"/>
      <c r="J355" s="26"/>
    </row>
    <row r="356" spans="1:10" ht="15" customHeight="1" x14ac:dyDescent="0.25">
      <c r="A356" s="26"/>
      <c r="B356" s="26"/>
      <c r="C356" s="26" t="str">
        <f>IFERROR(IF(OR(A356="",B356=""),"",INDEX(Equipements!$H:$H,MATCH(A356,Equipements!$A:$A,0))&amp;"."&amp;B356),"")</f>
        <v/>
      </c>
      <c r="D356" s="26"/>
      <c r="E356" s="26"/>
      <c r="F356" s="26"/>
      <c r="G356" s="26"/>
      <c r="H356" s="26"/>
      <c r="I356" s="26"/>
      <c r="J356" s="26"/>
    </row>
    <row r="357" spans="1:10" ht="15" customHeight="1" x14ac:dyDescent="0.25">
      <c r="A357" s="26"/>
      <c r="B357" s="26"/>
      <c r="C357" s="26" t="str">
        <f>IFERROR(IF(OR(A357="",B357=""),"",INDEX(Equipements!$H:$H,MATCH(A357,Equipements!$A:$A,0))&amp;"."&amp;B357),"")</f>
        <v/>
      </c>
      <c r="D357" s="26"/>
      <c r="E357" s="26"/>
      <c r="F357" s="26"/>
      <c r="G357" s="26"/>
      <c r="H357" s="26"/>
      <c r="I357" s="26"/>
      <c r="J357" s="26"/>
    </row>
    <row r="358" spans="1:10" ht="15" customHeight="1" x14ac:dyDescent="0.25">
      <c r="A358" s="26"/>
      <c r="B358" s="26"/>
      <c r="C358" s="26" t="str">
        <f>IFERROR(IF(OR(A358="",B358=""),"",INDEX(Equipements!$H:$H,MATCH(A358,Equipements!$A:$A,0))&amp;"."&amp;B358),"")</f>
        <v/>
      </c>
      <c r="D358" s="26"/>
      <c r="E358" s="26"/>
      <c r="F358" s="26"/>
      <c r="G358" s="26"/>
      <c r="H358" s="26"/>
      <c r="I358" s="26"/>
      <c r="J358" s="26"/>
    </row>
    <row r="359" spans="1:10" ht="15" customHeight="1" x14ac:dyDescent="0.25">
      <c r="A359" s="26"/>
      <c r="B359" s="26"/>
      <c r="C359" s="26" t="str">
        <f>IFERROR(IF(OR(A359="",B359=""),"",INDEX(Equipements!$H:$H,MATCH(A359,Equipements!$A:$A,0))&amp;"."&amp;B359),"")</f>
        <v/>
      </c>
      <c r="D359" s="26"/>
      <c r="E359" s="26"/>
      <c r="F359" s="26"/>
      <c r="G359" s="26"/>
      <c r="H359" s="26"/>
      <c r="I359" s="26"/>
      <c r="J359" s="26"/>
    </row>
    <row r="360" spans="1:10" ht="15" customHeight="1" x14ac:dyDescent="0.25">
      <c r="A360" s="26"/>
      <c r="B360" s="26"/>
      <c r="C360" s="26" t="str">
        <f>IFERROR(IF(OR(A360="",B360=""),"",INDEX(Equipements!$H:$H,MATCH(A360,Equipements!$A:$A,0))&amp;"."&amp;B360),"")</f>
        <v/>
      </c>
      <c r="D360" s="26"/>
      <c r="E360" s="26"/>
      <c r="F360" s="26"/>
      <c r="G360" s="26"/>
      <c r="H360" s="26"/>
      <c r="I360" s="26"/>
      <c r="J360" s="26"/>
    </row>
    <row r="361" spans="1:10" ht="15" customHeight="1" x14ac:dyDescent="0.25">
      <c r="A361" s="26"/>
      <c r="B361" s="26"/>
      <c r="C361" s="26" t="str">
        <f>IFERROR(IF(OR(A361="",B361=""),"",INDEX(Equipements!$H:$H,MATCH(A361,Equipements!$A:$A,0))&amp;"."&amp;B361),"")</f>
        <v/>
      </c>
      <c r="D361" s="26"/>
      <c r="E361" s="26"/>
      <c r="F361" s="26"/>
      <c r="G361" s="26"/>
      <c r="H361" s="26"/>
      <c r="I361" s="26"/>
      <c r="J361" s="26"/>
    </row>
    <row r="362" spans="1:10" ht="15" customHeight="1" x14ac:dyDescent="0.25">
      <c r="A362" s="26"/>
      <c r="B362" s="26"/>
      <c r="C362" s="26" t="str">
        <f>IFERROR(IF(OR(A362="",B362=""),"",INDEX(Equipements!$H:$H,MATCH(A362,Equipements!$A:$A,0))&amp;"."&amp;B362),"")</f>
        <v/>
      </c>
      <c r="D362" s="26"/>
      <c r="E362" s="26"/>
      <c r="F362" s="26"/>
      <c r="G362" s="26"/>
      <c r="H362" s="26"/>
      <c r="I362" s="26"/>
      <c r="J362" s="26"/>
    </row>
    <row r="363" spans="1:10" ht="15" customHeight="1" x14ac:dyDescent="0.25">
      <c r="A363" s="26"/>
      <c r="B363" s="26"/>
      <c r="C363" s="26" t="str">
        <f>IFERROR(IF(OR(A363="",B363=""),"",INDEX(Equipements!$H:$H,MATCH(A363,Equipements!$A:$A,0))&amp;"."&amp;B363),"")</f>
        <v/>
      </c>
      <c r="D363" s="26"/>
      <c r="E363" s="26"/>
      <c r="F363" s="26"/>
      <c r="G363" s="26"/>
      <c r="H363" s="26"/>
      <c r="I363" s="26"/>
      <c r="J363" s="26"/>
    </row>
    <row r="364" spans="1:10" ht="15" customHeight="1" x14ac:dyDescent="0.25">
      <c r="A364" s="26"/>
      <c r="B364" s="26"/>
      <c r="C364" s="26" t="str">
        <f>IFERROR(IF(OR(A364="",B364=""),"",INDEX(Equipements!$H:$H,MATCH(A364,Equipements!$A:$A,0))&amp;"."&amp;B364),"")</f>
        <v/>
      </c>
      <c r="D364" s="26"/>
      <c r="E364" s="26"/>
      <c r="F364" s="26"/>
      <c r="G364" s="26"/>
      <c r="H364" s="26"/>
      <c r="I364" s="26"/>
      <c r="J364" s="26"/>
    </row>
    <row r="365" spans="1:10" ht="15" customHeight="1" x14ac:dyDescent="0.25">
      <c r="A365" s="26"/>
      <c r="B365" s="26"/>
      <c r="C365" s="26" t="str">
        <f>IFERROR(IF(OR(A365="",B365=""),"",INDEX(Equipements!$H:$H,MATCH(A365,Equipements!$A:$A,0))&amp;"."&amp;B365),"")</f>
        <v/>
      </c>
      <c r="D365" s="26"/>
      <c r="E365" s="26"/>
      <c r="F365" s="26"/>
      <c r="G365" s="26"/>
      <c r="H365" s="26"/>
      <c r="I365" s="26"/>
      <c r="J365" s="26"/>
    </row>
    <row r="366" spans="1:10" ht="15" customHeight="1" x14ac:dyDescent="0.25">
      <c r="A366" s="26"/>
      <c r="B366" s="26"/>
      <c r="C366" s="26" t="str">
        <f>IFERROR(IF(OR(A366="",B366=""),"",INDEX(Equipements!$H:$H,MATCH(A366,Equipements!$A:$A,0))&amp;"."&amp;B366),"")</f>
        <v/>
      </c>
      <c r="D366" s="26"/>
      <c r="E366" s="26"/>
      <c r="F366" s="26"/>
      <c r="G366" s="26"/>
      <c r="H366" s="26"/>
      <c r="I366" s="26"/>
      <c r="J366" s="26"/>
    </row>
    <row r="367" spans="1:10" ht="15" customHeight="1" x14ac:dyDescent="0.25">
      <c r="A367" s="26"/>
      <c r="B367" s="26"/>
      <c r="C367" s="26" t="str">
        <f>IFERROR(IF(OR(A367="",B367=""),"",INDEX(Equipements!$H:$H,MATCH(A367,Equipements!$A:$A,0))&amp;"."&amp;B367),"")</f>
        <v/>
      </c>
      <c r="D367" s="26"/>
      <c r="E367" s="26"/>
      <c r="F367" s="26"/>
      <c r="G367" s="26"/>
      <c r="H367" s="26"/>
      <c r="I367" s="26"/>
      <c r="J367" s="26"/>
    </row>
    <row r="368" spans="1:10" ht="15" customHeight="1" x14ac:dyDescent="0.25">
      <c r="A368" s="26"/>
      <c r="B368" s="26"/>
      <c r="C368" s="26" t="str">
        <f>IFERROR(IF(OR(A368="",B368=""),"",INDEX(Equipements!$H:$H,MATCH(A368,Equipements!$A:$A,0))&amp;"."&amp;B368),"")</f>
        <v/>
      </c>
      <c r="D368" s="26"/>
      <c r="E368" s="26"/>
      <c r="F368" s="26"/>
      <c r="G368" s="26"/>
      <c r="H368" s="26"/>
      <c r="I368" s="26"/>
      <c r="J368" s="26"/>
    </row>
    <row r="369" spans="1:10" ht="15" customHeight="1" x14ac:dyDescent="0.25">
      <c r="A369" s="26"/>
      <c r="B369" s="26"/>
      <c r="C369" s="26" t="str">
        <f>IFERROR(IF(OR(A369="",B369=""),"",INDEX(Equipements!$H:$H,MATCH(A369,Equipements!$A:$A,0))&amp;"."&amp;B369),"")</f>
        <v/>
      </c>
      <c r="D369" s="26"/>
      <c r="E369" s="26"/>
      <c r="F369" s="26"/>
      <c r="G369" s="26"/>
      <c r="H369" s="26"/>
      <c r="I369" s="26"/>
      <c r="J369" s="26"/>
    </row>
    <row r="370" spans="1:10" ht="15" customHeight="1" x14ac:dyDescent="0.25">
      <c r="A370" s="26"/>
      <c r="B370" s="26"/>
      <c r="C370" s="26" t="str">
        <f>IFERROR(IF(OR(A370="",B370=""),"",INDEX(Equipements!$H:$H,MATCH(A370,Equipements!$A:$A,0))&amp;"."&amp;B370),"")</f>
        <v/>
      </c>
      <c r="D370" s="26"/>
      <c r="E370" s="26"/>
      <c r="F370" s="26"/>
      <c r="G370" s="26"/>
      <c r="H370" s="26"/>
      <c r="I370" s="26"/>
      <c r="J370" s="26"/>
    </row>
    <row r="371" spans="1:10" ht="15" customHeight="1" x14ac:dyDescent="0.25">
      <c r="A371" s="26"/>
      <c r="B371" s="26"/>
      <c r="C371" s="26" t="str">
        <f>IFERROR(IF(OR(A371="",B371=""),"",INDEX(Equipements!$H:$H,MATCH(A371,Equipements!$A:$A,0))&amp;"."&amp;B371),"")</f>
        <v/>
      </c>
      <c r="D371" s="26"/>
      <c r="E371" s="26"/>
      <c r="F371" s="26"/>
      <c r="G371" s="26"/>
      <c r="H371" s="26"/>
      <c r="I371" s="26"/>
      <c r="J371" s="26"/>
    </row>
    <row r="372" spans="1:10" ht="15" customHeight="1" x14ac:dyDescent="0.25">
      <c r="A372" s="26"/>
      <c r="B372" s="26"/>
      <c r="C372" s="26" t="str">
        <f>IFERROR(IF(OR(A372="",B372=""),"",INDEX(Equipements!$H:$H,MATCH(A372,Equipements!$A:$A,0))&amp;"."&amp;B372),"")</f>
        <v/>
      </c>
      <c r="D372" s="26"/>
      <c r="E372" s="26"/>
      <c r="F372" s="26"/>
      <c r="G372" s="26"/>
      <c r="H372" s="26"/>
      <c r="I372" s="26"/>
      <c r="J372" s="26"/>
    </row>
    <row r="373" spans="1:10" ht="15" customHeight="1" x14ac:dyDescent="0.25">
      <c r="A373" s="26"/>
      <c r="B373" s="26"/>
      <c r="C373" s="26" t="str">
        <f>IFERROR(IF(OR(A373="",B373=""),"",INDEX(Equipements!$H:$H,MATCH(A373,Equipements!$A:$A,0))&amp;"."&amp;B373),"")</f>
        <v/>
      </c>
      <c r="D373" s="26"/>
      <c r="E373" s="26"/>
      <c r="F373" s="26"/>
      <c r="G373" s="26"/>
      <c r="H373" s="26"/>
      <c r="I373" s="26"/>
      <c r="J373" s="26"/>
    </row>
    <row r="374" spans="1:10" ht="15" customHeight="1" x14ac:dyDescent="0.25">
      <c r="A374" s="26"/>
      <c r="B374" s="26"/>
      <c r="C374" s="26" t="str">
        <f>IFERROR(IF(OR(A374="",B374=""),"",INDEX(Equipements!$H:$H,MATCH(A374,Equipements!$A:$A,0))&amp;"."&amp;B374),"")</f>
        <v/>
      </c>
      <c r="D374" s="26"/>
      <c r="E374" s="26"/>
      <c r="F374" s="26"/>
      <c r="G374" s="26"/>
      <c r="H374" s="26"/>
      <c r="I374" s="26"/>
      <c r="J374" s="26"/>
    </row>
    <row r="375" spans="1:10" ht="15" customHeight="1" x14ac:dyDescent="0.25">
      <c r="A375" s="26"/>
      <c r="B375" s="26"/>
      <c r="C375" s="26" t="str">
        <f>IFERROR(IF(OR(A375="",B375=""),"",INDEX(Equipements!$H:$H,MATCH(A375,Equipements!$A:$A,0))&amp;"."&amp;B375),"")</f>
        <v/>
      </c>
      <c r="D375" s="26"/>
      <c r="E375" s="26"/>
      <c r="F375" s="26"/>
      <c r="G375" s="26"/>
      <c r="H375" s="26"/>
      <c r="I375" s="26"/>
      <c r="J375" s="26"/>
    </row>
    <row r="376" spans="1:10" ht="15" customHeight="1" x14ac:dyDescent="0.25">
      <c r="A376" s="26"/>
      <c r="B376" s="26"/>
      <c r="C376" s="26" t="str">
        <f>IFERROR(IF(OR(A376="",B376=""),"",INDEX(Equipements!$H:$H,MATCH(A376,Equipements!$A:$A,0))&amp;"."&amp;B376),"")</f>
        <v/>
      </c>
      <c r="D376" s="26"/>
      <c r="E376" s="26"/>
      <c r="F376" s="26"/>
      <c r="G376" s="26"/>
      <c r="H376" s="26"/>
      <c r="I376" s="26"/>
      <c r="J376" s="26"/>
    </row>
    <row r="377" spans="1:10" ht="15" customHeight="1" x14ac:dyDescent="0.25">
      <c r="A377" s="26"/>
      <c r="B377" s="26"/>
      <c r="C377" s="26" t="str">
        <f>IFERROR(IF(OR(A377="",B377=""),"",INDEX(Equipements!$H:$H,MATCH(A377,Equipements!$A:$A,0))&amp;"."&amp;B377),"")</f>
        <v/>
      </c>
      <c r="D377" s="26"/>
      <c r="E377" s="26"/>
      <c r="F377" s="26"/>
      <c r="G377" s="26"/>
      <c r="H377" s="26"/>
      <c r="I377" s="26"/>
      <c r="J377" s="26"/>
    </row>
    <row r="378" spans="1:10" ht="15" customHeight="1" x14ac:dyDescent="0.25">
      <c r="A378" s="26"/>
      <c r="B378" s="26"/>
      <c r="C378" s="26" t="str">
        <f>IFERROR(IF(OR(A378="",B378=""),"",INDEX(Equipements!$H:$H,MATCH(A378,Equipements!$A:$A,0))&amp;"."&amp;B378),"")</f>
        <v/>
      </c>
      <c r="D378" s="26"/>
      <c r="E378" s="26"/>
      <c r="F378" s="26"/>
      <c r="G378" s="26"/>
      <c r="H378" s="26"/>
      <c r="I378" s="26"/>
      <c r="J378" s="26"/>
    </row>
    <row r="379" spans="1:10" ht="15" customHeight="1" x14ac:dyDescent="0.25">
      <c r="A379" s="26"/>
      <c r="B379" s="26"/>
      <c r="C379" s="26" t="str">
        <f>IFERROR(IF(OR(A379="",B379=""),"",INDEX(Equipements!$H:$H,MATCH(A379,Equipements!$A:$A,0))&amp;"."&amp;B379),"")</f>
        <v/>
      </c>
      <c r="D379" s="26"/>
      <c r="E379" s="26"/>
      <c r="F379" s="26"/>
      <c r="G379" s="26"/>
      <c r="H379" s="26"/>
      <c r="I379" s="26"/>
      <c r="J379" s="26"/>
    </row>
    <row r="380" spans="1:10" ht="15" customHeight="1" x14ac:dyDescent="0.25">
      <c r="A380" s="26"/>
      <c r="B380" s="26"/>
      <c r="C380" s="26" t="str">
        <f>IFERROR(IF(OR(A380="",B380=""),"",INDEX(Equipements!$H:$H,MATCH(A380,Equipements!$A:$A,0))&amp;"."&amp;B380),"")</f>
        <v/>
      </c>
      <c r="D380" s="26"/>
      <c r="E380" s="26"/>
      <c r="F380" s="26"/>
      <c r="G380" s="26"/>
      <c r="H380" s="26"/>
      <c r="I380" s="26"/>
      <c r="J380" s="26"/>
    </row>
    <row r="381" spans="1:10" ht="15" customHeight="1" x14ac:dyDescent="0.25">
      <c r="A381" s="26"/>
      <c r="B381" s="26"/>
      <c r="C381" s="26" t="str">
        <f>IFERROR(IF(OR(A381="",B381=""),"",INDEX(Equipements!$H:$H,MATCH(A381,Equipements!$A:$A,0))&amp;"."&amp;B381),"")</f>
        <v/>
      </c>
      <c r="D381" s="26"/>
      <c r="E381" s="26"/>
      <c r="F381" s="26"/>
      <c r="G381" s="26"/>
      <c r="H381" s="26"/>
      <c r="I381" s="26"/>
      <c r="J381" s="26"/>
    </row>
    <row r="382" spans="1:10" ht="15" customHeight="1" x14ac:dyDescent="0.25">
      <c r="A382" s="26"/>
      <c r="B382" s="26"/>
      <c r="C382" s="26" t="str">
        <f>IFERROR(IF(OR(A382="",B382=""),"",INDEX(Equipements!$H:$H,MATCH(A382,Equipements!$A:$A,0))&amp;"."&amp;B382),"")</f>
        <v/>
      </c>
      <c r="D382" s="26"/>
      <c r="E382" s="26"/>
      <c r="F382" s="26"/>
      <c r="G382" s="26"/>
      <c r="H382" s="26"/>
      <c r="I382" s="26"/>
      <c r="J382" s="26"/>
    </row>
    <row r="383" spans="1:10" ht="15" customHeight="1" x14ac:dyDescent="0.25">
      <c r="A383" s="26"/>
      <c r="B383" s="26"/>
      <c r="C383" s="26" t="str">
        <f>IFERROR(IF(OR(A383="",B383=""),"",INDEX(Equipements!$H:$H,MATCH(A383,Equipements!$A:$A,0))&amp;"."&amp;B383),"")</f>
        <v/>
      </c>
      <c r="D383" s="26"/>
      <c r="E383" s="26"/>
      <c r="F383" s="26"/>
      <c r="G383" s="26"/>
      <c r="H383" s="26"/>
      <c r="I383" s="26"/>
      <c r="J383" s="26"/>
    </row>
    <row r="384" spans="1:10" ht="15" customHeight="1" x14ac:dyDescent="0.25">
      <c r="A384" s="26"/>
      <c r="B384" s="26"/>
      <c r="C384" s="26" t="str">
        <f>IFERROR(IF(OR(A384="",B384=""),"",INDEX(Equipements!$H:$H,MATCH(A384,Equipements!$A:$A,0))&amp;"."&amp;B384),"")</f>
        <v/>
      </c>
      <c r="D384" s="26"/>
      <c r="E384" s="26"/>
      <c r="F384" s="26"/>
      <c r="G384" s="26"/>
      <c r="H384" s="26"/>
      <c r="I384" s="26"/>
      <c r="J384" s="26"/>
    </row>
    <row r="385" spans="1:10" ht="15" customHeight="1" x14ac:dyDescent="0.25">
      <c r="A385" s="26"/>
      <c r="B385" s="26"/>
      <c r="C385" s="26" t="str">
        <f>IFERROR(IF(OR(A385="",B385=""),"",INDEX(Equipements!$H:$H,MATCH(A385,Equipements!$A:$A,0))&amp;"."&amp;B385),"")</f>
        <v/>
      </c>
      <c r="D385" s="26"/>
      <c r="E385" s="26"/>
      <c r="F385" s="26"/>
      <c r="G385" s="26"/>
      <c r="H385" s="26"/>
      <c r="I385" s="26"/>
      <c r="J385" s="26"/>
    </row>
    <row r="386" spans="1:10" ht="15" customHeight="1" x14ac:dyDescent="0.25">
      <c r="A386" s="26"/>
      <c r="B386" s="26"/>
      <c r="C386" s="26" t="str">
        <f>IFERROR(IF(OR(A386="",B386=""),"",INDEX(Equipements!$H:$H,MATCH(A386,Equipements!$A:$A,0))&amp;"."&amp;B386),"")</f>
        <v/>
      </c>
      <c r="D386" s="26"/>
      <c r="E386" s="26"/>
      <c r="F386" s="26"/>
      <c r="G386" s="26"/>
      <c r="H386" s="26"/>
      <c r="I386" s="26"/>
      <c r="J386" s="26"/>
    </row>
    <row r="387" spans="1:10" ht="15" customHeight="1" x14ac:dyDescent="0.25">
      <c r="A387" s="26"/>
      <c r="B387" s="26"/>
      <c r="C387" s="26" t="str">
        <f>IFERROR(IF(OR(A387="",B387=""),"",INDEX(Equipements!$H:$H,MATCH(A387,Equipements!$A:$A,0))&amp;"."&amp;B387),"")</f>
        <v/>
      </c>
      <c r="D387" s="26"/>
      <c r="E387" s="26"/>
      <c r="F387" s="26"/>
      <c r="G387" s="26"/>
      <c r="H387" s="26"/>
      <c r="I387" s="26"/>
      <c r="J387" s="26"/>
    </row>
    <row r="388" spans="1:10" ht="15" customHeight="1" x14ac:dyDescent="0.25">
      <c r="A388" s="26"/>
      <c r="B388" s="26"/>
      <c r="C388" s="26" t="str">
        <f>IFERROR(IF(OR(A388="",B388=""),"",INDEX(Equipements!$H:$H,MATCH(A388,Equipements!$A:$A,0))&amp;"."&amp;B388),"")</f>
        <v/>
      </c>
      <c r="D388" s="26"/>
      <c r="E388" s="26"/>
      <c r="F388" s="26"/>
      <c r="G388" s="26"/>
      <c r="H388" s="26"/>
      <c r="I388" s="26"/>
      <c r="J388" s="26"/>
    </row>
    <row r="389" spans="1:10" ht="15" customHeight="1" x14ac:dyDescent="0.25">
      <c r="A389" s="26"/>
      <c r="B389" s="26"/>
      <c r="C389" s="26" t="str">
        <f>IFERROR(IF(OR(A389="",B389=""),"",INDEX(Equipements!$H:$H,MATCH(A389,Equipements!$A:$A,0))&amp;"."&amp;B389),"")</f>
        <v/>
      </c>
      <c r="D389" s="26"/>
      <c r="E389" s="26"/>
      <c r="F389" s="26"/>
      <c r="G389" s="26"/>
      <c r="H389" s="26"/>
      <c r="I389" s="26"/>
      <c r="J389" s="26"/>
    </row>
    <row r="390" spans="1:10" ht="15" customHeight="1" x14ac:dyDescent="0.25">
      <c r="A390" s="26"/>
      <c r="B390" s="26"/>
      <c r="C390" s="26" t="str">
        <f>IFERROR(IF(OR(A390="",B390=""),"",INDEX(Equipements!$H:$H,MATCH(A390,Equipements!$A:$A,0))&amp;"."&amp;B390),"")</f>
        <v/>
      </c>
      <c r="D390" s="26"/>
      <c r="E390" s="26"/>
      <c r="F390" s="26"/>
      <c r="G390" s="26"/>
      <c r="H390" s="26"/>
      <c r="I390" s="26"/>
      <c r="J390" s="26"/>
    </row>
    <row r="391" spans="1:10" ht="15" customHeight="1" x14ac:dyDescent="0.25">
      <c r="A391" s="26"/>
      <c r="B391" s="26"/>
      <c r="C391" s="26" t="str">
        <f>IFERROR(IF(OR(A391="",B391=""),"",INDEX(Equipements!$H:$H,MATCH(A391,Equipements!$A:$A,0))&amp;"."&amp;B391),"")</f>
        <v/>
      </c>
      <c r="D391" s="26"/>
      <c r="E391" s="26"/>
      <c r="F391" s="26"/>
      <c r="G391" s="26"/>
      <c r="H391" s="26"/>
      <c r="I391" s="26"/>
      <c r="J391" s="26"/>
    </row>
    <row r="392" spans="1:10" ht="15" customHeight="1" x14ac:dyDescent="0.25">
      <c r="A392" s="26"/>
      <c r="B392" s="26"/>
      <c r="C392" s="26" t="str">
        <f>IFERROR(IF(OR(A392="",B392=""),"",INDEX(Equipements!$H:$H,MATCH(A392,Equipements!$A:$A,0))&amp;"."&amp;B392),"")</f>
        <v/>
      </c>
      <c r="D392" s="26"/>
      <c r="E392" s="26"/>
      <c r="F392" s="26"/>
      <c r="G392" s="26"/>
      <c r="H392" s="26"/>
      <c r="I392" s="26"/>
      <c r="J392" s="26"/>
    </row>
    <row r="393" spans="1:10" ht="15" customHeight="1" x14ac:dyDescent="0.25">
      <c r="A393" s="26"/>
      <c r="B393" s="26"/>
      <c r="C393" s="26" t="str">
        <f>IFERROR(IF(OR(A393="",B393=""),"",INDEX(Equipements!$H:$H,MATCH(A393,Equipements!$A:$A,0))&amp;"."&amp;B393),"")</f>
        <v/>
      </c>
      <c r="D393" s="26"/>
      <c r="E393" s="26"/>
      <c r="F393" s="26"/>
      <c r="G393" s="26"/>
      <c r="H393" s="26"/>
      <c r="I393" s="26"/>
      <c r="J393" s="26"/>
    </row>
    <row r="394" spans="1:10" ht="15" customHeight="1" x14ac:dyDescent="0.25">
      <c r="A394" s="26"/>
      <c r="B394" s="26"/>
      <c r="C394" s="26" t="str">
        <f>IFERROR(IF(OR(A394="",B394=""),"",INDEX(Equipements!$H:$H,MATCH(A394,Equipements!$A:$A,0))&amp;"."&amp;B394),"")</f>
        <v/>
      </c>
      <c r="D394" s="26"/>
      <c r="E394" s="26"/>
      <c r="F394" s="26"/>
      <c r="G394" s="26"/>
      <c r="H394" s="26"/>
      <c r="I394" s="26"/>
      <c r="J394" s="26"/>
    </row>
    <row r="395" spans="1:10" ht="15" customHeight="1" x14ac:dyDescent="0.25">
      <c r="A395" s="26"/>
      <c r="B395" s="26"/>
      <c r="C395" s="26" t="str">
        <f>IFERROR(IF(OR(A395="",B395=""),"",INDEX(Equipements!$H:$H,MATCH(A395,Equipements!$A:$A,0))&amp;"."&amp;B395),"")</f>
        <v/>
      </c>
      <c r="D395" s="26"/>
      <c r="E395" s="26"/>
      <c r="F395" s="26"/>
      <c r="G395" s="26"/>
      <c r="H395" s="26"/>
      <c r="I395" s="26"/>
      <c r="J395" s="26"/>
    </row>
    <row r="396" spans="1:10" ht="15" customHeight="1" x14ac:dyDescent="0.25">
      <c r="A396" s="26"/>
      <c r="B396" s="26"/>
      <c r="C396" s="26" t="str">
        <f>IFERROR(IF(OR(A396="",B396=""),"",INDEX(Equipements!$H:$H,MATCH(A396,Equipements!$A:$A,0))&amp;"."&amp;B396),"")</f>
        <v/>
      </c>
      <c r="D396" s="26"/>
      <c r="E396" s="26"/>
      <c r="F396" s="26"/>
      <c r="G396" s="26"/>
      <c r="H396" s="26"/>
      <c r="I396" s="26"/>
      <c r="J396" s="26"/>
    </row>
    <row r="397" spans="1:10" ht="15" customHeight="1" x14ac:dyDescent="0.25">
      <c r="A397" s="26"/>
      <c r="B397" s="26"/>
      <c r="C397" s="26" t="str">
        <f>IFERROR(IF(OR(A397="",B397=""),"",INDEX(Equipements!$H:$H,MATCH(A397,Equipements!$A:$A,0))&amp;"."&amp;B397),"")</f>
        <v/>
      </c>
      <c r="D397" s="26"/>
      <c r="E397" s="26"/>
      <c r="F397" s="26"/>
      <c r="G397" s="26"/>
      <c r="H397" s="26"/>
      <c r="I397" s="26"/>
      <c r="J397" s="26"/>
    </row>
    <row r="398" spans="1:10" ht="15" customHeight="1" x14ac:dyDescent="0.25">
      <c r="A398" s="26"/>
      <c r="B398" s="26"/>
      <c r="C398" s="26" t="str">
        <f>IFERROR(IF(OR(A398="",B398=""),"",INDEX(Equipements!$H:$H,MATCH(A398,Equipements!$A:$A,0))&amp;"."&amp;B398),"")</f>
        <v/>
      </c>
      <c r="D398" s="26"/>
      <c r="E398" s="26"/>
      <c r="F398" s="26"/>
      <c r="G398" s="26"/>
      <c r="H398" s="26"/>
      <c r="I398" s="26"/>
      <c r="J398" s="26"/>
    </row>
    <row r="399" spans="1:10" ht="15" customHeight="1" x14ac:dyDescent="0.25">
      <c r="A399" s="26"/>
      <c r="B399" s="26"/>
      <c r="C399" s="26" t="str">
        <f>IFERROR(IF(OR(A399="",B399=""),"",INDEX(Equipements!$H:$H,MATCH(A399,Equipements!$A:$A,0))&amp;"."&amp;B399),"")</f>
        <v/>
      </c>
      <c r="D399" s="26"/>
      <c r="E399" s="26"/>
      <c r="F399" s="26"/>
      <c r="G399" s="26"/>
      <c r="H399" s="26"/>
      <c r="I399" s="26"/>
      <c r="J399" s="26"/>
    </row>
    <row r="400" spans="1:10" ht="15" customHeight="1" x14ac:dyDescent="0.25">
      <c r="A400" s="26"/>
      <c r="B400" s="26"/>
      <c r="C400" s="26" t="str">
        <f>IFERROR(IF(OR(A400="",B400=""),"",INDEX(Equipements!$H:$H,MATCH(A400,Equipements!$A:$A,0))&amp;"."&amp;B400),"")</f>
        <v/>
      </c>
      <c r="D400" s="26"/>
      <c r="E400" s="26"/>
      <c r="F400" s="26"/>
      <c r="G400" s="26"/>
      <c r="H400" s="26"/>
      <c r="I400" s="26"/>
      <c r="J400" s="26"/>
    </row>
    <row r="401" spans="1:10" ht="15" customHeight="1" x14ac:dyDescent="0.25">
      <c r="A401" s="26"/>
      <c r="B401" s="26"/>
      <c r="C401" s="26" t="str">
        <f>IFERROR(IF(OR(A401="",B401=""),"",INDEX(Equipements!$H:$H,MATCH(A401,Equipements!$A:$A,0))&amp;"."&amp;B401),"")</f>
        <v/>
      </c>
      <c r="D401" s="26"/>
      <c r="E401" s="26"/>
      <c r="F401" s="26"/>
      <c r="G401" s="26"/>
      <c r="H401" s="26"/>
      <c r="I401" s="26"/>
      <c r="J401" s="26"/>
    </row>
    <row r="402" spans="1:10" ht="15" customHeight="1" x14ac:dyDescent="0.25">
      <c r="A402" s="26"/>
      <c r="B402" s="26"/>
      <c r="C402" s="26" t="str">
        <f>IFERROR(IF(OR(A402="",B402=""),"",INDEX(Equipements!$H:$H,MATCH(A402,Equipements!$A:$A,0))&amp;"."&amp;B402),"")</f>
        <v/>
      </c>
      <c r="D402" s="26"/>
      <c r="E402" s="26"/>
      <c r="F402" s="26"/>
      <c r="G402" s="26"/>
      <c r="H402" s="26"/>
      <c r="I402" s="26"/>
      <c r="J402" s="26"/>
    </row>
    <row r="403" spans="1:10" ht="15" customHeight="1" x14ac:dyDescent="0.25">
      <c r="A403" s="26"/>
      <c r="B403" s="26"/>
      <c r="C403" s="26" t="str">
        <f>IFERROR(IF(OR(A403="",B403=""),"",INDEX(Equipements!$H:$H,MATCH(A403,Equipements!$A:$A,0))&amp;"."&amp;B403),"")</f>
        <v/>
      </c>
      <c r="D403" s="26"/>
      <c r="E403" s="26"/>
      <c r="F403" s="26"/>
      <c r="G403" s="26"/>
      <c r="H403" s="26"/>
      <c r="I403" s="26"/>
      <c r="J403" s="26"/>
    </row>
    <row r="404" spans="1:10" ht="15" customHeight="1" x14ac:dyDescent="0.25">
      <c r="A404" s="26"/>
      <c r="B404" s="26"/>
      <c r="C404" s="26" t="str">
        <f>IFERROR(IF(OR(A404="",B404=""),"",INDEX(Equipements!$H:$H,MATCH(A404,Equipements!$A:$A,0))&amp;"."&amp;B404),"")</f>
        <v/>
      </c>
      <c r="D404" s="26"/>
      <c r="E404" s="26"/>
      <c r="F404" s="26"/>
      <c r="G404" s="26"/>
      <c r="H404" s="26"/>
      <c r="I404" s="26"/>
      <c r="J404" s="26"/>
    </row>
    <row r="405" spans="1:10" ht="15" customHeight="1" x14ac:dyDescent="0.25">
      <c r="A405" s="26"/>
      <c r="B405" s="26"/>
      <c r="C405" s="26" t="str">
        <f>IFERROR(IF(OR(A405="",B405=""),"",INDEX(Equipements!$H:$H,MATCH(A405,Equipements!$A:$A,0))&amp;"."&amp;B405),"")</f>
        <v/>
      </c>
      <c r="D405" s="26"/>
      <c r="E405" s="26"/>
      <c r="F405" s="26"/>
      <c r="G405" s="26"/>
      <c r="H405" s="26"/>
      <c r="I405" s="26"/>
      <c r="J405" s="26"/>
    </row>
    <row r="406" spans="1:10" ht="15" customHeight="1" x14ac:dyDescent="0.25">
      <c r="A406" s="26"/>
      <c r="B406" s="26"/>
      <c r="C406" s="26" t="str">
        <f>IFERROR(IF(OR(A406="",B406=""),"",INDEX(Equipements!$H:$H,MATCH(A406,Equipements!$A:$A,0))&amp;"."&amp;B406),"")</f>
        <v/>
      </c>
      <c r="D406" s="26"/>
      <c r="E406" s="26"/>
      <c r="F406" s="26"/>
      <c r="G406" s="26"/>
      <c r="H406" s="26"/>
      <c r="I406" s="26"/>
      <c r="J406" s="26"/>
    </row>
    <row r="407" spans="1:10" ht="15" customHeight="1" x14ac:dyDescent="0.25">
      <c r="A407" s="26"/>
      <c r="B407" s="26"/>
      <c r="C407" s="26" t="str">
        <f>IFERROR(IF(OR(A407="",B407=""),"",INDEX(Equipements!$H:$H,MATCH(A407,Equipements!$A:$A,0))&amp;"."&amp;B407),"")</f>
        <v/>
      </c>
      <c r="D407" s="26"/>
      <c r="E407" s="26"/>
      <c r="F407" s="26"/>
      <c r="G407" s="26"/>
      <c r="H407" s="26"/>
      <c r="I407" s="26"/>
      <c r="J407" s="26"/>
    </row>
    <row r="408" spans="1:10" ht="15" customHeight="1" x14ac:dyDescent="0.25">
      <c r="A408" s="26"/>
      <c r="B408" s="26"/>
      <c r="C408" s="26" t="str">
        <f>IFERROR(IF(OR(A408="",B408=""),"",INDEX(Equipements!$H:$H,MATCH(A408,Equipements!$A:$A,0))&amp;"."&amp;B408),"")</f>
        <v/>
      </c>
      <c r="D408" s="26"/>
      <c r="E408" s="26"/>
      <c r="F408" s="26"/>
      <c r="G408" s="26"/>
      <c r="H408" s="26"/>
      <c r="I408" s="26"/>
      <c r="J408" s="26"/>
    </row>
    <row r="409" spans="1:10" ht="15" customHeight="1" x14ac:dyDescent="0.25">
      <c r="A409" s="26"/>
      <c r="B409" s="26"/>
      <c r="C409" s="26" t="str">
        <f>IFERROR(IF(OR(A409="",B409=""),"",INDEX(Equipements!$H:$H,MATCH(A409,Equipements!$A:$A,0))&amp;"."&amp;B409),"")</f>
        <v/>
      </c>
      <c r="D409" s="26"/>
      <c r="E409" s="26"/>
      <c r="F409" s="26"/>
      <c r="G409" s="26"/>
      <c r="H409" s="26"/>
      <c r="I409" s="26"/>
      <c r="J409" s="26"/>
    </row>
    <row r="410" spans="1:10" ht="15" customHeight="1" x14ac:dyDescent="0.25">
      <c r="A410" s="26"/>
      <c r="B410" s="26"/>
      <c r="C410" s="26" t="str">
        <f>IFERROR(IF(OR(A410="",B410=""),"",INDEX(Equipements!$H:$H,MATCH(A410,Equipements!$A:$A,0))&amp;"."&amp;B410),"")</f>
        <v/>
      </c>
      <c r="D410" s="26"/>
      <c r="E410" s="26"/>
      <c r="F410" s="26"/>
      <c r="G410" s="26"/>
      <c r="H410" s="26"/>
      <c r="I410" s="26"/>
      <c r="J410" s="26"/>
    </row>
    <row r="411" spans="1:10" ht="15" customHeight="1" x14ac:dyDescent="0.25">
      <c r="A411" s="26"/>
      <c r="B411" s="26"/>
      <c r="C411" s="26" t="str">
        <f>IFERROR(IF(OR(A411="",B411=""),"",INDEX(Equipements!$H:$H,MATCH(A411,Equipements!$A:$A,0))&amp;"."&amp;B411),"")</f>
        <v/>
      </c>
      <c r="D411" s="26"/>
      <c r="E411" s="26"/>
      <c r="F411" s="26"/>
      <c r="G411" s="26"/>
      <c r="H411" s="26"/>
      <c r="I411" s="26"/>
      <c r="J411" s="26"/>
    </row>
    <row r="412" spans="1:10" ht="15" customHeight="1" x14ac:dyDescent="0.25">
      <c r="A412" s="26"/>
      <c r="B412" s="26"/>
      <c r="C412" s="26" t="str">
        <f>IFERROR(IF(OR(A412="",B412=""),"",INDEX(Equipements!$H:$H,MATCH(A412,Equipements!$A:$A,0))&amp;"."&amp;B412),"")</f>
        <v/>
      </c>
      <c r="D412" s="26"/>
      <c r="E412" s="26"/>
      <c r="F412" s="26"/>
      <c r="G412" s="26"/>
      <c r="H412" s="26"/>
      <c r="I412" s="26"/>
      <c r="J412" s="26"/>
    </row>
    <row r="413" spans="1:10" ht="15" customHeight="1" x14ac:dyDescent="0.25">
      <c r="A413" s="26"/>
      <c r="B413" s="26"/>
      <c r="C413" s="26" t="str">
        <f>IFERROR(IF(OR(A413="",B413=""),"",INDEX(Equipements!$H:$H,MATCH(A413,Equipements!$A:$A,0))&amp;"."&amp;B413),"")</f>
        <v/>
      </c>
      <c r="D413" s="26"/>
      <c r="E413" s="26"/>
      <c r="F413" s="26"/>
      <c r="G413" s="26"/>
      <c r="H413" s="26"/>
      <c r="I413" s="26"/>
      <c r="J413" s="26"/>
    </row>
    <row r="414" spans="1:10" ht="15" customHeight="1" x14ac:dyDescent="0.25">
      <c r="A414" s="26"/>
      <c r="B414" s="26"/>
      <c r="C414" s="26" t="str">
        <f>IFERROR(IF(OR(A414="",B414=""),"",INDEX(Equipements!$H:$H,MATCH(A414,Equipements!$A:$A,0))&amp;"."&amp;B414),"")</f>
        <v/>
      </c>
      <c r="D414" s="26"/>
      <c r="E414" s="26"/>
      <c r="F414" s="26"/>
      <c r="G414" s="26"/>
      <c r="H414" s="26"/>
      <c r="I414" s="26"/>
      <c r="J414" s="26"/>
    </row>
    <row r="415" spans="1:10" ht="15" customHeight="1" x14ac:dyDescent="0.25">
      <c r="A415" s="26"/>
      <c r="B415" s="26"/>
      <c r="C415" s="26" t="str">
        <f>IFERROR(IF(OR(A415="",B415=""),"",INDEX(Equipements!$H:$H,MATCH(A415,Equipements!$A:$A,0))&amp;"."&amp;B415),"")</f>
        <v/>
      </c>
      <c r="D415" s="26"/>
      <c r="E415" s="26"/>
      <c r="F415" s="26"/>
      <c r="G415" s="26"/>
      <c r="H415" s="26"/>
      <c r="I415" s="26"/>
      <c r="J415" s="26"/>
    </row>
    <row r="416" spans="1:10" ht="15" customHeight="1" x14ac:dyDescent="0.25">
      <c r="A416" s="26"/>
      <c r="B416" s="26"/>
      <c r="C416" s="26" t="str">
        <f>IFERROR(IF(OR(A416="",B416=""),"",INDEX(Equipements!$H:$H,MATCH(A416,Equipements!$A:$A,0))&amp;"."&amp;B416),"")</f>
        <v/>
      </c>
      <c r="D416" s="26"/>
      <c r="E416" s="26"/>
      <c r="F416" s="26"/>
      <c r="G416" s="26"/>
      <c r="H416" s="26"/>
      <c r="I416" s="26"/>
      <c r="J416" s="26"/>
    </row>
    <row r="417" spans="1:10" ht="15" customHeight="1" x14ac:dyDescent="0.25">
      <c r="A417" s="26"/>
      <c r="B417" s="26"/>
      <c r="C417" s="26" t="str">
        <f>IFERROR(IF(OR(A417="",B417=""),"",INDEX(Equipements!$H:$H,MATCH(A417,Equipements!$A:$A,0))&amp;"."&amp;B417),"")</f>
        <v/>
      </c>
      <c r="D417" s="26"/>
      <c r="E417" s="26"/>
      <c r="F417" s="26"/>
      <c r="G417" s="26"/>
      <c r="H417" s="26"/>
      <c r="I417" s="26"/>
      <c r="J417" s="26"/>
    </row>
    <row r="418" spans="1:10" ht="15" customHeight="1" x14ac:dyDescent="0.25">
      <c r="A418" s="26"/>
      <c r="B418" s="26"/>
      <c r="C418" s="26" t="str">
        <f>IFERROR(IF(OR(A418="",B418=""),"",INDEX(Equipements!$H:$H,MATCH(A418,Equipements!$A:$A,0))&amp;"."&amp;B418),"")</f>
        <v/>
      </c>
      <c r="D418" s="26"/>
      <c r="E418" s="26"/>
      <c r="F418" s="26"/>
      <c r="G418" s="26"/>
      <c r="H418" s="26"/>
      <c r="I418" s="26"/>
      <c r="J418" s="26"/>
    </row>
    <row r="419" spans="1:10" ht="15" customHeight="1" x14ac:dyDescent="0.25">
      <c r="A419" s="26"/>
      <c r="B419" s="26"/>
      <c r="C419" s="26" t="str">
        <f>IFERROR(IF(OR(A419="",B419=""),"",INDEX(Equipements!$H:$H,MATCH(A419,Equipements!$A:$A,0))&amp;"."&amp;B419),"")</f>
        <v/>
      </c>
      <c r="D419" s="26"/>
      <c r="E419" s="26"/>
      <c r="F419" s="26"/>
      <c r="G419" s="26"/>
      <c r="H419" s="26"/>
      <c r="I419" s="26"/>
      <c r="J419" s="26"/>
    </row>
    <row r="420" spans="1:10" ht="15" customHeight="1" x14ac:dyDescent="0.25">
      <c r="A420" s="26"/>
      <c r="B420" s="26"/>
      <c r="C420" s="26" t="str">
        <f>IFERROR(IF(OR(A420="",B420=""),"",INDEX(Equipements!$H:$H,MATCH(A420,Equipements!$A:$A,0))&amp;"."&amp;B420),"")</f>
        <v/>
      </c>
      <c r="D420" s="26"/>
      <c r="E420" s="26"/>
      <c r="F420" s="26"/>
      <c r="G420" s="26"/>
      <c r="H420" s="26"/>
      <c r="I420" s="26"/>
      <c r="J420" s="26"/>
    </row>
    <row r="421" spans="1:10" ht="15" customHeight="1" x14ac:dyDescent="0.25">
      <c r="A421" s="26"/>
      <c r="B421" s="26"/>
      <c r="C421" s="26" t="str">
        <f>IFERROR(IF(OR(A421="",B421=""),"",INDEX(Equipements!$H:$H,MATCH(A421,Equipements!$A:$A,0))&amp;"."&amp;B421),"")</f>
        <v/>
      </c>
      <c r="D421" s="26"/>
      <c r="E421" s="26"/>
      <c r="F421" s="26"/>
      <c r="G421" s="26"/>
      <c r="H421" s="26"/>
      <c r="I421" s="26"/>
      <c r="J421" s="26"/>
    </row>
    <row r="422" spans="1:10" ht="15" customHeight="1" x14ac:dyDescent="0.25">
      <c r="A422" s="26"/>
      <c r="B422" s="26"/>
      <c r="C422" s="26" t="str">
        <f>IFERROR(IF(OR(A422="",B422=""),"",INDEX(Equipements!$H:$H,MATCH(A422,Equipements!$A:$A,0))&amp;"."&amp;B422),"")</f>
        <v/>
      </c>
      <c r="D422" s="26"/>
      <c r="E422" s="26"/>
      <c r="F422" s="26"/>
      <c r="G422" s="26"/>
      <c r="H422" s="26"/>
      <c r="I422" s="26"/>
      <c r="J422" s="26"/>
    </row>
    <row r="423" spans="1:10" ht="15" customHeight="1" x14ac:dyDescent="0.25">
      <c r="A423" s="26"/>
      <c r="B423" s="26"/>
      <c r="C423" s="26" t="str">
        <f>IFERROR(IF(OR(A423="",B423=""),"",INDEX(Equipements!$H:$H,MATCH(A423,Equipements!$A:$A,0))&amp;"."&amp;B423),"")</f>
        <v/>
      </c>
      <c r="D423" s="26"/>
      <c r="E423" s="26"/>
      <c r="F423" s="26"/>
      <c r="G423" s="26"/>
      <c r="H423" s="26"/>
      <c r="I423" s="26"/>
      <c r="J423" s="26"/>
    </row>
    <row r="424" spans="1:10" ht="15" customHeight="1" x14ac:dyDescent="0.25">
      <c r="A424" s="26"/>
      <c r="B424" s="26"/>
      <c r="C424" s="26" t="str">
        <f>IFERROR(IF(OR(A424="",B424=""),"",INDEX(Equipements!$H:$H,MATCH(A424,Equipements!$A:$A,0))&amp;"."&amp;B424),"")</f>
        <v/>
      </c>
      <c r="D424" s="26"/>
      <c r="E424" s="26"/>
      <c r="F424" s="26"/>
      <c r="G424" s="26"/>
      <c r="H424" s="26"/>
      <c r="I424" s="26"/>
      <c r="J424" s="26"/>
    </row>
    <row r="425" spans="1:10" ht="15" customHeight="1" x14ac:dyDescent="0.25">
      <c r="A425" s="26"/>
      <c r="B425" s="26"/>
      <c r="C425" s="26" t="str">
        <f>IFERROR(IF(OR(A425="",B425=""),"",INDEX(Equipements!$H:$H,MATCH(A425,Equipements!$A:$A,0))&amp;"."&amp;B425),"")</f>
        <v/>
      </c>
      <c r="D425" s="26"/>
      <c r="E425" s="26"/>
      <c r="F425" s="26"/>
      <c r="G425" s="26"/>
      <c r="H425" s="26"/>
      <c r="I425" s="26"/>
      <c r="J425" s="26"/>
    </row>
    <row r="426" spans="1:10" ht="15" customHeight="1" x14ac:dyDescent="0.25">
      <c r="A426" s="26"/>
      <c r="B426" s="26"/>
      <c r="C426" s="26" t="str">
        <f>IFERROR(IF(OR(A426="",B426=""),"",INDEX(Equipements!$H:$H,MATCH(A426,Equipements!$A:$A,0))&amp;"."&amp;B426),"")</f>
        <v/>
      </c>
      <c r="D426" s="26"/>
      <c r="E426" s="26"/>
      <c r="F426" s="26"/>
      <c r="G426" s="26"/>
      <c r="H426" s="26"/>
      <c r="I426" s="26"/>
      <c r="J426" s="26"/>
    </row>
    <row r="427" spans="1:10" ht="15" customHeight="1" x14ac:dyDescent="0.25">
      <c r="A427" s="26"/>
      <c r="B427" s="26"/>
      <c r="C427" s="26" t="str">
        <f>IFERROR(IF(OR(A427="",B427=""),"",INDEX(Equipements!$H:$H,MATCH(A427,Equipements!$A:$A,0))&amp;"."&amp;B427),"")</f>
        <v/>
      </c>
      <c r="D427" s="26"/>
      <c r="E427" s="26"/>
      <c r="F427" s="26"/>
      <c r="G427" s="26"/>
      <c r="H427" s="26"/>
      <c r="I427" s="26"/>
      <c r="J427" s="26"/>
    </row>
    <row r="428" spans="1:10" ht="15" customHeight="1" x14ac:dyDescent="0.25">
      <c r="A428" s="26"/>
      <c r="B428" s="26"/>
      <c r="C428" s="26" t="str">
        <f>IFERROR(IF(OR(A428="",B428=""),"",INDEX(Equipements!$H:$H,MATCH(A428,Equipements!$A:$A,0))&amp;"."&amp;B428),"")</f>
        <v/>
      </c>
      <c r="D428" s="26"/>
      <c r="E428" s="26"/>
      <c r="F428" s="26"/>
      <c r="G428" s="26"/>
      <c r="H428" s="26"/>
      <c r="I428" s="26"/>
      <c r="J428" s="26"/>
    </row>
    <row r="429" spans="1:10" ht="15" customHeight="1" x14ac:dyDescent="0.25">
      <c r="A429" s="26"/>
      <c r="B429" s="26"/>
      <c r="C429" s="26" t="str">
        <f>IFERROR(IF(OR(A429="",B429=""),"",INDEX(Equipements!$H:$H,MATCH(A429,Equipements!$A:$A,0))&amp;"."&amp;B429),"")</f>
        <v/>
      </c>
      <c r="D429" s="26"/>
      <c r="E429" s="26"/>
      <c r="F429" s="26"/>
      <c r="G429" s="26"/>
      <c r="H429" s="26"/>
      <c r="I429" s="26"/>
      <c r="J429" s="26"/>
    </row>
    <row r="430" spans="1:10" ht="15" customHeight="1" x14ac:dyDescent="0.25">
      <c r="A430" s="26"/>
      <c r="B430" s="26"/>
      <c r="C430" s="26" t="str">
        <f>IFERROR(IF(OR(A430="",B430=""),"",INDEX(Equipements!$H:$H,MATCH(A430,Equipements!$A:$A,0))&amp;"."&amp;B430),"")</f>
        <v/>
      </c>
      <c r="D430" s="26"/>
      <c r="E430" s="26"/>
      <c r="F430" s="26"/>
      <c r="G430" s="26"/>
      <c r="H430" s="26"/>
      <c r="I430" s="26"/>
      <c r="J430" s="26"/>
    </row>
    <row r="431" spans="1:10" ht="15" customHeight="1" x14ac:dyDescent="0.25">
      <c r="A431" s="26"/>
      <c r="B431" s="26"/>
      <c r="C431" s="26" t="str">
        <f>IFERROR(IF(OR(A431="",B431=""),"",INDEX(Equipements!$H:$H,MATCH(A431,Equipements!$A:$A,0))&amp;"."&amp;B431),"")</f>
        <v/>
      </c>
      <c r="D431" s="26"/>
      <c r="E431" s="26"/>
      <c r="F431" s="26"/>
      <c r="G431" s="26"/>
      <c r="H431" s="26"/>
      <c r="I431" s="26"/>
      <c r="J431" s="26"/>
    </row>
    <row r="432" spans="1:10" ht="15" customHeight="1" x14ac:dyDescent="0.25">
      <c r="A432" s="26"/>
      <c r="B432" s="26"/>
      <c r="C432" s="26" t="str">
        <f>IFERROR(IF(OR(A432="",B432=""),"",INDEX(Equipements!$H:$H,MATCH(A432,Equipements!$A:$A,0))&amp;"."&amp;B432),"")</f>
        <v/>
      </c>
      <c r="D432" s="26"/>
      <c r="E432" s="26"/>
      <c r="F432" s="26"/>
      <c r="G432" s="26"/>
      <c r="H432" s="26"/>
      <c r="I432" s="26"/>
      <c r="J432" s="26"/>
    </row>
    <row r="433" spans="1:10" ht="15" customHeight="1" x14ac:dyDescent="0.25">
      <c r="A433" s="26"/>
      <c r="B433" s="26"/>
      <c r="C433" s="26" t="str">
        <f>IFERROR(IF(OR(A433="",B433=""),"",INDEX(Equipements!$H:$H,MATCH(A433,Equipements!$A:$A,0))&amp;"."&amp;B433),"")</f>
        <v/>
      </c>
      <c r="D433" s="26"/>
      <c r="E433" s="26"/>
      <c r="F433" s="26"/>
      <c r="G433" s="26"/>
      <c r="H433" s="26"/>
      <c r="I433" s="26"/>
      <c r="J433" s="26"/>
    </row>
    <row r="434" spans="1:10" ht="15" customHeight="1" x14ac:dyDescent="0.25">
      <c r="A434" s="26"/>
      <c r="B434" s="26"/>
      <c r="C434" s="26" t="str">
        <f>IFERROR(IF(OR(A434="",B434=""),"",INDEX(Equipements!$H:$H,MATCH(A434,Equipements!$A:$A,0))&amp;"."&amp;B434),"")</f>
        <v/>
      </c>
      <c r="D434" s="26"/>
      <c r="E434" s="26"/>
      <c r="F434" s="26"/>
      <c r="G434" s="26"/>
      <c r="H434" s="26"/>
      <c r="I434" s="26"/>
      <c r="J434" s="26"/>
    </row>
    <row r="435" spans="1:10" ht="15" customHeight="1" x14ac:dyDescent="0.25">
      <c r="A435" s="26"/>
      <c r="B435" s="26"/>
      <c r="C435" s="26" t="str">
        <f>IFERROR(IF(OR(A435="",B435=""),"",INDEX(Equipements!$H:$H,MATCH(A435,Equipements!$A:$A,0))&amp;"."&amp;B435),"")</f>
        <v/>
      </c>
      <c r="D435" s="26"/>
      <c r="E435" s="26"/>
      <c r="F435" s="26"/>
      <c r="G435" s="26"/>
      <c r="H435" s="26"/>
      <c r="I435" s="26"/>
      <c r="J435" s="26"/>
    </row>
    <row r="436" spans="1:10" ht="15" customHeight="1" x14ac:dyDescent="0.25">
      <c r="A436" s="26"/>
      <c r="B436" s="26"/>
      <c r="C436" s="26" t="str">
        <f>IFERROR(IF(OR(A436="",B436=""),"",INDEX(Equipements!$H:$H,MATCH(A436,Equipements!$A:$A,0))&amp;"."&amp;B436),"")</f>
        <v/>
      </c>
      <c r="D436" s="26"/>
      <c r="E436" s="26"/>
      <c r="F436" s="26"/>
      <c r="G436" s="26"/>
      <c r="H436" s="26"/>
      <c r="I436" s="26"/>
      <c r="J436" s="26"/>
    </row>
    <row r="437" spans="1:10" ht="15" customHeight="1" x14ac:dyDescent="0.25">
      <c r="A437" s="26"/>
      <c r="B437" s="26"/>
      <c r="C437" s="26" t="str">
        <f>IFERROR(IF(OR(A437="",B437=""),"",INDEX(Equipements!$H:$H,MATCH(A437,Equipements!$A:$A,0))&amp;"."&amp;B437),"")</f>
        <v/>
      </c>
      <c r="D437" s="26"/>
      <c r="E437" s="26"/>
      <c r="F437" s="26"/>
      <c r="G437" s="26"/>
      <c r="H437" s="26"/>
      <c r="I437" s="26"/>
      <c r="J437" s="26"/>
    </row>
    <row r="438" spans="1:10" ht="15" customHeight="1" x14ac:dyDescent="0.25">
      <c r="A438" s="26"/>
      <c r="B438" s="26"/>
      <c r="C438" s="26" t="str">
        <f>IFERROR(IF(OR(A438="",B438=""),"",INDEX(Equipements!$H:$H,MATCH(A438,Equipements!$A:$A,0))&amp;"."&amp;B438),"")</f>
        <v/>
      </c>
      <c r="D438" s="26"/>
      <c r="E438" s="26"/>
      <c r="F438" s="26"/>
      <c r="G438" s="26"/>
      <c r="H438" s="26"/>
      <c r="I438" s="26"/>
      <c r="J438" s="26"/>
    </row>
    <row r="439" spans="1:10" ht="15" customHeight="1" x14ac:dyDescent="0.25">
      <c r="A439" s="26"/>
      <c r="B439" s="26"/>
      <c r="C439" s="26" t="str">
        <f>IFERROR(IF(OR(A439="",B439=""),"",INDEX(Equipements!$H:$H,MATCH(A439,Equipements!$A:$A,0))&amp;"."&amp;B439),"")</f>
        <v/>
      </c>
      <c r="D439" s="26"/>
      <c r="E439" s="26"/>
      <c r="F439" s="26"/>
      <c r="G439" s="26"/>
      <c r="H439" s="26"/>
      <c r="I439" s="26"/>
      <c r="J439" s="26"/>
    </row>
    <row r="440" spans="1:10" ht="15" customHeight="1" x14ac:dyDescent="0.25">
      <c r="A440" s="26"/>
      <c r="B440" s="26"/>
      <c r="C440" s="26" t="str">
        <f>IFERROR(IF(OR(A440="",B440=""),"",INDEX(Equipements!$H:$H,MATCH(A440,Equipements!$A:$A,0))&amp;"."&amp;B440),"")</f>
        <v/>
      </c>
      <c r="D440" s="26"/>
      <c r="E440" s="26"/>
      <c r="F440" s="26"/>
      <c r="G440" s="26"/>
      <c r="H440" s="26"/>
      <c r="I440" s="26"/>
      <c r="J440" s="26"/>
    </row>
    <row r="441" spans="1:10" ht="15" customHeight="1" x14ac:dyDescent="0.25">
      <c r="A441" s="26"/>
      <c r="B441" s="26"/>
      <c r="C441" s="26" t="str">
        <f>IFERROR(IF(OR(A441="",B441=""),"",INDEX(Equipements!$H:$H,MATCH(A441,Equipements!$A:$A,0))&amp;"."&amp;B441),"")</f>
        <v/>
      </c>
      <c r="D441" s="26"/>
      <c r="E441" s="26"/>
      <c r="F441" s="26"/>
      <c r="G441" s="26"/>
      <c r="H441" s="26"/>
      <c r="I441" s="26"/>
      <c r="J441" s="26"/>
    </row>
    <row r="442" spans="1:10" ht="15" customHeight="1" x14ac:dyDescent="0.25">
      <c r="A442" s="26"/>
      <c r="B442" s="26"/>
      <c r="C442" s="26" t="str">
        <f>IFERROR(IF(OR(A442="",B442=""),"",INDEX(Equipements!$H:$H,MATCH(A442,Equipements!$A:$A,0))&amp;"."&amp;B442),"")</f>
        <v/>
      </c>
      <c r="D442" s="26"/>
      <c r="E442" s="26"/>
      <c r="F442" s="26"/>
      <c r="G442" s="26"/>
      <c r="H442" s="26"/>
      <c r="I442" s="26"/>
      <c r="J442" s="26"/>
    </row>
    <row r="443" spans="1:10" ht="15" customHeight="1" x14ac:dyDescent="0.25">
      <c r="A443" s="26"/>
      <c r="B443" s="26"/>
      <c r="C443" s="26" t="str">
        <f>IFERROR(IF(OR(A443="",B443=""),"",INDEX(Equipements!$H:$H,MATCH(A443,Equipements!$A:$A,0))&amp;"."&amp;B443),"")</f>
        <v/>
      </c>
      <c r="D443" s="26"/>
      <c r="E443" s="26"/>
      <c r="F443" s="26"/>
      <c r="G443" s="26"/>
      <c r="H443" s="26"/>
      <c r="I443" s="26"/>
      <c r="J443" s="26"/>
    </row>
    <row r="444" spans="1:10" ht="15" customHeight="1" x14ac:dyDescent="0.25">
      <c r="A444" s="26"/>
      <c r="B444" s="26"/>
      <c r="C444" s="26" t="str">
        <f>IFERROR(IF(OR(A444="",B444=""),"",INDEX(Equipements!$H:$H,MATCH(A444,Equipements!$A:$A,0))&amp;"."&amp;B444),"")</f>
        <v/>
      </c>
      <c r="D444" s="26"/>
      <c r="E444" s="26"/>
      <c r="F444" s="26"/>
      <c r="G444" s="26"/>
      <c r="H444" s="26"/>
      <c r="I444" s="26"/>
      <c r="J444" s="26"/>
    </row>
    <row r="445" spans="1:10" ht="15" customHeight="1" x14ac:dyDescent="0.25">
      <c r="A445" s="26"/>
      <c r="B445" s="26"/>
      <c r="C445" s="26" t="str">
        <f>IFERROR(IF(OR(A445="",B445=""),"",INDEX(Equipements!$H:$H,MATCH(A445,Equipements!$A:$A,0))&amp;"."&amp;B445),"")</f>
        <v/>
      </c>
      <c r="D445" s="26"/>
      <c r="E445" s="26"/>
      <c r="F445" s="26"/>
      <c r="G445" s="26"/>
      <c r="H445" s="26"/>
      <c r="I445" s="26"/>
      <c r="J445" s="26"/>
    </row>
    <row r="446" spans="1:10" ht="15" customHeight="1" x14ac:dyDescent="0.25">
      <c r="A446" s="26"/>
      <c r="B446" s="26"/>
      <c r="C446" s="26" t="str">
        <f>IFERROR(IF(OR(A446="",B446=""),"",INDEX(Equipements!$H:$H,MATCH(A446,Equipements!$A:$A,0))&amp;"."&amp;B446),"")</f>
        <v/>
      </c>
      <c r="D446" s="26"/>
      <c r="E446" s="26"/>
      <c r="F446" s="26"/>
      <c r="G446" s="26"/>
      <c r="H446" s="26"/>
      <c r="I446" s="26"/>
      <c r="J446" s="26"/>
    </row>
    <row r="447" spans="1:10" ht="15" customHeight="1" x14ac:dyDescent="0.25">
      <c r="A447" s="26"/>
      <c r="B447" s="26"/>
      <c r="C447" s="26" t="str">
        <f>IFERROR(IF(OR(A447="",B447=""),"",INDEX(Equipements!$H:$H,MATCH(A447,Equipements!$A:$A,0))&amp;"."&amp;B447),"")</f>
        <v/>
      </c>
      <c r="D447" s="26"/>
      <c r="E447" s="26"/>
      <c r="F447" s="26"/>
      <c r="G447" s="26"/>
      <c r="H447" s="26"/>
      <c r="I447" s="26"/>
      <c r="J447" s="26"/>
    </row>
    <row r="448" spans="1:10" ht="15" customHeight="1" x14ac:dyDescent="0.25">
      <c r="A448" s="26"/>
      <c r="B448" s="26"/>
      <c r="C448" s="26" t="str">
        <f>IFERROR(IF(OR(A448="",B448=""),"",INDEX(Equipements!$H:$H,MATCH(A448,Equipements!$A:$A,0))&amp;"."&amp;B448),"")</f>
        <v/>
      </c>
      <c r="D448" s="26"/>
      <c r="E448" s="26"/>
      <c r="F448" s="26"/>
      <c r="G448" s="26"/>
      <c r="H448" s="26"/>
      <c r="I448" s="26"/>
      <c r="J448" s="26"/>
    </row>
    <row r="449" spans="1:10" ht="15" customHeight="1" x14ac:dyDescent="0.25">
      <c r="A449" s="26"/>
      <c r="B449" s="26"/>
      <c r="C449" s="26" t="str">
        <f>IFERROR(IF(OR(A449="",B449=""),"",INDEX(Equipements!$H:$H,MATCH(A449,Equipements!$A:$A,0))&amp;"."&amp;B449),"")</f>
        <v/>
      </c>
      <c r="D449" s="26"/>
      <c r="E449" s="26"/>
      <c r="F449" s="26"/>
      <c r="G449" s="26"/>
      <c r="H449" s="26"/>
      <c r="I449" s="26"/>
      <c r="J449" s="26"/>
    </row>
    <row r="450" spans="1:10" ht="15" customHeight="1" x14ac:dyDescent="0.25">
      <c r="A450" s="26"/>
      <c r="B450" s="26"/>
      <c r="C450" s="26" t="str">
        <f>IFERROR(IF(OR(A450="",B450=""),"",INDEX(Equipements!$H:$H,MATCH(A450,Equipements!$A:$A,0))&amp;"."&amp;B450),"")</f>
        <v/>
      </c>
      <c r="D450" s="26"/>
      <c r="E450" s="26"/>
      <c r="F450" s="26"/>
      <c r="G450" s="26"/>
      <c r="H450" s="26"/>
      <c r="I450" s="26"/>
      <c r="J450" s="26"/>
    </row>
    <row r="451" spans="1:10" ht="15" customHeight="1" x14ac:dyDescent="0.25">
      <c r="A451" s="26"/>
      <c r="B451" s="26"/>
      <c r="C451" s="26" t="str">
        <f>IFERROR(IF(OR(A451="",B451=""),"",INDEX(Equipements!$H:$H,MATCH(A451,Equipements!$A:$A,0))&amp;"."&amp;B451),"")</f>
        <v/>
      </c>
      <c r="D451" s="26"/>
      <c r="E451" s="26"/>
      <c r="F451" s="26"/>
      <c r="G451" s="26"/>
      <c r="H451" s="26"/>
      <c r="I451" s="26"/>
      <c r="J451" s="26"/>
    </row>
    <row r="452" spans="1:10" ht="15" customHeight="1" x14ac:dyDescent="0.25">
      <c r="A452" s="26"/>
      <c r="B452" s="26"/>
      <c r="C452" s="26" t="str">
        <f>IFERROR(IF(OR(A452="",B452=""),"",INDEX(Equipements!$H:$H,MATCH(A452,Equipements!$A:$A,0))&amp;"."&amp;B452),"")</f>
        <v/>
      </c>
      <c r="D452" s="26"/>
      <c r="E452" s="26"/>
      <c r="F452" s="26"/>
      <c r="G452" s="26"/>
      <c r="H452" s="26"/>
      <c r="I452" s="26"/>
      <c r="J452" s="26"/>
    </row>
    <row r="453" spans="1:10" ht="15" customHeight="1" x14ac:dyDescent="0.25">
      <c r="A453" s="26"/>
      <c r="B453" s="26"/>
      <c r="C453" s="26" t="str">
        <f>IFERROR(IF(OR(A453="",B453=""),"",INDEX(Equipements!$H:$H,MATCH(A453,Equipements!$A:$A,0))&amp;"."&amp;B453),"")</f>
        <v/>
      </c>
      <c r="D453" s="26"/>
      <c r="E453" s="26"/>
      <c r="F453" s="26"/>
      <c r="G453" s="26"/>
      <c r="H453" s="26"/>
      <c r="I453" s="26"/>
      <c r="J453" s="26"/>
    </row>
    <row r="454" spans="1:10" ht="15" customHeight="1" x14ac:dyDescent="0.25">
      <c r="A454" s="26"/>
      <c r="B454" s="26"/>
      <c r="C454" s="26" t="str">
        <f>IFERROR(IF(OR(A454="",B454=""),"",INDEX(Equipements!$H:$H,MATCH(A454,Equipements!$A:$A,0))&amp;"."&amp;B454),"")</f>
        <v/>
      </c>
      <c r="D454" s="26"/>
      <c r="E454" s="26"/>
      <c r="F454" s="26"/>
      <c r="G454" s="26"/>
      <c r="H454" s="26"/>
      <c r="I454" s="26"/>
      <c r="J454" s="26"/>
    </row>
    <row r="455" spans="1:10" ht="15" customHeight="1" x14ac:dyDescent="0.25">
      <c r="A455" s="26"/>
      <c r="B455" s="26"/>
      <c r="C455" s="26" t="str">
        <f>IFERROR(IF(OR(A455="",B455=""),"",INDEX(Equipements!$H:$H,MATCH(A455,Equipements!$A:$A,0))&amp;"."&amp;B455),"")</f>
        <v/>
      </c>
      <c r="D455" s="26"/>
      <c r="E455" s="26"/>
      <c r="F455" s="26"/>
      <c r="G455" s="26"/>
      <c r="H455" s="26"/>
      <c r="I455" s="26"/>
      <c r="J455" s="26"/>
    </row>
    <row r="456" spans="1:10" ht="15" customHeight="1" x14ac:dyDescent="0.25">
      <c r="A456" s="26"/>
      <c r="B456" s="26"/>
      <c r="C456" s="26" t="str">
        <f>IFERROR(IF(OR(A456="",B456=""),"",INDEX(Equipements!$H:$H,MATCH(A456,Equipements!$A:$A,0))&amp;"."&amp;B456),"")</f>
        <v/>
      </c>
      <c r="D456" s="26"/>
      <c r="E456" s="26"/>
      <c r="F456" s="26"/>
      <c r="G456" s="26"/>
      <c r="H456" s="26"/>
      <c r="I456" s="26"/>
      <c r="J456" s="26"/>
    </row>
    <row r="457" spans="1:10" ht="15" customHeight="1" x14ac:dyDescent="0.25">
      <c r="A457" s="26"/>
      <c r="B457" s="26"/>
      <c r="C457" s="26" t="str">
        <f>IFERROR(IF(OR(A457="",B457=""),"",INDEX(Equipements!$H:$H,MATCH(A457,Equipements!$A:$A,0))&amp;"."&amp;B457),"")</f>
        <v/>
      </c>
      <c r="D457" s="26"/>
      <c r="E457" s="26"/>
      <c r="F457" s="26"/>
      <c r="G457" s="26"/>
      <c r="H457" s="26"/>
      <c r="I457" s="26"/>
      <c r="J457" s="26"/>
    </row>
    <row r="458" spans="1:10" ht="15" customHeight="1" x14ac:dyDescent="0.25">
      <c r="A458" s="26"/>
      <c r="B458" s="26"/>
      <c r="C458" s="26" t="str">
        <f>IFERROR(IF(OR(A458="",B458=""),"",INDEX(Equipements!$H:$H,MATCH(A458,Equipements!$A:$A,0))&amp;"."&amp;B458),"")</f>
        <v/>
      </c>
      <c r="D458" s="26"/>
      <c r="E458" s="26"/>
      <c r="F458" s="26"/>
      <c r="G458" s="26"/>
      <c r="H458" s="26"/>
      <c r="I458" s="26"/>
      <c r="J458" s="26"/>
    </row>
    <row r="459" spans="1:10" ht="15" customHeight="1" x14ac:dyDescent="0.25">
      <c r="A459" s="26"/>
      <c r="B459" s="26"/>
      <c r="C459" s="26" t="str">
        <f>IFERROR(IF(OR(A459="",B459=""),"",INDEX(Equipements!$H:$H,MATCH(A459,Equipements!$A:$A,0))&amp;"."&amp;B459),"")</f>
        <v/>
      </c>
      <c r="D459" s="26"/>
      <c r="E459" s="26"/>
      <c r="F459" s="26"/>
      <c r="G459" s="26"/>
      <c r="H459" s="26"/>
      <c r="I459" s="26"/>
      <c r="J459" s="26"/>
    </row>
    <row r="460" spans="1:10" ht="15" customHeight="1" x14ac:dyDescent="0.25">
      <c r="A460" s="26"/>
      <c r="B460" s="26"/>
      <c r="C460" s="26" t="str">
        <f>IFERROR(IF(OR(A460="",B460=""),"",INDEX(Equipements!$H:$H,MATCH(A460,Equipements!$A:$A,0))&amp;"."&amp;B460),"")</f>
        <v/>
      </c>
      <c r="D460" s="26"/>
      <c r="E460" s="26"/>
      <c r="F460" s="26"/>
      <c r="G460" s="26"/>
      <c r="H460" s="26"/>
      <c r="I460" s="26"/>
      <c r="J460" s="26"/>
    </row>
    <row r="461" spans="1:10" ht="15" customHeight="1" x14ac:dyDescent="0.25">
      <c r="A461" s="26"/>
      <c r="B461" s="26"/>
      <c r="C461" s="26" t="str">
        <f>IFERROR(IF(OR(A461="",B461=""),"",INDEX(Equipements!$H:$H,MATCH(A461,Equipements!$A:$A,0))&amp;"."&amp;B461),"")</f>
        <v/>
      </c>
      <c r="D461" s="26"/>
      <c r="E461" s="26"/>
      <c r="F461" s="26"/>
      <c r="G461" s="26"/>
      <c r="H461" s="26"/>
      <c r="I461" s="26"/>
      <c r="J461" s="26"/>
    </row>
    <row r="462" spans="1:10" ht="15" customHeight="1" x14ac:dyDescent="0.25">
      <c r="A462" s="26"/>
      <c r="B462" s="26"/>
      <c r="C462" s="26" t="str">
        <f>IFERROR(IF(OR(A462="",B462=""),"",INDEX(Equipements!$H:$H,MATCH(A462,Equipements!$A:$A,0))&amp;"."&amp;B462),"")</f>
        <v/>
      </c>
      <c r="D462" s="26"/>
      <c r="E462" s="26"/>
      <c r="F462" s="26"/>
      <c r="G462" s="26"/>
      <c r="H462" s="26"/>
      <c r="I462" s="26"/>
      <c r="J462" s="26"/>
    </row>
    <row r="463" spans="1:10" ht="15" customHeight="1" x14ac:dyDescent="0.25">
      <c r="A463" s="26"/>
      <c r="B463" s="26"/>
      <c r="C463" s="26" t="str">
        <f>IFERROR(IF(OR(A463="",B463=""),"",INDEX(Equipements!$H:$H,MATCH(A463,Equipements!$A:$A,0))&amp;"."&amp;B463),"")</f>
        <v/>
      </c>
      <c r="D463" s="26"/>
      <c r="E463" s="26"/>
      <c r="F463" s="26"/>
      <c r="G463" s="26"/>
      <c r="H463" s="26"/>
      <c r="I463" s="26"/>
      <c r="J463" s="26"/>
    </row>
    <row r="464" spans="1:10" ht="15" customHeight="1" x14ac:dyDescent="0.25">
      <c r="A464" s="26"/>
      <c r="B464" s="26"/>
      <c r="C464" s="26" t="str">
        <f>IFERROR(IF(OR(A464="",B464=""),"",INDEX(Equipements!$H:$H,MATCH(A464,Equipements!$A:$A,0))&amp;"."&amp;B464),"")</f>
        <v/>
      </c>
      <c r="D464" s="26"/>
      <c r="E464" s="26"/>
      <c r="F464" s="26"/>
      <c r="G464" s="26"/>
      <c r="H464" s="26"/>
      <c r="I464" s="26"/>
      <c r="J464" s="26"/>
    </row>
    <row r="465" spans="1:10" ht="15" customHeight="1" x14ac:dyDescent="0.25">
      <c r="A465" s="26"/>
      <c r="B465" s="26"/>
      <c r="C465" s="26" t="str">
        <f>IFERROR(IF(OR(A465="",B465=""),"",INDEX(Equipements!$H:$H,MATCH(A465,Equipements!$A:$A,0))&amp;"."&amp;B465),"")</f>
        <v/>
      </c>
      <c r="D465" s="26"/>
      <c r="E465" s="26"/>
      <c r="F465" s="26"/>
      <c r="G465" s="26"/>
      <c r="H465" s="26"/>
      <c r="I465" s="26"/>
      <c r="J465" s="26"/>
    </row>
    <row r="466" spans="1:10" ht="15" customHeight="1" x14ac:dyDescent="0.25">
      <c r="A466" s="26"/>
      <c r="B466" s="26"/>
      <c r="C466" s="26" t="str">
        <f>IFERROR(IF(OR(A466="",B466=""),"",INDEX(Equipements!$H:$H,MATCH(A466,Equipements!$A:$A,0))&amp;"."&amp;B466),"")</f>
        <v/>
      </c>
      <c r="D466" s="26"/>
      <c r="E466" s="26"/>
      <c r="F466" s="26"/>
      <c r="G466" s="26"/>
      <c r="H466" s="26"/>
      <c r="I466" s="26"/>
      <c r="J466" s="26"/>
    </row>
    <row r="467" spans="1:10" ht="15" customHeight="1" x14ac:dyDescent="0.25">
      <c r="A467" s="26"/>
      <c r="B467" s="26"/>
      <c r="C467" s="26" t="str">
        <f>IFERROR(IF(OR(A467="",B467=""),"",INDEX(Equipements!$H:$H,MATCH(A467,Equipements!$A:$A,0))&amp;"."&amp;B467),"")</f>
        <v/>
      </c>
      <c r="D467" s="26"/>
      <c r="E467" s="26"/>
      <c r="F467" s="26"/>
      <c r="G467" s="26"/>
      <c r="H467" s="26"/>
      <c r="I467" s="26"/>
      <c r="J467" s="26"/>
    </row>
    <row r="468" spans="1:10" ht="15" customHeight="1" x14ac:dyDescent="0.25">
      <c r="A468" s="26"/>
      <c r="B468" s="26"/>
      <c r="C468" s="26" t="str">
        <f>IFERROR(IF(OR(A468="",B468=""),"",INDEX(Equipements!$H:$H,MATCH(A468,Equipements!$A:$A,0))&amp;"."&amp;B468),"")</f>
        <v/>
      </c>
      <c r="D468" s="26"/>
      <c r="E468" s="26"/>
      <c r="F468" s="26"/>
      <c r="G468" s="26"/>
      <c r="H468" s="26"/>
      <c r="I468" s="26"/>
      <c r="J468" s="26"/>
    </row>
    <row r="469" spans="1:10" ht="15" customHeight="1" x14ac:dyDescent="0.25">
      <c r="A469" s="26"/>
      <c r="B469" s="26"/>
      <c r="C469" s="26" t="str">
        <f>IFERROR(IF(OR(A469="",B469=""),"",INDEX(Equipements!$H:$H,MATCH(A469,Equipements!$A:$A,0))&amp;"."&amp;B469),"")</f>
        <v/>
      </c>
      <c r="D469" s="26"/>
      <c r="E469" s="26"/>
      <c r="F469" s="26"/>
      <c r="G469" s="26"/>
      <c r="H469" s="26"/>
      <c r="I469" s="26"/>
      <c r="J469" s="26"/>
    </row>
    <row r="470" spans="1:10" ht="15" customHeight="1" x14ac:dyDescent="0.25">
      <c r="A470" s="26"/>
      <c r="B470" s="26"/>
      <c r="C470" s="26" t="str">
        <f>IFERROR(IF(OR(A470="",B470=""),"",INDEX(Equipements!$H:$H,MATCH(A470,Equipements!$A:$A,0))&amp;"."&amp;B470),"")</f>
        <v/>
      </c>
      <c r="D470" s="26"/>
      <c r="E470" s="26"/>
      <c r="F470" s="26"/>
      <c r="G470" s="26"/>
      <c r="H470" s="26"/>
      <c r="I470" s="26"/>
      <c r="J470" s="26"/>
    </row>
    <row r="471" spans="1:10" ht="15" customHeight="1" x14ac:dyDescent="0.25">
      <c r="A471" s="26"/>
      <c r="B471" s="26"/>
      <c r="C471" s="26" t="str">
        <f>IFERROR(IF(OR(A471="",B471=""),"",INDEX(Equipements!$H:$H,MATCH(A471,Equipements!$A:$A,0))&amp;"."&amp;B471),"")</f>
        <v/>
      </c>
      <c r="D471" s="26"/>
      <c r="E471" s="26"/>
      <c r="F471" s="26"/>
      <c r="G471" s="26"/>
      <c r="H471" s="26"/>
      <c r="I471" s="26"/>
      <c r="J471" s="26"/>
    </row>
    <row r="472" spans="1:10" ht="15" customHeight="1" x14ac:dyDescent="0.25">
      <c r="A472" s="26"/>
      <c r="B472" s="26"/>
      <c r="C472" s="26" t="str">
        <f>IFERROR(IF(OR(A472="",B472=""),"",INDEX(Equipements!$H:$H,MATCH(A472,Equipements!$A:$A,0))&amp;"."&amp;B472),"")</f>
        <v/>
      </c>
      <c r="D472" s="26"/>
      <c r="E472" s="26"/>
      <c r="F472" s="26"/>
      <c r="G472" s="26"/>
      <c r="H472" s="26"/>
      <c r="I472" s="26"/>
      <c r="J472" s="26"/>
    </row>
    <row r="473" spans="1:10" ht="15" customHeight="1" x14ac:dyDescent="0.25">
      <c r="A473" s="26"/>
      <c r="B473" s="26"/>
      <c r="C473" s="26" t="str">
        <f>IFERROR(IF(OR(A473="",B473=""),"",INDEX(Equipements!$H:$H,MATCH(A473,Equipements!$A:$A,0))&amp;"."&amp;B473),"")</f>
        <v/>
      </c>
      <c r="D473" s="26"/>
      <c r="E473" s="26"/>
      <c r="F473" s="26"/>
      <c r="G473" s="26"/>
      <c r="H473" s="26"/>
      <c r="I473" s="26"/>
      <c r="J473" s="26"/>
    </row>
    <row r="474" spans="1:10" ht="15" customHeight="1" x14ac:dyDescent="0.25">
      <c r="A474" s="26"/>
      <c r="B474" s="26"/>
      <c r="C474" s="26" t="str">
        <f>IFERROR(IF(OR(A474="",B474=""),"",INDEX(Equipements!$H:$H,MATCH(A474,Equipements!$A:$A,0))&amp;"."&amp;B474),"")</f>
        <v/>
      </c>
      <c r="D474" s="26"/>
      <c r="E474" s="26"/>
      <c r="F474" s="26"/>
      <c r="G474" s="26"/>
      <c r="H474" s="26"/>
      <c r="I474" s="26"/>
      <c r="J474" s="26"/>
    </row>
    <row r="475" spans="1:10" ht="15" customHeight="1" x14ac:dyDescent="0.25">
      <c r="A475" s="26"/>
      <c r="B475" s="26"/>
      <c r="C475" s="26" t="str">
        <f>IFERROR(IF(OR(A475="",B475=""),"",INDEX(Equipements!$H:$H,MATCH(A475,Equipements!$A:$A,0))&amp;"."&amp;B475),"")</f>
        <v/>
      </c>
      <c r="D475" s="26"/>
      <c r="E475" s="26"/>
      <c r="F475" s="26"/>
      <c r="G475" s="26"/>
      <c r="H475" s="26"/>
      <c r="I475" s="26"/>
      <c r="J475" s="26"/>
    </row>
    <row r="476" spans="1:10" ht="15" customHeight="1" x14ac:dyDescent="0.25">
      <c r="A476" s="26"/>
      <c r="B476" s="26"/>
      <c r="C476" s="26" t="str">
        <f>IFERROR(IF(OR(A476="",B476=""),"",INDEX(Equipements!$H:$H,MATCH(A476,Equipements!$A:$A,0))&amp;"."&amp;B476),"")</f>
        <v/>
      </c>
      <c r="D476" s="26"/>
      <c r="E476" s="26"/>
      <c r="F476" s="26"/>
      <c r="G476" s="26"/>
      <c r="H476" s="26"/>
      <c r="I476" s="26"/>
      <c r="J476" s="26"/>
    </row>
    <row r="477" spans="1:10" ht="15" customHeight="1" x14ac:dyDescent="0.25">
      <c r="A477" s="26"/>
      <c r="B477" s="26"/>
      <c r="C477" s="26" t="str">
        <f>IFERROR(IF(OR(A477="",B477=""),"",INDEX(Equipements!$H:$H,MATCH(A477,Equipements!$A:$A,0))&amp;"."&amp;B477),"")</f>
        <v/>
      </c>
      <c r="D477" s="26"/>
      <c r="E477" s="26"/>
      <c r="F477" s="26"/>
      <c r="G477" s="26"/>
      <c r="H477" s="26"/>
      <c r="I477" s="26"/>
      <c r="J477" s="26"/>
    </row>
    <row r="478" spans="1:10" ht="15" customHeight="1" x14ac:dyDescent="0.25">
      <c r="A478" s="26"/>
      <c r="B478" s="26"/>
      <c r="C478" s="26" t="str">
        <f>IFERROR(IF(OR(A478="",B478=""),"",INDEX(Equipements!$H:$H,MATCH(A478,Equipements!$A:$A,0))&amp;"."&amp;B478),"")</f>
        <v/>
      </c>
      <c r="D478" s="26"/>
      <c r="E478" s="26"/>
      <c r="F478" s="26"/>
      <c r="G478" s="26"/>
      <c r="H478" s="26"/>
      <c r="I478" s="26"/>
      <c r="J478" s="26"/>
    </row>
    <row r="479" spans="1:10" ht="15" customHeight="1" x14ac:dyDescent="0.25">
      <c r="A479" s="26"/>
      <c r="B479" s="26"/>
      <c r="C479" s="26" t="str">
        <f>IFERROR(IF(OR(A479="",B479=""),"",INDEX(Equipements!$H:$H,MATCH(A479,Equipements!$A:$A,0))&amp;"."&amp;B479),"")</f>
        <v/>
      </c>
      <c r="D479" s="26"/>
      <c r="E479" s="26"/>
      <c r="F479" s="26"/>
      <c r="G479" s="26"/>
      <c r="H479" s="26"/>
      <c r="I479" s="26"/>
      <c r="J479" s="26"/>
    </row>
    <row r="480" spans="1:10" ht="15" customHeight="1" x14ac:dyDescent="0.25">
      <c r="A480" s="26"/>
      <c r="B480" s="26"/>
      <c r="C480" s="26" t="str">
        <f>IFERROR(IF(OR(A480="",B480=""),"",INDEX(Equipements!$H:$H,MATCH(A480,Equipements!$A:$A,0))&amp;"."&amp;B480),"")</f>
        <v/>
      </c>
      <c r="D480" s="26"/>
      <c r="E480" s="26"/>
      <c r="F480" s="26"/>
      <c r="G480" s="26"/>
      <c r="H480" s="26"/>
      <c r="I480" s="26"/>
      <c r="J480" s="26"/>
    </row>
    <row r="481" spans="1:10" ht="15" customHeight="1" x14ac:dyDescent="0.25">
      <c r="A481" s="26"/>
      <c r="B481" s="26"/>
      <c r="C481" s="26" t="str">
        <f>IFERROR(IF(OR(A481="",B481=""),"",INDEX(Equipements!$H:$H,MATCH(A481,Equipements!$A:$A,0))&amp;"."&amp;B481),"")</f>
        <v/>
      </c>
      <c r="D481" s="26"/>
      <c r="E481" s="26"/>
      <c r="F481" s="26"/>
      <c r="G481" s="26"/>
      <c r="H481" s="26"/>
      <c r="I481" s="26"/>
      <c r="J481" s="26"/>
    </row>
    <row r="482" spans="1:10" ht="15" customHeight="1" x14ac:dyDescent="0.25">
      <c r="A482" s="26"/>
      <c r="B482" s="26"/>
      <c r="C482" s="26" t="str">
        <f>IFERROR(IF(OR(A482="",B482=""),"",INDEX(Equipements!$H:$H,MATCH(A482,Equipements!$A:$A,0))&amp;"."&amp;B482),"")</f>
        <v/>
      </c>
      <c r="D482" s="26"/>
      <c r="E482" s="26"/>
      <c r="F482" s="26"/>
      <c r="G482" s="26"/>
      <c r="H482" s="26"/>
      <c r="I482" s="26"/>
      <c r="J482" s="26"/>
    </row>
    <row r="483" spans="1:10" ht="15" customHeight="1" x14ac:dyDescent="0.25">
      <c r="A483" s="26"/>
      <c r="B483" s="26"/>
      <c r="C483" s="26" t="str">
        <f>IFERROR(IF(OR(A483="",B483=""),"",INDEX(Equipements!$H:$H,MATCH(A483,Equipements!$A:$A,0))&amp;"."&amp;B483),"")</f>
        <v/>
      </c>
      <c r="D483" s="26"/>
      <c r="E483" s="26"/>
      <c r="F483" s="26"/>
      <c r="G483" s="26"/>
      <c r="H483" s="26"/>
      <c r="I483" s="26"/>
      <c r="J483" s="26"/>
    </row>
    <row r="484" spans="1:10" ht="15" customHeight="1" x14ac:dyDescent="0.25">
      <c r="A484" s="26"/>
      <c r="B484" s="26"/>
      <c r="C484" s="26" t="str">
        <f>IFERROR(IF(OR(A484="",B484=""),"",INDEX(Equipements!$H:$H,MATCH(A484,Equipements!$A:$A,0))&amp;"."&amp;B484),"")</f>
        <v/>
      </c>
      <c r="D484" s="26"/>
      <c r="E484" s="26"/>
      <c r="F484" s="26"/>
      <c r="G484" s="26"/>
      <c r="H484" s="26"/>
      <c r="I484" s="26"/>
      <c r="J484" s="26"/>
    </row>
    <row r="485" spans="1:10" ht="15" customHeight="1" x14ac:dyDescent="0.25">
      <c r="A485" s="26"/>
      <c r="B485" s="26"/>
      <c r="C485" s="26" t="str">
        <f>IFERROR(IF(OR(A485="",B485=""),"",INDEX(Equipements!$H:$H,MATCH(A485,Equipements!$A:$A,0))&amp;"."&amp;B485),"")</f>
        <v/>
      </c>
      <c r="D485" s="26"/>
      <c r="E485" s="26"/>
      <c r="F485" s="26"/>
      <c r="G485" s="26"/>
      <c r="H485" s="26"/>
      <c r="I485" s="26"/>
      <c r="J485" s="26"/>
    </row>
    <row r="486" spans="1:10" ht="15" customHeight="1" x14ac:dyDescent="0.25">
      <c r="A486" s="26"/>
      <c r="B486" s="26"/>
      <c r="C486" s="26" t="str">
        <f>IFERROR(IF(OR(A486="",B486=""),"",INDEX(Equipements!$H:$H,MATCH(A486,Equipements!$A:$A,0))&amp;"."&amp;B486),"")</f>
        <v/>
      </c>
      <c r="D486" s="26"/>
      <c r="E486" s="26"/>
      <c r="F486" s="26"/>
      <c r="G486" s="26"/>
      <c r="H486" s="26"/>
      <c r="I486" s="26"/>
      <c r="J486" s="26"/>
    </row>
    <row r="487" spans="1:10" ht="15" customHeight="1" x14ac:dyDescent="0.25">
      <c r="A487" s="26"/>
      <c r="B487" s="26"/>
      <c r="C487" s="26" t="str">
        <f>IFERROR(IF(OR(A487="",B487=""),"",INDEX(Equipements!$H:$H,MATCH(A487,Equipements!$A:$A,0))&amp;"."&amp;B487),"")</f>
        <v/>
      </c>
      <c r="D487" s="26"/>
      <c r="E487" s="26"/>
      <c r="F487" s="26"/>
      <c r="G487" s="26"/>
      <c r="H487" s="26"/>
      <c r="I487" s="26"/>
      <c r="J487" s="26"/>
    </row>
    <row r="488" spans="1:10" ht="15" customHeight="1" x14ac:dyDescent="0.25">
      <c r="A488" s="26"/>
      <c r="B488" s="26"/>
      <c r="C488" s="26" t="str">
        <f>IFERROR(IF(OR(A488="",B488=""),"",INDEX(Equipements!$H:$H,MATCH(A488,Equipements!$A:$A,0))&amp;"."&amp;B488),"")</f>
        <v/>
      </c>
      <c r="D488" s="26"/>
      <c r="E488" s="26"/>
      <c r="F488" s="26"/>
      <c r="G488" s="26"/>
      <c r="H488" s="26"/>
      <c r="I488" s="26"/>
      <c r="J488" s="26"/>
    </row>
    <row r="489" spans="1:10" ht="15" customHeight="1" x14ac:dyDescent="0.25">
      <c r="A489" s="26"/>
      <c r="B489" s="26"/>
      <c r="C489" s="26" t="str">
        <f>IFERROR(IF(OR(A489="",B489=""),"",INDEX(Equipements!$H:$H,MATCH(A489,Equipements!$A:$A,0))&amp;"."&amp;B489),"")</f>
        <v/>
      </c>
      <c r="D489" s="26"/>
      <c r="E489" s="26"/>
      <c r="F489" s="26"/>
      <c r="G489" s="26"/>
      <c r="H489" s="26"/>
      <c r="I489" s="26"/>
      <c r="J489" s="26"/>
    </row>
    <row r="490" spans="1:10" ht="15" customHeight="1" x14ac:dyDescent="0.25">
      <c r="A490" s="26"/>
      <c r="B490" s="26"/>
      <c r="C490" s="26" t="str">
        <f>IFERROR(IF(OR(A490="",B490=""),"",INDEX(Equipements!$H:$H,MATCH(A490,Equipements!$A:$A,0))&amp;"."&amp;B490),"")</f>
        <v/>
      </c>
      <c r="D490" s="26"/>
      <c r="E490" s="26"/>
      <c r="F490" s="26"/>
      <c r="G490" s="26"/>
      <c r="H490" s="26"/>
      <c r="I490" s="26"/>
      <c r="J490" s="26"/>
    </row>
    <row r="491" spans="1:10" ht="15" customHeight="1" x14ac:dyDescent="0.25">
      <c r="A491" s="26"/>
      <c r="B491" s="26"/>
      <c r="C491" s="26" t="str">
        <f>IFERROR(IF(OR(A491="",B491=""),"",INDEX(Equipements!$H:$H,MATCH(A491,Equipements!$A:$A,0))&amp;"."&amp;B491),"")</f>
        <v/>
      </c>
      <c r="D491" s="26"/>
      <c r="E491" s="26"/>
      <c r="F491" s="26"/>
      <c r="G491" s="26"/>
      <c r="H491" s="26"/>
      <c r="I491" s="26"/>
      <c r="J491" s="26"/>
    </row>
    <row r="492" spans="1:10" ht="15" customHeight="1" x14ac:dyDescent="0.25">
      <c r="A492" s="26"/>
      <c r="B492" s="26"/>
      <c r="C492" s="26" t="str">
        <f>IFERROR(IF(OR(A492="",B492=""),"",INDEX(Equipements!$H:$H,MATCH(A492,Equipements!$A:$A,0))&amp;"."&amp;B492),"")</f>
        <v/>
      </c>
      <c r="D492" s="26"/>
      <c r="E492" s="26"/>
      <c r="F492" s="26"/>
      <c r="G492" s="26"/>
      <c r="H492" s="26"/>
      <c r="I492" s="26"/>
      <c r="J492" s="26"/>
    </row>
    <row r="493" spans="1:10" ht="15" customHeight="1" x14ac:dyDescent="0.25">
      <c r="A493" s="26"/>
      <c r="B493" s="26"/>
      <c r="C493" s="26" t="str">
        <f>IFERROR(IF(OR(A493="",B493=""),"",INDEX(Equipements!$H:$H,MATCH(A493,Equipements!$A:$A,0))&amp;"."&amp;B493),"")</f>
        <v/>
      </c>
      <c r="D493" s="26"/>
      <c r="E493" s="26"/>
      <c r="F493" s="26"/>
      <c r="G493" s="26"/>
      <c r="H493" s="26"/>
      <c r="I493" s="26"/>
      <c r="J493" s="26"/>
    </row>
    <row r="494" spans="1:10" ht="15" customHeight="1" x14ac:dyDescent="0.25">
      <c r="A494" s="26"/>
      <c r="B494" s="26"/>
      <c r="C494" s="26" t="str">
        <f>IFERROR(IF(OR(A494="",B494=""),"",INDEX(Equipements!$H:$H,MATCH(A494,Equipements!$A:$A,0))&amp;"."&amp;B494),"")</f>
        <v/>
      </c>
      <c r="D494" s="26"/>
      <c r="E494" s="26"/>
      <c r="F494" s="26"/>
      <c r="G494" s="26"/>
      <c r="H494" s="26"/>
      <c r="I494" s="26"/>
      <c r="J494" s="26"/>
    </row>
    <row r="495" spans="1:10" ht="15" customHeight="1" x14ac:dyDescent="0.25">
      <c r="A495" s="26"/>
      <c r="B495" s="26"/>
      <c r="C495" s="26" t="str">
        <f>IFERROR(IF(OR(A495="",B495=""),"",INDEX(Equipements!$H:$H,MATCH(A495,Equipements!$A:$A,0))&amp;"."&amp;B495),"")</f>
        <v/>
      </c>
      <c r="D495" s="26"/>
      <c r="E495" s="26"/>
      <c r="F495" s="26"/>
      <c r="G495" s="26"/>
      <c r="H495" s="26"/>
      <c r="I495" s="26"/>
      <c r="J495" s="26"/>
    </row>
    <row r="496" spans="1:10" ht="15" customHeight="1" x14ac:dyDescent="0.25">
      <c r="A496" s="26"/>
      <c r="B496" s="26"/>
      <c r="C496" s="26" t="str">
        <f>IFERROR(IF(OR(A496="",B496=""),"",INDEX(Equipements!$H:$H,MATCH(A496,Equipements!$A:$A,0))&amp;"."&amp;B496),"")</f>
        <v/>
      </c>
      <c r="D496" s="26"/>
      <c r="E496" s="26"/>
      <c r="F496" s="26"/>
      <c r="G496" s="26"/>
      <c r="H496" s="26"/>
      <c r="I496" s="26"/>
      <c r="J496" s="26"/>
    </row>
    <row r="497" spans="1:10" ht="15" customHeight="1" x14ac:dyDescent="0.25">
      <c r="A497" s="26"/>
      <c r="B497" s="26"/>
      <c r="C497" s="26" t="str">
        <f>IFERROR(IF(OR(A497="",B497=""),"",INDEX(Equipements!$H:$H,MATCH(A497,Equipements!$A:$A,0))&amp;"."&amp;B497),"")</f>
        <v/>
      </c>
      <c r="D497" s="26"/>
      <c r="E497" s="26"/>
      <c r="F497" s="26"/>
      <c r="G497" s="26"/>
      <c r="H497" s="26"/>
      <c r="I497" s="26"/>
      <c r="J497" s="26"/>
    </row>
    <row r="498" spans="1:10" ht="15" customHeight="1" x14ac:dyDescent="0.25">
      <c r="A498" s="26"/>
      <c r="B498" s="26"/>
      <c r="C498" s="26" t="str">
        <f>IFERROR(IF(OR(A498="",B498=""),"",INDEX(Equipements!$H:$H,MATCH(A498,Equipements!$A:$A,0))&amp;"."&amp;B498),"")</f>
        <v/>
      </c>
      <c r="D498" s="26"/>
      <c r="E498" s="26"/>
      <c r="F498" s="26"/>
      <c r="G498" s="26"/>
      <c r="H498" s="26"/>
      <c r="I498" s="26"/>
      <c r="J498" s="26"/>
    </row>
    <row r="499" spans="1:10" ht="15" customHeight="1" x14ac:dyDescent="0.25">
      <c r="A499" s="26"/>
      <c r="B499" s="26"/>
      <c r="C499" s="26" t="str">
        <f>IFERROR(IF(OR(A499="",B499=""),"",INDEX(Equipements!$H:$H,MATCH(A499,Equipements!$A:$A,0))&amp;"."&amp;B499),"")</f>
        <v/>
      </c>
      <c r="D499" s="26"/>
      <c r="E499" s="26"/>
      <c r="F499" s="26"/>
      <c r="G499" s="26"/>
      <c r="H499" s="26"/>
      <c r="I499" s="26"/>
      <c r="J499" s="26"/>
    </row>
    <row r="500" spans="1:10" ht="15" customHeight="1" x14ac:dyDescent="0.25">
      <c r="A500" s="26"/>
      <c r="B500" s="26"/>
      <c r="C500" s="26" t="str">
        <f>IFERROR(IF(OR(A500="",B500=""),"",INDEX(Equipements!$H:$H,MATCH(A500,Equipements!$A:$A,0))&amp;"."&amp;B500),"")</f>
        <v/>
      </c>
      <c r="D500" s="26"/>
      <c r="E500" s="26"/>
      <c r="F500" s="26"/>
      <c r="G500" s="26"/>
      <c r="H500" s="26"/>
      <c r="I500" s="26"/>
      <c r="J500" s="26"/>
    </row>
    <row r="501" spans="1:10" ht="15" customHeight="1" x14ac:dyDescent="0.25">
      <c r="A501" s="26"/>
      <c r="B501" s="26"/>
      <c r="C501" s="26" t="str">
        <f>IFERROR(IF(OR(A501="",B501=""),"",INDEX(Equipements!$H:$H,MATCH(A501,Equipements!$A:$A,0))&amp;"."&amp;B501),"")</f>
        <v/>
      </c>
      <c r="D501" s="26"/>
      <c r="E501" s="26"/>
      <c r="F501" s="26"/>
      <c r="G501" s="26"/>
      <c r="H501" s="26"/>
      <c r="I501" s="26"/>
      <c r="J501" s="26"/>
    </row>
    <row r="502" spans="1:10" ht="15" customHeight="1" x14ac:dyDescent="0.25">
      <c r="A502" s="26"/>
      <c r="B502" s="26"/>
      <c r="C502" s="26" t="str">
        <f>IFERROR(IF(OR(A502="",B502=""),"",INDEX(Equipements!$H:$H,MATCH(A502,Equipements!$A:$A,0))&amp;"."&amp;B502),"")</f>
        <v/>
      </c>
      <c r="D502" s="26"/>
      <c r="E502" s="26"/>
      <c r="F502" s="26"/>
      <c r="G502" s="26"/>
      <c r="H502" s="26"/>
      <c r="I502" s="26"/>
      <c r="J502" s="26"/>
    </row>
    <row r="503" spans="1:10" ht="15" customHeight="1" x14ac:dyDescent="0.25">
      <c r="A503" s="26"/>
      <c r="B503" s="26"/>
      <c r="C503" s="26" t="str">
        <f>IFERROR(IF(OR(A503="",B503=""),"",INDEX(Equipements!$H:$H,MATCH(A503,Equipements!$A:$A,0))&amp;"."&amp;B503),"")</f>
        <v/>
      </c>
      <c r="D503" s="26"/>
      <c r="E503" s="26"/>
      <c r="F503" s="26"/>
      <c r="G503" s="26"/>
      <c r="H503" s="26"/>
      <c r="I503" s="26"/>
      <c r="J503" s="26"/>
    </row>
    <row r="504" spans="1:10" ht="15" customHeight="1" x14ac:dyDescent="0.25">
      <c r="A504" s="26"/>
      <c r="B504" s="26"/>
      <c r="C504" s="26" t="str">
        <f>IFERROR(IF(OR(A504="",B504=""),"",INDEX(Equipements!$H:$H,MATCH(A504,Equipements!$A:$A,0))&amp;"."&amp;B504),"")</f>
        <v/>
      </c>
      <c r="D504" s="26"/>
      <c r="E504" s="26"/>
      <c r="F504" s="26"/>
      <c r="G504" s="26"/>
      <c r="H504" s="26"/>
      <c r="I504" s="26"/>
      <c r="J504" s="26"/>
    </row>
    <row r="505" spans="1:10" ht="15" customHeight="1" x14ac:dyDescent="0.25">
      <c r="A505" s="26"/>
      <c r="B505" s="26"/>
      <c r="C505" s="26" t="str">
        <f>IFERROR(IF(OR(A505="",B505=""),"",INDEX(Equipements!$H:$H,MATCH(A505,Equipements!$A:$A,0))&amp;"."&amp;B505),"")</f>
        <v/>
      </c>
      <c r="D505" s="26"/>
      <c r="E505" s="26"/>
      <c r="F505" s="26"/>
      <c r="G505" s="26"/>
      <c r="H505" s="26"/>
      <c r="I505" s="26"/>
      <c r="J505" s="26"/>
    </row>
    <row r="506" spans="1:10" ht="15" customHeight="1" x14ac:dyDescent="0.25">
      <c r="A506" s="26"/>
      <c r="B506" s="26"/>
      <c r="C506" s="26" t="str">
        <f>IFERROR(IF(OR(A506="",B506=""),"",INDEX(Equipements!$H:$H,MATCH(A506,Equipements!$A:$A,0))&amp;"."&amp;B506),"")</f>
        <v/>
      </c>
      <c r="D506" s="26"/>
      <c r="E506" s="26"/>
      <c r="F506" s="26"/>
      <c r="G506" s="26"/>
      <c r="H506" s="26"/>
      <c r="I506" s="26"/>
      <c r="J506" s="26"/>
    </row>
    <row r="507" spans="1:10" ht="15" customHeight="1" x14ac:dyDescent="0.25">
      <c r="A507" s="26"/>
      <c r="B507" s="26"/>
      <c r="C507" s="26" t="str">
        <f>IFERROR(IF(OR(A507="",B507=""),"",INDEX(Equipements!$H:$H,MATCH(A507,Equipements!$A:$A,0))&amp;"."&amp;B507),"")</f>
        <v/>
      </c>
      <c r="D507" s="26"/>
      <c r="E507" s="26"/>
      <c r="F507" s="26"/>
      <c r="G507" s="26"/>
      <c r="H507" s="26"/>
      <c r="I507" s="26"/>
      <c r="J507" s="26"/>
    </row>
    <row r="508" spans="1:10" ht="15" customHeight="1" x14ac:dyDescent="0.25">
      <c r="A508" s="26"/>
      <c r="B508" s="26"/>
      <c r="C508" s="26" t="str">
        <f>IFERROR(IF(OR(A508="",B508=""),"",INDEX(Equipements!$H:$H,MATCH(A508,Equipements!$A:$A,0))&amp;"."&amp;B508),"")</f>
        <v/>
      </c>
      <c r="D508" s="26"/>
      <c r="E508" s="26"/>
      <c r="F508" s="26"/>
      <c r="G508" s="26"/>
      <c r="H508" s="26"/>
      <c r="I508" s="26"/>
      <c r="J508" s="26"/>
    </row>
    <row r="509" spans="1:10" ht="15" customHeight="1" x14ac:dyDescent="0.25">
      <c r="A509" s="26"/>
      <c r="B509" s="26"/>
      <c r="C509" s="26" t="str">
        <f>IFERROR(IF(OR(A509="",B509=""),"",INDEX(Equipements!$H:$H,MATCH(A509,Equipements!$A:$A,0))&amp;"."&amp;B509),"")</f>
        <v/>
      </c>
      <c r="D509" s="26"/>
      <c r="E509" s="26"/>
      <c r="F509" s="26"/>
      <c r="G509" s="26"/>
      <c r="H509" s="26"/>
      <c r="I509" s="26"/>
      <c r="J509" s="26"/>
    </row>
    <row r="510" spans="1:10" ht="15" customHeight="1" x14ac:dyDescent="0.25">
      <c r="A510" s="26"/>
      <c r="B510" s="26"/>
      <c r="C510" s="26" t="str">
        <f>IFERROR(IF(OR(A510="",B510=""),"",INDEX(Equipements!$H:$H,MATCH(A510,Equipements!$A:$A,0))&amp;"."&amp;B510),"")</f>
        <v/>
      </c>
      <c r="D510" s="26"/>
      <c r="E510" s="26"/>
      <c r="F510" s="26"/>
      <c r="G510" s="26"/>
      <c r="H510" s="26"/>
      <c r="I510" s="26"/>
      <c r="J510" s="26"/>
    </row>
    <row r="511" spans="1:10" ht="15" customHeight="1" x14ac:dyDescent="0.25">
      <c r="A511" s="26"/>
      <c r="B511" s="26"/>
      <c r="C511" s="26" t="str">
        <f>IFERROR(IF(OR(A511="",B511=""),"",INDEX(Equipements!$H:$H,MATCH(A511,Equipements!$A:$A,0))&amp;"."&amp;B511),"")</f>
        <v/>
      </c>
      <c r="D511" s="26"/>
      <c r="E511" s="26"/>
      <c r="F511" s="26"/>
      <c r="G511" s="26"/>
      <c r="H511" s="26"/>
      <c r="I511" s="26"/>
      <c r="J511" s="26"/>
    </row>
    <row r="512" spans="1:10" ht="15" customHeight="1" x14ac:dyDescent="0.25">
      <c r="A512" s="26"/>
      <c r="B512" s="26"/>
      <c r="C512" s="26" t="str">
        <f>IFERROR(IF(OR(A512="",B512=""),"",INDEX(Equipements!$H:$H,MATCH(A512,Equipements!$A:$A,0))&amp;"."&amp;B512),"")</f>
        <v/>
      </c>
      <c r="D512" s="26"/>
      <c r="E512" s="26"/>
      <c r="F512" s="26"/>
      <c r="G512" s="26"/>
      <c r="H512" s="26"/>
      <c r="I512" s="26"/>
      <c r="J512" s="26"/>
    </row>
    <row r="513" spans="1:10" ht="15" customHeight="1" x14ac:dyDescent="0.25">
      <c r="A513" s="26"/>
      <c r="B513" s="26"/>
      <c r="C513" s="26" t="str">
        <f>IFERROR(IF(OR(A513="",B513=""),"",INDEX(Equipements!$H:$H,MATCH(A513,Equipements!$A:$A,0))&amp;"."&amp;B513),"")</f>
        <v/>
      </c>
      <c r="D513" s="26"/>
      <c r="E513" s="26"/>
      <c r="F513" s="26"/>
      <c r="G513" s="26"/>
      <c r="H513" s="26"/>
      <c r="I513" s="26"/>
      <c r="J513" s="26"/>
    </row>
    <row r="514" spans="1:10" ht="15" customHeight="1" x14ac:dyDescent="0.25">
      <c r="A514" s="26"/>
      <c r="B514" s="26"/>
      <c r="C514" s="26" t="str">
        <f>IFERROR(IF(OR(A514="",B514=""),"",INDEX(Equipements!$H:$H,MATCH(A514,Equipements!$A:$A,0))&amp;"."&amp;B514),"")</f>
        <v/>
      </c>
      <c r="D514" s="26"/>
      <c r="E514" s="26"/>
      <c r="F514" s="26"/>
      <c r="G514" s="26"/>
      <c r="H514" s="26"/>
      <c r="I514" s="26"/>
      <c r="J514" s="26"/>
    </row>
    <row r="515" spans="1:10" ht="15" customHeight="1" x14ac:dyDescent="0.25">
      <c r="A515" s="26"/>
      <c r="B515" s="26"/>
      <c r="C515" s="26" t="str">
        <f>IFERROR(IF(OR(A515="",B515=""),"",INDEX(Equipements!$H:$H,MATCH(A515,Equipements!$A:$A,0))&amp;"."&amp;B515),"")</f>
        <v/>
      </c>
      <c r="D515" s="26"/>
      <c r="E515" s="26"/>
      <c r="F515" s="26"/>
      <c r="G515" s="26"/>
      <c r="H515" s="26"/>
      <c r="I515" s="26"/>
      <c r="J515" s="26"/>
    </row>
    <row r="516" spans="1:10" ht="15" customHeight="1" x14ac:dyDescent="0.25">
      <c r="A516" s="26"/>
      <c r="B516" s="26"/>
      <c r="C516" s="26" t="str">
        <f>IFERROR(IF(OR(A516="",B516=""),"",INDEX(Equipements!$H:$H,MATCH(A516,Equipements!$A:$A,0))&amp;"."&amp;B516),"")</f>
        <v/>
      </c>
      <c r="D516" s="26"/>
      <c r="E516" s="26"/>
      <c r="F516" s="26"/>
      <c r="G516" s="26"/>
      <c r="H516" s="26"/>
      <c r="I516" s="26"/>
      <c r="J516" s="26"/>
    </row>
    <row r="517" spans="1:10" ht="15" customHeight="1" x14ac:dyDescent="0.25">
      <c r="A517" s="26"/>
      <c r="B517" s="26"/>
      <c r="C517" s="26" t="str">
        <f>IFERROR(IF(OR(A517="",B517=""),"",INDEX(Equipements!$H:$H,MATCH(A517,Equipements!$A:$A,0))&amp;"."&amp;B517),"")</f>
        <v/>
      </c>
      <c r="D517" s="26"/>
      <c r="E517" s="26"/>
      <c r="F517" s="26"/>
      <c r="G517" s="26"/>
      <c r="H517" s="26"/>
      <c r="I517" s="26"/>
      <c r="J517" s="26"/>
    </row>
    <row r="518" spans="1:10" ht="15" customHeight="1" x14ac:dyDescent="0.25">
      <c r="A518" s="26"/>
      <c r="B518" s="26"/>
      <c r="C518" s="26" t="str">
        <f>IFERROR(IF(OR(A518="",B518=""),"",INDEX(Equipements!$H:$H,MATCH(A518,Equipements!$A:$A,0))&amp;"."&amp;B518),"")</f>
        <v/>
      </c>
      <c r="D518" s="26"/>
      <c r="E518" s="26"/>
      <c r="F518" s="26"/>
      <c r="G518" s="26"/>
      <c r="H518" s="26"/>
      <c r="I518" s="26"/>
      <c r="J518" s="26"/>
    </row>
    <row r="519" spans="1:10" ht="15" customHeight="1" x14ac:dyDescent="0.25">
      <c r="A519" s="26"/>
      <c r="B519" s="26"/>
      <c r="C519" s="26" t="str">
        <f>IFERROR(IF(OR(A519="",B519=""),"",INDEX(Equipements!$H:$H,MATCH(A519,Equipements!$A:$A,0))&amp;"."&amp;B519),"")</f>
        <v/>
      </c>
      <c r="D519" s="26"/>
      <c r="E519" s="26"/>
      <c r="F519" s="26"/>
      <c r="G519" s="26"/>
      <c r="H519" s="26"/>
      <c r="I519" s="26"/>
      <c r="J519" s="26"/>
    </row>
    <row r="520" spans="1:10" ht="15" customHeight="1" x14ac:dyDescent="0.25">
      <c r="A520" s="26"/>
      <c r="B520" s="26"/>
      <c r="C520" s="26" t="str">
        <f>IFERROR(IF(OR(A520="",B520=""),"",INDEX(Equipements!$H:$H,MATCH(A520,Equipements!$A:$A,0))&amp;"."&amp;B520),"")</f>
        <v/>
      </c>
      <c r="D520" s="26"/>
      <c r="E520" s="26"/>
      <c r="F520" s="26"/>
      <c r="G520" s="26"/>
      <c r="H520" s="26"/>
      <c r="I520" s="26"/>
      <c r="J520" s="26"/>
    </row>
    <row r="521" spans="1:10" ht="15" customHeight="1" x14ac:dyDescent="0.25">
      <c r="A521" s="26"/>
      <c r="B521" s="26"/>
      <c r="C521" s="26" t="str">
        <f>IFERROR(IF(OR(A521="",B521=""),"",INDEX(Equipements!$H:$H,MATCH(A521,Equipements!$A:$A,0))&amp;"."&amp;B521),"")</f>
        <v/>
      </c>
      <c r="D521" s="26"/>
      <c r="E521" s="26"/>
      <c r="F521" s="26"/>
      <c r="G521" s="26"/>
      <c r="H521" s="26"/>
      <c r="I521" s="26"/>
      <c r="J521" s="26"/>
    </row>
    <row r="522" spans="1:10" ht="15" customHeight="1" x14ac:dyDescent="0.25">
      <c r="A522" s="26"/>
      <c r="B522" s="26"/>
      <c r="C522" s="26" t="str">
        <f>IFERROR(IF(OR(A522="",B522=""),"",INDEX(Equipements!$H:$H,MATCH(A522,Equipements!$A:$A,0))&amp;"."&amp;B522),"")</f>
        <v/>
      </c>
      <c r="D522" s="26"/>
      <c r="E522" s="26"/>
      <c r="F522" s="26"/>
      <c r="G522" s="26"/>
      <c r="H522" s="26"/>
      <c r="I522" s="26"/>
      <c r="J522" s="26"/>
    </row>
    <row r="523" spans="1:10" ht="15" customHeight="1" x14ac:dyDescent="0.25">
      <c r="A523" s="26"/>
      <c r="B523" s="26"/>
      <c r="C523" s="26" t="str">
        <f>IFERROR(IF(OR(A523="",B523=""),"",INDEX(Equipements!$H:$H,MATCH(A523,Equipements!$A:$A,0))&amp;"."&amp;B523),"")</f>
        <v/>
      </c>
      <c r="D523" s="26"/>
      <c r="E523" s="26"/>
      <c r="F523" s="26"/>
      <c r="G523" s="26"/>
      <c r="H523" s="26"/>
      <c r="I523" s="26"/>
      <c r="J523" s="26"/>
    </row>
    <row r="524" spans="1:10" ht="15" customHeight="1" x14ac:dyDescent="0.25">
      <c r="A524" s="26"/>
      <c r="B524" s="26"/>
      <c r="C524" s="26" t="str">
        <f>IFERROR(IF(OR(A524="",B524=""),"",INDEX(Equipements!$H:$H,MATCH(A524,Equipements!$A:$A,0))&amp;"."&amp;B524),"")</f>
        <v/>
      </c>
      <c r="D524" s="26"/>
      <c r="E524" s="26"/>
      <c r="F524" s="26"/>
      <c r="G524" s="26"/>
      <c r="H524" s="26"/>
      <c r="I524" s="26"/>
      <c r="J524" s="26"/>
    </row>
    <row r="525" spans="1:10" ht="15" customHeight="1" x14ac:dyDescent="0.25">
      <c r="A525" s="26"/>
      <c r="B525" s="26"/>
      <c r="C525" s="26" t="str">
        <f>IFERROR(IF(OR(A525="",B525=""),"",INDEX(Equipements!$H:$H,MATCH(A525,Equipements!$A:$A,0))&amp;"."&amp;B525),"")</f>
        <v/>
      </c>
      <c r="D525" s="26"/>
      <c r="E525" s="26"/>
      <c r="F525" s="26"/>
      <c r="G525" s="26"/>
      <c r="H525" s="26"/>
      <c r="I525" s="26"/>
      <c r="J525" s="26"/>
    </row>
    <row r="526" spans="1:10" ht="15" customHeight="1" x14ac:dyDescent="0.25">
      <c r="A526" s="26"/>
      <c r="B526" s="26"/>
      <c r="C526" s="26" t="str">
        <f>IFERROR(IF(OR(A526="",B526=""),"",INDEX(Equipements!$H:$H,MATCH(A526,Equipements!$A:$A,0))&amp;"."&amp;B526),"")</f>
        <v/>
      </c>
      <c r="D526" s="26"/>
      <c r="E526" s="26"/>
      <c r="F526" s="26"/>
      <c r="G526" s="26"/>
      <c r="H526" s="26"/>
      <c r="I526" s="26"/>
      <c r="J526" s="26"/>
    </row>
    <row r="527" spans="1:10" ht="15" customHeight="1" x14ac:dyDescent="0.25">
      <c r="A527" s="26"/>
      <c r="B527" s="26"/>
      <c r="C527" s="26" t="str">
        <f>IFERROR(IF(OR(A527="",B527=""),"",INDEX(Equipements!$H:$H,MATCH(A527,Equipements!$A:$A,0))&amp;"."&amp;B527),"")</f>
        <v/>
      </c>
      <c r="D527" s="26"/>
      <c r="E527" s="26"/>
      <c r="F527" s="26"/>
      <c r="G527" s="26"/>
      <c r="H527" s="26"/>
      <c r="I527" s="26"/>
      <c r="J527" s="26"/>
    </row>
    <row r="528" spans="1:10" ht="15" customHeight="1" x14ac:dyDescent="0.25">
      <c r="A528" s="26"/>
      <c r="B528" s="26"/>
      <c r="C528" s="26" t="str">
        <f>IFERROR(IF(OR(A528="",B528=""),"",INDEX(Equipements!$H:$H,MATCH(A528,Equipements!$A:$A,0))&amp;"."&amp;B528),"")</f>
        <v/>
      </c>
      <c r="D528" s="26"/>
      <c r="E528" s="26"/>
      <c r="F528" s="26"/>
      <c r="G528" s="26"/>
      <c r="H528" s="26"/>
      <c r="I528" s="26"/>
      <c r="J528" s="26"/>
    </row>
    <row r="529" spans="1:10" ht="15" customHeight="1" x14ac:dyDescent="0.25">
      <c r="A529" s="26"/>
      <c r="B529" s="26"/>
      <c r="C529" s="26" t="str">
        <f>IFERROR(IF(OR(A529="",B529=""),"",INDEX(Equipements!$H:$H,MATCH(A529,Equipements!$A:$A,0))&amp;"."&amp;B529),"")</f>
        <v/>
      </c>
      <c r="D529" s="26"/>
      <c r="E529" s="26"/>
      <c r="F529" s="26"/>
      <c r="G529" s="26"/>
      <c r="H529" s="26"/>
      <c r="I529" s="26"/>
      <c r="J529" s="26"/>
    </row>
    <row r="530" spans="1:10" ht="15" customHeight="1" x14ac:dyDescent="0.25">
      <c r="A530" s="26"/>
      <c r="B530" s="26"/>
      <c r="C530" s="26" t="str">
        <f>IFERROR(IF(OR(A530="",B530=""),"",INDEX(Equipements!$H:$H,MATCH(A530,Equipements!$A:$A,0))&amp;"."&amp;B530),"")</f>
        <v/>
      </c>
      <c r="D530" s="26"/>
      <c r="E530" s="26"/>
      <c r="F530" s="26"/>
      <c r="G530" s="26"/>
      <c r="H530" s="26"/>
      <c r="I530" s="26"/>
      <c r="J530" s="26"/>
    </row>
    <row r="531" spans="1:10" ht="15" customHeight="1" x14ac:dyDescent="0.25">
      <c r="A531" s="26"/>
      <c r="B531" s="26"/>
      <c r="C531" s="26" t="str">
        <f>IFERROR(IF(OR(A531="",B531=""),"",INDEX(Equipements!$H:$H,MATCH(A531,Equipements!$A:$A,0))&amp;"."&amp;B531),"")</f>
        <v/>
      </c>
      <c r="D531" s="26"/>
      <c r="E531" s="26"/>
      <c r="F531" s="26"/>
      <c r="G531" s="26"/>
      <c r="H531" s="26"/>
      <c r="I531" s="26"/>
      <c r="J531" s="26"/>
    </row>
    <row r="532" spans="1:10" ht="15" customHeight="1" x14ac:dyDescent="0.25">
      <c r="A532" s="26"/>
      <c r="B532" s="26"/>
      <c r="C532" s="26" t="str">
        <f>IFERROR(IF(OR(A532="",B532=""),"",INDEX(Equipements!$H:$H,MATCH(A532,Equipements!$A:$A,0))&amp;"."&amp;B532),"")</f>
        <v/>
      </c>
      <c r="D532" s="26"/>
      <c r="E532" s="26"/>
      <c r="F532" s="26"/>
      <c r="G532" s="26"/>
      <c r="H532" s="26"/>
      <c r="I532" s="26"/>
      <c r="J532" s="26"/>
    </row>
    <row r="533" spans="1:10" ht="15" customHeight="1" x14ac:dyDescent="0.25">
      <c r="A533" s="26"/>
      <c r="B533" s="26"/>
      <c r="C533" s="26" t="str">
        <f>IFERROR(IF(OR(A533="",B533=""),"",INDEX(Equipements!$H:$H,MATCH(A533,Equipements!$A:$A,0))&amp;"."&amp;B533),"")</f>
        <v/>
      </c>
      <c r="D533" s="26"/>
      <c r="E533" s="26"/>
      <c r="F533" s="26"/>
      <c r="G533" s="26"/>
      <c r="H533" s="26"/>
      <c r="I533" s="26"/>
      <c r="J533" s="26"/>
    </row>
    <row r="534" spans="1:10" ht="15" customHeight="1" x14ac:dyDescent="0.25">
      <c r="A534" s="26"/>
      <c r="B534" s="26"/>
      <c r="C534" s="26" t="str">
        <f>IFERROR(IF(OR(A534="",B534=""),"",INDEX(Equipements!$H:$H,MATCH(A534,Equipements!$A:$A,0))&amp;"."&amp;B534),"")</f>
        <v/>
      </c>
      <c r="D534" s="26"/>
      <c r="E534" s="26"/>
      <c r="F534" s="26"/>
      <c r="G534" s="26"/>
      <c r="H534" s="26"/>
      <c r="I534" s="26"/>
      <c r="J534" s="26"/>
    </row>
    <row r="535" spans="1:10" ht="15" customHeight="1" x14ac:dyDescent="0.25">
      <c r="A535" s="26"/>
      <c r="B535" s="26"/>
      <c r="C535" s="26" t="str">
        <f>IFERROR(IF(OR(A535="",B535=""),"",INDEX(Equipements!$H:$H,MATCH(A535,Equipements!$A:$A,0))&amp;"."&amp;B535),"")</f>
        <v/>
      </c>
      <c r="D535" s="26"/>
      <c r="E535" s="26"/>
      <c r="F535" s="26"/>
      <c r="G535" s="26"/>
      <c r="H535" s="26"/>
      <c r="I535" s="26"/>
      <c r="J535" s="26"/>
    </row>
    <row r="536" spans="1:10" ht="15" customHeight="1" x14ac:dyDescent="0.25">
      <c r="A536" s="26"/>
      <c r="B536" s="26"/>
      <c r="C536" s="26" t="str">
        <f>IFERROR(IF(OR(A536="",B536=""),"",INDEX(Equipements!$H:$H,MATCH(A536,Equipements!$A:$A,0))&amp;"."&amp;B536),"")</f>
        <v/>
      </c>
      <c r="D536" s="26"/>
      <c r="E536" s="26"/>
      <c r="F536" s="26"/>
      <c r="G536" s="26"/>
      <c r="H536" s="26"/>
      <c r="I536" s="26"/>
      <c r="J536" s="26"/>
    </row>
    <row r="537" spans="1:10" ht="15" customHeight="1" x14ac:dyDescent="0.25">
      <c r="A537" s="26"/>
      <c r="B537" s="26"/>
      <c r="C537" s="26" t="str">
        <f>IFERROR(IF(OR(A537="",B537=""),"",INDEX(Equipements!$H:$H,MATCH(A537,Equipements!$A:$A,0))&amp;"."&amp;B537),"")</f>
        <v/>
      </c>
      <c r="D537" s="26"/>
      <c r="E537" s="26"/>
      <c r="F537" s="26"/>
      <c r="G537" s="26"/>
      <c r="H537" s="26"/>
      <c r="I537" s="26"/>
      <c r="J537" s="26"/>
    </row>
    <row r="538" spans="1:10" ht="15" customHeight="1" x14ac:dyDescent="0.25">
      <c r="A538" s="26"/>
      <c r="B538" s="26"/>
      <c r="C538" s="26" t="str">
        <f>IFERROR(IF(OR(A538="",B538=""),"",INDEX(Equipements!$H:$H,MATCH(A538,Equipements!$A:$A,0))&amp;"."&amp;B538),"")</f>
        <v/>
      </c>
      <c r="D538" s="26"/>
      <c r="E538" s="26"/>
      <c r="F538" s="26"/>
      <c r="G538" s="26"/>
      <c r="H538" s="26"/>
      <c r="I538" s="26"/>
      <c r="J538" s="26"/>
    </row>
    <row r="539" spans="1:10" ht="15" customHeight="1" x14ac:dyDescent="0.25">
      <c r="A539" s="26"/>
      <c r="B539" s="26"/>
      <c r="C539" s="26" t="str">
        <f>IFERROR(IF(OR(A539="",B539=""),"",INDEX(Equipements!$H:$H,MATCH(A539,Equipements!$A:$A,0))&amp;"."&amp;B539),"")</f>
        <v/>
      </c>
      <c r="D539" s="26"/>
      <c r="E539" s="26"/>
      <c r="F539" s="26"/>
      <c r="G539" s="26"/>
      <c r="H539" s="26"/>
      <c r="I539" s="26"/>
      <c r="J539" s="26"/>
    </row>
    <row r="540" spans="1:10" ht="15" customHeight="1" x14ac:dyDescent="0.25">
      <c r="A540" s="26"/>
      <c r="B540" s="26"/>
      <c r="C540" s="26" t="str">
        <f>IFERROR(IF(OR(A540="",B540=""),"",INDEX(Equipements!$H:$H,MATCH(A540,Equipements!$A:$A,0))&amp;"."&amp;B540),"")</f>
        <v/>
      </c>
      <c r="D540" s="26"/>
      <c r="E540" s="26"/>
      <c r="F540" s="26"/>
      <c r="G540" s="26"/>
      <c r="H540" s="26"/>
      <c r="I540" s="26"/>
      <c r="J540" s="26"/>
    </row>
    <row r="541" spans="1:10" ht="15" customHeight="1" x14ac:dyDescent="0.25">
      <c r="A541" s="26"/>
      <c r="B541" s="26"/>
      <c r="C541" s="26" t="str">
        <f>IFERROR(IF(OR(A541="",B541=""),"",INDEX(Equipements!$H:$H,MATCH(A541,Equipements!$A:$A,0))&amp;"."&amp;B541),"")</f>
        <v/>
      </c>
      <c r="D541" s="26"/>
      <c r="E541" s="26"/>
      <c r="F541" s="26"/>
      <c r="G541" s="26"/>
      <c r="H541" s="26"/>
      <c r="I541" s="26"/>
      <c r="J541" s="26"/>
    </row>
    <row r="542" spans="1:10" ht="15" customHeight="1" x14ac:dyDescent="0.25">
      <c r="A542" s="26"/>
      <c r="B542" s="26"/>
      <c r="C542" s="26" t="str">
        <f>IFERROR(IF(OR(A542="",B542=""),"",INDEX(Equipements!$H:$H,MATCH(A542,Equipements!$A:$A,0))&amp;"."&amp;B542),"")</f>
        <v/>
      </c>
      <c r="D542" s="26"/>
      <c r="E542" s="26"/>
      <c r="F542" s="26"/>
      <c r="G542" s="26"/>
      <c r="H542" s="26"/>
      <c r="I542" s="26"/>
      <c r="J542" s="26"/>
    </row>
    <row r="543" spans="1:10" ht="15" customHeight="1" x14ac:dyDescent="0.25">
      <c r="A543" s="26"/>
      <c r="B543" s="26"/>
      <c r="C543" s="26" t="str">
        <f>IFERROR(IF(OR(A543="",B543=""),"",INDEX(Equipements!$H:$H,MATCH(A543,Equipements!$A:$A,0))&amp;"."&amp;B543),"")</f>
        <v/>
      </c>
      <c r="D543" s="26"/>
      <c r="E543" s="26"/>
      <c r="F543" s="26"/>
      <c r="G543" s="26"/>
      <c r="H543" s="26"/>
      <c r="I543" s="26"/>
      <c r="J543" s="26"/>
    </row>
    <row r="544" spans="1:10" ht="15" customHeight="1" x14ac:dyDescent="0.25">
      <c r="A544" s="26"/>
      <c r="B544" s="26"/>
      <c r="C544" s="26" t="str">
        <f>IFERROR(IF(OR(A544="",B544=""),"",INDEX(Equipements!$H:$H,MATCH(A544,Equipements!$A:$A,0))&amp;"."&amp;B544),"")</f>
        <v/>
      </c>
      <c r="D544" s="26"/>
      <c r="E544" s="26"/>
      <c r="F544" s="26"/>
      <c r="G544" s="26"/>
      <c r="H544" s="26"/>
      <c r="I544" s="26"/>
      <c r="J544" s="26"/>
    </row>
    <row r="545" spans="1:10" ht="15" customHeight="1" x14ac:dyDescent="0.25">
      <c r="A545" s="26"/>
      <c r="B545" s="26"/>
      <c r="C545" s="26" t="str">
        <f>IFERROR(IF(OR(A545="",B545=""),"",INDEX(Equipements!$H:$H,MATCH(A545,Equipements!$A:$A,0))&amp;"."&amp;B545),"")</f>
        <v/>
      </c>
      <c r="D545" s="26"/>
      <c r="E545" s="26"/>
      <c r="F545" s="26"/>
      <c r="G545" s="26"/>
      <c r="H545" s="26"/>
      <c r="I545" s="26"/>
      <c r="J545" s="26"/>
    </row>
    <row r="546" spans="1:10" ht="15" customHeight="1" x14ac:dyDescent="0.25">
      <c r="A546" s="26"/>
      <c r="B546" s="26"/>
      <c r="C546" s="26" t="str">
        <f>IFERROR(IF(OR(A546="",B546=""),"",INDEX(Equipements!$H:$H,MATCH(A546,Equipements!$A:$A,0))&amp;"."&amp;B546),"")</f>
        <v/>
      </c>
      <c r="D546" s="26"/>
      <c r="E546" s="26"/>
      <c r="F546" s="26"/>
      <c r="G546" s="26"/>
      <c r="H546" s="26"/>
      <c r="I546" s="26"/>
      <c r="J546" s="26"/>
    </row>
    <row r="547" spans="1:10" ht="15" customHeight="1" x14ac:dyDescent="0.25">
      <c r="A547" s="26"/>
      <c r="B547" s="26"/>
      <c r="C547" s="26" t="str">
        <f>IFERROR(IF(OR(A547="",B547=""),"",INDEX(Equipements!$H:$H,MATCH(A547,Equipements!$A:$A,0))&amp;"."&amp;B547),"")</f>
        <v/>
      </c>
      <c r="D547" s="26"/>
      <c r="E547" s="26"/>
      <c r="F547" s="26"/>
      <c r="G547" s="26"/>
      <c r="H547" s="26"/>
      <c r="I547" s="26"/>
      <c r="J547" s="26"/>
    </row>
    <row r="548" spans="1:10" ht="15" customHeight="1" x14ac:dyDescent="0.25">
      <c r="A548" s="26"/>
      <c r="B548" s="26"/>
      <c r="C548" s="26" t="str">
        <f>IFERROR(IF(OR(A548="",B548=""),"",INDEX(Equipements!$H:$H,MATCH(A548,Equipements!$A:$A,0))&amp;"."&amp;B548),"")</f>
        <v/>
      </c>
      <c r="D548" s="26"/>
      <c r="E548" s="26"/>
      <c r="F548" s="26"/>
      <c r="G548" s="26"/>
      <c r="H548" s="26"/>
      <c r="I548" s="26"/>
      <c r="J548" s="26"/>
    </row>
    <row r="549" spans="1:10" ht="15" customHeight="1" x14ac:dyDescent="0.25">
      <c r="A549" s="26"/>
      <c r="B549" s="26"/>
      <c r="C549" s="26" t="str">
        <f>IFERROR(IF(OR(A549="",B549=""),"",INDEX(Equipements!$H:$H,MATCH(A549,Equipements!$A:$A,0))&amp;"."&amp;B549),"")</f>
        <v/>
      </c>
      <c r="D549" s="26"/>
      <c r="E549" s="26"/>
      <c r="F549" s="26"/>
      <c r="G549" s="26"/>
      <c r="H549" s="26"/>
      <c r="I549" s="26"/>
      <c r="J549" s="26"/>
    </row>
    <row r="550" spans="1:10" ht="15" customHeight="1" x14ac:dyDescent="0.25">
      <c r="A550" s="26"/>
      <c r="B550" s="26"/>
      <c r="C550" s="26" t="str">
        <f>IFERROR(IF(OR(A550="",B550=""),"",INDEX(Equipements!$H:$H,MATCH(A550,Equipements!$A:$A,0))&amp;"."&amp;B550),"")</f>
        <v/>
      </c>
      <c r="D550" s="26"/>
      <c r="E550" s="26"/>
      <c r="F550" s="26"/>
      <c r="G550" s="26"/>
      <c r="H550" s="26"/>
      <c r="I550" s="26"/>
      <c r="J550" s="26"/>
    </row>
    <row r="551" spans="1:10" ht="15" customHeight="1" x14ac:dyDescent="0.25">
      <c r="A551" s="26"/>
      <c r="B551" s="26"/>
      <c r="C551" s="26" t="str">
        <f>IFERROR(IF(OR(A551="",B551=""),"",INDEX(Equipements!$H:$H,MATCH(A551,Equipements!$A:$A,0))&amp;"."&amp;B551),"")</f>
        <v/>
      </c>
      <c r="D551" s="26"/>
      <c r="E551" s="26"/>
      <c r="F551" s="26"/>
      <c r="G551" s="26"/>
      <c r="H551" s="26"/>
      <c r="I551" s="26"/>
      <c r="J551" s="26"/>
    </row>
    <row r="552" spans="1:10" ht="15" customHeight="1" x14ac:dyDescent="0.25">
      <c r="A552" s="26"/>
      <c r="B552" s="26"/>
      <c r="C552" s="26" t="str">
        <f>IFERROR(IF(OR(A552="",B552=""),"",INDEX(Equipements!$H:$H,MATCH(A552,Equipements!$A:$A,0))&amp;"."&amp;B552),"")</f>
        <v/>
      </c>
      <c r="D552" s="26"/>
      <c r="E552" s="26"/>
      <c r="F552" s="26"/>
      <c r="G552" s="26"/>
      <c r="H552" s="26"/>
      <c r="I552" s="26"/>
      <c r="J552" s="26"/>
    </row>
    <row r="553" spans="1:10" ht="15" customHeight="1" x14ac:dyDescent="0.25">
      <c r="A553" s="26"/>
      <c r="B553" s="26"/>
      <c r="C553" s="26" t="str">
        <f>IFERROR(IF(OR(A553="",B553=""),"",INDEX(Equipements!$H:$H,MATCH(A553,Equipements!$A:$A,0))&amp;"."&amp;B553),"")</f>
        <v/>
      </c>
      <c r="D553" s="26"/>
      <c r="E553" s="26"/>
      <c r="F553" s="26"/>
      <c r="G553" s="26"/>
      <c r="H553" s="26"/>
      <c r="I553" s="26"/>
      <c r="J553" s="26"/>
    </row>
    <row r="554" spans="1:10" ht="15" customHeight="1" x14ac:dyDescent="0.25">
      <c r="A554" s="26"/>
      <c r="B554" s="26"/>
      <c r="C554" s="26" t="str">
        <f>IFERROR(IF(OR(A554="",B554=""),"",INDEX(Equipements!$H:$H,MATCH(A554,Equipements!$A:$A,0))&amp;"."&amp;B554),"")</f>
        <v/>
      </c>
      <c r="D554" s="26"/>
      <c r="E554" s="26"/>
      <c r="F554" s="26"/>
      <c r="G554" s="26"/>
      <c r="H554" s="26"/>
      <c r="I554" s="26"/>
      <c r="J554" s="26"/>
    </row>
    <row r="555" spans="1:10" ht="15" customHeight="1" x14ac:dyDescent="0.25">
      <c r="A555" s="26"/>
      <c r="B555" s="26"/>
      <c r="C555" s="26" t="str">
        <f>IFERROR(IF(OR(A555="",B555=""),"",INDEX(Equipements!$H:$H,MATCH(A555,Equipements!$A:$A,0))&amp;"."&amp;B555),"")</f>
        <v/>
      </c>
      <c r="D555" s="26"/>
      <c r="E555" s="26"/>
      <c r="F555" s="26"/>
      <c r="G555" s="26"/>
      <c r="H555" s="26"/>
      <c r="I555" s="26"/>
      <c r="J555" s="26"/>
    </row>
    <row r="556" spans="1:10" ht="15" customHeight="1" x14ac:dyDescent="0.25">
      <c r="A556" s="26"/>
      <c r="B556" s="26"/>
      <c r="C556" s="26" t="str">
        <f>IFERROR(IF(OR(A556="",B556=""),"",INDEX(Equipements!$H:$H,MATCH(A556,Equipements!$A:$A,0))&amp;"."&amp;B556),"")</f>
        <v/>
      </c>
      <c r="D556" s="26"/>
      <c r="E556" s="26"/>
      <c r="F556" s="26"/>
      <c r="G556" s="26"/>
      <c r="H556" s="26"/>
      <c r="I556" s="26"/>
      <c r="J556" s="26"/>
    </row>
    <row r="557" spans="1:10" ht="15" customHeight="1" x14ac:dyDescent="0.25">
      <c r="A557" s="26"/>
      <c r="B557" s="26"/>
      <c r="C557" s="26" t="str">
        <f>IFERROR(IF(OR(A557="",B557=""),"",INDEX(Equipements!$H:$H,MATCH(A557,Equipements!$A:$A,0))&amp;"."&amp;B557),"")</f>
        <v/>
      </c>
      <c r="D557" s="26"/>
      <c r="E557" s="26"/>
      <c r="F557" s="26"/>
      <c r="G557" s="26"/>
      <c r="H557" s="26"/>
      <c r="I557" s="26"/>
      <c r="J557" s="26"/>
    </row>
    <row r="558" spans="1:10" ht="15" customHeight="1" x14ac:dyDescent="0.25">
      <c r="A558" s="26"/>
      <c r="B558" s="26"/>
      <c r="C558" s="26" t="str">
        <f>IFERROR(IF(OR(A558="",B558=""),"",INDEX(Equipements!$H:$H,MATCH(A558,Equipements!$A:$A,0))&amp;"."&amp;B558),"")</f>
        <v/>
      </c>
      <c r="D558" s="26"/>
      <c r="E558" s="26"/>
      <c r="F558" s="26"/>
      <c r="G558" s="26"/>
      <c r="H558" s="26"/>
      <c r="I558" s="26"/>
      <c r="J558" s="26"/>
    </row>
    <row r="559" spans="1:10" ht="15" customHeight="1" x14ac:dyDescent="0.25">
      <c r="A559" s="26"/>
      <c r="B559" s="26"/>
      <c r="C559" s="26" t="str">
        <f>IFERROR(IF(OR(A559="",B559=""),"",INDEX(Equipements!$H:$H,MATCH(A559,Equipements!$A:$A,0))&amp;"."&amp;B559),"")</f>
        <v/>
      </c>
      <c r="D559" s="26"/>
      <c r="E559" s="26"/>
      <c r="F559" s="26"/>
      <c r="G559" s="26"/>
      <c r="H559" s="26"/>
      <c r="I559" s="26"/>
      <c r="J559" s="26"/>
    </row>
    <row r="560" spans="1:10" ht="15" customHeight="1" x14ac:dyDescent="0.25">
      <c r="A560" s="26"/>
      <c r="B560" s="26"/>
      <c r="C560" s="26" t="str">
        <f>IFERROR(IF(OR(A560="",B560=""),"",INDEX(Equipements!$H:$H,MATCH(A560,Equipements!$A:$A,0))&amp;"."&amp;B560),"")</f>
        <v/>
      </c>
      <c r="D560" s="26"/>
      <c r="E560" s="26"/>
      <c r="F560" s="26"/>
      <c r="G560" s="26"/>
      <c r="H560" s="26"/>
      <c r="I560" s="26"/>
      <c r="J560" s="26"/>
    </row>
    <row r="561" spans="1:10" ht="15" customHeight="1" x14ac:dyDescent="0.25">
      <c r="A561" s="26"/>
      <c r="B561" s="26"/>
      <c r="C561" s="26" t="str">
        <f>IFERROR(IF(OR(A561="",B561=""),"",INDEX(Equipements!$H:$H,MATCH(A561,Equipements!$A:$A,0))&amp;"."&amp;B561),"")</f>
        <v/>
      </c>
      <c r="D561" s="26"/>
      <c r="E561" s="26"/>
      <c r="F561" s="26"/>
      <c r="G561" s="26"/>
      <c r="H561" s="26"/>
      <c r="I561" s="26"/>
      <c r="J561" s="26"/>
    </row>
    <row r="562" spans="1:10" ht="15" customHeight="1" x14ac:dyDescent="0.25">
      <c r="A562" s="26"/>
      <c r="B562" s="26"/>
      <c r="C562" s="26" t="str">
        <f>IFERROR(IF(OR(A562="",B562=""),"",INDEX(Equipements!$H:$H,MATCH(A562,Equipements!$A:$A,0))&amp;"."&amp;B562),"")</f>
        <v/>
      </c>
      <c r="D562" s="26"/>
      <c r="E562" s="26"/>
      <c r="F562" s="26"/>
      <c r="G562" s="26"/>
      <c r="H562" s="26"/>
      <c r="I562" s="26"/>
      <c r="J562" s="26"/>
    </row>
    <row r="563" spans="1:10" ht="15" customHeight="1" x14ac:dyDescent="0.25">
      <c r="A563" s="26"/>
      <c r="B563" s="26"/>
      <c r="C563" s="26" t="str">
        <f>IFERROR(IF(OR(A563="",B563=""),"",INDEX(Equipements!$H:$H,MATCH(A563,Equipements!$A:$A,0))&amp;"."&amp;B563),"")</f>
        <v/>
      </c>
      <c r="D563" s="26"/>
      <c r="E563" s="26"/>
      <c r="F563" s="26"/>
      <c r="G563" s="26"/>
      <c r="H563" s="26"/>
      <c r="I563" s="26"/>
      <c r="J563" s="26"/>
    </row>
    <row r="564" spans="1:10" ht="15" customHeight="1" x14ac:dyDescent="0.25">
      <c r="A564" s="26"/>
      <c r="B564" s="26"/>
      <c r="C564" s="26" t="str">
        <f>IFERROR(IF(OR(A564="",B564=""),"",INDEX(Equipements!$H:$H,MATCH(A564,Equipements!$A:$A,0))&amp;"."&amp;B564),"")</f>
        <v/>
      </c>
      <c r="D564" s="26"/>
      <c r="E564" s="26"/>
      <c r="F564" s="26"/>
      <c r="G564" s="26"/>
      <c r="H564" s="26"/>
      <c r="I564" s="26"/>
      <c r="J564" s="26"/>
    </row>
    <row r="565" spans="1:10" ht="15" customHeight="1" x14ac:dyDescent="0.25">
      <c r="A565" s="26"/>
      <c r="B565" s="26"/>
      <c r="C565" s="26" t="str">
        <f>IFERROR(IF(OR(A565="",B565=""),"",INDEX(Equipements!$H:$H,MATCH(A565,Equipements!$A:$A,0))&amp;"."&amp;B565),"")</f>
        <v/>
      </c>
      <c r="D565" s="26"/>
      <c r="E565" s="26"/>
      <c r="F565" s="26"/>
      <c r="G565" s="26"/>
      <c r="H565" s="26"/>
      <c r="I565" s="26"/>
      <c r="J565" s="26"/>
    </row>
    <row r="566" spans="1:10" ht="15" customHeight="1" x14ac:dyDescent="0.25">
      <c r="A566" s="26"/>
      <c r="B566" s="26"/>
      <c r="C566" s="26" t="str">
        <f>IFERROR(IF(OR(A566="",B566=""),"",INDEX(Equipements!$H:$H,MATCH(A566,Equipements!$A:$A,0))&amp;"."&amp;B566),"")</f>
        <v/>
      </c>
      <c r="D566" s="26"/>
      <c r="E566" s="26"/>
      <c r="F566" s="26"/>
      <c r="G566" s="26"/>
      <c r="H566" s="26"/>
      <c r="I566" s="26"/>
      <c r="J566" s="26"/>
    </row>
    <row r="567" spans="1:10" ht="15" customHeight="1" x14ac:dyDescent="0.25">
      <c r="A567" s="26"/>
      <c r="B567" s="26"/>
      <c r="C567" s="26" t="str">
        <f>IFERROR(IF(OR(A567="",B567=""),"",INDEX(Equipements!$H:$H,MATCH(A567,Equipements!$A:$A,0))&amp;"."&amp;B567),"")</f>
        <v/>
      </c>
      <c r="D567" s="26"/>
      <c r="E567" s="26"/>
      <c r="F567" s="26"/>
      <c r="G567" s="26"/>
      <c r="H567" s="26"/>
      <c r="I567" s="26"/>
      <c r="J567" s="26"/>
    </row>
    <row r="568" spans="1:10" ht="15" customHeight="1" x14ac:dyDescent="0.25">
      <c r="A568" s="26"/>
      <c r="B568" s="26"/>
      <c r="C568" s="26" t="str">
        <f>IFERROR(IF(OR(A568="",B568=""),"",INDEX(Equipements!$H:$H,MATCH(A568,Equipements!$A:$A,0))&amp;"."&amp;B568),"")</f>
        <v/>
      </c>
      <c r="D568" s="26"/>
      <c r="E568" s="26"/>
      <c r="F568" s="26"/>
      <c r="G568" s="26"/>
      <c r="H568" s="26"/>
      <c r="I568" s="26"/>
      <c r="J568" s="26"/>
    </row>
    <row r="569" spans="1:10" ht="15" customHeight="1" x14ac:dyDescent="0.25">
      <c r="A569" s="26"/>
      <c r="B569" s="26"/>
      <c r="C569" s="26" t="str">
        <f>IFERROR(IF(OR(A569="",B569=""),"",INDEX(Equipements!$H:$H,MATCH(A569,Equipements!$A:$A,0))&amp;"."&amp;B569),"")</f>
        <v/>
      </c>
      <c r="D569" s="26"/>
      <c r="E569" s="26"/>
      <c r="F569" s="26"/>
      <c r="G569" s="26"/>
      <c r="H569" s="26"/>
      <c r="I569" s="26"/>
      <c r="J569" s="26"/>
    </row>
    <row r="570" spans="1:10" ht="15" customHeight="1" x14ac:dyDescent="0.25">
      <c r="A570" s="26"/>
      <c r="B570" s="26"/>
      <c r="C570" s="26" t="str">
        <f>IFERROR(IF(OR(A570="",B570=""),"",INDEX(Equipements!$H:$H,MATCH(A570,Equipements!$A:$A,0))&amp;"."&amp;B570),"")</f>
        <v/>
      </c>
      <c r="D570" s="26"/>
      <c r="E570" s="26"/>
      <c r="F570" s="26"/>
      <c r="G570" s="26"/>
      <c r="H570" s="26"/>
      <c r="I570" s="26"/>
      <c r="J570" s="26"/>
    </row>
    <row r="571" spans="1:10" ht="15" customHeight="1" x14ac:dyDescent="0.25">
      <c r="A571" s="26"/>
      <c r="B571" s="26"/>
      <c r="C571" s="26" t="str">
        <f>IFERROR(IF(OR(A571="",B571=""),"",INDEX(Equipements!$H:$H,MATCH(A571,Equipements!$A:$A,0))&amp;"."&amp;B571),"")</f>
        <v/>
      </c>
      <c r="D571" s="26"/>
      <c r="E571" s="26"/>
      <c r="F571" s="26"/>
      <c r="G571" s="26"/>
      <c r="H571" s="26"/>
      <c r="I571" s="26"/>
      <c r="J571" s="26"/>
    </row>
    <row r="572" spans="1:10" ht="15" customHeight="1" x14ac:dyDescent="0.25">
      <c r="A572" s="26"/>
      <c r="B572" s="26"/>
      <c r="C572" s="26" t="str">
        <f>IFERROR(IF(OR(A572="",B572=""),"",INDEX(Equipements!$H:$H,MATCH(A572,Equipements!$A:$A,0))&amp;"."&amp;B572),"")</f>
        <v/>
      </c>
      <c r="D572" s="26"/>
      <c r="E572" s="26"/>
      <c r="F572" s="26"/>
      <c r="G572" s="26"/>
      <c r="H572" s="26"/>
      <c r="I572" s="26"/>
      <c r="J572" s="26"/>
    </row>
    <row r="573" spans="1:10" ht="15" customHeight="1" x14ac:dyDescent="0.25">
      <c r="A573" s="26"/>
      <c r="B573" s="26"/>
      <c r="C573" s="26" t="str">
        <f>IFERROR(IF(OR(A573="",B573=""),"",INDEX(Equipements!$H:$H,MATCH(A573,Equipements!$A:$A,0))&amp;"."&amp;B573),"")</f>
        <v/>
      </c>
      <c r="D573" s="26"/>
      <c r="E573" s="26"/>
      <c r="F573" s="26"/>
      <c r="G573" s="26"/>
      <c r="H573" s="26"/>
      <c r="I573" s="26"/>
      <c r="J573" s="26"/>
    </row>
    <row r="574" spans="1:10" ht="15" customHeight="1" x14ac:dyDescent="0.25">
      <c r="A574" s="26"/>
      <c r="B574" s="26"/>
      <c r="C574" s="26" t="str">
        <f>IFERROR(IF(OR(A574="",B574=""),"",INDEX(Equipements!$H:$H,MATCH(A574,Equipements!$A:$A,0))&amp;"."&amp;B574),"")</f>
        <v/>
      </c>
      <c r="D574" s="26"/>
      <c r="E574" s="26"/>
      <c r="F574" s="26"/>
      <c r="G574" s="26"/>
      <c r="H574" s="26"/>
      <c r="I574" s="26"/>
      <c r="J574" s="26"/>
    </row>
    <row r="575" spans="1:10" ht="15" customHeight="1" x14ac:dyDescent="0.25">
      <c r="A575" s="26"/>
      <c r="B575" s="26"/>
      <c r="C575" s="26" t="str">
        <f>IFERROR(IF(OR(A575="",B575=""),"",INDEX(Equipements!$H:$H,MATCH(A575,Equipements!$A:$A,0))&amp;"."&amp;B575),"")</f>
        <v/>
      </c>
      <c r="D575" s="26"/>
      <c r="E575" s="26"/>
      <c r="F575" s="26"/>
      <c r="G575" s="26"/>
      <c r="H575" s="26"/>
      <c r="I575" s="26"/>
      <c r="J575" s="26"/>
    </row>
    <row r="576" spans="1:10" ht="15" customHeight="1" x14ac:dyDescent="0.25">
      <c r="A576" s="26"/>
      <c r="B576" s="26"/>
      <c r="C576" s="26" t="str">
        <f>IFERROR(IF(OR(A576="",B576=""),"",INDEX(Equipements!$H:$H,MATCH(A576,Equipements!$A:$A,0))&amp;"."&amp;B576),"")</f>
        <v/>
      </c>
      <c r="D576" s="26"/>
      <c r="E576" s="26"/>
      <c r="F576" s="26"/>
      <c r="G576" s="26"/>
      <c r="H576" s="26"/>
      <c r="I576" s="26"/>
      <c r="J576" s="26"/>
    </row>
    <row r="577" spans="1:10" ht="15" customHeight="1" x14ac:dyDescent="0.25">
      <c r="A577" s="26"/>
      <c r="B577" s="26"/>
      <c r="C577" s="26" t="str">
        <f>IFERROR(IF(OR(A577="",B577=""),"",INDEX(Equipements!$H:$H,MATCH(A577,Equipements!$A:$A,0))&amp;"."&amp;B577),"")</f>
        <v/>
      </c>
      <c r="D577" s="26"/>
      <c r="E577" s="26"/>
      <c r="F577" s="26"/>
      <c r="G577" s="26"/>
      <c r="H577" s="26"/>
      <c r="I577" s="26"/>
      <c r="J577" s="26"/>
    </row>
    <row r="578" spans="1:10" ht="15" customHeight="1" x14ac:dyDescent="0.25">
      <c r="A578" s="26"/>
      <c r="B578" s="26"/>
      <c r="C578" s="26" t="str">
        <f>IFERROR(IF(OR(A578="",B578=""),"",INDEX(Equipements!$H:$H,MATCH(A578,Equipements!$A:$A,0))&amp;"."&amp;B578),"")</f>
        <v/>
      </c>
      <c r="D578" s="26"/>
      <c r="E578" s="26"/>
      <c r="F578" s="26"/>
      <c r="G578" s="26"/>
      <c r="H578" s="26"/>
      <c r="I578" s="26"/>
      <c r="J578" s="26"/>
    </row>
    <row r="579" spans="1:10" ht="15" customHeight="1" x14ac:dyDescent="0.25">
      <c r="A579" s="26"/>
      <c r="B579" s="26"/>
      <c r="C579" s="26" t="str">
        <f>IFERROR(IF(OR(A579="",B579=""),"",INDEX(Equipements!$H:$H,MATCH(A579,Equipements!$A:$A,0))&amp;"."&amp;B579),"")</f>
        <v/>
      </c>
      <c r="D579" s="26"/>
      <c r="E579" s="26"/>
      <c r="F579" s="26"/>
      <c r="G579" s="26"/>
      <c r="H579" s="26"/>
      <c r="I579" s="26"/>
      <c r="J579" s="26"/>
    </row>
    <row r="580" spans="1:10" ht="15" customHeight="1" x14ac:dyDescent="0.25">
      <c r="A580" s="26"/>
      <c r="B580" s="26"/>
      <c r="C580" s="26" t="str">
        <f>IFERROR(IF(OR(A580="",B580=""),"",INDEX(Equipements!$H:$H,MATCH(A580,Equipements!$A:$A,0))&amp;"."&amp;B580),"")</f>
        <v/>
      </c>
      <c r="D580" s="26"/>
      <c r="E580" s="26"/>
      <c r="F580" s="26"/>
      <c r="G580" s="26"/>
      <c r="H580" s="26"/>
      <c r="I580" s="26"/>
      <c r="J580" s="26"/>
    </row>
    <row r="581" spans="1:10" ht="15" customHeight="1" x14ac:dyDescent="0.25">
      <c r="A581" s="26"/>
      <c r="B581" s="26"/>
      <c r="C581" s="26" t="str">
        <f>IFERROR(IF(OR(A581="",B581=""),"",INDEX(Equipements!$H:$H,MATCH(A581,Equipements!$A:$A,0))&amp;"."&amp;B581),"")</f>
        <v/>
      </c>
      <c r="D581" s="26"/>
      <c r="E581" s="26"/>
      <c r="F581" s="26"/>
      <c r="G581" s="26"/>
      <c r="H581" s="26"/>
      <c r="I581" s="26"/>
      <c r="J581" s="26"/>
    </row>
    <row r="582" spans="1:10" ht="15" customHeight="1" x14ac:dyDescent="0.25">
      <c r="A582" s="26"/>
      <c r="B582" s="26"/>
      <c r="C582" s="26" t="str">
        <f>IFERROR(IF(OR(A582="",B582=""),"",INDEX(Equipements!$H:$H,MATCH(A582,Equipements!$A:$A,0))&amp;"."&amp;B582),"")</f>
        <v/>
      </c>
      <c r="D582" s="26"/>
      <c r="E582" s="26"/>
      <c r="F582" s="26"/>
      <c r="G582" s="26"/>
      <c r="H582" s="26"/>
      <c r="I582" s="26"/>
      <c r="J582" s="26"/>
    </row>
    <row r="583" spans="1:10" ht="15" customHeight="1" x14ac:dyDescent="0.25">
      <c r="A583" s="26"/>
      <c r="B583" s="26"/>
      <c r="C583" s="26" t="str">
        <f>IFERROR(IF(OR(A583="",B583=""),"",INDEX(Equipements!$H:$H,MATCH(A583,Equipements!$A:$A,0))&amp;"."&amp;B583),"")</f>
        <v/>
      </c>
      <c r="D583" s="26"/>
      <c r="E583" s="26"/>
      <c r="F583" s="26"/>
      <c r="G583" s="26"/>
      <c r="H583" s="26"/>
      <c r="I583" s="26"/>
      <c r="J583" s="26"/>
    </row>
    <row r="584" spans="1:10" ht="15" customHeight="1" x14ac:dyDescent="0.25">
      <c r="A584" s="26"/>
      <c r="B584" s="26"/>
      <c r="C584" s="26" t="str">
        <f>IFERROR(IF(OR(A584="",B584=""),"",INDEX(Equipements!$H:$H,MATCH(A584,Equipements!$A:$A,0))&amp;"."&amp;B584),"")</f>
        <v/>
      </c>
      <c r="D584" s="26"/>
      <c r="E584" s="26"/>
      <c r="F584" s="26"/>
      <c r="G584" s="26"/>
      <c r="H584" s="26"/>
      <c r="I584" s="26"/>
      <c r="J584" s="26"/>
    </row>
    <row r="585" spans="1:10" ht="15" customHeight="1" x14ac:dyDescent="0.25">
      <c r="A585" s="26"/>
      <c r="B585" s="26"/>
      <c r="C585" s="26" t="str">
        <f>IFERROR(IF(OR(A585="",B585=""),"",INDEX(Equipements!$H:$H,MATCH(A585,Equipements!$A:$A,0))&amp;"."&amp;B585),"")</f>
        <v/>
      </c>
      <c r="D585" s="26"/>
      <c r="E585" s="26"/>
      <c r="F585" s="26"/>
      <c r="G585" s="26"/>
      <c r="H585" s="26"/>
      <c r="I585" s="26"/>
      <c r="J585" s="26"/>
    </row>
    <row r="586" spans="1:10" ht="15" customHeight="1" x14ac:dyDescent="0.25">
      <c r="A586" s="26"/>
      <c r="B586" s="26"/>
      <c r="C586" s="26" t="str">
        <f>IFERROR(IF(OR(A586="",B586=""),"",INDEX(Equipements!$H:$H,MATCH(A586,Equipements!$A:$A,0))&amp;"."&amp;B586),"")</f>
        <v/>
      </c>
      <c r="D586" s="26"/>
      <c r="E586" s="26"/>
      <c r="F586" s="26"/>
      <c r="G586" s="26"/>
      <c r="H586" s="26"/>
      <c r="I586" s="26"/>
      <c r="J586" s="26"/>
    </row>
    <row r="587" spans="1:10" ht="15" customHeight="1" x14ac:dyDescent="0.25">
      <c r="A587" s="26"/>
      <c r="B587" s="26"/>
      <c r="C587" s="26" t="str">
        <f>IFERROR(IF(OR(A587="",B587=""),"",INDEX(Equipements!$H:$H,MATCH(A587,Equipements!$A:$A,0))&amp;"."&amp;B587),"")</f>
        <v/>
      </c>
      <c r="D587" s="26"/>
      <c r="E587" s="26"/>
      <c r="F587" s="26"/>
      <c r="G587" s="26"/>
      <c r="H587" s="26"/>
      <c r="I587" s="26"/>
      <c r="J587" s="26"/>
    </row>
    <row r="588" spans="1:10" ht="15" customHeight="1" x14ac:dyDescent="0.25">
      <c r="A588" s="26"/>
      <c r="B588" s="26"/>
      <c r="C588" s="26" t="str">
        <f>IFERROR(IF(OR(A588="",B588=""),"",INDEX(Equipements!$H:$H,MATCH(A588,Equipements!$A:$A,0))&amp;"."&amp;B588),"")</f>
        <v/>
      </c>
      <c r="D588" s="26"/>
      <c r="E588" s="26"/>
      <c r="F588" s="26"/>
      <c r="G588" s="26"/>
      <c r="H588" s="26"/>
      <c r="I588" s="26"/>
      <c r="J588" s="26"/>
    </row>
    <row r="589" spans="1:10" ht="15" customHeight="1" x14ac:dyDescent="0.25">
      <c r="A589" s="26"/>
      <c r="B589" s="26"/>
      <c r="C589" s="26" t="str">
        <f>IFERROR(IF(OR(A589="",B589=""),"",INDEX(Equipements!$H:$H,MATCH(A589,Equipements!$A:$A,0))&amp;"."&amp;B589),"")</f>
        <v/>
      </c>
      <c r="D589" s="26"/>
      <c r="E589" s="26"/>
      <c r="F589" s="26"/>
      <c r="G589" s="26"/>
      <c r="H589" s="26"/>
      <c r="I589" s="26"/>
      <c r="J589" s="26"/>
    </row>
    <row r="590" spans="1:10" ht="15" customHeight="1" x14ac:dyDescent="0.25">
      <c r="A590" s="26"/>
      <c r="B590" s="26"/>
      <c r="C590" s="26" t="str">
        <f>IFERROR(IF(OR(A590="",B590=""),"",INDEX(Equipements!$H:$H,MATCH(A590,Equipements!$A:$A,0))&amp;"."&amp;B590),"")</f>
        <v/>
      </c>
      <c r="D590" s="26"/>
      <c r="E590" s="26"/>
      <c r="F590" s="26"/>
      <c r="G590" s="26"/>
      <c r="H590" s="26"/>
      <c r="I590" s="26"/>
      <c r="J590" s="26"/>
    </row>
    <row r="591" spans="1:10" ht="15" customHeight="1" x14ac:dyDescent="0.25">
      <c r="A591" s="26"/>
      <c r="B591" s="26"/>
      <c r="C591" s="26" t="str">
        <f>IFERROR(IF(OR(A591="",B591=""),"",INDEX(Equipements!$H:$H,MATCH(A591,Equipements!$A:$A,0))&amp;"."&amp;B591),"")</f>
        <v/>
      </c>
      <c r="D591" s="26"/>
      <c r="E591" s="26"/>
      <c r="F591" s="26"/>
      <c r="G591" s="26"/>
      <c r="H591" s="26"/>
      <c r="I591" s="26"/>
      <c r="J591" s="26"/>
    </row>
    <row r="592" spans="1:10" ht="15" customHeight="1" x14ac:dyDescent="0.25">
      <c r="A592" s="26"/>
      <c r="B592" s="26"/>
      <c r="C592" s="26" t="str">
        <f>IFERROR(IF(OR(A592="",B592=""),"",INDEX(Equipements!$H:$H,MATCH(A592,Equipements!$A:$A,0))&amp;"."&amp;B592),"")</f>
        <v/>
      </c>
      <c r="D592" s="26"/>
      <c r="E592" s="26"/>
      <c r="F592" s="26"/>
      <c r="G592" s="26"/>
      <c r="H592" s="26"/>
      <c r="I592" s="26"/>
      <c r="J592" s="26"/>
    </row>
    <row r="593" spans="1:10" ht="15" customHeight="1" x14ac:dyDescent="0.25">
      <c r="A593" s="26"/>
      <c r="B593" s="26"/>
      <c r="C593" s="26" t="str">
        <f>IFERROR(IF(OR(A593="",B593=""),"",INDEX(Equipements!$H:$H,MATCH(A593,Equipements!$A:$A,0))&amp;"."&amp;B593),"")</f>
        <v/>
      </c>
      <c r="D593" s="26"/>
      <c r="E593" s="26"/>
      <c r="F593" s="26"/>
      <c r="G593" s="26"/>
      <c r="H593" s="26"/>
      <c r="I593" s="26"/>
      <c r="J593" s="26"/>
    </row>
    <row r="594" spans="1:10" ht="15" customHeight="1" x14ac:dyDescent="0.25">
      <c r="A594" s="26"/>
      <c r="B594" s="26"/>
      <c r="C594" s="26" t="str">
        <f>IFERROR(IF(OR(A594="",B594=""),"",INDEX(Equipements!$H:$H,MATCH(A594,Equipements!$A:$A,0))&amp;"."&amp;B594),"")</f>
        <v/>
      </c>
      <c r="D594" s="26"/>
      <c r="E594" s="26"/>
      <c r="F594" s="26"/>
      <c r="G594" s="26"/>
      <c r="H594" s="26"/>
      <c r="I594" s="26"/>
      <c r="J594" s="26"/>
    </row>
    <row r="595" spans="1:10" ht="15" customHeight="1" x14ac:dyDescent="0.25">
      <c r="A595" s="26"/>
      <c r="B595" s="26"/>
      <c r="C595" s="26" t="str">
        <f>IFERROR(IF(OR(A595="",B595=""),"",INDEX(Equipements!$H:$H,MATCH(A595,Equipements!$A:$A,0))&amp;"."&amp;B595),"")</f>
        <v/>
      </c>
      <c r="D595" s="26"/>
      <c r="E595" s="26"/>
      <c r="F595" s="26"/>
      <c r="G595" s="26"/>
      <c r="H595" s="26"/>
      <c r="I595" s="26"/>
      <c r="J595" s="26"/>
    </row>
    <row r="596" spans="1:10" ht="15" customHeight="1" x14ac:dyDescent="0.25">
      <c r="A596" s="26"/>
      <c r="B596" s="26"/>
      <c r="C596" s="26" t="str">
        <f>IFERROR(IF(OR(A596="",B596=""),"",INDEX(Equipements!$H:$H,MATCH(A596,Equipements!$A:$A,0))&amp;"."&amp;B596),"")</f>
        <v/>
      </c>
      <c r="D596" s="26"/>
      <c r="E596" s="26"/>
      <c r="F596" s="26"/>
      <c r="G596" s="26"/>
      <c r="H596" s="26"/>
      <c r="I596" s="26"/>
      <c r="J596" s="26"/>
    </row>
    <row r="597" spans="1:10" ht="15" customHeight="1" x14ac:dyDescent="0.25">
      <c r="A597" s="26"/>
      <c r="B597" s="26"/>
      <c r="C597" s="26" t="str">
        <f>IFERROR(IF(OR(A597="",B597=""),"",INDEX(Equipements!$H:$H,MATCH(A597,Equipements!$A:$A,0))&amp;"."&amp;B597),"")</f>
        <v/>
      </c>
      <c r="D597" s="26"/>
      <c r="E597" s="26"/>
      <c r="F597" s="26"/>
      <c r="G597" s="26"/>
      <c r="H597" s="26"/>
      <c r="I597" s="26"/>
      <c r="J597" s="26"/>
    </row>
    <row r="598" spans="1:10" ht="15" customHeight="1" x14ac:dyDescent="0.25">
      <c r="A598" s="26"/>
      <c r="B598" s="26"/>
      <c r="C598" s="26" t="str">
        <f>IFERROR(IF(OR(A598="",B598=""),"",INDEX(Equipements!$H:$H,MATCH(A598,Equipements!$A:$A,0))&amp;"."&amp;B598),"")</f>
        <v/>
      </c>
      <c r="D598" s="26"/>
      <c r="E598" s="26"/>
      <c r="F598" s="26"/>
      <c r="G598" s="26"/>
      <c r="H598" s="26"/>
      <c r="I598" s="26"/>
      <c r="J598" s="26"/>
    </row>
    <row r="599" spans="1:10" ht="15" customHeight="1" x14ac:dyDescent="0.25">
      <c r="A599" s="26"/>
      <c r="B599" s="26"/>
      <c r="C599" s="26" t="str">
        <f>IFERROR(IF(OR(A599="",B599=""),"",INDEX(Equipements!$H:$H,MATCH(A599,Equipements!$A:$A,0))&amp;"."&amp;B599),"")</f>
        <v/>
      </c>
      <c r="D599" s="26"/>
      <c r="E599" s="26"/>
      <c r="F599" s="26"/>
      <c r="G599" s="26"/>
      <c r="H599" s="26"/>
      <c r="I599" s="26"/>
      <c r="J599" s="26"/>
    </row>
    <row r="600" spans="1:10" ht="15" customHeight="1" x14ac:dyDescent="0.25">
      <c r="A600" s="26"/>
      <c r="B600" s="26"/>
      <c r="C600" s="26" t="str">
        <f>IFERROR(IF(OR(A600="",B600=""),"",INDEX(Equipements!$H:$H,MATCH(A600,Equipements!$A:$A,0))&amp;"."&amp;B600),"")</f>
        <v/>
      </c>
      <c r="D600" s="26"/>
      <c r="E600" s="26"/>
      <c r="F600" s="26"/>
      <c r="G600" s="26"/>
      <c r="H600" s="26"/>
      <c r="I600" s="26"/>
      <c r="J600" s="26"/>
    </row>
    <row r="601" spans="1:10" ht="15" customHeight="1" x14ac:dyDescent="0.25">
      <c r="A601" s="26"/>
      <c r="B601" s="26"/>
      <c r="C601" s="26" t="str">
        <f>IFERROR(IF(OR(A601="",B601=""),"",INDEX(Equipements!$H:$H,MATCH(A601,Equipements!$A:$A,0))&amp;"."&amp;B601),"")</f>
        <v/>
      </c>
      <c r="D601" s="26"/>
      <c r="E601" s="26"/>
      <c r="F601" s="26"/>
      <c r="G601" s="26"/>
      <c r="H601" s="26"/>
      <c r="I601" s="26"/>
      <c r="J601" s="26"/>
    </row>
    <row r="602" spans="1:10" ht="15" customHeight="1" x14ac:dyDescent="0.25">
      <c r="A602" s="26"/>
      <c r="B602" s="26"/>
      <c r="C602" s="26" t="str">
        <f>IFERROR(IF(OR(A602="",B602=""),"",INDEX(Equipements!$H:$H,MATCH(A602,Equipements!$A:$A,0))&amp;"."&amp;B602),"")</f>
        <v/>
      </c>
      <c r="D602" s="26"/>
      <c r="E602" s="26"/>
      <c r="F602" s="26"/>
      <c r="G602" s="26"/>
      <c r="H602" s="26"/>
      <c r="I602" s="26"/>
      <c r="J602" s="26"/>
    </row>
    <row r="603" spans="1:10" ht="15" customHeight="1" x14ac:dyDescent="0.25">
      <c r="A603" s="26"/>
      <c r="B603" s="26"/>
      <c r="C603" s="26" t="str">
        <f>IFERROR(IF(OR(A603="",B603=""),"",INDEX(Equipements!$H:$H,MATCH(A603,Equipements!$A:$A,0))&amp;"."&amp;B603),"")</f>
        <v/>
      </c>
      <c r="D603" s="26"/>
      <c r="E603" s="26"/>
      <c r="F603" s="26"/>
      <c r="G603" s="26"/>
      <c r="H603" s="26"/>
      <c r="I603" s="26"/>
      <c r="J603" s="26"/>
    </row>
    <row r="604" spans="1:10" ht="15" customHeight="1" x14ac:dyDescent="0.25">
      <c r="A604" s="26"/>
      <c r="B604" s="26"/>
      <c r="C604" s="26" t="str">
        <f>IFERROR(IF(OR(A604="",B604=""),"",INDEX(Equipements!$H:$H,MATCH(A604,Equipements!$A:$A,0))&amp;"."&amp;B604),"")</f>
        <v/>
      </c>
      <c r="D604" s="26"/>
      <c r="E604" s="26"/>
      <c r="F604" s="26"/>
      <c r="G604" s="26"/>
      <c r="H604" s="26"/>
      <c r="I604" s="26"/>
      <c r="J604" s="26"/>
    </row>
    <row r="605" spans="1:10" ht="15" customHeight="1" x14ac:dyDescent="0.25">
      <c r="A605" s="26"/>
      <c r="B605" s="26"/>
      <c r="C605" s="26" t="str">
        <f>IFERROR(IF(OR(A605="",B605=""),"",INDEX(Equipements!$H:$H,MATCH(A605,Equipements!$A:$A,0))&amp;"."&amp;B605),"")</f>
        <v/>
      </c>
      <c r="D605" s="26"/>
      <c r="E605" s="26"/>
      <c r="F605" s="26"/>
      <c r="G605" s="26"/>
      <c r="H605" s="26"/>
      <c r="I605" s="26"/>
      <c r="J605" s="26"/>
    </row>
    <row r="606" spans="1:10" ht="15" customHeight="1" x14ac:dyDescent="0.25">
      <c r="A606" s="26"/>
      <c r="B606" s="26"/>
      <c r="C606" s="26" t="str">
        <f>IFERROR(IF(OR(A606="",B606=""),"",INDEX(Equipements!$H:$H,MATCH(A606,Equipements!$A:$A,0))&amp;"."&amp;B606),"")</f>
        <v/>
      </c>
      <c r="D606" s="26"/>
      <c r="E606" s="26"/>
      <c r="F606" s="26"/>
      <c r="G606" s="26"/>
      <c r="H606" s="26"/>
      <c r="I606" s="26"/>
      <c r="J606" s="26"/>
    </row>
    <row r="607" spans="1:10" ht="15" customHeight="1" x14ac:dyDescent="0.25">
      <c r="A607" s="26"/>
      <c r="B607" s="26"/>
      <c r="C607" s="26" t="str">
        <f>IFERROR(IF(OR(A607="",B607=""),"",INDEX(Equipements!$H:$H,MATCH(A607,Equipements!$A:$A,0))&amp;"."&amp;B607),"")</f>
        <v/>
      </c>
      <c r="D607" s="26"/>
      <c r="E607" s="26"/>
      <c r="F607" s="26"/>
      <c r="G607" s="26"/>
      <c r="H607" s="26"/>
      <c r="I607" s="26"/>
      <c r="J607" s="26"/>
    </row>
    <row r="608" spans="1:10" ht="15" customHeight="1" x14ac:dyDescent="0.25">
      <c r="A608" s="26"/>
      <c r="B608" s="26"/>
      <c r="C608" s="26" t="str">
        <f>IFERROR(IF(OR(A608="",B608=""),"",INDEX(Equipements!$H:$H,MATCH(A608,Equipements!$A:$A,0))&amp;"."&amp;B608),"")</f>
        <v/>
      </c>
      <c r="D608" s="26"/>
      <c r="E608" s="26"/>
      <c r="F608" s="26"/>
      <c r="G608" s="26"/>
      <c r="H608" s="26"/>
      <c r="I608" s="26"/>
      <c r="J608" s="26"/>
    </row>
    <row r="610" spans="70:70" x14ac:dyDescent="0.25">
      <c r="BR610" s="17" t="s">
        <v>253</v>
      </c>
    </row>
  </sheetData>
  <autoFilter ref="A7:J7" xr:uid="{00000000-0009-0000-0000-000006000000}"/>
  <mergeCells count="4">
    <mergeCell ref="A1:J1"/>
    <mergeCell ref="A2:J2"/>
    <mergeCell ref="A6:C6"/>
    <mergeCell ref="D6:J6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Cablage&amp;C&amp;7 &amp;D&amp;R&amp;7 page &amp;P /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utomation.EnleverLien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209550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pageSetUpPr fitToPage="1"/>
  </sheetPr>
  <dimension ref="A1:BR810"/>
  <sheetViews>
    <sheetView zoomScaleNormal="100" workbookViewId="0">
      <pane ySplit="8" topLeftCell="A18" activePane="bottomLeft" state="frozen"/>
      <selection pane="bottomLeft" activeCell="D24" sqref="D24"/>
    </sheetView>
  </sheetViews>
  <sheetFormatPr baseColWidth="10" defaultColWidth="8.7109375" defaultRowHeight="15" x14ac:dyDescent="0.25"/>
  <cols>
    <col min="1" max="1" width="24" customWidth="1"/>
    <col min="2" max="2" width="7.42578125" customWidth="1"/>
    <col min="3" max="3" width="22" customWidth="1"/>
    <col min="4" max="4" width="32" customWidth="1"/>
    <col min="5" max="5" width="6" customWidth="1"/>
    <col min="6" max="6" width="10.42578125" customWidth="1"/>
    <col min="7" max="7" width="7.42578125" customWidth="1"/>
    <col min="8" max="8" width="6.42578125" customWidth="1"/>
    <col min="9" max="9" width="7.42578125" customWidth="1"/>
    <col min="10" max="10" width="9.42578125" customWidth="1"/>
    <col min="11" max="11" width="6.42578125" customWidth="1"/>
    <col min="12" max="13" width="6" customWidth="1"/>
    <col min="14" max="14" width="7.42578125" customWidth="1"/>
    <col min="15" max="15" width="12.42578125" customWidth="1"/>
    <col min="16" max="16" width="26" customWidth="1"/>
  </cols>
  <sheetData>
    <row r="1" spans="1:16" ht="25.5" customHeight="1" x14ac:dyDescent="0.25">
      <c r="A1" s="9" t="s">
        <v>254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.75" customHeight="1" x14ac:dyDescent="0.25">
      <c r="A2" s="8" t="s">
        <v>255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6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6" ht="15" customHeight="1" x14ac:dyDescent="0.25">
      <c r="A6" s="5" t="s">
        <v>251</v>
      </c>
      <c r="B6" s="5"/>
      <c r="C6" s="5"/>
      <c r="D6" s="4" t="s">
        <v>256</v>
      </c>
      <c r="E6" s="4"/>
      <c r="F6" s="4"/>
      <c r="G6" s="3" t="s">
        <v>152</v>
      </c>
      <c r="H6" s="3"/>
      <c r="I6" s="3"/>
      <c r="J6" s="3"/>
      <c r="K6" s="2" t="s">
        <v>257</v>
      </c>
      <c r="L6" s="2"/>
      <c r="M6" s="2"/>
      <c r="N6" s="2"/>
      <c r="O6" s="34" t="s">
        <v>258</v>
      </c>
      <c r="P6" s="35" t="s">
        <v>64</v>
      </c>
    </row>
    <row r="7" spans="1:16" ht="30" customHeight="1" x14ac:dyDescent="0.25">
      <c r="A7" s="23" t="s">
        <v>155</v>
      </c>
      <c r="B7" s="23" t="s">
        <v>215</v>
      </c>
      <c r="C7" s="23" t="s">
        <v>259</v>
      </c>
      <c r="D7" s="23" t="s">
        <v>150</v>
      </c>
      <c r="E7" s="23" t="s">
        <v>247</v>
      </c>
      <c r="F7" s="23" t="s">
        <v>219</v>
      </c>
      <c r="G7" s="23" t="s">
        <v>260</v>
      </c>
      <c r="H7" s="23" t="s">
        <v>261</v>
      </c>
      <c r="I7" s="23" t="s">
        <v>262</v>
      </c>
      <c r="J7" s="23" t="s">
        <v>263</v>
      </c>
      <c r="K7" s="23" t="s">
        <v>162</v>
      </c>
      <c r="L7" s="23" t="s">
        <v>264</v>
      </c>
      <c r="M7" s="23" t="s">
        <v>265</v>
      </c>
      <c r="N7" s="23" t="s">
        <v>266</v>
      </c>
      <c r="O7" s="23" t="s">
        <v>267</v>
      </c>
      <c r="P7" s="23" t="s">
        <v>80</v>
      </c>
    </row>
    <row r="8" spans="1:16" ht="12.75" customHeight="1" x14ac:dyDescent="0.25">
      <c r="A8" s="24" t="s">
        <v>84</v>
      </c>
      <c r="B8" s="24" t="s">
        <v>84</v>
      </c>
      <c r="C8" s="24"/>
      <c r="D8" s="24" t="s">
        <v>268</v>
      </c>
      <c r="E8" s="24" t="s">
        <v>269</v>
      </c>
      <c r="F8" s="24" t="s">
        <v>228</v>
      </c>
      <c r="G8" s="24" t="s">
        <v>270</v>
      </c>
      <c r="H8" s="24"/>
      <c r="I8" s="24" t="s">
        <v>83</v>
      </c>
      <c r="J8" s="24"/>
      <c r="K8" s="24"/>
      <c r="L8" s="24"/>
      <c r="M8" s="24"/>
      <c r="N8" s="24"/>
      <c r="O8" s="24"/>
      <c r="P8" s="24"/>
    </row>
    <row r="9" spans="1:16" ht="15" customHeight="1" x14ac:dyDescent="0.25">
      <c r="A9" s="25" t="s">
        <v>1088</v>
      </c>
      <c r="B9" s="25" t="s">
        <v>616</v>
      </c>
      <c r="C9" s="26" t="str">
        <f>IFERROR(IF(OR(A9="",B9=""),"",INDEX(Equipements!$H:$H,MATCH(A9,Equipements!$A:$A,0))&amp;"."&amp;B9),"")</f>
        <v>.Enable</v>
      </c>
      <c r="D9" s="11" t="s">
        <v>1093</v>
      </c>
      <c r="E9" s="25" t="s">
        <v>1094</v>
      </c>
      <c r="F9" s="25" t="s">
        <v>292</v>
      </c>
      <c r="G9" s="25" t="s">
        <v>299</v>
      </c>
      <c r="H9" s="11">
        <v>1000</v>
      </c>
      <c r="I9" s="11">
        <v>0</v>
      </c>
      <c r="J9" s="26" t="str">
        <f>IF(OR(G9="",H9=""),"","%"&amp;G9&amp;H9)</f>
        <v>%MW1000</v>
      </c>
      <c r="K9" s="11"/>
      <c r="L9" s="11"/>
      <c r="M9" s="11"/>
      <c r="N9" s="11"/>
      <c r="O9" s="26" t="str">
        <f>IF(H9="","",IF(I9="","mot entier","bit "&amp;I9))</f>
        <v>bit 0</v>
      </c>
      <c r="P9" s="11"/>
    </row>
    <row r="10" spans="1:16" ht="15" customHeight="1" x14ac:dyDescent="0.25">
      <c r="A10" s="25" t="s">
        <v>1088</v>
      </c>
      <c r="B10" s="25" t="s">
        <v>618</v>
      </c>
      <c r="C10" s="26" t="str">
        <f>IFERROR(IF(OR(A10="",B10=""),"",INDEX(Equipements!$H:$H,MATCH(A10,Equipements!$A:$A,0))&amp;"."&amp;B10),"")</f>
        <v>.ManMode</v>
      </c>
      <c r="D10" s="11" t="s">
        <v>1095</v>
      </c>
      <c r="E10" s="25" t="s">
        <v>1094</v>
      </c>
      <c r="F10" s="25" t="s">
        <v>292</v>
      </c>
      <c r="G10" s="25" t="s">
        <v>299</v>
      </c>
      <c r="H10" s="11">
        <v>1000</v>
      </c>
      <c r="I10" s="11">
        <v>1</v>
      </c>
      <c r="J10" s="26" t="str">
        <f>IF(OR(G10="",H10=""),"","%"&amp;G10&amp;H10)</f>
        <v>%MW1000</v>
      </c>
      <c r="K10" s="11"/>
      <c r="L10" s="11"/>
      <c r="M10" s="11"/>
      <c r="N10" s="11"/>
      <c r="O10" s="26" t="str">
        <f>IF(H10="","",IF(I10="","mot entier","bit "&amp;I10))</f>
        <v>bit 1</v>
      </c>
      <c r="P10" s="11"/>
    </row>
    <row r="11" spans="1:16" ht="15" customHeight="1" x14ac:dyDescent="0.25">
      <c r="A11" s="25" t="s">
        <v>1088</v>
      </c>
      <c r="B11" s="25" t="s">
        <v>620</v>
      </c>
      <c r="C11" s="26" t="str">
        <f>IFERROR(IF(OR(A11="",B11=""),"",INDEX(Equipements!$H:$H,MATCH(A11,Equipements!$A:$A,0))&amp;"."&amp;B11),"")</f>
        <v>.AckFault</v>
      </c>
      <c r="D11" s="11" t="s">
        <v>1096</v>
      </c>
      <c r="E11" s="25" t="s">
        <v>1094</v>
      </c>
      <c r="F11" s="25" t="s">
        <v>292</v>
      </c>
      <c r="G11" s="25" t="s">
        <v>299</v>
      </c>
      <c r="H11" s="11">
        <v>1000</v>
      </c>
      <c r="I11" s="11">
        <v>2</v>
      </c>
      <c r="J11" s="26" t="str">
        <f>IF(OR(G11="",H11=""),"","%"&amp;G11&amp;H11)</f>
        <v>%MW1000</v>
      </c>
      <c r="K11" s="11"/>
      <c r="L11" s="11"/>
      <c r="M11" s="11"/>
      <c r="N11" s="11"/>
      <c r="O11" s="26" t="str">
        <f>IF(H11="","",IF(I11="","mot entier","bit "&amp;I11))</f>
        <v>bit 2</v>
      </c>
      <c r="P11" s="11"/>
    </row>
    <row r="12" spans="1:16" ht="15" customHeight="1" x14ac:dyDescent="0.25">
      <c r="A12" s="25" t="s">
        <v>1088</v>
      </c>
      <c r="B12" s="25" t="s">
        <v>558</v>
      </c>
      <c r="C12" s="26" t="str">
        <f>IFERROR(IF(OR(A12="",B12=""),"",INDEX(Equipements!$H:$H,MATCH(A12,Equipements!$A:$A,0))&amp;"."&amp;B12),"")</f>
        <v>.RunReq</v>
      </c>
      <c r="D12" s="11" t="s">
        <v>1097</v>
      </c>
      <c r="E12" s="25" t="s">
        <v>1094</v>
      </c>
      <c r="F12" s="25" t="s">
        <v>292</v>
      </c>
      <c r="G12" s="25" t="s">
        <v>299</v>
      </c>
      <c r="H12" s="11">
        <v>1000</v>
      </c>
      <c r="I12" s="11">
        <v>3</v>
      </c>
      <c r="J12" s="26" t="str">
        <f>IF(OR(G12="",H12=""),"","%"&amp;G12&amp;H12)</f>
        <v>%MW1000</v>
      </c>
      <c r="K12" s="11"/>
      <c r="L12" s="11"/>
      <c r="M12" s="11"/>
      <c r="N12" s="11"/>
      <c r="O12" s="26" t="str">
        <f>IF(H12="","",IF(I12="","mot entier","bit "&amp;I12))</f>
        <v>bit 3</v>
      </c>
      <c r="P12" s="11"/>
    </row>
    <row r="13" spans="1:16" ht="15" customHeight="1" x14ac:dyDescent="0.25">
      <c r="A13" s="25" t="s">
        <v>1088</v>
      </c>
      <c r="B13" s="25" t="s">
        <v>624</v>
      </c>
      <c r="C13" s="26" t="str">
        <f>IFERROR(IF(OR(A13="",B13=""),"",INDEX(Equipements!$H:$H,MATCH(A13,Equipements!$A:$A,0))&amp;"."&amp;B13),"")</f>
        <v>.ManRunReq</v>
      </c>
      <c r="D13" s="11" t="s">
        <v>1098</v>
      </c>
      <c r="E13" s="25" t="s">
        <v>1094</v>
      </c>
      <c r="F13" s="25" t="s">
        <v>292</v>
      </c>
      <c r="G13" s="25" t="s">
        <v>299</v>
      </c>
      <c r="H13" s="11">
        <v>1000</v>
      </c>
      <c r="I13" s="11">
        <v>4</v>
      </c>
      <c r="J13" s="26" t="str">
        <f>IF(OR(G13="",H13=""),"","%"&amp;G13&amp;H13)</f>
        <v>%MW1000</v>
      </c>
      <c r="K13" s="11"/>
      <c r="L13" s="11"/>
      <c r="M13" s="11"/>
      <c r="N13" s="11"/>
      <c r="O13" s="26" t="str">
        <f>IF(H13="","",IF(I13="","mot entier","bit "&amp;I13))</f>
        <v>bit 4</v>
      </c>
      <c r="P13" s="11"/>
    </row>
    <row r="14" spans="1:16" ht="15" customHeight="1" x14ac:dyDescent="0.25">
      <c r="A14" s="25" t="s">
        <v>1088</v>
      </c>
      <c r="B14" s="25" t="s">
        <v>738</v>
      </c>
      <c r="C14" s="26" t="str">
        <f>IFERROR(IF(OR(A14="",B14=""),"",INDEX(Equipements!$H:$H,MATCH(A14,Equipements!$A:$A,0))&amp;"."&amp;B14),"")</f>
        <v>.Fbk</v>
      </c>
      <c r="D14" s="11" t="s">
        <v>1101</v>
      </c>
      <c r="E14" s="25" t="s">
        <v>1102</v>
      </c>
      <c r="F14" s="25" t="s">
        <v>290</v>
      </c>
      <c r="G14" s="25" t="s">
        <v>299</v>
      </c>
      <c r="H14" s="11">
        <v>1000</v>
      </c>
      <c r="I14" s="11">
        <v>5</v>
      </c>
      <c r="J14" s="26" t="str">
        <f>IF(OR(G14="",H14=""),"","%"&amp;G14&amp;H14)</f>
        <v>%MW1000</v>
      </c>
      <c r="K14" s="11"/>
      <c r="L14" s="11"/>
      <c r="M14" s="11"/>
      <c r="N14" s="11"/>
      <c r="O14" s="26" t="str">
        <f>IF(H14="","",IF(I14="","mot entier","bit "&amp;I14))</f>
        <v>bit 5</v>
      </c>
      <c r="P14" s="11"/>
    </row>
    <row r="15" spans="1:16" ht="15" customHeight="1" x14ac:dyDescent="0.25">
      <c r="A15" s="25" t="s">
        <v>1088</v>
      </c>
      <c r="B15" s="25" t="s">
        <v>633</v>
      </c>
      <c r="C15" s="26" t="str">
        <f>IFERROR(IF(OR(A15="",B15=""),"",INDEX(Equipements!$H:$H,MATCH(A15,Equipements!$A:$A,0))&amp;"."&amp;B15),"")</f>
        <v>.Thermal</v>
      </c>
      <c r="D15" s="11" t="s">
        <v>1103</v>
      </c>
      <c r="E15" s="25" t="s">
        <v>1102</v>
      </c>
      <c r="F15" s="25" t="s">
        <v>290</v>
      </c>
      <c r="G15" s="25" t="s">
        <v>299</v>
      </c>
      <c r="H15" s="11">
        <v>1000</v>
      </c>
      <c r="I15" s="11">
        <v>6</v>
      </c>
      <c r="J15" s="26" t="str">
        <f>IF(OR(G15="",H15=""),"","%"&amp;G15&amp;H15)</f>
        <v>%MW1000</v>
      </c>
      <c r="K15" s="11"/>
      <c r="L15" s="11"/>
      <c r="M15" s="11"/>
      <c r="N15" s="11"/>
      <c r="O15" s="26" t="str">
        <f>IF(H15="","",IF(I15="","mot entier","bit "&amp;I15))</f>
        <v>bit 6</v>
      </c>
      <c r="P15" s="11"/>
    </row>
    <row r="16" spans="1:16" ht="15" customHeight="1" x14ac:dyDescent="0.25">
      <c r="A16" s="25" t="s">
        <v>1088</v>
      </c>
      <c r="B16" s="25" t="s">
        <v>628</v>
      </c>
      <c r="C16" s="26" t="str">
        <f>IFERROR(IF(OR(A16="",B16=""),"",INDEX(Equipements!$H:$H,MATCH(A16,Equipements!$A:$A,0))&amp;"."&amp;B16),"")</f>
        <v>.Run</v>
      </c>
      <c r="D16" s="11" t="s">
        <v>1104</v>
      </c>
      <c r="E16" s="25" t="s">
        <v>1102</v>
      </c>
      <c r="F16" s="25" t="s">
        <v>290</v>
      </c>
      <c r="G16" s="25" t="s">
        <v>299</v>
      </c>
      <c r="H16" s="11">
        <v>1000</v>
      </c>
      <c r="I16" s="11">
        <v>7</v>
      </c>
      <c r="J16" s="26" t="str">
        <f>IF(OR(G16="",H16=""),"","%"&amp;G16&amp;H16)</f>
        <v>%MW1000</v>
      </c>
      <c r="K16" s="11"/>
      <c r="L16" s="11"/>
      <c r="M16" s="11"/>
      <c r="N16" s="11"/>
      <c r="O16" s="26" t="str">
        <f>IF(H16="","",IF(I16="","mot entier","bit "&amp;I16))</f>
        <v>bit 7</v>
      </c>
      <c r="P16" s="11"/>
    </row>
    <row r="17" spans="1:16" ht="15" customHeight="1" x14ac:dyDescent="0.25">
      <c r="A17" s="25" t="s">
        <v>1088</v>
      </c>
      <c r="B17" s="25" t="s">
        <v>632</v>
      </c>
      <c r="C17" s="26" t="str">
        <f>IFERROR(IF(OR(A17="",B17=""),"",INDEX(Equipements!$H:$H,MATCH(A17,Equipements!$A:$A,0))&amp;"."&amp;B17),"")</f>
        <v>.Running</v>
      </c>
      <c r="D17" s="11" t="s">
        <v>1105</v>
      </c>
      <c r="E17" s="25" t="s">
        <v>1102</v>
      </c>
      <c r="F17" s="25" t="s">
        <v>290</v>
      </c>
      <c r="G17" s="25" t="s">
        <v>299</v>
      </c>
      <c r="H17" s="11">
        <v>1000</v>
      </c>
      <c r="I17" s="11">
        <v>8</v>
      </c>
      <c r="J17" s="26" t="str">
        <f>IF(OR(G17="",H17=""),"","%"&amp;G17&amp;H17)</f>
        <v>%MW1000</v>
      </c>
      <c r="K17" s="11"/>
      <c r="L17" s="11"/>
      <c r="M17" s="11"/>
      <c r="N17" s="11"/>
      <c r="O17" s="26" t="str">
        <f>IF(H17="","",IF(I17="","mot entier","bit "&amp;I17))</f>
        <v>bit 8</v>
      </c>
      <c r="P17" s="11"/>
    </row>
    <row r="18" spans="1:16" ht="15" customHeight="1" x14ac:dyDescent="0.25">
      <c r="A18" s="25" t="s">
        <v>1088</v>
      </c>
      <c r="B18" s="25" t="s">
        <v>743</v>
      </c>
      <c r="C18" s="26" t="str">
        <f>IFERROR(IF(OR(A18="",B18=""),"",INDEX(Equipements!$H:$H,MATCH(A18,Equipements!$A:$A,0))&amp;"."&amp;B18),"")</f>
        <v>.FbkMs</v>
      </c>
      <c r="D18" s="11" t="s">
        <v>1106</v>
      </c>
      <c r="E18" s="25" t="s">
        <v>1094</v>
      </c>
      <c r="F18" s="25" t="s">
        <v>292</v>
      </c>
      <c r="G18" s="25" t="s">
        <v>299</v>
      </c>
      <c r="H18" s="11">
        <v>1001</v>
      </c>
      <c r="I18" s="11"/>
      <c r="J18" s="26" t="str">
        <f>IF(OR(G18="",H18=""),"","%"&amp;G18&amp;H18)</f>
        <v>%MW1001</v>
      </c>
      <c r="K18" s="11"/>
      <c r="L18" s="11"/>
      <c r="M18" s="11"/>
      <c r="N18" s="11"/>
      <c r="O18" s="26" t="str">
        <f>IF(H18="","",IF(I18="","mot entier","bit "&amp;I18))</f>
        <v>mot entier</v>
      </c>
      <c r="P18" s="11"/>
    </row>
    <row r="19" spans="1:16" ht="15" customHeight="1" x14ac:dyDescent="0.25">
      <c r="A19" s="25" t="s">
        <v>1088</v>
      </c>
      <c r="B19" s="25" t="s">
        <v>746</v>
      </c>
      <c r="C19" s="26" t="str">
        <f>IFERROR(IF(OR(A19="",B19=""),"",INDEX(Equipements!$H:$H,MATCH(A19,Equipements!$A:$A,0))&amp;"."&amp;B19),"")</f>
        <v>.MinOffMs</v>
      </c>
      <c r="D19" s="11" t="s">
        <v>1107</v>
      </c>
      <c r="E19" s="25" t="s">
        <v>1094</v>
      </c>
      <c r="F19" s="25" t="s">
        <v>292</v>
      </c>
      <c r="G19" s="25" t="s">
        <v>299</v>
      </c>
      <c r="H19" s="11">
        <v>1002</v>
      </c>
      <c r="I19" s="11"/>
      <c r="J19" s="26" t="str">
        <f>IF(OR(G19="",H19=""),"","%"&amp;G19&amp;H19)</f>
        <v>%MW1002</v>
      </c>
      <c r="K19" s="11"/>
      <c r="L19" s="11"/>
      <c r="M19" s="11"/>
      <c r="N19" s="11"/>
      <c r="O19" s="26" t="str">
        <f>IF(H19="","",IF(I19="","mot entier","bit "&amp;I19))</f>
        <v>mot entier</v>
      </c>
      <c r="P19" s="11"/>
    </row>
    <row r="20" spans="1:16" ht="15" customHeight="1" x14ac:dyDescent="0.25">
      <c r="A20" s="25" t="s">
        <v>1088</v>
      </c>
      <c r="B20" s="25" t="s">
        <v>749</v>
      </c>
      <c r="C20" s="26" t="str">
        <f>IFERROR(IF(OR(A20="",B20=""),"",INDEX(Equipements!$H:$H,MATCH(A20,Equipements!$A:$A,0))&amp;"."&amp;B20),"")</f>
        <v>.HasFbk</v>
      </c>
      <c r="D20" s="11" t="s">
        <v>1108</v>
      </c>
      <c r="E20" s="25" t="s">
        <v>1102</v>
      </c>
      <c r="F20" s="25" t="s">
        <v>290</v>
      </c>
      <c r="G20" s="25" t="s">
        <v>299</v>
      </c>
      <c r="H20" s="11">
        <v>1000</v>
      </c>
      <c r="I20" s="11">
        <v>9</v>
      </c>
      <c r="J20" s="26" t="str">
        <f>IF(OR(G20="",H20=""),"","%"&amp;G20&amp;H20)</f>
        <v>%MW1000</v>
      </c>
      <c r="K20" s="11"/>
      <c r="L20" s="11"/>
      <c r="M20" s="11"/>
      <c r="N20" s="11"/>
      <c r="O20" s="26" t="str">
        <f>IF(H20="","",IF(I20="","mot entier","bit "&amp;I20))</f>
        <v>bit 9</v>
      </c>
      <c r="P20" s="11"/>
    </row>
    <row r="21" spans="1:16" ht="15" customHeight="1" x14ac:dyDescent="0.25">
      <c r="A21" s="25" t="s">
        <v>1088</v>
      </c>
      <c r="B21" s="25" t="s">
        <v>753</v>
      </c>
      <c r="C21" s="26" t="str">
        <f>IFERROR(IF(OR(A21="",B21=""),"",INDEX(Equipements!$H:$H,MATCH(A21,Equipements!$A:$A,0))&amp;"."&amp;B21),"")</f>
        <v>.Flow</v>
      </c>
      <c r="D21" s="11" t="s">
        <v>1109</v>
      </c>
      <c r="E21" s="25" t="s">
        <v>1094</v>
      </c>
      <c r="F21" s="25" t="s">
        <v>292</v>
      </c>
      <c r="G21" s="25" t="s">
        <v>299</v>
      </c>
      <c r="H21" s="11">
        <v>1003</v>
      </c>
      <c r="I21" s="11"/>
      <c r="J21" s="26" t="str">
        <f>IF(OR(G21="",H21=""),"","%"&amp;G21&amp;H21)</f>
        <v>%MW1003</v>
      </c>
      <c r="K21" s="11"/>
      <c r="L21" s="11"/>
      <c r="M21" s="11"/>
      <c r="N21" s="11"/>
      <c r="O21" s="26" t="str">
        <f>IF(H21="","",IF(I21="","mot entier","bit "&amp;I21))</f>
        <v>mot entier</v>
      </c>
      <c r="P21" s="11"/>
    </row>
    <row r="22" spans="1:16" ht="15" customHeight="1" x14ac:dyDescent="0.25">
      <c r="A22" s="25" t="s">
        <v>1088</v>
      </c>
      <c r="B22" s="25" t="s">
        <v>755</v>
      </c>
      <c r="C22" s="26" t="str">
        <f>IFERROR(IF(OR(A22="",B22=""),"",INDEX(Equipements!$H:$H,MATCH(A22,Equipements!$A:$A,0))&amp;"."&amp;B22),"")</f>
        <v>.MinFlow</v>
      </c>
      <c r="D22" s="11" t="s">
        <v>1110</v>
      </c>
      <c r="E22" s="25" t="s">
        <v>1094</v>
      </c>
      <c r="F22" s="25" t="s">
        <v>292</v>
      </c>
      <c r="G22" s="25" t="s">
        <v>299</v>
      </c>
      <c r="H22" s="11">
        <v>1004</v>
      </c>
      <c r="I22" s="11"/>
      <c r="J22" s="26" t="str">
        <f>IF(OR(G22="",H22=""),"","%"&amp;G22&amp;H22)</f>
        <v>%MW1004</v>
      </c>
      <c r="K22" s="11"/>
      <c r="L22" s="11"/>
      <c r="M22" s="11"/>
      <c r="N22" s="11"/>
      <c r="O22" s="26" t="str">
        <f>IF(H22="","",IF(I22="","mot entier","bit "&amp;I22))</f>
        <v>mot entier</v>
      </c>
      <c r="P22" s="11"/>
    </row>
    <row r="23" spans="1:16" ht="15" customHeight="1" x14ac:dyDescent="0.25">
      <c r="A23" s="25" t="s">
        <v>1088</v>
      </c>
      <c r="B23" s="25" t="s">
        <v>757</v>
      </c>
      <c r="C23" s="26" t="str">
        <f>IFERROR(IF(OR(A23="",B23=""),"",INDEX(Equipements!$H:$H,MATCH(A23,Equipements!$A:$A,0))&amp;"."&amp;B23),"")</f>
        <v>.FlowDelayMs</v>
      </c>
      <c r="D23" s="11" t="s">
        <v>1111</v>
      </c>
      <c r="E23" s="25" t="s">
        <v>1094</v>
      </c>
      <c r="F23" s="25" t="s">
        <v>292</v>
      </c>
      <c r="G23" s="25" t="s">
        <v>299</v>
      </c>
      <c r="H23" s="11">
        <v>1005</v>
      </c>
      <c r="I23" s="11"/>
      <c r="J23" s="26" t="str">
        <f>IF(OR(G23="",H23=""),"","%"&amp;G23&amp;H23)</f>
        <v>%MW1005</v>
      </c>
      <c r="K23" s="11"/>
      <c r="L23" s="11"/>
      <c r="M23" s="11"/>
      <c r="N23" s="11"/>
      <c r="O23" s="26" t="str">
        <f>IF(H23="","",IF(I23="","mot entier","bit "&amp;I23))</f>
        <v>mot entier</v>
      </c>
      <c r="P23" s="11"/>
    </row>
    <row r="24" spans="1:16" ht="15" customHeight="1" x14ac:dyDescent="0.25">
      <c r="A24" s="25" t="s">
        <v>1088</v>
      </c>
      <c r="B24" s="25" t="s">
        <v>760</v>
      </c>
      <c r="C24" s="26" t="str">
        <f>IFERROR(IF(OR(A24="",B24=""),"",INDEX(Equipements!$H:$H,MATCH(A24,Equipements!$A:$A,0))&amp;"."&amp;B24),"")</f>
        <v>.SuctionOk</v>
      </c>
      <c r="D24" s="11" t="s">
        <v>1112</v>
      </c>
      <c r="E24" s="25" t="s">
        <v>1102</v>
      </c>
      <c r="F24" s="25" t="s">
        <v>290</v>
      </c>
      <c r="G24" s="25" t="s">
        <v>299</v>
      </c>
      <c r="H24" s="11">
        <v>1000</v>
      </c>
      <c r="I24" s="11">
        <v>10</v>
      </c>
      <c r="J24" s="26" t="str">
        <f>IF(OR(G24="",H24=""),"","%"&amp;G24&amp;H24)</f>
        <v>%MW1000</v>
      </c>
      <c r="K24" s="11"/>
      <c r="L24" s="11"/>
      <c r="M24" s="11"/>
      <c r="N24" s="11"/>
      <c r="O24" s="26" t="str">
        <f>IF(H24="","",IF(I24="","mot entier","bit "&amp;I24))</f>
        <v>bit 10</v>
      </c>
      <c r="P24" s="11"/>
    </row>
    <row r="25" spans="1:16" ht="15" customHeight="1" x14ac:dyDescent="0.25">
      <c r="A25" s="25" t="s">
        <v>1088</v>
      </c>
      <c r="B25" s="25" t="s">
        <v>762</v>
      </c>
      <c r="C25" s="26" t="str">
        <f>IFERROR(IF(OR(A25="",B25=""),"",INDEX(Equipements!$H:$H,MATCH(A25,Equipements!$A:$A,0))&amp;"."&amp;B25),"")</f>
        <v>.Pressure</v>
      </c>
      <c r="D25" s="11" t="s">
        <v>1113</v>
      </c>
      <c r="E25" s="25" t="s">
        <v>1102</v>
      </c>
      <c r="F25" s="25" t="s">
        <v>290</v>
      </c>
      <c r="G25" s="25" t="s">
        <v>299</v>
      </c>
      <c r="H25" s="11">
        <v>1006</v>
      </c>
      <c r="I25" s="11"/>
      <c r="J25" s="26" t="str">
        <f>IF(OR(G25="",H25=""),"","%"&amp;G25&amp;H25)</f>
        <v>%MW1006</v>
      </c>
      <c r="K25" s="11"/>
      <c r="L25" s="11"/>
      <c r="M25" s="11"/>
      <c r="N25" s="11"/>
      <c r="O25" s="26" t="str">
        <f>IF(H25="","",IF(I25="","mot entier","bit "&amp;I25))</f>
        <v>mot entier</v>
      </c>
      <c r="P25" s="11"/>
    </row>
    <row r="26" spans="1:16" ht="15" customHeight="1" x14ac:dyDescent="0.25">
      <c r="A26" s="25" t="s">
        <v>1088</v>
      </c>
      <c r="B26" s="25" t="s">
        <v>764</v>
      </c>
      <c r="C26" s="26" t="str">
        <f>IFERROR(IF(OR(A26="",B26=""),"",INDEX(Equipements!$H:$H,MATCH(A26,Equipements!$A:$A,0))&amp;"."&amp;B26),"")</f>
        <v>.MaxPressure</v>
      </c>
      <c r="D26" s="11" t="s">
        <v>1114</v>
      </c>
      <c r="E26" s="25" t="s">
        <v>1102</v>
      </c>
      <c r="F26" s="25" t="s">
        <v>290</v>
      </c>
      <c r="G26" s="25" t="s">
        <v>299</v>
      </c>
      <c r="H26" s="11">
        <v>1007</v>
      </c>
      <c r="I26" s="11"/>
      <c r="J26" s="26" t="str">
        <f>IF(OR(G26="",H26=""),"","%"&amp;G26&amp;H26)</f>
        <v>%MW1007</v>
      </c>
      <c r="K26" s="11"/>
      <c r="L26" s="11"/>
      <c r="M26" s="11"/>
      <c r="N26" s="11"/>
      <c r="O26" s="26" t="str">
        <f>IF(H26="","",IF(I26="","mot entier","bit "&amp;I26))</f>
        <v>mot entier</v>
      </c>
      <c r="P26" s="11"/>
    </row>
    <row r="27" spans="1:16" ht="15" customHeight="1" x14ac:dyDescent="0.25">
      <c r="A27" s="25" t="s">
        <v>1088</v>
      </c>
      <c r="B27" s="25" t="s">
        <v>649</v>
      </c>
      <c r="C27" s="26" t="str">
        <f>IFERROR(IF(OR(A27="",B27=""),"",INDEX(Equipements!$H:$H,MATCH(A27,Equipements!$A:$A,0))&amp;"."&amp;B27),"")</f>
        <v>.Fault</v>
      </c>
      <c r="D27" s="11" t="s">
        <v>1115</v>
      </c>
      <c r="E27" s="25" t="s">
        <v>1102</v>
      </c>
      <c r="F27" s="25" t="s">
        <v>291</v>
      </c>
      <c r="G27" s="25" t="s">
        <v>299</v>
      </c>
      <c r="H27" s="11">
        <v>1000</v>
      </c>
      <c r="I27" s="11">
        <v>11</v>
      </c>
      <c r="J27" s="26" t="str">
        <f>IF(OR(G27="",H27=""),"","%"&amp;G27&amp;H27)</f>
        <v>%MW1000</v>
      </c>
      <c r="K27" s="11"/>
      <c r="L27" s="11"/>
      <c r="M27" s="11"/>
      <c r="N27" s="11"/>
      <c r="O27" s="26" t="str">
        <f>IF(H27="","",IF(I27="","mot entier","bit "&amp;I27))</f>
        <v>bit 11</v>
      </c>
      <c r="P27" s="11"/>
    </row>
    <row r="28" spans="1:16" ht="15" customHeight="1" x14ac:dyDescent="0.25">
      <c r="A28" s="25" t="s">
        <v>1088</v>
      </c>
      <c r="B28" s="25" t="s">
        <v>651</v>
      </c>
      <c r="C28" s="26" t="str">
        <f>IFERROR(IF(OR(A28="",B28=""),"",INDEX(Equipements!$H:$H,MATCH(A28,Equipements!$A:$A,0))&amp;"."&amp;B28),"")</f>
        <v>.FaultCode</v>
      </c>
      <c r="D28" s="11" t="s">
        <v>1116</v>
      </c>
      <c r="E28" s="25" t="s">
        <v>1102</v>
      </c>
      <c r="F28" s="25" t="s">
        <v>291</v>
      </c>
      <c r="G28" s="25" t="s">
        <v>299</v>
      </c>
      <c r="H28" s="11">
        <v>1008</v>
      </c>
      <c r="I28" s="11"/>
      <c r="J28" s="26" t="str">
        <f>IF(OR(G28="",H28=""),"","%"&amp;G28&amp;H28)</f>
        <v>%MW1008</v>
      </c>
      <c r="K28" s="11"/>
      <c r="L28" s="11"/>
      <c r="M28" s="11"/>
      <c r="N28" s="11"/>
      <c r="O28" s="26" t="str">
        <f>IF(H28="","",IF(I28="","mot entier","bit "&amp;I28))</f>
        <v>mot entier</v>
      </c>
      <c r="P28" s="11"/>
    </row>
    <row r="29" spans="1:16" ht="15" customHeight="1" x14ac:dyDescent="0.25">
      <c r="A29" s="25" t="s">
        <v>1088</v>
      </c>
      <c r="B29" s="25" t="s">
        <v>653</v>
      </c>
      <c r="C29" s="26" t="str">
        <f>IFERROR(IF(OR(A29="",B29=""),"",INDEX(Equipements!$H:$H,MATCH(A29,Equipements!$A:$A,0))&amp;"."&amp;B29),"")</f>
        <v>.FaultLatch</v>
      </c>
      <c r="D29" s="11" t="s">
        <v>1117</v>
      </c>
      <c r="E29" s="25" t="s">
        <v>1102</v>
      </c>
      <c r="F29" s="25" t="s">
        <v>291</v>
      </c>
      <c r="G29" s="25" t="s">
        <v>299</v>
      </c>
      <c r="H29" s="11">
        <v>1000</v>
      </c>
      <c r="I29" s="11">
        <v>12</v>
      </c>
      <c r="J29" s="26" t="str">
        <f>IF(OR(G29="",H29=""),"","%"&amp;G29&amp;H29)</f>
        <v>%MW1000</v>
      </c>
      <c r="K29" s="11"/>
      <c r="L29" s="11"/>
      <c r="M29" s="11"/>
      <c r="N29" s="11"/>
      <c r="O29" s="26" t="str">
        <f>IF(H29="","",IF(I29="","mot entier","bit "&amp;I29))</f>
        <v>bit 12</v>
      </c>
      <c r="P29" s="11"/>
    </row>
    <row r="30" spans="1:16" ht="15" customHeight="1" x14ac:dyDescent="0.25">
      <c r="A30" s="25" t="s">
        <v>1088</v>
      </c>
      <c r="B30" s="25" t="s">
        <v>655</v>
      </c>
      <c r="C30" s="26" t="str">
        <f>IFERROR(IF(OR(A30="",B30=""),"",INDEX(Equipements!$H:$H,MATCH(A30,Equipements!$A:$A,0))&amp;"."&amp;B30),"")</f>
        <v>.Ready</v>
      </c>
      <c r="D30" s="11" t="s">
        <v>1118</v>
      </c>
      <c r="E30" s="25" t="s">
        <v>1102</v>
      </c>
      <c r="F30" s="25" t="s">
        <v>290</v>
      </c>
      <c r="G30" s="25" t="s">
        <v>299</v>
      </c>
      <c r="H30" s="11">
        <v>1000</v>
      </c>
      <c r="I30" s="11">
        <v>13</v>
      </c>
      <c r="J30" s="26" t="str">
        <f>IF(OR(G30="",H30=""),"","%"&amp;G30&amp;H30)</f>
        <v>%MW1000</v>
      </c>
      <c r="K30" s="11"/>
      <c r="L30" s="11"/>
      <c r="M30" s="11"/>
      <c r="N30" s="11"/>
      <c r="O30" s="26" t="str">
        <f>IF(H30="","",IF(I30="","mot entier","bit "&amp;I30))</f>
        <v>bit 13</v>
      </c>
      <c r="P30" s="11"/>
    </row>
    <row r="31" spans="1:16" ht="15" customHeight="1" x14ac:dyDescent="0.25">
      <c r="A31" s="25" t="s">
        <v>1088</v>
      </c>
      <c r="B31" s="25" t="s">
        <v>560</v>
      </c>
      <c r="C31" s="26" t="str">
        <f>IFERROR(IF(OR(A31="",B31=""),"",INDEX(Equipements!$H:$H,MATCH(A31,Equipements!$A:$A,0))&amp;"."&amp;B31),"")</f>
        <v>.RunMs</v>
      </c>
      <c r="D31" s="11" t="s">
        <v>1119</v>
      </c>
      <c r="E31" s="25" t="s">
        <v>1102</v>
      </c>
      <c r="F31" s="25" t="s">
        <v>290</v>
      </c>
      <c r="G31" s="25" t="s">
        <v>299</v>
      </c>
      <c r="H31" s="11">
        <v>1009</v>
      </c>
      <c r="I31" s="11"/>
      <c r="J31" s="26" t="str">
        <f>IF(OR(G31="",H31=""),"","%"&amp;G31&amp;H31)</f>
        <v>%MW1009</v>
      </c>
      <c r="K31" s="11"/>
      <c r="L31" s="11"/>
      <c r="M31" s="11"/>
      <c r="N31" s="11"/>
      <c r="O31" s="26" t="str">
        <f>IF(H31="","",IF(I31="","mot entier","bit "&amp;I31))</f>
        <v>mot entier</v>
      </c>
      <c r="P31" s="11"/>
    </row>
    <row r="32" spans="1:16" ht="15" customHeight="1" x14ac:dyDescent="0.25">
      <c r="A32" s="25" t="s">
        <v>1088</v>
      </c>
      <c r="B32" s="25" t="s">
        <v>658</v>
      </c>
      <c r="C32" s="26" t="str">
        <f>IFERROR(IF(OR(A32="",B32=""),"",INDEX(Equipements!$H:$H,MATCH(A32,Equipements!$A:$A,0))&amp;"."&amp;B32),"")</f>
        <v>.Starts</v>
      </c>
      <c r="D32" s="11" t="s">
        <v>1120</v>
      </c>
      <c r="E32" s="25" t="s">
        <v>1102</v>
      </c>
      <c r="F32" s="25" t="s">
        <v>290</v>
      </c>
      <c r="G32" s="25" t="s">
        <v>299</v>
      </c>
      <c r="H32" s="11">
        <v>1010</v>
      </c>
      <c r="I32" s="11"/>
      <c r="J32" s="26" t="str">
        <f>IF(OR(G32="",H32=""),"","%"&amp;G32&amp;H32)</f>
        <v>%MW1010</v>
      </c>
      <c r="K32" s="11"/>
      <c r="L32" s="11"/>
      <c r="M32" s="11"/>
      <c r="N32" s="11"/>
      <c r="O32" s="26" t="str">
        <f>IF(H32="","",IF(I32="","mot entier","bit "&amp;I32))</f>
        <v>mot entier</v>
      </c>
      <c r="P32" s="11"/>
    </row>
    <row r="33" spans="1:16" ht="15" customHeight="1" x14ac:dyDescent="0.25">
      <c r="A33" s="25" t="s">
        <v>1088</v>
      </c>
      <c r="B33" s="25" t="s">
        <v>660</v>
      </c>
      <c r="C33" s="26" t="str">
        <f>IFERROR(IF(OR(A33="",B33=""),"",INDEX(Equipements!$H:$H,MATCH(A33,Equipements!$A:$A,0))&amp;"."&amp;B33),"")</f>
        <v>.StateMs</v>
      </c>
      <c r="D33" s="11" t="s">
        <v>1121</v>
      </c>
      <c r="E33" s="25" t="s">
        <v>1094</v>
      </c>
      <c r="F33" s="25" t="s">
        <v>292</v>
      </c>
      <c r="G33" s="25" t="s">
        <v>299</v>
      </c>
      <c r="H33" s="11">
        <v>1011</v>
      </c>
      <c r="I33" s="11"/>
      <c r="J33" s="26" t="str">
        <f>IF(OR(G33="",H33=""),"","%"&amp;G33&amp;H33)</f>
        <v>%MW1011</v>
      </c>
      <c r="K33" s="11"/>
      <c r="L33" s="11"/>
      <c r="M33" s="11"/>
      <c r="N33" s="11"/>
      <c r="O33" s="26" t="str">
        <f>IF(H33="","",IF(I33="","mot entier","bit "&amp;I33))</f>
        <v>mot entier</v>
      </c>
      <c r="P33" s="11"/>
    </row>
    <row r="34" spans="1:16" ht="15" customHeight="1" x14ac:dyDescent="0.25">
      <c r="A34" s="25" t="s">
        <v>239</v>
      </c>
      <c r="B34" s="25" t="s">
        <v>616</v>
      </c>
      <c r="C34" s="26" t="str">
        <f>IFERROR(IF(OR(A34="",B34=""),"",INDEX(Equipements!$H:$H,MATCH(A34,Equipements!$A:$A,0))&amp;"."&amp;B34),"")</f>
        <v>.Enable</v>
      </c>
      <c r="D34" s="11" t="s">
        <v>1140</v>
      </c>
      <c r="E34" s="25" t="s">
        <v>1094</v>
      </c>
      <c r="F34" s="25" t="s">
        <v>292</v>
      </c>
      <c r="G34" s="25" t="s">
        <v>299</v>
      </c>
      <c r="H34" s="11">
        <v>1012</v>
      </c>
      <c r="I34" s="11">
        <v>0</v>
      </c>
      <c r="J34" s="26" t="str">
        <f>IF(OR(G34="",H34=""),"","%"&amp;G34&amp;H34)</f>
        <v>%MW1012</v>
      </c>
      <c r="K34" s="11"/>
      <c r="L34" s="11"/>
      <c r="M34" s="11"/>
      <c r="N34" s="11"/>
      <c r="O34" s="26" t="str">
        <f>IF(H34="","",IF(I34="","mot entier","bit "&amp;I34))</f>
        <v>bit 0</v>
      </c>
      <c r="P34" s="11"/>
    </row>
    <row r="35" spans="1:16" ht="15" customHeight="1" x14ac:dyDescent="0.25">
      <c r="A35" s="25" t="s">
        <v>239</v>
      </c>
      <c r="B35" s="25" t="s">
        <v>618</v>
      </c>
      <c r="C35" s="26" t="str">
        <f>IFERROR(IF(OR(A35="",B35=""),"",INDEX(Equipements!$H:$H,MATCH(A35,Equipements!$A:$A,0))&amp;"."&amp;B35),"")</f>
        <v>.ManMode</v>
      </c>
      <c r="D35" s="11" t="s">
        <v>1141</v>
      </c>
      <c r="E35" s="25" t="s">
        <v>1094</v>
      </c>
      <c r="F35" s="25" t="s">
        <v>292</v>
      </c>
      <c r="G35" s="25" t="s">
        <v>299</v>
      </c>
      <c r="H35" s="11">
        <v>1012</v>
      </c>
      <c r="I35" s="11">
        <v>1</v>
      </c>
      <c r="J35" s="26" t="str">
        <f>IF(OR(G35="",H35=""),"","%"&amp;G35&amp;H35)</f>
        <v>%MW1012</v>
      </c>
      <c r="K35" s="11"/>
      <c r="L35" s="11"/>
      <c r="M35" s="11"/>
      <c r="N35" s="11"/>
      <c r="O35" s="26" t="str">
        <f>IF(H35="","",IF(I35="","mot entier","bit "&amp;I35))</f>
        <v>bit 1</v>
      </c>
      <c r="P35" s="11"/>
    </row>
    <row r="36" spans="1:16" ht="15" customHeight="1" x14ac:dyDescent="0.25">
      <c r="A36" s="25" t="s">
        <v>239</v>
      </c>
      <c r="B36" s="25" t="s">
        <v>620</v>
      </c>
      <c r="C36" s="26" t="str">
        <f>IFERROR(IF(OR(A36="",B36=""),"",INDEX(Equipements!$H:$H,MATCH(A36,Equipements!$A:$A,0))&amp;"."&amp;B36),"")</f>
        <v>.AckFault</v>
      </c>
      <c r="D36" s="11" t="s">
        <v>1142</v>
      </c>
      <c r="E36" s="25" t="s">
        <v>1094</v>
      </c>
      <c r="F36" s="25" t="s">
        <v>292</v>
      </c>
      <c r="G36" s="25" t="s">
        <v>299</v>
      </c>
      <c r="H36" s="11">
        <v>1012</v>
      </c>
      <c r="I36" s="11">
        <v>2</v>
      </c>
      <c r="J36" s="26" t="str">
        <f>IF(OR(G36="",H36=""),"","%"&amp;G36&amp;H36)</f>
        <v>%MW1012</v>
      </c>
      <c r="K36" s="11"/>
      <c r="L36" s="11"/>
      <c r="M36" s="11"/>
      <c r="N36" s="11"/>
      <c r="O36" s="26" t="str">
        <f>IF(H36="","",IF(I36="","mot entier","bit "&amp;I36))</f>
        <v>bit 2</v>
      </c>
      <c r="P36" s="11"/>
    </row>
    <row r="37" spans="1:16" ht="15" customHeight="1" x14ac:dyDescent="0.25">
      <c r="A37" s="25" t="s">
        <v>239</v>
      </c>
      <c r="B37" s="25" t="s">
        <v>558</v>
      </c>
      <c r="C37" s="26" t="str">
        <f>IFERROR(IF(OR(A37="",B37=""),"",INDEX(Equipements!$H:$H,MATCH(A37,Equipements!$A:$A,0))&amp;"."&amp;B37),"")</f>
        <v>.RunReq</v>
      </c>
      <c r="D37" s="11" t="s">
        <v>1143</v>
      </c>
      <c r="E37" s="25" t="s">
        <v>1094</v>
      </c>
      <c r="F37" s="25" t="s">
        <v>292</v>
      </c>
      <c r="G37" s="25" t="s">
        <v>299</v>
      </c>
      <c r="H37" s="11">
        <v>1012</v>
      </c>
      <c r="I37" s="11">
        <v>3</v>
      </c>
      <c r="J37" s="26" t="str">
        <f>IF(OR(G37="",H37=""),"","%"&amp;G37&amp;H37)</f>
        <v>%MW1012</v>
      </c>
      <c r="K37" s="11"/>
      <c r="L37" s="11"/>
      <c r="M37" s="11"/>
      <c r="N37" s="11"/>
      <c r="O37" s="26" t="str">
        <f>IF(H37="","",IF(I37="","mot entier","bit "&amp;I37))</f>
        <v>bit 3</v>
      </c>
      <c r="P37" s="11"/>
    </row>
    <row r="38" spans="1:16" ht="15" customHeight="1" x14ac:dyDescent="0.25">
      <c r="A38" s="25" t="s">
        <v>239</v>
      </c>
      <c r="B38" s="25" t="s">
        <v>624</v>
      </c>
      <c r="C38" s="26" t="str">
        <f>IFERROR(IF(OR(A38="",B38=""),"",INDEX(Equipements!$H:$H,MATCH(A38,Equipements!$A:$A,0))&amp;"."&amp;B38),"")</f>
        <v>.ManRunReq</v>
      </c>
      <c r="D38" s="11" t="s">
        <v>1144</v>
      </c>
      <c r="E38" s="25" t="s">
        <v>1094</v>
      </c>
      <c r="F38" s="25" t="s">
        <v>292</v>
      </c>
      <c r="G38" s="25" t="s">
        <v>299</v>
      </c>
      <c r="H38" s="11">
        <v>1012</v>
      </c>
      <c r="I38" s="11">
        <v>4</v>
      </c>
      <c r="J38" s="26" t="str">
        <f>IF(OR(G38="",H38=""),"","%"&amp;G38&amp;H38)</f>
        <v>%MW1012</v>
      </c>
      <c r="K38" s="11"/>
      <c r="L38" s="11"/>
      <c r="M38" s="11"/>
      <c r="N38" s="11"/>
      <c r="O38" s="26" t="str">
        <f>IF(H38="","",IF(I38="","mot entier","bit "&amp;I38))</f>
        <v>bit 4</v>
      </c>
      <c r="P38" s="11"/>
    </row>
    <row r="39" spans="1:16" ht="15" customHeight="1" x14ac:dyDescent="0.25">
      <c r="A39" s="25" t="s">
        <v>239</v>
      </c>
      <c r="B39" s="25" t="s">
        <v>738</v>
      </c>
      <c r="C39" s="26" t="str">
        <f>IFERROR(IF(OR(A39="",B39=""),"",INDEX(Equipements!$H:$H,MATCH(A39,Equipements!$A:$A,0))&amp;"."&amp;B39),"")</f>
        <v>.Fbk</v>
      </c>
      <c r="D39" s="11" t="s">
        <v>1145</v>
      </c>
      <c r="E39" s="25" t="s">
        <v>1102</v>
      </c>
      <c r="F39" s="25" t="s">
        <v>290</v>
      </c>
      <c r="G39" s="25" t="s">
        <v>299</v>
      </c>
      <c r="H39" s="11">
        <v>1012</v>
      </c>
      <c r="I39" s="11">
        <v>5</v>
      </c>
      <c r="J39" s="26" t="str">
        <f>IF(OR(G39="",H39=""),"","%"&amp;G39&amp;H39)</f>
        <v>%MW1012</v>
      </c>
      <c r="K39" s="11"/>
      <c r="L39" s="11"/>
      <c r="M39" s="11"/>
      <c r="N39" s="11"/>
      <c r="O39" s="26" t="str">
        <f>IF(H39="","",IF(I39="","mot entier","bit "&amp;I39))</f>
        <v>bit 5</v>
      </c>
      <c r="P39" s="11"/>
    </row>
    <row r="40" spans="1:16" ht="15" customHeight="1" x14ac:dyDescent="0.25">
      <c r="A40" s="25" t="s">
        <v>239</v>
      </c>
      <c r="B40" s="25" t="s">
        <v>633</v>
      </c>
      <c r="C40" s="26" t="str">
        <f>IFERROR(IF(OR(A40="",B40=""),"",INDEX(Equipements!$H:$H,MATCH(A40,Equipements!$A:$A,0))&amp;"."&amp;B40),"")</f>
        <v>.Thermal</v>
      </c>
      <c r="D40" s="11" t="s">
        <v>1146</v>
      </c>
      <c r="E40" s="25" t="s">
        <v>1102</v>
      </c>
      <c r="F40" s="25" t="s">
        <v>290</v>
      </c>
      <c r="G40" s="25" t="s">
        <v>299</v>
      </c>
      <c r="H40" s="11">
        <v>1012</v>
      </c>
      <c r="I40" s="11">
        <v>6</v>
      </c>
      <c r="J40" s="26" t="str">
        <f>IF(OR(G40="",H40=""),"","%"&amp;G40&amp;H40)</f>
        <v>%MW1012</v>
      </c>
      <c r="K40" s="11"/>
      <c r="L40" s="11"/>
      <c r="M40" s="11"/>
      <c r="N40" s="11"/>
      <c r="O40" s="26" t="str">
        <f>IF(H40="","",IF(I40="","mot entier","bit "&amp;I40))</f>
        <v>bit 6</v>
      </c>
      <c r="P40" s="11"/>
    </row>
    <row r="41" spans="1:16" ht="15" customHeight="1" x14ac:dyDescent="0.25">
      <c r="A41" s="25" t="s">
        <v>239</v>
      </c>
      <c r="B41" s="25" t="s">
        <v>628</v>
      </c>
      <c r="C41" s="26" t="str">
        <f>IFERROR(IF(OR(A41="",B41=""),"",INDEX(Equipements!$H:$H,MATCH(A41,Equipements!$A:$A,0))&amp;"."&amp;B41),"")</f>
        <v>.Run</v>
      </c>
      <c r="D41" s="11" t="s">
        <v>1147</v>
      </c>
      <c r="E41" s="25" t="s">
        <v>1102</v>
      </c>
      <c r="F41" s="25" t="s">
        <v>290</v>
      </c>
      <c r="G41" s="25" t="s">
        <v>299</v>
      </c>
      <c r="H41" s="11">
        <v>1012</v>
      </c>
      <c r="I41" s="11">
        <v>7</v>
      </c>
      <c r="J41" s="26" t="str">
        <f>IF(OR(G41="",H41=""),"","%"&amp;G41&amp;H41)</f>
        <v>%MW1012</v>
      </c>
      <c r="K41" s="11"/>
      <c r="L41" s="11"/>
      <c r="M41" s="11"/>
      <c r="N41" s="11"/>
      <c r="O41" s="26" t="str">
        <f>IF(H41="","",IF(I41="","mot entier","bit "&amp;I41))</f>
        <v>bit 7</v>
      </c>
      <c r="P41" s="11"/>
    </row>
    <row r="42" spans="1:16" ht="15" customHeight="1" x14ac:dyDescent="0.25">
      <c r="A42" s="25" t="s">
        <v>239</v>
      </c>
      <c r="B42" s="25" t="s">
        <v>632</v>
      </c>
      <c r="C42" s="26" t="str">
        <f>IFERROR(IF(OR(A42="",B42=""),"",INDEX(Equipements!$H:$H,MATCH(A42,Equipements!$A:$A,0))&amp;"."&amp;B42),"")</f>
        <v>.Running</v>
      </c>
      <c r="D42" s="11" t="s">
        <v>1148</v>
      </c>
      <c r="E42" s="25" t="s">
        <v>1102</v>
      </c>
      <c r="F42" s="25" t="s">
        <v>290</v>
      </c>
      <c r="G42" s="25" t="s">
        <v>299</v>
      </c>
      <c r="H42" s="11">
        <v>1012</v>
      </c>
      <c r="I42" s="11">
        <v>8</v>
      </c>
      <c r="J42" s="26" t="str">
        <f>IF(OR(G42="",H42=""),"","%"&amp;G42&amp;H42)</f>
        <v>%MW1012</v>
      </c>
      <c r="K42" s="11"/>
      <c r="L42" s="11"/>
      <c r="M42" s="11"/>
      <c r="N42" s="11"/>
      <c r="O42" s="26" t="str">
        <f>IF(H42="","",IF(I42="","mot entier","bit "&amp;I42))</f>
        <v>bit 8</v>
      </c>
      <c r="P42" s="11"/>
    </row>
    <row r="43" spans="1:16" ht="15" customHeight="1" x14ac:dyDescent="0.25">
      <c r="A43" s="25" t="s">
        <v>239</v>
      </c>
      <c r="B43" s="25" t="s">
        <v>743</v>
      </c>
      <c r="C43" s="26" t="str">
        <f>IFERROR(IF(OR(A43="",B43=""),"",INDEX(Equipements!$H:$H,MATCH(A43,Equipements!$A:$A,0))&amp;"."&amp;B43),"")</f>
        <v>.FbkMs</v>
      </c>
      <c r="D43" s="11" t="s">
        <v>1149</v>
      </c>
      <c r="E43" s="25" t="s">
        <v>1094</v>
      </c>
      <c r="F43" s="25" t="s">
        <v>292</v>
      </c>
      <c r="G43" s="25" t="s">
        <v>299</v>
      </c>
      <c r="H43" s="11">
        <v>1013</v>
      </c>
      <c r="I43" s="11"/>
      <c r="J43" s="26" t="str">
        <f>IF(OR(G43="",H43=""),"","%"&amp;G43&amp;H43)</f>
        <v>%MW1013</v>
      </c>
      <c r="K43" s="11"/>
      <c r="L43" s="11"/>
      <c r="M43" s="11"/>
      <c r="N43" s="11"/>
      <c r="O43" s="26" t="str">
        <f>IF(H43="","",IF(I43="","mot entier","bit "&amp;I43))</f>
        <v>mot entier</v>
      </c>
      <c r="P43" s="11"/>
    </row>
    <row r="44" spans="1:16" ht="15" customHeight="1" x14ac:dyDescent="0.25">
      <c r="A44" s="25" t="s">
        <v>239</v>
      </c>
      <c r="B44" s="25" t="s">
        <v>746</v>
      </c>
      <c r="C44" s="26" t="str">
        <f>IFERROR(IF(OR(A44="",B44=""),"",INDEX(Equipements!$H:$H,MATCH(A44,Equipements!$A:$A,0))&amp;"."&amp;B44),"")</f>
        <v>.MinOffMs</v>
      </c>
      <c r="D44" s="11" t="s">
        <v>1150</v>
      </c>
      <c r="E44" s="25" t="s">
        <v>1094</v>
      </c>
      <c r="F44" s="25" t="s">
        <v>292</v>
      </c>
      <c r="G44" s="25" t="s">
        <v>299</v>
      </c>
      <c r="H44" s="11">
        <v>1014</v>
      </c>
      <c r="I44" s="11"/>
      <c r="J44" s="26" t="str">
        <f>IF(OR(G44="",H44=""),"","%"&amp;G44&amp;H44)</f>
        <v>%MW1014</v>
      </c>
      <c r="K44" s="11"/>
      <c r="L44" s="11"/>
      <c r="M44" s="11"/>
      <c r="N44" s="11"/>
      <c r="O44" s="26" t="str">
        <f>IF(H44="","",IF(I44="","mot entier","bit "&amp;I44))</f>
        <v>mot entier</v>
      </c>
      <c r="P44" s="11"/>
    </row>
    <row r="45" spans="1:16" ht="15" customHeight="1" x14ac:dyDescent="0.25">
      <c r="A45" s="25" t="s">
        <v>239</v>
      </c>
      <c r="B45" s="25" t="s">
        <v>749</v>
      </c>
      <c r="C45" s="26" t="str">
        <f>IFERROR(IF(OR(A45="",B45=""),"",INDEX(Equipements!$H:$H,MATCH(A45,Equipements!$A:$A,0))&amp;"."&amp;B45),"")</f>
        <v>.HasFbk</v>
      </c>
      <c r="D45" s="11" t="s">
        <v>1151</v>
      </c>
      <c r="E45" s="25" t="s">
        <v>1102</v>
      </c>
      <c r="F45" s="25" t="s">
        <v>290</v>
      </c>
      <c r="G45" s="25" t="s">
        <v>299</v>
      </c>
      <c r="H45" s="11">
        <v>1012</v>
      </c>
      <c r="I45" s="11">
        <v>9</v>
      </c>
      <c r="J45" s="26" t="str">
        <f>IF(OR(G45="",H45=""),"","%"&amp;G45&amp;H45)</f>
        <v>%MW1012</v>
      </c>
      <c r="K45" s="11"/>
      <c r="L45" s="11"/>
      <c r="M45" s="11"/>
      <c r="N45" s="11"/>
      <c r="O45" s="26" t="str">
        <f>IF(H45="","",IF(I45="","mot entier","bit "&amp;I45))</f>
        <v>bit 9</v>
      </c>
      <c r="P45" s="11"/>
    </row>
    <row r="46" spans="1:16" ht="15" customHeight="1" x14ac:dyDescent="0.25">
      <c r="A46" s="25" t="s">
        <v>239</v>
      </c>
      <c r="B46" s="25" t="s">
        <v>753</v>
      </c>
      <c r="C46" s="26" t="str">
        <f>IFERROR(IF(OR(A46="",B46=""),"",INDEX(Equipements!$H:$H,MATCH(A46,Equipements!$A:$A,0))&amp;"."&amp;B46),"")</f>
        <v>.Flow</v>
      </c>
      <c r="D46" s="11" t="s">
        <v>1152</v>
      </c>
      <c r="E46" s="25" t="s">
        <v>1094</v>
      </c>
      <c r="F46" s="25" t="s">
        <v>292</v>
      </c>
      <c r="G46" s="25" t="s">
        <v>299</v>
      </c>
      <c r="H46" s="11">
        <v>1015</v>
      </c>
      <c r="I46" s="11"/>
      <c r="J46" s="26" t="str">
        <f>IF(OR(G46="",H46=""),"","%"&amp;G46&amp;H46)</f>
        <v>%MW1015</v>
      </c>
      <c r="K46" s="11"/>
      <c r="L46" s="11"/>
      <c r="M46" s="11"/>
      <c r="N46" s="11"/>
      <c r="O46" s="26" t="str">
        <f>IF(H46="","",IF(I46="","mot entier","bit "&amp;I46))</f>
        <v>mot entier</v>
      </c>
      <c r="P46" s="11"/>
    </row>
    <row r="47" spans="1:16" ht="15" customHeight="1" x14ac:dyDescent="0.25">
      <c r="A47" s="25" t="s">
        <v>239</v>
      </c>
      <c r="B47" s="25" t="s">
        <v>755</v>
      </c>
      <c r="C47" s="26" t="str">
        <f>IFERROR(IF(OR(A47="",B47=""),"",INDEX(Equipements!$H:$H,MATCH(A47,Equipements!$A:$A,0))&amp;"."&amp;B47),"")</f>
        <v>.MinFlow</v>
      </c>
      <c r="D47" s="11" t="s">
        <v>1153</v>
      </c>
      <c r="E47" s="25" t="s">
        <v>1094</v>
      </c>
      <c r="F47" s="25" t="s">
        <v>292</v>
      </c>
      <c r="G47" s="25" t="s">
        <v>299</v>
      </c>
      <c r="H47" s="11">
        <v>1016</v>
      </c>
      <c r="I47" s="11"/>
      <c r="J47" s="26" t="str">
        <f>IF(OR(G47="",H47=""),"","%"&amp;G47&amp;H47)</f>
        <v>%MW1016</v>
      </c>
      <c r="K47" s="11"/>
      <c r="L47" s="11"/>
      <c r="M47" s="11"/>
      <c r="N47" s="11"/>
      <c r="O47" s="26" t="str">
        <f>IF(H47="","",IF(I47="","mot entier","bit "&amp;I47))</f>
        <v>mot entier</v>
      </c>
      <c r="P47" s="11"/>
    </row>
    <row r="48" spans="1:16" ht="15" customHeight="1" x14ac:dyDescent="0.25">
      <c r="A48" s="25" t="s">
        <v>239</v>
      </c>
      <c r="B48" s="25" t="s">
        <v>757</v>
      </c>
      <c r="C48" s="26" t="str">
        <f>IFERROR(IF(OR(A48="",B48=""),"",INDEX(Equipements!$H:$H,MATCH(A48,Equipements!$A:$A,0))&amp;"."&amp;B48),"")</f>
        <v>.FlowDelayMs</v>
      </c>
      <c r="D48" s="11" t="s">
        <v>1154</v>
      </c>
      <c r="E48" s="25" t="s">
        <v>1094</v>
      </c>
      <c r="F48" s="25" t="s">
        <v>292</v>
      </c>
      <c r="G48" s="25" t="s">
        <v>299</v>
      </c>
      <c r="H48" s="11">
        <v>1017</v>
      </c>
      <c r="I48" s="11"/>
      <c r="J48" s="26" t="str">
        <f>IF(OR(G48="",H48=""),"","%"&amp;G48&amp;H48)</f>
        <v>%MW1017</v>
      </c>
      <c r="K48" s="11"/>
      <c r="L48" s="11"/>
      <c r="M48" s="11"/>
      <c r="N48" s="11"/>
      <c r="O48" s="26" t="str">
        <f>IF(H48="","",IF(I48="","mot entier","bit "&amp;I48))</f>
        <v>mot entier</v>
      </c>
      <c r="P48" s="11"/>
    </row>
    <row r="49" spans="1:16" ht="15" customHeight="1" x14ac:dyDescent="0.25">
      <c r="A49" s="25" t="s">
        <v>239</v>
      </c>
      <c r="B49" s="25" t="s">
        <v>760</v>
      </c>
      <c r="C49" s="26" t="str">
        <f>IFERROR(IF(OR(A49="",B49=""),"",INDEX(Equipements!$H:$H,MATCH(A49,Equipements!$A:$A,0))&amp;"."&amp;B49),"")</f>
        <v>.SuctionOk</v>
      </c>
      <c r="D49" s="11" t="s">
        <v>1155</v>
      </c>
      <c r="E49" s="25" t="s">
        <v>1102</v>
      </c>
      <c r="F49" s="25" t="s">
        <v>290</v>
      </c>
      <c r="G49" s="25" t="s">
        <v>299</v>
      </c>
      <c r="H49" s="11">
        <v>1012</v>
      </c>
      <c r="I49" s="11">
        <v>10</v>
      </c>
      <c r="J49" s="26" t="str">
        <f>IF(OR(G49="",H49=""),"","%"&amp;G49&amp;H49)</f>
        <v>%MW1012</v>
      </c>
      <c r="K49" s="11"/>
      <c r="L49" s="11"/>
      <c r="M49" s="11"/>
      <c r="N49" s="11"/>
      <c r="O49" s="26" t="str">
        <f>IF(H49="","",IF(I49="","mot entier","bit "&amp;I49))</f>
        <v>bit 10</v>
      </c>
      <c r="P49" s="11"/>
    </row>
    <row r="50" spans="1:16" ht="15" customHeight="1" x14ac:dyDescent="0.25">
      <c r="A50" s="25" t="s">
        <v>239</v>
      </c>
      <c r="B50" s="25" t="s">
        <v>762</v>
      </c>
      <c r="C50" s="26" t="str">
        <f>IFERROR(IF(OR(A50="",B50=""),"",INDEX(Equipements!$H:$H,MATCH(A50,Equipements!$A:$A,0))&amp;"."&amp;B50),"")</f>
        <v>.Pressure</v>
      </c>
      <c r="D50" s="11" t="s">
        <v>1156</v>
      </c>
      <c r="E50" s="25" t="s">
        <v>1102</v>
      </c>
      <c r="F50" s="25" t="s">
        <v>290</v>
      </c>
      <c r="G50" s="25" t="s">
        <v>299</v>
      </c>
      <c r="H50" s="11">
        <v>1018</v>
      </c>
      <c r="I50" s="11"/>
      <c r="J50" s="26" t="str">
        <f>IF(OR(G50="",H50=""),"","%"&amp;G50&amp;H50)</f>
        <v>%MW1018</v>
      </c>
      <c r="K50" s="11"/>
      <c r="L50" s="11"/>
      <c r="M50" s="11"/>
      <c r="N50" s="11"/>
      <c r="O50" s="26" t="str">
        <f>IF(H50="","",IF(I50="","mot entier","bit "&amp;I50))</f>
        <v>mot entier</v>
      </c>
      <c r="P50" s="11"/>
    </row>
    <row r="51" spans="1:16" ht="15" customHeight="1" x14ac:dyDescent="0.25">
      <c r="A51" s="25" t="s">
        <v>239</v>
      </c>
      <c r="B51" s="25" t="s">
        <v>764</v>
      </c>
      <c r="C51" s="26" t="str">
        <f>IFERROR(IF(OR(A51="",B51=""),"",INDEX(Equipements!$H:$H,MATCH(A51,Equipements!$A:$A,0))&amp;"."&amp;B51),"")</f>
        <v>.MaxPressure</v>
      </c>
      <c r="D51" s="11" t="s">
        <v>1157</v>
      </c>
      <c r="E51" s="25" t="s">
        <v>1102</v>
      </c>
      <c r="F51" s="25" t="s">
        <v>290</v>
      </c>
      <c r="G51" s="25" t="s">
        <v>299</v>
      </c>
      <c r="H51" s="11">
        <v>1019</v>
      </c>
      <c r="I51" s="11"/>
      <c r="J51" s="26" t="str">
        <f>IF(OR(G51="",H51=""),"","%"&amp;G51&amp;H51)</f>
        <v>%MW1019</v>
      </c>
      <c r="K51" s="11"/>
      <c r="L51" s="11"/>
      <c r="M51" s="11"/>
      <c r="N51" s="11"/>
      <c r="O51" s="26" t="str">
        <f>IF(H51="","",IF(I51="","mot entier","bit "&amp;I51))</f>
        <v>mot entier</v>
      </c>
      <c r="P51" s="11"/>
    </row>
    <row r="52" spans="1:16" ht="15" customHeight="1" x14ac:dyDescent="0.25">
      <c r="A52" s="25" t="s">
        <v>239</v>
      </c>
      <c r="B52" s="25" t="s">
        <v>649</v>
      </c>
      <c r="C52" s="26" t="str">
        <f>IFERROR(IF(OR(A52="",B52=""),"",INDEX(Equipements!$H:$H,MATCH(A52,Equipements!$A:$A,0))&amp;"."&amp;B52),"")</f>
        <v>.Fault</v>
      </c>
      <c r="D52" s="11" t="s">
        <v>1158</v>
      </c>
      <c r="E52" s="25" t="s">
        <v>1102</v>
      </c>
      <c r="F52" s="25" t="s">
        <v>291</v>
      </c>
      <c r="G52" s="25" t="s">
        <v>299</v>
      </c>
      <c r="H52" s="11">
        <v>1012</v>
      </c>
      <c r="I52" s="11">
        <v>11</v>
      </c>
      <c r="J52" s="26" t="str">
        <f>IF(OR(G52="",H52=""),"","%"&amp;G52&amp;H52)</f>
        <v>%MW1012</v>
      </c>
      <c r="K52" s="11"/>
      <c r="L52" s="11"/>
      <c r="M52" s="11"/>
      <c r="N52" s="11"/>
      <c r="O52" s="26" t="str">
        <f>IF(H52="","",IF(I52="","mot entier","bit "&amp;I52))</f>
        <v>bit 11</v>
      </c>
      <c r="P52" s="11"/>
    </row>
    <row r="53" spans="1:16" ht="15" customHeight="1" x14ac:dyDescent="0.25">
      <c r="A53" s="25" t="s">
        <v>239</v>
      </c>
      <c r="B53" s="25" t="s">
        <v>651</v>
      </c>
      <c r="C53" s="26" t="str">
        <f>IFERROR(IF(OR(A53="",B53=""),"",INDEX(Equipements!$H:$H,MATCH(A53,Equipements!$A:$A,0))&amp;"."&amp;B53),"")</f>
        <v>.FaultCode</v>
      </c>
      <c r="D53" s="11" t="s">
        <v>1159</v>
      </c>
      <c r="E53" s="25" t="s">
        <v>1102</v>
      </c>
      <c r="F53" s="25" t="s">
        <v>291</v>
      </c>
      <c r="G53" s="25" t="s">
        <v>299</v>
      </c>
      <c r="H53" s="11">
        <v>1020</v>
      </c>
      <c r="I53" s="11"/>
      <c r="J53" s="26" t="str">
        <f>IF(OR(G53="",H53=""),"","%"&amp;G53&amp;H53)</f>
        <v>%MW1020</v>
      </c>
      <c r="K53" s="11"/>
      <c r="L53" s="11"/>
      <c r="M53" s="11"/>
      <c r="N53" s="11"/>
      <c r="O53" s="26" t="str">
        <f>IF(H53="","",IF(I53="","mot entier","bit "&amp;I53))</f>
        <v>mot entier</v>
      </c>
      <c r="P53" s="11"/>
    </row>
    <row r="54" spans="1:16" ht="15" customHeight="1" x14ac:dyDescent="0.25">
      <c r="A54" s="25" t="s">
        <v>239</v>
      </c>
      <c r="B54" s="25" t="s">
        <v>653</v>
      </c>
      <c r="C54" s="26" t="str">
        <f>IFERROR(IF(OR(A54="",B54=""),"",INDEX(Equipements!$H:$H,MATCH(A54,Equipements!$A:$A,0))&amp;"."&amp;B54),"")</f>
        <v>.FaultLatch</v>
      </c>
      <c r="D54" s="11" t="s">
        <v>1160</v>
      </c>
      <c r="E54" s="25" t="s">
        <v>1102</v>
      </c>
      <c r="F54" s="25" t="s">
        <v>291</v>
      </c>
      <c r="G54" s="25" t="s">
        <v>299</v>
      </c>
      <c r="H54" s="11">
        <v>1012</v>
      </c>
      <c r="I54" s="11">
        <v>12</v>
      </c>
      <c r="J54" s="26" t="str">
        <f>IF(OR(G54="",H54=""),"","%"&amp;G54&amp;H54)</f>
        <v>%MW1012</v>
      </c>
      <c r="K54" s="11"/>
      <c r="L54" s="11"/>
      <c r="M54" s="11"/>
      <c r="N54" s="11"/>
      <c r="O54" s="26" t="str">
        <f>IF(H54="","",IF(I54="","mot entier","bit "&amp;I54))</f>
        <v>bit 12</v>
      </c>
      <c r="P54" s="11"/>
    </row>
    <row r="55" spans="1:16" ht="15" customHeight="1" x14ac:dyDescent="0.25">
      <c r="A55" s="25" t="s">
        <v>239</v>
      </c>
      <c r="B55" s="25" t="s">
        <v>655</v>
      </c>
      <c r="C55" s="26" t="str">
        <f>IFERROR(IF(OR(A55="",B55=""),"",INDEX(Equipements!$H:$H,MATCH(A55,Equipements!$A:$A,0))&amp;"."&amp;B55),"")</f>
        <v>.Ready</v>
      </c>
      <c r="D55" s="11" t="s">
        <v>1161</v>
      </c>
      <c r="E55" s="25" t="s">
        <v>1102</v>
      </c>
      <c r="F55" s="25" t="s">
        <v>290</v>
      </c>
      <c r="G55" s="25" t="s">
        <v>299</v>
      </c>
      <c r="H55" s="11">
        <v>1012</v>
      </c>
      <c r="I55" s="11">
        <v>13</v>
      </c>
      <c r="J55" s="26" t="str">
        <f>IF(OR(G55="",H55=""),"","%"&amp;G55&amp;H55)</f>
        <v>%MW1012</v>
      </c>
      <c r="K55" s="11"/>
      <c r="L55" s="11"/>
      <c r="M55" s="11"/>
      <c r="N55" s="11"/>
      <c r="O55" s="26" t="str">
        <f>IF(H55="","",IF(I55="","mot entier","bit "&amp;I55))</f>
        <v>bit 13</v>
      </c>
      <c r="P55" s="11"/>
    </row>
    <row r="56" spans="1:16" ht="15" customHeight="1" x14ac:dyDescent="0.25">
      <c r="A56" s="25" t="s">
        <v>239</v>
      </c>
      <c r="B56" s="25" t="s">
        <v>560</v>
      </c>
      <c r="C56" s="26" t="str">
        <f>IFERROR(IF(OR(A56="",B56=""),"",INDEX(Equipements!$H:$H,MATCH(A56,Equipements!$A:$A,0))&amp;"."&amp;B56),"")</f>
        <v>.RunMs</v>
      </c>
      <c r="D56" s="11" t="s">
        <v>1162</v>
      </c>
      <c r="E56" s="25" t="s">
        <v>1102</v>
      </c>
      <c r="F56" s="25" t="s">
        <v>290</v>
      </c>
      <c r="G56" s="25" t="s">
        <v>299</v>
      </c>
      <c r="H56" s="11">
        <v>1021</v>
      </c>
      <c r="I56" s="11"/>
      <c r="J56" s="26" t="str">
        <f>IF(OR(G56="",H56=""),"","%"&amp;G56&amp;H56)</f>
        <v>%MW1021</v>
      </c>
      <c r="K56" s="11"/>
      <c r="L56" s="11"/>
      <c r="M56" s="11"/>
      <c r="N56" s="11"/>
      <c r="O56" s="26" t="str">
        <f>IF(H56="","",IF(I56="","mot entier","bit "&amp;I56))</f>
        <v>mot entier</v>
      </c>
      <c r="P56" s="11"/>
    </row>
    <row r="57" spans="1:16" ht="15" customHeight="1" x14ac:dyDescent="0.25">
      <c r="A57" s="25" t="s">
        <v>239</v>
      </c>
      <c r="B57" s="25" t="s">
        <v>658</v>
      </c>
      <c r="C57" s="26" t="str">
        <f>IFERROR(IF(OR(A57="",B57=""),"",INDEX(Equipements!$H:$H,MATCH(A57,Equipements!$A:$A,0))&amp;"."&amp;B57),"")</f>
        <v>.Starts</v>
      </c>
      <c r="D57" s="11" t="s">
        <v>1163</v>
      </c>
      <c r="E57" s="25" t="s">
        <v>1102</v>
      </c>
      <c r="F57" s="25" t="s">
        <v>290</v>
      </c>
      <c r="G57" s="25" t="s">
        <v>299</v>
      </c>
      <c r="H57" s="11">
        <v>1022</v>
      </c>
      <c r="I57" s="11"/>
      <c r="J57" s="26" t="str">
        <f>IF(OR(G57="",H57=""),"","%"&amp;G57&amp;H57)</f>
        <v>%MW1022</v>
      </c>
      <c r="K57" s="11"/>
      <c r="L57" s="11"/>
      <c r="M57" s="11"/>
      <c r="N57" s="11"/>
      <c r="O57" s="26" t="str">
        <f>IF(H57="","",IF(I57="","mot entier","bit "&amp;I57))</f>
        <v>mot entier</v>
      </c>
      <c r="P57" s="11"/>
    </row>
    <row r="58" spans="1:16" ht="15" customHeight="1" x14ac:dyDescent="0.25">
      <c r="A58" s="25" t="s">
        <v>239</v>
      </c>
      <c r="B58" s="25" t="s">
        <v>660</v>
      </c>
      <c r="C58" s="26" t="str">
        <f>IFERROR(IF(OR(A58="",B58=""),"",INDEX(Equipements!$H:$H,MATCH(A58,Equipements!$A:$A,0))&amp;"."&amp;B58),"")</f>
        <v>.StateMs</v>
      </c>
      <c r="D58" s="11" t="s">
        <v>1164</v>
      </c>
      <c r="E58" s="25" t="s">
        <v>1094</v>
      </c>
      <c r="F58" s="25" t="s">
        <v>292</v>
      </c>
      <c r="G58" s="25" t="s">
        <v>299</v>
      </c>
      <c r="H58" s="11">
        <v>1023</v>
      </c>
      <c r="I58" s="11"/>
      <c r="J58" s="26" t="str">
        <f>IF(OR(G58="",H58=""),"","%"&amp;G58&amp;H58)</f>
        <v>%MW1023</v>
      </c>
      <c r="K58" s="11"/>
      <c r="L58" s="11"/>
      <c r="M58" s="11"/>
      <c r="N58" s="11"/>
      <c r="O58" s="26" t="str">
        <f>IF(H58="","",IF(I58="","mot entier","bit "&amp;I58))</f>
        <v>mot entier</v>
      </c>
      <c r="P58" s="11"/>
    </row>
    <row r="59" spans="1:16" ht="15" customHeight="1" x14ac:dyDescent="0.25">
      <c r="A59" s="25" t="s">
        <v>1179</v>
      </c>
      <c r="B59" s="25" t="s">
        <v>616</v>
      </c>
      <c r="C59" s="26" t="str">
        <f>IFERROR(IF(OR(A59="",B59=""),"",INDEX(Equipements!$H:$H,MATCH(A59,Equipements!$A:$A,0))&amp;"."&amp;B59),"")</f>
        <v>.Enable</v>
      </c>
      <c r="D59" s="11" t="s">
        <v>1182</v>
      </c>
      <c r="E59" s="25" t="s">
        <v>1094</v>
      </c>
      <c r="F59" s="25" t="s">
        <v>292</v>
      </c>
      <c r="G59" s="25" t="s">
        <v>299</v>
      </c>
      <c r="H59" s="11">
        <v>1024</v>
      </c>
      <c r="I59" s="11">
        <v>0</v>
      </c>
      <c r="J59" s="26" t="str">
        <f>IF(OR(G59="",H59=""),"","%"&amp;G59&amp;H59)</f>
        <v>%MW1024</v>
      </c>
      <c r="K59" s="11"/>
      <c r="L59" s="11"/>
      <c r="M59" s="11"/>
      <c r="N59" s="11"/>
      <c r="O59" s="26" t="str">
        <f>IF(H59="","",IF(I59="","mot entier","bit "&amp;I59))</f>
        <v>bit 0</v>
      </c>
      <c r="P59" s="11"/>
    </row>
    <row r="60" spans="1:16" ht="15" customHeight="1" x14ac:dyDescent="0.25">
      <c r="A60" s="25" t="s">
        <v>1179</v>
      </c>
      <c r="B60" s="25" t="s">
        <v>618</v>
      </c>
      <c r="C60" s="26" t="str">
        <f>IFERROR(IF(OR(A60="",B60=""),"",INDEX(Equipements!$H:$H,MATCH(A60,Equipements!$A:$A,0))&amp;"."&amp;B60),"")</f>
        <v>.ManMode</v>
      </c>
      <c r="D60" s="11" t="s">
        <v>1183</v>
      </c>
      <c r="E60" s="25" t="s">
        <v>1094</v>
      </c>
      <c r="F60" s="25" t="s">
        <v>292</v>
      </c>
      <c r="G60" s="25" t="s">
        <v>299</v>
      </c>
      <c r="H60" s="11">
        <v>1024</v>
      </c>
      <c r="I60" s="11">
        <v>1</v>
      </c>
      <c r="J60" s="26" t="str">
        <f>IF(OR(G60="",H60=""),"","%"&amp;G60&amp;H60)</f>
        <v>%MW1024</v>
      </c>
      <c r="K60" s="11"/>
      <c r="L60" s="11"/>
      <c r="M60" s="11"/>
      <c r="N60" s="11"/>
      <c r="O60" s="26" t="str">
        <f>IF(H60="","",IF(I60="","mot entier","bit "&amp;I60))</f>
        <v>bit 1</v>
      </c>
      <c r="P60" s="11"/>
    </row>
    <row r="61" spans="1:16" ht="15" customHeight="1" x14ac:dyDescent="0.25">
      <c r="A61" s="25" t="s">
        <v>1179</v>
      </c>
      <c r="B61" s="25" t="s">
        <v>620</v>
      </c>
      <c r="C61" s="26" t="str">
        <f>IFERROR(IF(OR(A61="",B61=""),"",INDEX(Equipements!$H:$H,MATCH(A61,Equipements!$A:$A,0))&amp;"."&amp;B61),"")</f>
        <v>.AckFault</v>
      </c>
      <c r="D61" s="11" t="s">
        <v>1184</v>
      </c>
      <c r="E61" s="25" t="s">
        <v>1094</v>
      </c>
      <c r="F61" s="25" t="s">
        <v>292</v>
      </c>
      <c r="G61" s="25" t="s">
        <v>299</v>
      </c>
      <c r="H61" s="11">
        <v>1024</v>
      </c>
      <c r="I61" s="11">
        <v>2</v>
      </c>
      <c r="J61" s="26" t="str">
        <f>IF(OR(G61="",H61=""),"","%"&amp;G61&amp;H61)</f>
        <v>%MW1024</v>
      </c>
      <c r="K61" s="11"/>
      <c r="L61" s="11"/>
      <c r="M61" s="11"/>
      <c r="N61" s="11"/>
      <c r="O61" s="26" t="str">
        <f>IF(H61="","",IF(I61="","mot entier","bit "&amp;I61))</f>
        <v>bit 2</v>
      </c>
      <c r="P61" s="11"/>
    </row>
    <row r="62" spans="1:16" ht="15" customHeight="1" x14ac:dyDescent="0.25">
      <c r="A62" s="25" t="s">
        <v>1179</v>
      </c>
      <c r="B62" s="25" t="s">
        <v>558</v>
      </c>
      <c r="C62" s="26" t="str">
        <f>IFERROR(IF(OR(A62="",B62=""),"",INDEX(Equipements!$H:$H,MATCH(A62,Equipements!$A:$A,0))&amp;"."&amp;B62),"")</f>
        <v>.RunReq</v>
      </c>
      <c r="D62" s="11" t="s">
        <v>1185</v>
      </c>
      <c r="E62" s="25" t="s">
        <v>1094</v>
      </c>
      <c r="F62" s="25" t="s">
        <v>292</v>
      </c>
      <c r="G62" s="25" t="s">
        <v>299</v>
      </c>
      <c r="H62" s="11">
        <v>1024</v>
      </c>
      <c r="I62" s="11">
        <v>3</v>
      </c>
      <c r="J62" s="26" t="str">
        <f>IF(OR(G62="",H62=""),"","%"&amp;G62&amp;H62)</f>
        <v>%MW1024</v>
      </c>
      <c r="K62" s="11"/>
      <c r="L62" s="11"/>
      <c r="M62" s="11"/>
      <c r="N62" s="11"/>
      <c r="O62" s="26" t="str">
        <f>IF(H62="","",IF(I62="","mot entier","bit "&amp;I62))</f>
        <v>bit 3</v>
      </c>
      <c r="P62" s="11"/>
    </row>
    <row r="63" spans="1:16" ht="15" customHeight="1" x14ac:dyDescent="0.25">
      <c r="A63" s="25" t="s">
        <v>1179</v>
      </c>
      <c r="B63" s="25" t="s">
        <v>624</v>
      </c>
      <c r="C63" s="26" t="str">
        <f>IFERROR(IF(OR(A63="",B63=""),"",INDEX(Equipements!$H:$H,MATCH(A63,Equipements!$A:$A,0))&amp;"."&amp;B63),"")</f>
        <v>.ManRunReq</v>
      </c>
      <c r="D63" s="11" t="s">
        <v>1186</v>
      </c>
      <c r="E63" s="25" t="s">
        <v>1094</v>
      </c>
      <c r="F63" s="25" t="s">
        <v>292</v>
      </c>
      <c r="G63" s="25" t="s">
        <v>299</v>
      </c>
      <c r="H63" s="11">
        <v>1024</v>
      </c>
      <c r="I63" s="11">
        <v>4</v>
      </c>
      <c r="J63" s="26" t="str">
        <f>IF(OR(G63="",H63=""),"","%"&amp;G63&amp;H63)</f>
        <v>%MW1024</v>
      </c>
      <c r="K63" s="11"/>
      <c r="L63" s="11"/>
      <c r="M63" s="11"/>
      <c r="N63" s="11"/>
      <c r="O63" s="26" t="str">
        <f>IF(H63="","",IF(I63="","mot entier","bit "&amp;I63))</f>
        <v>bit 4</v>
      </c>
      <c r="P63" s="11"/>
    </row>
    <row r="64" spans="1:16" ht="15" customHeight="1" x14ac:dyDescent="0.25">
      <c r="A64" s="25" t="s">
        <v>1179</v>
      </c>
      <c r="B64" s="25" t="s">
        <v>738</v>
      </c>
      <c r="C64" s="26" t="str">
        <f>IFERROR(IF(OR(A64="",B64=""),"",INDEX(Equipements!$H:$H,MATCH(A64,Equipements!$A:$A,0))&amp;"."&amp;B64),"")</f>
        <v>.Fbk</v>
      </c>
      <c r="D64" s="11" t="s">
        <v>1187</v>
      </c>
      <c r="E64" s="25" t="s">
        <v>1102</v>
      </c>
      <c r="F64" s="25" t="s">
        <v>290</v>
      </c>
      <c r="G64" s="25" t="s">
        <v>299</v>
      </c>
      <c r="H64" s="11">
        <v>1024</v>
      </c>
      <c r="I64" s="11">
        <v>5</v>
      </c>
      <c r="J64" s="26" t="str">
        <f>IF(OR(G64="",H64=""),"","%"&amp;G64&amp;H64)</f>
        <v>%MW1024</v>
      </c>
      <c r="K64" s="11"/>
      <c r="L64" s="11"/>
      <c r="M64" s="11"/>
      <c r="N64" s="11"/>
      <c r="O64" s="26" t="str">
        <f>IF(H64="","",IF(I64="","mot entier","bit "&amp;I64))</f>
        <v>bit 5</v>
      </c>
      <c r="P64" s="11"/>
    </row>
    <row r="65" spans="1:16" ht="15" customHeight="1" x14ac:dyDescent="0.25">
      <c r="A65" s="25" t="s">
        <v>1179</v>
      </c>
      <c r="B65" s="25" t="s">
        <v>633</v>
      </c>
      <c r="C65" s="26" t="str">
        <f>IFERROR(IF(OR(A65="",B65=""),"",INDEX(Equipements!$H:$H,MATCH(A65,Equipements!$A:$A,0))&amp;"."&amp;B65),"")</f>
        <v>.Thermal</v>
      </c>
      <c r="D65" s="11" t="s">
        <v>1188</v>
      </c>
      <c r="E65" s="25" t="s">
        <v>1102</v>
      </c>
      <c r="F65" s="25" t="s">
        <v>290</v>
      </c>
      <c r="G65" s="25" t="s">
        <v>299</v>
      </c>
      <c r="H65" s="11">
        <v>1024</v>
      </c>
      <c r="I65" s="11">
        <v>6</v>
      </c>
      <c r="J65" s="26" t="str">
        <f>IF(OR(G65="",H65=""),"","%"&amp;G65&amp;H65)</f>
        <v>%MW1024</v>
      </c>
      <c r="K65" s="11"/>
      <c r="L65" s="11"/>
      <c r="M65" s="11"/>
      <c r="N65" s="11"/>
      <c r="O65" s="26" t="str">
        <f>IF(H65="","",IF(I65="","mot entier","bit "&amp;I65))</f>
        <v>bit 6</v>
      </c>
      <c r="P65" s="11"/>
    </row>
    <row r="66" spans="1:16" ht="15" customHeight="1" x14ac:dyDescent="0.25">
      <c r="A66" s="25" t="s">
        <v>1179</v>
      </c>
      <c r="B66" s="25" t="s">
        <v>628</v>
      </c>
      <c r="C66" s="26" t="str">
        <f>IFERROR(IF(OR(A66="",B66=""),"",INDEX(Equipements!$H:$H,MATCH(A66,Equipements!$A:$A,0))&amp;"."&amp;B66),"")</f>
        <v>.Run</v>
      </c>
      <c r="D66" s="11" t="s">
        <v>1189</v>
      </c>
      <c r="E66" s="25" t="s">
        <v>1102</v>
      </c>
      <c r="F66" s="25" t="s">
        <v>290</v>
      </c>
      <c r="G66" s="25" t="s">
        <v>299</v>
      </c>
      <c r="H66" s="11">
        <v>1024</v>
      </c>
      <c r="I66" s="11">
        <v>7</v>
      </c>
      <c r="J66" s="26" t="str">
        <f>IF(OR(G66="",H66=""),"","%"&amp;G66&amp;H66)</f>
        <v>%MW1024</v>
      </c>
      <c r="K66" s="11"/>
      <c r="L66" s="11"/>
      <c r="M66" s="11"/>
      <c r="N66" s="11"/>
      <c r="O66" s="26" t="str">
        <f>IF(H66="","",IF(I66="","mot entier","bit "&amp;I66))</f>
        <v>bit 7</v>
      </c>
      <c r="P66" s="11"/>
    </row>
    <row r="67" spans="1:16" ht="15" customHeight="1" x14ac:dyDescent="0.25">
      <c r="A67" s="25" t="s">
        <v>1179</v>
      </c>
      <c r="B67" s="25" t="s">
        <v>632</v>
      </c>
      <c r="C67" s="26" t="str">
        <f>IFERROR(IF(OR(A67="",B67=""),"",INDEX(Equipements!$H:$H,MATCH(A67,Equipements!$A:$A,0))&amp;"."&amp;B67),"")</f>
        <v>.Running</v>
      </c>
      <c r="D67" s="11" t="s">
        <v>1190</v>
      </c>
      <c r="E67" s="25" t="s">
        <v>1102</v>
      </c>
      <c r="F67" s="25" t="s">
        <v>290</v>
      </c>
      <c r="G67" s="25" t="s">
        <v>299</v>
      </c>
      <c r="H67" s="11">
        <v>1024</v>
      </c>
      <c r="I67" s="11">
        <v>8</v>
      </c>
      <c r="J67" s="26" t="str">
        <f>IF(OR(G67="",H67=""),"","%"&amp;G67&amp;H67)</f>
        <v>%MW1024</v>
      </c>
      <c r="K67" s="11"/>
      <c r="L67" s="11"/>
      <c r="M67" s="11"/>
      <c r="N67" s="11"/>
      <c r="O67" s="26" t="str">
        <f>IF(H67="","",IF(I67="","mot entier","bit "&amp;I67))</f>
        <v>bit 8</v>
      </c>
      <c r="P67" s="11"/>
    </row>
    <row r="68" spans="1:16" ht="15" customHeight="1" x14ac:dyDescent="0.25">
      <c r="A68" s="25" t="s">
        <v>1179</v>
      </c>
      <c r="B68" s="25" t="s">
        <v>743</v>
      </c>
      <c r="C68" s="26" t="str">
        <f>IFERROR(IF(OR(A68="",B68=""),"",INDEX(Equipements!$H:$H,MATCH(A68,Equipements!$A:$A,0))&amp;"."&amp;B68),"")</f>
        <v>.FbkMs</v>
      </c>
      <c r="D68" s="11" t="s">
        <v>1191</v>
      </c>
      <c r="E68" s="25" t="s">
        <v>1094</v>
      </c>
      <c r="F68" s="25" t="s">
        <v>292</v>
      </c>
      <c r="G68" s="25" t="s">
        <v>299</v>
      </c>
      <c r="H68" s="11">
        <v>1025</v>
      </c>
      <c r="I68" s="11"/>
      <c r="J68" s="26" t="str">
        <f>IF(OR(G68="",H68=""),"","%"&amp;G68&amp;H68)</f>
        <v>%MW1025</v>
      </c>
      <c r="K68" s="11"/>
      <c r="L68" s="11"/>
      <c r="M68" s="11"/>
      <c r="N68" s="11"/>
      <c r="O68" s="26" t="str">
        <f>IF(H68="","",IF(I68="","mot entier","bit "&amp;I68))</f>
        <v>mot entier</v>
      </c>
      <c r="P68" s="11"/>
    </row>
    <row r="69" spans="1:16" ht="15" customHeight="1" x14ac:dyDescent="0.25">
      <c r="A69" s="25" t="s">
        <v>1179</v>
      </c>
      <c r="B69" s="25" t="s">
        <v>746</v>
      </c>
      <c r="C69" s="26" t="str">
        <f>IFERROR(IF(OR(A69="",B69=""),"",INDEX(Equipements!$H:$H,MATCH(A69,Equipements!$A:$A,0))&amp;"."&amp;B69),"")</f>
        <v>.MinOffMs</v>
      </c>
      <c r="D69" s="11" t="s">
        <v>1192</v>
      </c>
      <c r="E69" s="25" t="s">
        <v>1094</v>
      </c>
      <c r="F69" s="25" t="s">
        <v>292</v>
      </c>
      <c r="G69" s="25" t="s">
        <v>299</v>
      </c>
      <c r="H69" s="11">
        <v>1026</v>
      </c>
      <c r="I69" s="11"/>
      <c r="J69" s="26" t="str">
        <f>IF(OR(G69="",H69=""),"","%"&amp;G69&amp;H69)</f>
        <v>%MW1026</v>
      </c>
      <c r="K69" s="11"/>
      <c r="L69" s="11"/>
      <c r="M69" s="11"/>
      <c r="N69" s="11"/>
      <c r="O69" s="26" t="str">
        <f>IF(H69="","",IF(I69="","mot entier","bit "&amp;I69))</f>
        <v>mot entier</v>
      </c>
      <c r="P69" s="11"/>
    </row>
    <row r="70" spans="1:16" ht="15" customHeight="1" x14ac:dyDescent="0.25">
      <c r="A70" s="25" t="s">
        <v>1179</v>
      </c>
      <c r="B70" s="25" t="s">
        <v>749</v>
      </c>
      <c r="C70" s="26" t="str">
        <f>IFERROR(IF(OR(A70="",B70=""),"",INDEX(Equipements!$H:$H,MATCH(A70,Equipements!$A:$A,0))&amp;"."&amp;B70),"")</f>
        <v>.HasFbk</v>
      </c>
      <c r="D70" s="11" t="s">
        <v>1193</v>
      </c>
      <c r="E70" s="25" t="s">
        <v>1102</v>
      </c>
      <c r="F70" s="25" t="s">
        <v>290</v>
      </c>
      <c r="G70" s="25" t="s">
        <v>299</v>
      </c>
      <c r="H70" s="11">
        <v>1024</v>
      </c>
      <c r="I70" s="11">
        <v>9</v>
      </c>
      <c r="J70" s="26" t="str">
        <f>IF(OR(G70="",H70=""),"","%"&amp;G70&amp;H70)</f>
        <v>%MW1024</v>
      </c>
      <c r="K70" s="11"/>
      <c r="L70" s="11"/>
      <c r="M70" s="11"/>
      <c r="N70" s="11"/>
      <c r="O70" s="26" t="str">
        <f>IF(H70="","",IF(I70="","mot entier","bit "&amp;I70))</f>
        <v>bit 9</v>
      </c>
      <c r="P70" s="11"/>
    </row>
    <row r="71" spans="1:16" ht="15" customHeight="1" x14ac:dyDescent="0.25">
      <c r="A71" s="25" t="s">
        <v>1179</v>
      </c>
      <c r="B71" s="25" t="s">
        <v>753</v>
      </c>
      <c r="C71" s="26" t="str">
        <f>IFERROR(IF(OR(A71="",B71=""),"",INDEX(Equipements!$H:$H,MATCH(A71,Equipements!$A:$A,0))&amp;"."&amp;B71),"")</f>
        <v>.Flow</v>
      </c>
      <c r="D71" s="11" t="s">
        <v>1194</v>
      </c>
      <c r="E71" s="25" t="s">
        <v>1094</v>
      </c>
      <c r="F71" s="25" t="s">
        <v>292</v>
      </c>
      <c r="G71" s="25" t="s">
        <v>299</v>
      </c>
      <c r="H71" s="11">
        <v>1027</v>
      </c>
      <c r="I71" s="11"/>
      <c r="J71" s="26" t="str">
        <f>IF(OR(G71="",H71=""),"","%"&amp;G71&amp;H71)</f>
        <v>%MW1027</v>
      </c>
      <c r="K71" s="11"/>
      <c r="L71" s="11"/>
      <c r="M71" s="11"/>
      <c r="N71" s="11"/>
      <c r="O71" s="26" t="str">
        <f>IF(H71="","",IF(I71="","mot entier","bit "&amp;I71))</f>
        <v>mot entier</v>
      </c>
      <c r="P71" s="11"/>
    </row>
    <row r="72" spans="1:16" ht="15" customHeight="1" x14ac:dyDescent="0.25">
      <c r="A72" s="25" t="s">
        <v>1179</v>
      </c>
      <c r="B72" s="25" t="s">
        <v>755</v>
      </c>
      <c r="C72" s="26" t="str">
        <f>IFERROR(IF(OR(A72="",B72=""),"",INDEX(Equipements!$H:$H,MATCH(A72,Equipements!$A:$A,0))&amp;"."&amp;B72),"")</f>
        <v>.MinFlow</v>
      </c>
      <c r="D72" s="11" t="s">
        <v>1195</v>
      </c>
      <c r="E72" s="25" t="s">
        <v>1094</v>
      </c>
      <c r="F72" s="25" t="s">
        <v>292</v>
      </c>
      <c r="G72" s="25" t="s">
        <v>299</v>
      </c>
      <c r="H72" s="11">
        <v>1028</v>
      </c>
      <c r="I72" s="11"/>
      <c r="J72" s="26" t="str">
        <f>IF(OR(G72="",H72=""),"","%"&amp;G72&amp;H72)</f>
        <v>%MW1028</v>
      </c>
      <c r="K72" s="11"/>
      <c r="L72" s="11"/>
      <c r="M72" s="11"/>
      <c r="N72" s="11"/>
      <c r="O72" s="26" t="str">
        <f>IF(H72="","",IF(I72="","mot entier","bit "&amp;I72))</f>
        <v>mot entier</v>
      </c>
      <c r="P72" s="11"/>
    </row>
    <row r="73" spans="1:16" ht="15" customHeight="1" x14ac:dyDescent="0.25">
      <c r="A73" s="25" t="s">
        <v>1179</v>
      </c>
      <c r="B73" s="25" t="s">
        <v>757</v>
      </c>
      <c r="C73" s="26" t="str">
        <f>IFERROR(IF(OR(A73="",B73=""),"",INDEX(Equipements!$H:$H,MATCH(A73,Equipements!$A:$A,0))&amp;"."&amp;B73),"")</f>
        <v>.FlowDelayMs</v>
      </c>
      <c r="D73" s="11" t="s">
        <v>1196</v>
      </c>
      <c r="E73" s="25" t="s">
        <v>1094</v>
      </c>
      <c r="F73" s="25" t="s">
        <v>292</v>
      </c>
      <c r="G73" s="25" t="s">
        <v>299</v>
      </c>
      <c r="H73" s="11">
        <v>1029</v>
      </c>
      <c r="I73" s="11"/>
      <c r="J73" s="26" t="str">
        <f>IF(OR(G73="",H73=""),"","%"&amp;G73&amp;H73)</f>
        <v>%MW1029</v>
      </c>
      <c r="K73" s="11"/>
      <c r="L73" s="11"/>
      <c r="M73" s="11"/>
      <c r="N73" s="11"/>
      <c r="O73" s="26" t="str">
        <f>IF(H73="","",IF(I73="","mot entier","bit "&amp;I73))</f>
        <v>mot entier</v>
      </c>
      <c r="P73" s="11"/>
    </row>
    <row r="74" spans="1:16" ht="15" customHeight="1" x14ac:dyDescent="0.25">
      <c r="A74" s="25" t="s">
        <v>1179</v>
      </c>
      <c r="B74" s="25" t="s">
        <v>760</v>
      </c>
      <c r="C74" s="26" t="str">
        <f>IFERROR(IF(OR(A74="",B74=""),"",INDEX(Equipements!$H:$H,MATCH(A74,Equipements!$A:$A,0))&amp;"."&amp;B74),"")</f>
        <v>.SuctionOk</v>
      </c>
      <c r="D74" s="11" t="s">
        <v>1197</v>
      </c>
      <c r="E74" s="25" t="s">
        <v>1102</v>
      </c>
      <c r="F74" s="25" t="s">
        <v>290</v>
      </c>
      <c r="G74" s="25" t="s">
        <v>299</v>
      </c>
      <c r="H74" s="11">
        <v>1024</v>
      </c>
      <c r="I74" s="11">
        <v>10</v>
      </c>
      <c r="J74" s="26" t="str">
        <f>IF(OR(G74="",H74=""),"","%"&amp;G74&amp;H74)</f>
        <v>%MW1024</v>
      </c>
      <c r="K74" s="11"/>
      <c r="L74" s="11"/>
      <c r="M74" s="11"/>
      <c r="N74" s="11"/>
      <c r="O74" s="26" t="str">
        <f>IF(H74="","",IF(I74="","mot entier","bit "&amp;I74))</f>
        <v>bit 10</v>
      </c>
      <c r="P74" s="11"/>
    </row>
    <row r="75" spans="1:16" ht="15" customHeight="1" x14ac:dyDescent="0.25">
      <c r="A75" s="25" t="s">
        <v>1179</v>
      </c>
      <c r="B75" s="25" t="s">
        <v>762</v>
      </c>
      <c r="C75" s="26" t="str">
        <f>IFERROR(IF(OR(A75="",B75=""),"",INDEX(Equipements!$H:$H,MATCH(A75,Equipements!$A:$A,0))&amp;"."&amp;B75),"")</f>
        <v>.Pressure</v>
      </c>
      <c r="D75" s="11" t="s">
        <v>1198</v>
      </c>
      <c r="E75" s="25" t="s">
        <v>1102</v>
      </c>
      <c r="F75" s="25" t="s">
        <v>290</v>
      </c>
      <c r="G75" s="25" t="s">
        <v>299</v>
      </c>
      <c r="H75" s="11">
        <v>1030</v>
      </c>
      <c r="I75" s="11"/>
      <c r="J75" s="26" t="str">
        <f>IF(OR(G75="",H75=""),"","%"&amp;G75&amp;H75)</f>
        <v>%MW1030</v>
      </c>
      <c r="K75" s="11"/>
      <c r="L75" s="11"/>
      <c r="M75" s="11"/>
      <c r="N75" s="11"/>
      <c r="O75" s="26" t="str">
        <f>IF(H75="","",IF(I75="","mot entier","bit "&amp;I75))</f>
        <v>mot entier</v>
      </c>
      <c r="P75" s="11"/>
    </row>
    <row r="76" spans="1:16" ht="15" customHeight="1" x14ac:dyDescent="0.25">
      <c r="A76" s="25" t="s">
        <v>1179</v>
      </c>
      <c r="B76" s="25" t="s">
        <v>764</v>
      </c>
      <c r="C76" s="26" t="str">
        <f>IFERROR(IF(OR(A76="",B76=""),"",INDEX(Equipements!$H:$H,MATCH(A76,Equipements!$A:$A,0))&amp;"."&amp;B76),"")</f>
        <v>.MaxPressure</v>
      </c>
      <c r="D76" s="11" t="s">
        <v>1199</v>
      </c>
      <c r="E76" s="25" t="s">
        <v>1102</v>
      </c>
      <c r="F76" s="25" t="s">
        <v>290</v>
      </c>
      <c r="G76" s="25" t="s">
        <v>299</v>
      </c>
      <c r="H76" s="11">
        <v>1031</v>
      </c>
      <c r="I76" s="11"/>
      <c r="J76" s="26" t="str">
        <f>IF(OR(G76="",H76=""),"","%"&amp;G76&amp;H76)</f>
        <v>%MW1031</v>
      </c>
      <c r="K76" s="11"/>
      <c r="L76" s="11"/>
      <c r="M76" s="11"/>
      <c r="N76" s="11"/>
      <c r="O76" s="26" t="str">
        <f>IF(H76="","",IF(I76="","mot entier","bit "&amp;I76))</f>
        <v>mot entier</v>
      </c>
      <c r="P76" s="11"/>
    </row>
    <row r="77" spans="1:16" ht="15" customHeight="1" x14ac:dyDescent="0.25">
      <c r="A77" s="25" t="s">
        <v>1179</v>
      </c>
      <c r="B77" s="25" t="s">
        <v>649</v>
      </c>
      <c r="C77" s="26" t="str">
        <f>IFERROR(IF(OR(A77="",B77=""),"",INDEX(Equipements!$H:$H,MATCH(A77,Equipements!$A:$A,0))&amp;"."&amp;B77),"")</f>
        <v>.Fault</v>
      </c>
      <c r="D77" s="11" t="s">
        <v>1200</v>
      </c>
      <c r="E77" s="25" t="s">
        <v>1102</v>
      </c>
      <c r="F77" s="25" t="s">
        <v>291</v>
      </c>
      <c r="G77" s="25" t="s">
        <v>299</v>
      </c>
      <c r="H77" s="11">
        <v>1024</v>
      </c>
      <c r="I77" s="11">
        <v>11</v>
      </c>
      <c r="J77" s="26" t="str">
        <f>IF(OR(G77="",H77=""),"","%"&amp;G77&amp;H77)</f>
        <v>%MW1024</v>
      </c>
      <c r="K77" s="11"/>
      <c r="L77" s="11"/>
      <c r="M77" s="11"/>
      <c r="N77" s="11"/>
      <c r="O77" s="26" t="str">
        <f>IF(H77="","",IF(I77="","mot entier","bit "&amp;I77))</f>
        <v>bit 11</v>
      </c>
      <c r="P77" s="11"/>
    </row>
    <row r="78" spans="1:16" ht="15" customHeight="1" x14ac:dyDescent="0.25">
      <c r="A78" s="25" t="s">
        <v>1179</v>
      </c>
      <c r="B78" s="25" t="s">
        <v>651</v>
      </c>
      <c r="C78" s="26" t="str">
        <f>IFERROR(IF(OR(A78="",B78=""),"",INDEX(Equipements!$H:$H,MATCH(A78,Equipements!$A:$A,0))&amp;"."&amp;B78),"")</f>
        <v>.FaultCode</v>
      </c>
      <c r="D78" s="11" t="s">
        <v>1201</v>
      </c>
      <c r="E78" s="25" t="s">
        <v>1102</v>
      </c>
      <c r="F78" s="25" t="s">
        <v>291</v>
      </c>
      <c r="G78" s="25" t="s">
        <v>299</v>
      </c>
      <c r="H78" s="11">
        <v>1032</v>
      </c>
      <c r="I78" s="11"/>
      <c r="J78" s="26" t="str">
        <f>IF(OR(G78="",H78=""),"","%"&amp;G78&amp;H78)</f>
        <v>%MW1032</v>
      </c>
      <c r="K78" s="11"/>
      <c r="L78" s="11"/>
      <c r="M78" s="11"/>
      <c r="N78" s="11"/>
      <c r="O78" s="26" t="str">
        <f>IF(H78="","",IF(I78="","mot entier","bit "&amp;I78))</f>
        <v>mot entier</v>
      </c>
      <c r="P78" s="11"/>
    </row>
    <row r="79" spans="1:16" ht="15" customHeight="1" x14ac:dyDescent="0.25">
      <c r="A79" s="25" t="s">
        <v>1179</v>
      </c>
      <c r="B79" s="25" t="s">
        <v>653</v>
      </c>
      <c r="C79" s="26" t="str">
        <f>IFERROR(IF(OR(A79="",B79=""),"",INDEX(Equipements!$H:$H,MATCH(A79,Equipements!$A:$A,0))&amp;"."&amp;B79),"")</f>
        <v>.FaultLatch</v>
      </c>
      <c r="D79" s="11" t="s">
        <v>1202</v>
      </c>
      <c r="E79" s="25" t="s">
        <v>1102</v>
      </c>
      <c r="F79" s="25" t="s">
        <v>291</v>
      </c>
      <c r="G79" s="25" t="s">
        <v>299</v>
      </c>
      <c r="H79" s="11">
        <v>1024</v>
      </c>
      <c r="I79" s="11">
        <v>12</v>
      </c>
      <c r="J79" s="26" t="str">
        <f>IF(OR(G79="",H79=""),"","%"&amp;G79&amp;H79)</f>
        <v>%MW1024</v>
      </c>
      <c r="K79" s="11"/>
      <c r="L79" s="11"/>
      <c r="M79" s="11"/>
      <c r="N79" s="11"/>
      <c r="O79" s="26" t="str">
        <f>IF(H79="","",IF(I79="","mot entier","bit "&amp;I79))</f>
        <v>bit 12</v>
      </c>
      <c r="P79" s="11"/>
    </row>
    <row r="80" spans="1:16" ht="15" customHeight="1" x14ac:dyDescent="0.25">
      <c r="A80" s="25" t="s">
        <v>1179</v>
      </c>
      <c r="B80" s="25" t="s">
        <v>655</v>
      </c>
      <c r="C80" s="26" t="str">
        <f>IFERROR(IF(OR(A80="",B80=""),"",INDEX(Equipements!$H:$H,MATCH(A80,Equipements!$A:$A,0))&amp;"."&amp;B80),"")</f>
        <v>.Ready</v>
      </c>
      <c r="D80" s="11" t="s">
        <v>1203</v>
      </c>
      <c r="E80" s="25" t="s">
        <v>1102</v>
      </c>
      <c r="F80" s="25" t="s">
        <v>290</v>
      </c>
      <c r="G80" s="25" t="s">
        <v>299</v>
      </c>
      <c r="H80" s="11">
        <v>1024</v>
      </c>
      <c r="I80" s="11">
        <v>13</v>
      </c>
      <c r="J80" s="26" t="str">
        <f>IF(OR(G80="",H80=""),"","%"&amp;G80&amp;H80)</f>
        <v>%MW1024</v>
      </c>
      <c r="K80" s="11"/>
      <c r="L80" s="11"/>
      <c r="M80" s="11"/>
      <c r="N80" s="11"/>
      <c r="O80" s="26" t="str">
        <f>IF(H80="","",IF(I80="","mot entier","bit "&amp;I80))</f>
        <v>bit 13</v>
      </c>
      <c r="P80" s="11"/>
    </row>
    <row r="81" spans="1:16" ht="15" customHeight="1" x14ac:dyDescent="0.25">
      <c r="A81" s="25" t="s">
        <v>1179</v>
      </c>
      <c r="B81" s="25" t="s">
        <v>560</v>
      </c>
      <c r="C81" s="26" t="str">
        <f>IFERROR(IF(OR(A81="",B81=""),"",INDEX(Equipements!$H:$H,MATCH(A81,Equipements!$A:$A,0))&amp;"."&amp;B81),"")</f>
        <v>.RunMs</v>
      </c>
      <c r="D81" s="11" t="s">
        <v>1204</v>
      </c>
      <c r="E81" s="25" t="s">
        <v>1102</v>
      </c>
      <c r="F81" s="25" t="s">
        <v>290</v>
      </c>
      <c r="G81" s="25" t="s">
        <v>299</v>
      </c>
      <c r="H81" s="11">
        <v>1033</v>
      </c>
      <c r="I81" s="11"/>
      <c r="J81" s="26" t="str">
        <f>IF(OR(G81="",H81=""),"","%"&amp;G81&amp;H81)</f>
        <v>%MW1033</v>
      </c>
      <c r="K81" s="11"/>
      <c r="L81" s="11"/>
      <c r="M81" s="11"/>
      <c r="N81" s="11"/>
      <c r="O81" s="26" t="str">
        <f>IF(H81="","",IF(I81="","mot entier","bit "&amp;I81))</f>
        <v>mot entier</v>
      </c>
      <c r="P81" s="11"/>
    </row>
    <row r="82" spans="1:16" ht="15" customHeight="1" x14ac:dyDescent="0.25">
      <c r="A82" s="25" t="s">
        <v>1179</v>
      </c>
      <c r="B82" s="25" t="s">
        <v>658</v>
      </c>
      <c r="C82" s="26" t="str">
        <f>IFERROR(IF(OR(A82="",B82=""),"",INDEX(Equipements!$H:$H,MATCH(A82,Equipements!$A:$A,0))&amp;"."&amp;B82),"")</f>
        <v>.Starts</v>
      </c>
      <c r="D82" s="11" t="s">
        <v>1205</v>
      </c>
      <c r="E82" s="25" t="s">
        <v>1102</v>
      </c>
      <c r="F82" s="25" t="s">
        <v>290</v>
      </c>
      <c r="G82" s="25" t="s">
        <v>299</v>
      </c>
      <c r="H82" s="11">
        <v>1034</v>
      </c>
      <c r="I82" s="11"/>
      <c r="J82" s="26" t="str">
        <f>IF(OR(G82="",H82=""),"","%"&amp;G82&amp;H82)</f>
        <v>%MW1034</v>
      </c>
      <c r="K82" s="11"/>
      <c r="L82" s="11"/>
      <c r="M82" s="11"/>
      <c r="N82" s="11"/>
      <c r="O82" s="26" t="str">
        <f>IF(H82="","",IF(I82="","mot entier","bit "&amp;I82))</f>
        <v>mot entier</v>
      </c>
      <c r="P82" s="11"/>
    </row>
    <row r="83" spans="1:16" ht="15" customHeight="1" x14ac:dyDescent="0.25">
      <c r="A83" s="25" t="s">
        <v>1179</v>
      </c>
      <c r="B83" s="25" t="s">
        <v>660</v>
      </c>
      <c r="C83" s="26" t="str">
        <f>IFERROR(IF(OR(A83="",B83=""),"",INDEX(Equipements!$H:$H,MATCH(A83,Equipements!$A:$A,0))&amp;"."&amp;B83),"")</f>
        <v>.StateMs</v>
      </c>
      <c r="D83" s="11" t="s">
        <v>1206</v>
      </c>
      <c r="E83" s="25" t="s">
        <v>1094</v>
      </c>
      <c r="F83" s="25" t="s">
        <v>292</v>
      </c>
      <c r="G83" s="25" t="s">
        <v>299</v>
      </c>
      <c r="H83" s="11">
        <v>1035</v>
      </c>
      <c r="I83" s="11"/>
      <c r="J83" s="26" t="str">
        <f>IF(OR(G83="",H83=""),"","%"&amp;G83&amp;H83)</f>
        <v>%MW1035</v>
      </c>
      <c r="K83" s="11"/>
      <c r="L83" s="11"/>
      <c r="M83" s="11"/>
      <c r="N83" s="11"/>
      <c r="O83" s="26" t="str">
        <f>IF(H83="","",IF(I83="","mot entier","bit "&amp;I83))</f>
        <v>mot entier</v>
      </c>
      <c r="P83" s="11"/>
    </row>
    <row r="84" spans="1:16" ht="15" customHeight="1" x14ac:dyDescent="0.25">
      <c r="A84" s="25"/>
      <c r="B84" s="25"/>
      <c r="C84" s="26" t="str">
        <f>IFERROR(IF(OR(A84="",B84=""),"",INDEX(Equipements!$H:$H,MATCH(A84,Equipements!$A:$A,0))&amp;"."&amp;B84),"")</f>
        <v/>
      </c>
      <c r="D84" s="11"/>
      <c r="E84" s="25"/>
      <c r="F84" s="25"/>
      <c r="G84" s="25"/>
      <c r="H84" s="11"/>
      <c r="I84" s="11"/>
      <c r="J84" s="26" t="str">
        <f t="shared" ref="J73:J136" si="0">IF(OR(G84="",H84=""),"","%"&amp;G84&amp;H84)</f>
        <v/>
      </c>
      <c r="K84" s="11"/>
      <c r="L84" s="11"/>
      <c r="M84" s="11"/>
      <c r="N84" s="11"/>
      <c r="O84" s="26" t="str">
        <f t="shared" ref="O73:O136" si="1">IF(H84="","",IF(I84="","mot entier","bit "&amp;I84))</f>
        <v/>
      </c>
      <c r="P84" s="11"/>
    </row>
    <row r="85" spans="1:16" ht="15" customHeight="1" x14ac:dyDescent="0.25">
      <c r="A85" s="25"/>
      <c r="B85" s="25"/>
      <c r="C85" s="26" t="str">
        <f>IFERROR(IF(OR(A85="",B85=""),"",INDEX(Equipements!$H:$H,MATCH(A85,Equipements!$A:$A,0))&amp;"."&amp;B85),"")</f>
        <v/>
      </c>
      <c r="D85" s="11"/>
      <c r="E85" s="25"/>
      <c r="F85" s="25"/>
      <c r="G85" s="25"/>
      <c r="H85" s="11"/>
      <c r="I85" s="11"/>
      <c r="J85" s="26" t="str">
        <f t="shared" si="0"/>
        <v/>
      </c>
      <c r="K85" s="11"/>
      <c r="L85" s="11"/>
      <c r="M85" s="11"/>
      <c r="N85" s="11"/>
      <c r="O85" s="26" t="str">
        <f t="shared" si="1"/>
        <v/>
      </c>
      <c r="P85" s="11"/>
    </row>
    <row r="86" spans="1:16" ht="15" customHeight="1" x14ac:dyDescent="0.25">
      <c r="A86" s="25"/>
      <c r="B86" s="25"/>
      <c r="C86" s="26" t="str">
        <f>IFERROR(IF(OR(A86="",B86=""),"",INDEX(Equipements!$H:$H,MATCH(A86,Equipements!$A:$A,0))&amp;"."&amp;B86),"")</f>
        <v/>
      </c>
      <c r="D86" s="11"/>
      <c r="E86" s="25"/>
      <c r="F86" s="25"/>
      <c r="G86" s="25"/>
      <c r="H86" s="11"/>
      <c r="I86" s="11"/>
      <c r="J86" s="26" t="str">
        <f t="shared" si="0"/>
        <v/>
      </c>
      <c r="K86" s="11"/>
      <c r="L86" s="11"/>
      <c r="M86" s="11"/>
      <c r="N86" s="11"/>
      <c r="O86" s="26" t="str">
        <f t="shared" si="1"/>
        <v/>
      </c>
      <c r="P86" s="11"/>
    </row>
    <row r="87" spans="1:16" ht="15" customHeight="1" x14ac:dyDescent="0.25">
      <c r="A87" s="25"/>
      <c r="B87" s="25"/>
      <c r="C87" s="26" t="str">
        <f>IFERROR(IF(OR(A87="",B87=""),"",INDEX(Equipements!$H:$H,MATCH(A87,Equipements!$A:$A,0))&amp;"."&amp;B87),"")</f>
        <v/>
      </c>
      <c r="D87" s="11"/>
      <c r="E87" s="25"/>
      <c r="F87" s="25"/>
      <c r="G87" s="25"/>
      <c r="H87" s="11"/>
      <c r="I87" s="11"/>
      <c r="J87" s="26" t="str">
        <f t="shared" si="0"/>
        <v/>
      </c>
      <c r="K87" s="11"/>
      <c r="L87" s="11"/>
      <c r="M87" s="11"/>
      <c r="N87" s="11"/>
      <c r="O87" s="26" t="str">
        <f t="shared" si="1"/>
        <v/>
      </c>
      <c r="P87" s="11"/>
    </row>
    <row r="88" spans="1:16" ht="15" customHeight="1" x14ac:dyDescent="0.25">
      <c r="A88" s="25"/>
      <c r="B88" s="25"/>
      <c r="C88" s="26" t="str">
        <f>IFERROR(IF(OR(A88="",B88=""),"",INDEX(Equipements!$H:$H,MATCH(A88,Equipements!$A:$A,0))&amp;"."&amp;B88),"")</f>
        <v/>
      </c>
      <c r="D88" s="11"/>
      <c r="E88" s="25"/>
      <c r="F88" s="25"/>
      <c r="G88" s="25"/>
      <c r="H88" s="11"/>
      <c r="I88" s="11"/>
      <c r="J88" s="26" t="str">
        <f t="shared" si="0"/>
        <v/>
      </c>
      <c r="K88" s="11"/>
      <c r="L88" s="11"/>
      <c r="M88" s="11"/>
      <c r="N88" s="11"/>
      <c r="O88" s="26" t="str">
        <f t="shared" si="1"/>
        <v/>
      </c>
      <c r="P88" s="11"/>
    </row>
    <row r="89" spans="1:16" ht="15" customHeight="1" x14ac:dyDescent="0.25">
      <c r="A89" s="25"/>
      <c r="B89" s="25"/>
      <c r="C89" s="26" t="str">
        <f>IFERROR(IF(OR(A89="",B89=""),"",INDEX(Equipements!$H:$H,MATCH(A89,Equipements!$A:$A,0))&amp;"."&amp;B89),"")</f>
        <v/>
      </c>
      <c r="D89" s="11"/>
      <c r="E89" s="25"/>
      <c r="F89" s="25"/>
      <c r="G89" s="25"/>
      <c r="H89" s="11"/>
      <c r="I89" s="11"/>
      <c r="J89" s="26" t="str">
        <f t="shared" si="0"/>
        <v/>
      </c>
      <c r="K89" s="11"/>
      <c r="L89" s="11"/>
      <c r="M89" s="11"/>
      <c r="N89" s="11"/>
      <c r="O89" s="26" t="str">
        <f t="shared" si="1"/>
        <v/>
      </c>
      <c r="P89" s="11"/>
    </row>
    <row r="90" spans="1:16" ht="15" customHeight="1" x14ac:dyDescent="0.25">
      <c r="A90" s="25"/>
      <c r="B90" s="25"/>
      <c r="C90" s="26" t="str">
        <f>IFERROR(IF(OR(A90="",B90=""),"",INDEX(Equipements!$H:$H,MATCH(A90,Equipements!$A:$A,0))&amp;"."&amp;B90),"")</f>
        <v/>
      </c>
      <c r="D90" s="11"/>
      <c r="E90" s="25"/>
      <c r="F90" s="25"/>
      <c r="G90" s="25"/>
      <c r="H90" s="11"/>
      <c r="I90" s="11"/>
      <c r="J90" s="26" t="str">
        <f t="shared" si="0"/>
        <v/>
      </c>
      <c r="K90" s="11"/>
      <c r="L90" s="11"/>
      <c r="M90" s="11"/>
      <c r="N90" s="11"/>
      <c r="O90" s="26" t="str">
        <f t="shared" si="1"/>
        <v/>
      </c>
      <c r="P90" s="11"/>
    </row>
    <row r="91" spans="1:16" ht="15" customHeight="1" x14ac:dyDescent="0.25">
      <c r="A91" s="25"/>
      <c r="B91" s="25"/>
      <c r="C91" s="26" t="str">
        <f>IFERROR(IF(OR(A91="",B91=""),"",INDEX(Equipements!$H:$H,MATCH(A91,Equipements!$A:$A,0))&amp;"."&amp;B91),"")</f>
        <v/>
      </c>
      <c r="D91" s="11"/>
      <c r="E91" s="25"/>
      <c r="F91" s="25"/>
      <c r="G91" s="25"/>
      <c r="H91" s="11"/>
      <c r="I91" s="11"/>
      <c r="J91" s="26" t="str">
        <f t="shared" si="0"/>
        <v/>
      </c>
      <c r="K91" s="11"/>
      <c r="L91" s="11"/>
      <c r="M91" s="11"/>
      <c r="N91" s="11"/>
      <c r="O91" s="26" t="str">
        <f t="shared" si="1"/>
        <v/>
      </c>
      <c r="P91" s="11"/>
    </row>
    <row r="92" spans="1:16" ht="15" customHeight="1" x14ac:dyDescent="0.25">
      <c r="A92" s="25"/>
      <c r="B92" s="25"/>
      <c r="C92" s="26" t="str">
        <f>IFERROR(IF(OR(A92="",B92=""),"",INDEX(Equipements!$H:$H,MATCH(A92,Equipements!$A:$A,0))&amp;"."&amp;B92),"")</f>
        <v/>
      </c>
      <c r="D92" s="11"/>
      <c r="E92" s="25"/>
      <c r="F92" s="25"/>
      <c r="G92" s="25"/>
      <c r="H92" s="11"/>
      <c r="I92" s="11"/>
      <c r="J92" s="26" t="str">
        <f t="shared" si="0"/>
        <v/>
      </c>
      <c r="K92" s="11"/>
      <c r="L92" s="11"/>
      <c r="M92" s="11"/>
      <c r="N92" s="11"/>
      <c r="O92" s="26" t="str">
        <f t="shared" si="1"/>
        <v/>
      </c>
      <c r="P92" s="11"/>
    </row>
    <row r="93" spans="1:16" ht="15" customHeight="1" x14ac:dyDescent="0.25">
      <c r="A93" s="25"/>
      <c r="B93" s="25"/>
      <c r="C93" s="26" t="str">
        <f>IFERROR(IF(OR(A93="",B93=""),"",INDEX(Equipements!$H:$H,MATCH(A93,Equipements!$A:$A,0))&amp;"."&amp;B93),"")</f>
        <v/>
      </c>
      <c r="D93" s="11"/>
      <c r="E93" s="25"/>
      <c r="F93" s="25"/>
      <c r="G93" s="25"/>
      <c r="H93" s="11"/>
      <c r="I93" s="11"/>
      <c r="J93" s="26" t="str">
        <f t="shared" si="0"/>
        <v/>
      </c>
      <c r="K93" s="11"/>
      <c r="L93" s="11"/>
      <c r="M93" s="11"/>
      <c r="N93" s="11"/>
      <c r="O93" s="26" t="str">
        <f t="shared" si="1"/>
        <v/>
      </c>
      <c r="P93" s="11"/>
    </row>
    <row r="94" spans="1:16" ht="15" customHeight="1" x14ac:dyDescent="0.25">
      <c r="A94" s="25"/>
      <c r="B94" s="25"/>
      <c r="C94" s="26" t="str">
        <f>IFERROR(IF(OR(A94="",B94=""),"",INDEX(Equipements!$H:$H,MATCH(A94,Equipements!$A:$A,0))&amp;"."&amp;B94),"")</f>
        <v/>
      </c>
      <c r="D94" s="11"/>
      <c r="E94" s="25"/>
      <c r="F94" s="25"/>
      <c r="G94" s="25"/>
      <c r="H94" s="11"/>
      <c r="I94" s="11"/>
      <c r="J94" s="26" t="str">
        <f t="shared" si="0"/>
        <v/>
      </c>
      <c r="K94" s="11"/>
      <c r="L94" s="11"/>
      <c r="M94" s="11"/>
      <c r="N94" s="11"/>
      <c r="O94" s="26" t="str">
        <f t="shared" si="1"/>
        <v/>
      </c>
      <c r="P94" s="11"/>
    </row>
    <row r="95" spans="1:16" ht="15" customHeight="1" x14ac:dyDescent="0.25">
      <c r="A95" s="25"/>
      <c r="B95" s="25"/>
      <c r="C95" s="26" t="str">
        <f>IFERROR(IF(OR(A95="",B95=""),"",INDEX(Equipements!$H:$H,MATCH(A95,Equipements!$A:$A,0))&amp;"."&amp;B95),"")</f>
        <v/>
      </c>
      <c r="D95" s="11"/>
      <c r="E95" s="25"/>
      <c r="F95" s="25"/>
      <c r="G95" s="25"/>
      <c r="H95" s="11"/>
      <c r="I95" s="11"/>
      <c r="J95" s="26" t="str">
        <f t="shared" si="0"/>
        <v/>
      </c>
      <c r="K95" s="11"/>
      <c r="L95" s="11"/>
      <c r="M95" s="11"/>
      <c r="N95" s="11"/>
      <c r="O95" s="26" t="str">
        <f t="shared" si="1"/>
        <v/>
      </c>
      <c r="P95" s="11"/>
    </row>
    <row r="96" spans="1:16" ht="15" customHeight="1" x14ac:dyDescent="0.25">
      <c r="A96" s="25"/>
      <c r="B96" s="25"/>
      <c r="C96" s="26" t="str">
        <f>IFERROR(IF(OR(A96="",B96=""),"",INDEX(Equipements!$H:$H,MATCH(A96,Equipements!$A:$A,0))&amp;"."&amp;B96),"")</f>
        <v/>
      </c>
      <c r="D96" s="11"/>
      <c r="E96" s="25"/>
      <c r="F96" s="25"/>
      <c r="G96" s="25"/>
      <c r="H96" s="11"/>
      <c r="I96" s="11"/>
      <c r="J96" s="26" t="str">
        <f t="shared" si="0"/>
        <v/>
      </c>
      <c r="K96" s="11"/>
      <c r="L96" s="11"/>
      <c r="M96" s="11"/>
      <c r="N96" s="11"/>
      <c r="O96" s="26" t="str">
        <f t="shared" si="1"/>
        <v/>
      </c>
      <c r="P96" s="11"/>
    </row>
    <row r="97" spans="1:16" ht="15" customHeight="1" x14ac:dyDescent="0.25">
      <c r="A97" s="25"/>
      <c r="B97" s="25"/>
      <c r="C97" s="26" t="str">
        <f>IFERROR(IF(OR(A97="",B97=""),"",INDEX(Equipements!$H:$H,MATCH(A97,Equipements!$A:$A,0))&amp;"."&amp;B97),"")</f>
        <v/>
      </c>
      <c r="D97" s="11"/>
      <c r="E97" s="25"/>
      <c r="F97" s="25"/>
      <c r="G97" s="25"/>
      <c r="H97" s="11"/>
      <c r="I97" s="11"/>
      <c r="J97" s="26" t="str">
        <f t="shared" si="0"/>
        <v/>
      </c>
      <c r="K97" s="11"/>
      <c r="L97" s="11"/>
      <c r="M97" s="11"/>
      <c r="N97" s="11"/>
      <c r="O97" s="26" t="str">
        <f t="shared" si="1"/>
        <v/>
      </c>
      <c r="P97" s="11"/>
    </row>
    <row r="98" spans="1:16" ht="15" customHeight="1" x14ac:dyDescent="0.25">
      <c r="A98" s="25"/>
      <c r="B98" s="25"/>
      <c r="C98" s="26" t="str">
        <f>IFERROR(IF(OR(A98="",B98=""),"",INDEX(Equipements!$H:$H,MATCH(A98,Equipements!$A:$A,0))&amp;"."&amp;B98),"")</f>
        <v/>
      </c>
      <c r="D98" s="11"/>
      <c r="E98" s="25"/>
      <c r="F98" s="25"/>
      <c r="G98" s="25"/>
      <c r="H98" s="11"/>
      <c r="I98" s="11"/>
      <c r="J98" s="26" t="str">
        <f t="shared" si="0"/>
        <v/>
      </c>
      <c r="K98" s="11"/>
      <c r="L98" s="11"/>
      <c r="M98" s="11"/>
      <c r="N98" s="11"/>
      <c r="O98" s="26" t="str">
        <f t="shared" si="1"/>
        <v/>
      </c>
      <c r="P98" s="11"/>
    </row>
    <row r="99" spans="1:16" ht="15" customHeight="1" x14ac:dyDescent="0.25">
      <c r="A99" s="25"/>
      <c r="B99" s="25"/>
      <c r="C99" s="26" t="str">
        <f>IFERROR(IF(OR(A99="",B99=""),"",INDEX(Equipements!$H:$H,MATCH(A99,Equipements!$A:$A,0))&amp;"."&amp;B99),"")</f>
        <v/>
      </c>
      <c r="D99" s="11"/>
      <c r="E99" s="25"/>
      <c r="F99" s="25"/>
      <c r="G99" s="25"/>
      <c r="H99" s="11"/>
      <c r="I99" s="11"/>
      <c r="J99" s="26" t="str">
        <f t="shared" si="0"/>
        <v/>
      </c>
      <c r="K99" s="11"/>
      <c r="L99" s="11"/>
      <c r="M99" s="11"/>
      <c r="N99" s="11"/>
      <c r="O99" s="26" t="str">
        <f t="shared" si="1"/>
        <v/>
      </c>
      <c r="P99" s="11"/>
    </row>
    <row r="100" spans="1:16" ht="15" customHeight="1" x14ac:dyDescent="0.25">
      <c r="A100" s="25"/>
      <c r="B100" s="25"/>
      <c r="C100" s="26" t="str">
        <f>IFERROR(IF(OR(A100="",B100=""),"",INDEX(Equipements!$H:$H,MATCH(A100,Equipements!$A:$A,0))&amp;"."&amp;B100),"")</f>
        <v/>
      </c>
      <c r="D100" s="11"/>
      <c r="E100" s="25"/>
      <c r="F100" s="25"/>
      <c r="G100" s="25"/>
      <c r="H100" s="11"/>
      <c r="I100" s="11"/>
      <c r="J100" s="26" t="str">
        <f t="shared" si="0"/>
        <v/>
      </c>
      <c r="K100" s="11"/>
      <c r="L100" s="11"/>
      <c r="M100" s="11"/>
      <c r="N100" s="11"/>
      <c r="O100" s="26" t="str">
        <f t="shared" si="1"/>
        <v/>
      </c>
      <c r="P100" s="11"/>
    </row>
    <row r="101" spans="1:16" ht="15" customHeight="1" x14ac:dyDescent="0.25">
      <c r="A101" s="25"/>
      <c r="B101" s="25"/>
      <c r="C101" s="26" t="str">
        <f>IFERROR(IF(OR(A101="",B101=""),"",INDEX(Equipements!$H:$H,MATCH(A101,Equipements!$A:$A,0))&amp;"."&amp;B101),"")</f>
        <v/>
      </c>
      <c r="D101" s="11"/>
      <c r="E101" s="25"/>
      <c r="F101" s="25"/>
      <c r="G101" s="25"/>
      <c r="H101" s="11"/>
      <c r="I101" s="11"/>
      <c r="J101" s="26" t="str">
        <f t="shared" si="0"/>
        <v/>
      </c>
      <c r="K101" s="11"/>
      <c r="L101" s="11"/>
      <c r="M101" s="11"/>
      <c r="N101" s="11"/>
      <c r="O101" s="26" t="str">
        <f t="shared" si="1"/>
        <v/>
      </c>
      <c r="P101" s="11"/>
    </row>
    <row r="102" spans="1:16" ht="15" customHeight="1" x14ac:dyDescent="0.25">
      <c r="A102" s="25"/>
      <c r="B102" s="25"/>
      <c r="C102" s="26" t="str">
        <f>IFERROR(IF(OR(A102="",B102=""),"",INDEX(Equipements!$H:$H,MATCH(A102,Equipements!$A:$A,0))&amp;"."&amp;B102),"")</f>
        <v/>
      </c>
      <c r="D102" s="11"/>
      <c r="E102" s="25"/>
      <c r="F102" s="25"/>
      <c r="G102" s="25"/>
      <c r="H102" s="11"/>
      <c r="I102" s="11"/>
      <c r="J102" s="26" t="str">
        <f t="shared" si="0"/>
        <v/>
      </c>
      <c r="K102" s="11"/>
      <c r="L102" s="11"/>
      <c r="M102" s="11"/>
      <c r="N102" s="11"/>
      <c r="O102" s="26" t="str">
        <f t="shared" si="1"/>
        <v/>
      </c>
      <c r="P102" s="11"/>
    </row>
    <row r="103" spans="1:16" ht="15" customHeight="1" x14ac:dyDescent="0.25">
      <c r="A103" s="25"/>
      <c r="B103" s="25"/>
      <c r="C103" s="26" t="str">
        <f>IFERROR(IF(OR(A103="",B103=""),"",INDEX(Equipements!$H:$H,MATCH(A103,Equipements!$A:$A,0))&amp;"."&amp;B103),"")</f>
        <v/>
      </c>
      <c r="D103" s="11"/>
      <c r="E103" s="25"/>
      <c r="F103" s="25"/>
      <c r="G103" s="25"/>
      <c r="H103" s="11"/>
      <c r="I103" s="11"/>
      <c r="J103" s="26" t="str">
        <f t="shared" si="0"/>
        <v/>
      </c>
      <c r="K103" s="11"/>
      <c r="L103" s="11"/>
      <c r="M103" s="11"/>
      <c r="N103" s="11"/>
      <c r="O103" s="26" t="str">
        <f t="shared" si="1"/>
        <v/>
      </c>
      <c r="P103" s="11"/>
    </row>
    <row r="104" spans="1:16" ht="15" customHeight="1" x14ac:dyDescent="0.25">
      <c r="A104" s="25"/>
      <c r="B104" s="25"/>
      <c r="C104" s="26" t="str">
        <f>IFERROR(IF(OR(A104="",B104=""),"",INDEX(Equipements!$H:$H,MATCH(A104,Equipements!$A:$A,0))&amp;"."&amp;B104),"")</f>
        <v/>
      </c>
      <c r="D104" s="11"/>
      <c r="E104" s="25"/>
      <c r="F104" s="25"/>
      <c r="G104" s="25"/>
      <c r="H104" s="11"/>
      <c r="I104" s="11"/>
      <c r="J104" s="26" t="str">
        <f t="shared" si="0"/>
        <v/>
      </c>
      <c r="K104" s="11"/>
      <c r="L104" s="11"/>
      <c r="M104" s="11"/>
      <c r="N104" s="11"/>
      <c r="O104" s="26" t="str">
        <f t="shared" si="1"/>
        <v/>
      </c>
      <c r="P104" s="11"/>
    </row>
    <row r="105" spans="1:16" ht="15" customHeight="1" x14ac:dyDescent="0.25">
      <c r="A105" s="25"/>
      <c r="B105" s="25"/>
      <c r="C105" s="26" t="str">
        <f>IFERROR(IF(OR(A105="",B105=""),"",INDEX(Equipements!$H:$H,MATCH(A105,Equipements!$A:$A,0))&amp;"."&amp;B105),"")</f>
        <v/>
      </c>
      <c r="D105" s="11"/>
      <c r="E105" s="25"/>
      <c r="F105" s="25"/>
      <c r="G105" s="25"/>
      <c r="H105" s="11"/>
      <c r="I105" s="11"/>
      <c r="J105" s="26" t="str">
        <f t="shared" si="0"/>
        <v/>
      </c>
      <c r="K105" s="11"/>
      <c r="L105" s="11"/>
      <c r="M105" s="11"/>
      <c r="N105" s="11"/>
      <c r="O105" s="26" t="str">
        <f t="shared" si="1"/>
        <v/>
      </c>
      <c r="P105" s="11"/>
    </row>
    <row r="106" spans="1:16" ht="15" customHeight="1" x14ac:dyDescent="0.25">
      <c r="A106" s="25"/>
      <c r="B106" s="25"/>
      <c r="C106" s="26" t="str">
        <f>IFERROR(IF(OR(A106="",B106=""),"",INDEX(Equipements!$H:$H,MATCH(A106,Equipements!$A:$A,0))&amp;"."&amp;B106),"")</f>
        <v/>
      </c>
      <c r="D106" s="11"/>
      <c r="E106" s="25"/>
      <c r="F106" s="25"/>
      <c r="G106" s="25"/>
      <c r="H106" s="11"/>
      <c r="I106" s="11"/>
      <c r="J106" s="26" t="str">
        <f t="shared" si="0"/>
        <v/>
      </c>
      <c r="K106" s="11"/>
      <c r="L106" s="11"/>
      <c r="M106" s="11"/>
      <c r="N106" s="11"/>
      <c r="O106" s="26" t="str">
        <f t="shared" si="1"/>
        <v/>
      </c>
      <c r="P106" s="11"/>
    </row>
    <row r="107" spans="1:16" ht="15" customHeight="1" x14ac:dyDescent="0.25">
      <c r="A107" s="25"/>
      <c r="B107" s="25"/>
      <c r="C107" s="26" t="str">
        <f>IFERROR(IF(OR(A107="",B107=""),"",INDEX(Equipements!$H:$H,MATCH(A107,Equipements!$A:$A,0))&amp;"."&amp;B107),"")</f>
        <v/>
      </c>
      <c r="D107" s="11"/>
      <c r="E107" s="25"/>
      <c r="F107" s="25"/>
      <c r="G107" s="25"/>
      <c r="H107" s="11"/>
      <c r="I107" s="11"/>
      <c r="J107" s="26" t="str">
        <f t="shared" si="0"/>
        <v/>
      </c>
      <c r="K107" s="11"/>
      <c r="L107" s="11"/>
      <c r="M107" s="11"/>
      <c r="N107" s="11"/>
      <c r="O107" s="26" t="str">
        <f t="shared" si="1"/>
        <v/>
      </c>
      <c r="P107" s="11"/>
    </row>
    <row r="108" spans="1:16" ht="15" customHeight="1" x14ac:dyDescent="0.25">
      <c r="A108" s="25"/>
      <c r="B108" s="25"/>
      <c r="C108" s="26" t="str">
        <f>IFERROR(IF(OR(A108="",B108=""),"",INDEX(Equipements!$H:$H,MATCH(A108,Equipements!$A:$A,0))&amp;"."&amp;B108),"")</f>
        <v/>
      </c>
      <c r="D108" s="11"/>
      <c r="E108" s="25"/>
      <c r="F108" s="25"/>
      <c r="G108" s="25"/>
      <c r="H108" s="11"/>
      <c r="I108" s="11"/>
      <c r="J108" s="26" t="str">
        <f t="shared" si="0"/>
        <v/>
      </c>
      <c r="K108" s="11"/>
      <c r="L108" s="11"/>
      <c r="M108" s="11"/>
      <c r="N108" s="11"/>
      <c r="O108" s="26" t="str">
        <f t="shared" si="1"/>
        <v/>
      </c>
      <c r="P108" s="11"/>
    </row>
    <row r="109" spans="1:16" ht="15" customHeight="1" x14ac:dyDescent="0.25">
      <c r="A109" s="25"/>
      <c r="B109" s="25"/>
      <c r="C109" s="26" t="str">
        <f>IFERROR(IF(OR(A109="",B109=""),"",INDEX(Equipements!$H:$H,MATCH(A109,Equipements!$A:$A,0))&amp;"."&amp;B109),"")</f>
        <v/>
      </c>
      <c r="D109" s="11"/>
      <c r="E109" s="25"/>
      <c r="F109" s="25"/>
      <c r="G109" s="25"/>
      <c r="H109" s="11"/>
      <c r="I109" s="11"/>
      <c r="J109" s="26" t="str">
        <f t="shared" si="0"/>
        <v/>
      </c>
      <c r="K109" s="11"/>
      <c r="L109" s="11"/>
      <c r="M109" s="11"/>
      <c r="N109" s="11"/>
      <c r="O109" s="26" t="str">
        <f t="shared" si="1"/>
        <v/>
      </c>
      <c r="P109" s="11"/>
    </row>
    <row r="110" spans="1:16" ht="15" customHeight="1" x14ac:dyDescent="0.25">
      <c r="A110" s="25"/>
      <c r="B110" s="25"/>
      <c r="C110" s="26" t="str">
        <f>IFERROR(IF(OR(A110="",B110=""),"",INDEX(Equipements!$H:$H,MATCH(A110,Equipements!$A:$A,0))&amp;"."&amp;B110),"")</f>
        <v/>
      </c>
      <c r="D110" s="11"/>
      <c r="E110" s="25"/>
      <c r="F110" s="25"/>
      <c r="G110" s="25"/>
      <c r="H110" s="11"/>
      <c r="I110" s="11"/>
      <c r="J110" s="26" t="str">
        <f t="shared" si="0"/>
        <v/>
      </c>
      <c r="K110" s="11"/>
      <c r="L110" s="11"/>
      <c r="M110" s="11"/>
      <c r="N110" s="11"/>
      <c r="O110" s="26" t="str">
        <f t="shared" si="1"/>
        <v/>
      </c>
      <c r="P110" s="11"/>
    </row>
    <row r="111" spans="1:16" ht="15" customHeight="1" x14ac:dyDescent="0.25">
      <c r="A111" s="25"/>
      <c r="B111" s="25"/>
      <c r="C111" s="26" t="str">
        <f>IFERROR(IF(OR(A111="",B111=""),"",INDEX(Equipements!$H:$H,MATCH(A111,Equipements!$A:$A,0))&amp;"."&amp;B111),"")</f>
        <v/>
      </c>
      <c r="D111" s="11"/>
      <c r="E111" s="25"/>
      <c r="F111" s="25"/>
      <c r="G111" s="25"/>
      <c r="H111" s="11"/>
      <c r="I111" s="11"/>
      <c r="J111" s="26" t="str">
        <f t="shared" si="0"/>
        <v/>
      </c>
      <c r="K111" s="11"/>
      <c r="L111" s="11"/>
      <c r="M111" s="11"/>
      <c r="N111" s="11"/>
      <c r="O111" s="26" t="str">
        <f t="shared" si="1"/>
        <v/>
      </c>
      <c r="P111" s="11"/>
    </row>
    <row r="112" spans="1:16" ht="15" customHeight="1" x14ac:dyDescent="0.25">
      <c r="A112" s="25"/>
      <c r="B112" s="25"/>
      <c r="C112" s="26" t="str">
        <f>IFERROR(IF(OR(A112="",B112=""),"",INDEX(Equipements!$H:$H,MATCH(A112,Equipements!$A:$A,0))&amp;"."&amp;B112),"")</f>
        <v/>
      </c>
      <c r="D112" s="11"/>
      <c r="E112" s="25"/>
      <c r="F112" s="25"/>
      <c r="G112" s="25"/>
      <c r="H112" s="11"/>
      <c r="I112" s="11"/>
      <c r="J112" s="26" t="str">
        <f t="shared" si="0"/>
        <v/>
      </c>
      <c r="K112" s="11"/>
      <c r="L112" s="11"/>
      <c r="M112" s="11"/>
      <c r="N112" s="11"/>
      <c r="O112" s="26" t="str">
        <f t="shared" si="1"/>
        <v/>
      </c>
      <c r="P112" s="11"/>
    </row>
    <row r="113" spans="1:16" ht="15" customHeight="1" x14ac:dyDescent="0.25">
      <c r="A113" s="25"/>
      <c r="B113" s="25"/>
      <c r="C113" s="26" t="str">
        <f>IFERROR(IF(OR(A113="",B113=""),"",INDEX(Equipements!$H:$H,MATCH(A113,Equipements!$A:$A,0))&amp;"."&amp;B113),"")</f>
        <v/>
      </c>
      <c r="D113" s="11"/>
      <c r="E113" s="25"/>
      <c r="F113" s="25"/>
      <c r="G113" s="25"/>
      <c r="H113" s="11"/>
      <c r="I113" s="11"/>
      <c r="J113" s="26" t="str">
        <f t="shared" si="0"/>
        <v/>
      </c>
      <c r="K113" s="11"/>
      <c r="L113" s="11"/>
      <c r="M113" s="11"/>
      <c r="N113" s="11"/>
      <c r="O113" s="26" t="str">
        <f t="shared" si="1"/>
        <v/>
      </c>
      <c r="P113" s="11"/>
    </row>
    <row r="114" spans="1:16" ht="15" customHeight="1" x14ac:dyDescent="0.25">
      <c r="A114" s="25"/>
      <c r="B114" s="25"/>
      <c r="C114" s="26" t="str">
        <f>IFERROR(IF(OR(A114="",B114=""),"",INDEX(Equipements!$H:$H,MATCH(A114,Equipements!$A:$A,0))&amp;"."&amp;B114),"")</f>
        <v/>
      </c>
      <c r="D114" s="11"/>
      <c r="E114" s="25"/>
      <c r="F114" s="25"/>
      <c r="G114" s="25"/>
      <c r="H114" s="11"/>
      <c r="I114" s="11"/>
      <c r="J114" s="26" t="str">
        <f t="shared" si="0"/>
        <v/>
      </c>
      <c r="K114" s="11"/>
      <c r="L114" s="11"/>
      <c r="M114" s="11"/>
      <c r="N114" s="11"/>
      <c r="O114" s="26" t="str">
        <f t="shared" si="1"/>
        <v/>
      </c>
      <c r="P114" s="11"/>
    </row>
    <row r="115" spans="1:16" ht="15" customHeight="1" x14ac:dyDescent="0.25">
      <c r="A115" s="25"/>
      <c r="B115" s="25"/>
      <c r="C115" s="26" t="str">
        <f>IFERROR(IF(OR(A115="",B115=""),"",INDEX(Equipements!$H:$H,MATCH(A115,Equipements!$A:$A,0))&amp;"."&amp;B115),"")</f>
        <v/>
      </c>
      <c r="D115" s="11"/>
      <c r="E115" s="25"/>
      <c r="F115" s="25"/>
      <c r="G115" s="25"/>
      <c r="H115" s="11"/>
      <c r="I115" s="11"/>
      <c r="J115" s="26" t="str">
        <f t="shared" si="0"/>
        <v/>
      </c>
      <c r="K115" s="11"/>
      <c r="L115" s="11"/>
      <c r="M115" s="11"/>
      <c r="N115" s="11"/>
      <c r="O115" s="26" t="str">
        <f t="shared" si="1"/>
        <v/>
      </c>
      <c r="P115" s="11"/>
    </row>
    <row r="116" spans="1:16" ht="15" customHeight="1" x14ac:dyDescent="0.25">
      <c r="A116" s="25"/>
      <c r="B116" s="25"/>
      <c r="C116" s="26" t="str">
        <f>IFERROR(IF(OR(A116="",B116=""),"",INDEX(Equipements!$H:$H,MATCH(A116,Equipements!$A:$A,0))&amp;"."&amp;B116),"")</f>
        <v/>
      </c>
      <c r="D116" s="11"/>
      <c r="E116" s="25"/>
      <c r="F116" s="25"/>
      <c r="G116" s="25"/>
      <c r="H116" s="11"/>
      <c r="I116" s="11"/>
      <c r="J116" s="26" t="str">
        <f t="shared" si="0"/>
        <v/>
      </c>
      <c r="K116" s="11"/>
      <c r="L116" s="11"/>
      <c r="M116" s="11"/>
      <c r="N116" s="11"/>
      <c r="O116" s="26" t="str">
        <f t="shared" si="1"/>
        <v/>
      </c>
      <c r="P116" s="11"/>
    </row>
    <row r="117" spans="1:16" ht="15" customHeight="1" x14ac:dyDescent="0.25">
      <c r="A117" s="25"/>
      <c r="B117" s="25"/>
      <c r="C117" s="26" t="str">
        <f>IFERROR(IF(OR(A117="",B117=""),"",INDEX(Equipements!$H:$H,MATCH(A117,Equipements!$A:$A,0))&amp;"."&amp;B117),"")</f>
        <v/>
      </c>
      <c r="D117" s="11"/>
      <c r="E117" s="25"/>
      <c r="F117" s="25"/>
      <c r="G117" s="25"/>
      <c r="H117" s="11"/>
      <c r="I117" s="11"/>
      <c r="J117" s="26" t="str">
        <f t="shared" si="0"/>
        <v/>
      </c>
      <c r="K117" s="11"/>
      <c r="L117" s="11"/>
      <c r="M117" s="11"/>
      <c r="N117" s="11"/>
      <c r="O117" s="26" t="str">
        <f t="shared" si="1"/>
        <v/>
      </c>
      <c r="P117" s="11"/>
    </row>
    <row r="118" spans="1:16" ht="15" customHeight="1" x14ac:dyDescent="0.25">
      <c r="A118" s="25"/>
      <c r="B118" s="25"/>
      <c r="C118" s="26" t="str">
        <f>IFERROR(IF(OR(A118="",B118=""),"",INDEX(Equipements!$H:$H,MATCH(A118,Equipements!$A:$A,0))&amp;"."&amp;B118),"")</f>
        <v/>
      </c>
      <c r="D118" s="11"/>
      <c r="E118" s="25"/>
      <c r="F118" s="25"/>
      <c r="G118" s="25"/>
      <c r="H118" s="11"/>
      <c r="I118" s="11"/>
      <c r="J118" s="26" t="str">
        <f t="shared" si="0"/>
        <v/>
      </c>
      <c r="K118" s="11"/>
      <c r="L118" s="11"/>
      <c r="M118" s="11"/>
      <c r="N118" s="11"/>
      <c r="O118" s="26" t="str">
        <f t="shared" si="1"/>
        <v/>
      </c>
      <c r="P118" s="11"/>
    </row>
    <row r="119" spans="1:16" ht="15" customHeight="1" x14ac:dyDescent="0.25">
      <c r="A119" s="25"/>
      <c r="B119" s="25"/>
      <c r="C119" s="26" t="str">
        <f>IFERROR(IF(OR(A119="",B119=""),"",INDEX(Equipements!$H:$H,MATCH(A119,Equipements!$A:$A,0))&amp;"."&amp;B119),"")</f>
        <v/>
      </c>
      <c r="D119" s="11"/>
      <c r="E119" s="25"/>
      <c r="F119" s="25"/>
      <c r="G119" s="25"/>
      <c r="H119" s="11"/>
      <c r="I119" s="11"/>
      <c r="J119" s="26" t="str">
        <f t="shared" si="0"/>
        <v/>
      </c>
      <c r="K119" s="11"/>
      <c r="L119" s="11"/>
      <c r="M119" s="11"/>
      <c r="N119" s="11"/>
      <c r="O119" s="26" t="str">
        <f t="shared" si="1"/>
        <v/>
      </c>
      <c r="P119" s="11"/>
    </row>
    <row r="120" spans="1:16" ht="15" customHeight="1" x14ac:dyDescent="0.25">
      <c r="A120" s="25"/>
      <c r="B120" s="25"/>
      <c r="C120" s="26" t="str">
        <f>IFERROR(IF(OR(A120="",B120=""),"",INDEX(Equipements!$H:$H,MATCH(A120,Equipements!$A:$A,0))&amp;"."&amp;B120),"")</f>
        <v/>
      </c>
      <c r="D120" s="11"/>
      <c r="E120" s="25"/>
      <c r="F120" s="25"/>
      <c r="G120" s="25"/>
      <c r="H120" s="11"/>
      <c r="I120" s="11"/>
      <c r="J120" s="26" t="str">
        <f t="shared" si="0"/>
        <v/>
      </c>
      <c r="K120" s="11"/>
      <c r="L120" s="11"/>
      <c r="M120" s="11"/>
      <c r="N120" s="11"/>
      <c r="O120" s="26" t="str">
        <f t="shared" si="1"/>
        <v/>
      </c>
      <c r="P120" s="11"/>
    </row>
    <row r="121" spans="1:16" ht="15" customHeight="1" x14ac:dyDescent="0.25">
      <c r="A121" s="25"/>
      <c r="B121" s="25"/>
      <c r="C121" s="26" t="str">
        <f>IFERROR(IF(OR(A121="",B121=""),"",INDEX(Equipements!$H:$H,MATCH(A121,Equipements!$A:$A,0))&amp;"."&amp;B121),"")</f>
        <v/>
      </c>
      <c r="D121" s="11"/>
      <c r="E121" s="25"/>
      <c r="F121" s="25"/>
      <c r="G121" s="25"/>
      <c r="H121" s="11"/>
      <c r="I121" s="11"/>
      <c r="J121" s="26" t="str">
        <f t="shared" si="0"/>
        <v/>
      </c>
      <c r="K121" s="11"/>
      <c r="L121" s="11"/>
      <c r="M121" s="11"/>
      <c r="N121" s="11"/>
      <c r="O121" s="26" t="str">
        <f t="shared" si="1"/>
        <v/>
      </c>
      <c r="P121" s="11"/>
    </row>
    <row r="122" spans="1:16" ht="15" customHeight="1" x14ac:dyDescent="0.25">
      <c r="A122" s="25"/>
      <c r="B122" s="25"/>
      <c r="C122" s="26" t="str">
        <f>IFERROR(IF(OR(A122="",B122=""),"",INDEX(Equipements!$H:$H,MATCH(A122,Equipements!$A:$A,0))&amp;"."&amp;B122),"")</f>
        <v/>
      </c>
      <c r="D122" s="11"/>
      <c r="E122" s="25"/>
      <c r="F122" s="25"/>
      <c r="G122" s="25"/>
      <c r="H122" s="11"/>
      <c r="I122" s="11"/>
      <c r="J122" s="26" t="str">
        <f t="shared" si="0"/>
        <v/>
      </c>
      <c r="K122" s="11"/>
      <c r="L122" s="11"/>
      <c r="M122" s="11"/>
      <c r="N122" s="11"/>
      <c r="O122" s="26" t="str">
        <f t="shared" si="1"/>
        <v/>
      </c>
      <c r="P122" s="11"/>
    </row>
    <row r="123" spans="1:16" ht="15" customHeight="1" x14ac:dyDescent="0.25">
      <c r="A123" s="25"/>
      <c r="B123" s="25"/>
      <c r="C123" s="26" t="str">
        <f>IFERROR(IF(OR(A123="",B123=""),"",INDEX(Equipements!$H:$H,MATCH(A123,Equipements!$A:$A,0))&amp;"."&amp;B123),"")</f>
        <v/>
      </c>
      <c r="D123" s="11"/>
      <c r="E123" s="25"/>
      <c r="F123" s="25"/>
      <c r="G123" s="25"/>
      <c r="H123" s="11"/>
      <c r="I123" s="11"/>
      <c r="J123" s="26" t="str">
        <f t="shared" si="0"/>
        <v/>
      </c>
      <c r="K123" s="11"/>
      <c r="L123" s="11"/>
      <c r="M123" s="11"/>
      <c r="N123" s="11"/>
      <c r="O123" s="26" t="str">
        <f t="shared" si="1"/>
        <v/>
      </c>
      <c r="P123" s="11"/>
    </row>
    <row r="124" spans="1:16" ht="15" customHeight="1" x14ac:dyDescent="0.25">
      <c r="A124" s="25"/>
      <c r="B124" s="25"/>
      <c r="C124" s="26" t="str">
        <f>IFERROR(IF(OR(A124="",B124=""),"",INDEX(Equipements!$H:$H,MATCH(A124,Equipements!$A:$A,0))&amp;"."&amp;B124),"")</f>
        <v/>
      </c>
      <c r="D124" s="11"/>
      <c r="E124" s="25"/>
      <c r="F124" s="25"/>
      <c r="G124" s="25"/>
      <c r="H124" s="11"/>
      <c r="I124" s="11"/>
      <c r="J124" s="26" t="str">
        <f t="shared" si="0"/>
        <v/>
      </c>
      <c r="K124" s="11"/>
      <c r="L124" s="11"/>
      <c r="M124" s="11"/>
      <c r="N124" s="11"/>
      <c r="O124" s="26" t="str">
        <f t="shared" si="1"/>
        <v/>
      </c>
      <c r="P124" s="11"/>
    </row>
    <row r="125" spans="1:16" ht="15" customHeight="1" x14ac:dyDescent="0.25">
      <c r="A125" s="25"/>
      <c r="B125" s="25"/>
      <c r="C125" s="26" t="str">
        <f>IFERROR(IF(OR(A125="",B125=""),"",INDEX(Equipements!$H:$H,MATCH(A125,Equipements!$A:$A,0))&amp;"."&amp;B125),"")</f>
        <v/>
      </c>
      <c r="D125" s="11"/>
      <c r="E125" s="25"/>
      <c r="F125" s="25"/>
      <c r="G125" s="25"/>
      <c r="H125" s="11"/>
      <c r="I125" s="11"/>
      <c r="J125" s="26" t="str">
        <f t="shared" si="0"/>
        <v/>
      </c>
      <c r="K125" s="11"/>
      <c r="L125" s="11"/>
      <c r="M125" s="11"/>
      <c r="N125" s="11"/>
      <c r="O125" s="26" t="str">
        <f t="shared" si="1"/>
        <v/>
      </c>
      <c r="P125" s="11"/>
    </row>
    <row r="126" spans="1:16" ht="15" customHeight="1" x14ac:dyDescent="0.25">
      <c r="A126" s="25"/>
      <c r="B126" s="25"/>
      <c r="C126" s="26" t="str">
        <f>IFERROR(IF(OR(A126="",B126=""),"",INDEX(Equipements!$H:$H,MATCH(A126,Equipements!$A:$A,0))&amp;"."&amp;B126),"")</f>
        <v/>
      </c>
      <c r="D126" s="11"/>
      <c r="E126" s="25"/>
      <c r="F126" s="25"/>
      <c r="G126" s="25"/>
      <c r="H126" s="11"/>
      <c r="I126" s="11"/>
      <c r="J126" s="26" t="str">
        <f t="shared" si="0"/>
        <v/>
      </c>
      <c r="K126" s="11"/>
      <c r="L126" s="11"/>
      <c r="M126" s="11"/>
      <c r="N126" s="11"/>
      <c r="O126" s="26" t="str">
        <f t="shared" si="1"/>
        <v/>
      </c>
      <c r="P126" s="11"/>
    </row>
    <row r="127" spans="1:16" ht="15" customHeight="1" x14ac:dyDescent="0.25">
      <c r="A127" s="25"/>
      <c r="B127" s="25"/>
      <c r="C127" s="26" t="str">
        <f>IFERROR(IF(OR(A127="",B127=""),"",INDEX(Equipements!$H:$H,MATCH(A127,Equipements!$A:$A,0))&amp;"."&amp;B127),"")</f>
        <v/>
      </c>
      <c r="D127" s="11"/>
      <c r="E127" s="25"/>
      <c r="F127" s="25"/>
      <c r="G127" s="25"/>
      <c r="H127" s="11"/>
      <c r="I127" s="11"/>
      <c r="J127" s="26" t="str">
        <f t="shared" si="0"/>
        <v/>
      </c>
      <c r="K127" s="11"/>
      <c r="L127" s="11"/>
      <c r="M127" s="11"/>
      <c r="N127" s="11"/>
      <c r="O127" s="26" t="str">
        <f t="shared" si="1"/>
        <v/>
      </c>
      <c r="P127" s="11"/>
    </row>
    <row r="128" spans="1:16" ht="15" customHeight="1" x14ac:dyDescent="0.25">
      <c r="A128" s="25"/>
      <c r="B128" s="25"/>
      <c r="C128" s="26" t="str">
        <f>IFERROR(IF(OR(A128="",B128=""),"",INDEX(Equipements!$H:$H,MATCH(A128,Equipements!$A:$A,0))&amp;"."&amp;B128),"")</f>
        <v/>
      </c>
      <c r="D128" s="11"/>
      <c r="E128" s="25"/>
      <c r="F128" s="25"/>
      <c r="G128" s="25"/>
      <c r="H128" s="11"/>
      <c r="I128" s="11"/>
      <c r="J128" s="26" t="str">
        <f t="shared" si="0"/>
        <v/>
      </c>
      <c r="K128" s="11"/>
      <c r="L128" s="11"/>
      <c r="M128" s="11"/>
      <c r="N128" s="11"/>
      <c r="O128" s="26" t="str">
        <f t="shared" si="1"/>
        <v/>
      </c>
      <c r="P128" s="11"/>
    </row>
    <row r="129" spans="1:16" ht="15" customHeight="1" x14ac:dyDescent="0.25">
      <c r="A129" s="25"/>
      <c r="B129" s="25"/>
      <c r="C129" s="26" t="str">
        <f>IFERROR(IF(OR(A129="",B129=""),"",INDEX(Equipements!$H:$H,MATCH(A129,Equipements!$A:$A,0))&amp;"."&amp;B129),"")</f>
        <v/>
      </c>
      <c r="D129" s="11"/>
      <c r="E129" s="25"/>
      <c r="F129" s="25"/>
      <c r="G129" s="25"/>
      <c r="H129" s="11"/>
      <c r="I129" s="11"/>
      <c r="J129" s="26" t="str">
        <f t="shared" si="0"/>
        <v/>
      </c>
      <c r="K129" s="11"/>
      <c r="L129" s="11"/>
      <c r="M129" s="11"/>
      <c r="N129" s="11"/>
      <c r="O129" s="26" t="str">
        <f t="shared" si="1"/>
        <v/>
      </c>
      <c r="P129" s="11"/>
    </row>
    <row r="130" spans="1:16" ht="15" customHeight="1" x14ac:dyDescent="0.25">
      <c r="A130" s="25"/>
      <c r="B130" s="25"/>
      <c r="C130" s="26" t="str">
        <f>IFERROR(IF(OR(A130="",B130=""),"",INDEX(Equipements!$H:$H,MATCH(A130,Equipements!$A:$A,0))&amp;"."&amp;B130),"")</f>
        <v/>
      </c>
      <c r="D130" s="11"/>
      <c r="E130" s="25"/>
      <c r="F130" s="25"/>
      <c r="G130" s="25"/>
      <c r="H130" s="11"/>
      <c r="I130" s="11"/>
      <c r="J130" s="26" t="str">
        <f t="shared" si="0"/>
        <v/>
      </c>
      <c r="K130" s="11"/>
      <c r="L130" s="11"/>
      <c r="M130" s="11"/>
      <c r="N130" s="11"/>
      <c r="O130" s="26" t="str">
        <f t="shared" si="1"/>
        <v/>
      </c>
      <c r="P130" s="11"/>
    </row>
    <row r="131" spans="1:16" ht="15" customHeight="1" x14ac:dyDescent="0.25">
      <c r="A131" s="25"/>
      <c r="B131" s="25"/>
      <c r="C131" s="26" t="str">
        <f>IFERROR(IF(OR(A131="",B131=""),"",INDEX(Equipements!$H:$H,MATCH(A131,Equipements!$A:$A,0))&amp;"."&amp;B131),"")</f>
        <v/>
      </c>
      <c r="D131" s="11"/>
      <c r="E131" s="25"/>
      <c r="F131" s="25"/>
      <c r="G131" s="25"/>
      <c r="H131" s="11"/>
      <c r="I131" s="11"/>
      <c r="J131" s="26" t="str">
        <f t="shared" si="0"/>
        <v/>
      </c>
      <c r="K131" s="11"/>
      <c r="L131" s="11"/>
      <c r="M131" s="11"/>
      <c r="N131" s="11"/>
      <c r="O131" s="26" t="str">
        <f t="shared" si="1"/>
        <v/>
      </c>
      <c r="P131" s="11"/>
    </row>
    <row r="132" spans="1:16" ht="15" customHeight="1" x14ac:dyDescent="0.25">
      <c r="A132" s="25"/>
      <c r="B132" s="25"/>
      <c r="C132" s="26" t="str">
        <f>IFERROR(IF(OR(A132="",B132=""),"",INDEX(Equipements!$H:$H,MATCH(A132,Equipements!$A:$A,0))&amp;"."&amp;B132),"")</f>
        <v/>
      </c>
      <c r="D132" s="11"/>
      <c r="E132" s="25"/>
      <c r="F132" s="25"/>
      <c r="G132" s="25"/>
      <c r="H132" s="11"/>
      <c r="I132" s="11"/>
      <c r="J132" s="26" t="str">
        <f t="shared" si="0"/>
        <v/>
      </c>
      <c r="K132" s="11"/>
      <c r="L132" s="11"/>
      <c r="M132" s="11"/>
      <c r="N132" s="11"/>
      <c r="O132" s="26" t="str">
        <f t="shared" si="1"/>
        <v/>
      </c>
      <c r="P132" s="11"/>
    </row>
    <row r="133" spans="1:16" ht="15" customHeight="1" x14ac:dyDescent="0.25">
      <c r="A133" s="25"/>
      <c r="B133" s="25"/>
      <c r="C133" s="26" t="str">
        <f>IFERROR(IF(OR(A133="",B133=""),"",INDEX(Equipements!$H:$H,MATCH(A133,Equipements!$A:$A,0))&amp;"."&amp;B133),"")</f>
        <v/>
      </c>
      <c r="D133" s="11"/>
      <c r="E133" s="25"/>
      <c r="F133" s="25"/>
      <c r="G133" s="25"/>
      <c r="H133" s="11"/>
      <c r="I133" s="11"/>
      <c r="J133" s="26" t="str">
        <f t="shared" si="0"/>
        <v/>
      </c>
      <c r="K133" s="11"/>
      <c r="L133" s="11"/>
      <c r="M133" s="11"/>
      <c r="N133" s="11"/>
      <c r="O133" s="26" t="str">
        <f t="shared" si="1"/>
        <v/>
      </c>
      <c r="P133" s="11"/>
    </row>
    <row r="134" spans="1:16" ht="15" customHeight="1" x14ac:dyDescent="0.25">
      <c r="A134" s="25"/>
      <c r="B134" s="25"/>
      <c r="C134" s="26" t="str">
        <f>IFERROR(IF(OR(A134="",B134=""),"",INDEX(Equipements!$H:$H,MATCH(A134,Equipements!$A:$A,0))&amp;"."&amp;B134),"")</f>
        <v/>
      </c>
      <c r="D134" s="11"/>
      <c r="E134" s="25"/>
      <c r="F134" s="25"/>
      <c r="G134" s="25"/>
      <c r="H134" s="11"/>
      <c r="I134" s="11"/>
      <c r="J134" s="26" t="str">
        <f t="shared" si="0"/>
        <v/>
      </c>
      <c r="K134" s="11"/>
      <c r="L134" s="11"/>
      <c r="M134" s="11"/>
      <c r="N134" s="11"/>
      <c r="O134" s="26" t="str">
        <f t="shared" si="1"/>
        <v/>
      </c>
      <c r="P134" s="11"/>
    </row>
    <row r="135" spans="1:16" ht="15" customHeight="1" x14ac:dyDescent="0.25">
      <c r="A135" s="25"/>
      <c r="B135" s="25"/>
      <c r="C135" s="26" t="str">
        <f>IFERROR(IF(OR(A135="",B135=""),"",INDEX(Equipements!$H:$H,MATCH(A135,Equipements!$A:$A,0))&amp;"."&amp;B135),"")</f>
        <v/>
      </c>
      <c r="D135" s="11"/>
      <c r="E135" s="25"/>
      <c r="F135" s="25"/>
      <c r="G135" s="25"/>
      <c r="H135" s="11"/>
      <c r="I135" s="11"/>
      <c r="J135" s="26" t="str">
        <f t="shared" si="0"/>
        <v/>
      </c>
      <c r="K135" s="11"/>
      <c r="L135" s="11"/>
      <c r="M135" s="11"/>
      <c r="N135" s="11"/>
      <c r="O135" s="26" t="str">
        <f t="shared" si="1"/>
        <v/>
      </c>
      <c r="P135" s="11"/>
    </row>
    <row r="136" spans="1:16" ht="15" customHeight="1" x14ac:dyDescent="0.25">
      <c r="A136" s="25"/>
      <c r="B136" s="25"/>
      <c r="C136" s="26" t="str">
        <f>IFERROR(IF(OR(A136="",B136=""),"",INDEX(Equipements!$H:$H,MATCH(A136,Equipements!$A:$A,0))&amp;"."&amp;B136),"")</f>
        <v/>
      </c>
      <c r="D136" s="11"/>
      <c r="E136" s="25"/>
      <c r="F136" s="25"/>
      <c r="G136" s="25"/>
      <c r="H136" s="11"/>
      <c r="I136" s="11"/>
      <c r="J136" s="26" t="str">
        <f t="shared" si="0"/>
        <v/>
      </c>
      <c r="K136" s="11"/>
      <c r="L136" s="11"/>
      <c r="M136" s="11"/>
      <c r="N136" s="11"/>
      <c r="O136" s="26" t="str">
        <f t="shared" si="1"/>
        <v/>
      </c>
      <c r="P136" s="11"/>
    </row>
    <row r="137" spans="1:16" ht="15" customHeight="1" x14ac:dyDescent="0.25">
      <c r="A137" s="25"/>
      <c r="B137" s="25"/>
      <c r="C137" s="26" t="str">
        <f>IFERROR(IF(OR(A137="",B137=""),"",INDEX(Equipements!$H:$H,MATCH(A137,Equipements!$A:$A,0))&amp;"."&amp;B137),"")</f>
        <v/>
      </c>
      <c r="D137" s="11"/>
      <c r="E137" s="25"/>
      <c r="F137" s="25"/>
      <c r="G137" s="25"/>
      <c r="H137" s="11"/>
      <c r="I137" s="11"/>
      <c r="J137" s="26" t="str">
        <f t="shared" ref="J137:J200" si="2">IF(OR(G137="",H137=""),"","%"&amp;G137&amp;H137)</f>
        <v/>
      </c>
      <c r="K137" s="11"/>
      <c r="L137" s="11"/>
      <c r="M137" s="11"/>
      <c r="N137" s="11"/>
      <c r="O137" s="26" t="str">
        <f t="shared" ref="O137:O200" si="3">IF(H137="","",IF(I137="","mot entier","bit "&amp;I137))</f>
        <v/>
      </c>
      <c r="P137" s="11"/>
    </row>
    <row r="138" spans="1:16" ht="15" customHeight="1" x14ac:dyDescent="0.25">
      <c r="A138" s="25"/>
      <c r="B138" s="25"/>
      <c r="C138" s="26" t="str">
        <f>IFERROR(IF(OR(A138="",B138=""),"",INDEX(Equipements!$H:$H,MATCH(A138,Equipements!$A:$A,0))&amp;"."&amp;B138),"")</f>
        <v/>
      </c>
      <c r="D138" s="11"/>
      <c r="E138" s="25"/>
      <c r="F138" s="25"/>
      <c r="G138" s="25"/>
      <c r="H138" s="11"/>
      <c r="I138" s="11"/>
      <c r="J138" s="26" t="str">
        <f t="shared" si="2"/>
        <v/>
      </c>
      <c r="K138" s="11"/>
      <c r="L138" s="11"/>
      <c r="M138" s="11"/>
      <c r="N138" s="11"/>
      <c r="O138" s="26" t="str">
        <f t="shared" si="3"/>
        <v/>
      </c>
      <c r="P138" s="11"/>
    </row>
    <row r="139" spans="1:16" ht="15" customHeight="1" x14ac:dyDescent="0.25">
      <c r="A139" s="25"/>
      <c r="B139" s="25"/>
      <c r="C139" s="26" t="str">
        <f>IFERROR(IF(OR(A139="",B139=""),"",INDEX(Equipements!$H:$H,MATCH(A139,Equipements!$A:$A,0))&amp;"."&amp;B139),"")</f>
        <v/>
      </c>
      <c r="D139" s="11"/>
      <c r="E139" s="25"/>
      <c r="F139" s="25"/>
      <c r="G139" s="25"/>
      <c r="H139" s="11"/>
      <c r="I139" s="11"/>
      <c r="J139" s="26" t="str">
        <f t="shared" si="2"/>
        <v/>
      </c>
      <c r="K139" s="11"/>
      <c r="L139" s="11"/>
      <c r="M139" s="11"/>
      <c r="N139" s="11"/>
      <c r="O139" s="26" t="str">
        <f t="shared" si="3"/>
        <v/>
      </c>
      <c r="P139" s="11"/>
    </row>
    <row r="140" spans="1:16" ht="15" customHeight="1" x14ac:dyDescent="0.25">
      <c r="A140" s="25"/>
      <c r="B140" s="25"/>
      <c r="C140" s="26" t="str">
        <f>IFERROR(IF(OR(A140="",B140=""),"",INDEX(Equipements!$H:$H,MATCH(A140,Equipements!$A:$A,0))&amp;"."&amp;B140),"")</f>
        <v/>
      </c>
      <c r="D140" s="11"/>
      <c r="E140" s="25"/>
      <c r="F140" s="25"/>
      <c r="G140" s="25"/>
      <c r="H140" s="11"/>
      <c r="I140" s="11"/>
      <c r="J140" s="26" t="str">
        <f t="shared" si="2"/>
        <v/>
      </c>
      <c r="K140" s="11"/>
      <c r="L140" s="11"/>
      <c r="M140" s="11"/>
      <c r="N140" s="11"/>
      <c r="O140" s="26" t="str">
        <f t="shared" si="3"/>
        <v/>
      </c>
      <c r="P140" s="11"/>
    </row>
    <row r="141" spans="1:16" ht="15" customHeight="1" x14ac:dyDescent="0.25">
      <c r="A141" s="25"/>
      <c r="B141" s="25"/>
      <c r="C141" s="26" t="str">
        <f>IFERROR(IF(OR(A141="",B141=""),"",INDEX(Equipements!$H:$H,MATCH(A141,Equipements!$A:$A,0))&amp;"."&amp;B141),"")</f>
        <v/>
      </c>
      <c r="D141" s="11"/>
      <c r="E141" s="25"/>
      <c r="F141" s="25"/>
      <c r="G141" s="25"/>
      <c r="H141" s="11"/>
      <c r="I141" s="11"/>
      <c r="J141" s="26" t="str">
        <f t="shared" si="2"/>
        <v/>
      </c>
      <c r="K141" s="11"/>
      <c r="L141" s="11"/>
      <c r="M141" s="11"/>
      <c r="N141" s="11"/>
      <c r="O141" s="26" t="str">
        <f t="shared" si="3"/>
        <v/>
      </c>
      <c r="P141" s="11"/>
    </row>
    <row r="142" spans="1:16" ht="15" customHeight="1" x14ac:dyDescent="0.25">
      <c r="A142" s="25"/>
      <c r="B142" s="25"/>
      <c r="C142" s="26" t="str">
        <f>IFERROR(IF(OR(A142="",B142=""),"",INDEX(Equipements!$H:$H,MATCH(A142,Equipements!$A:$A,0))&amp;"."&amp;B142),"")</f>
        <v/>
      </c>
      <c r="D142" s="11"/>
      <c r="E142" s="25"/>
      <c r="F142" s="25"/>
      <c r="G142" s="25"/>
      <c r="H142" s="11"/>
      <c r="I142" s="11"/>
      <c r="J142" s="26" t="str">
        <f t="shared" si="2"/>
        <v/>
      </c>
      <c r="K142" s="11"/>
      <c r="L142" s="11"/>
      <c r="M142" s="11"/>
      <c r="N142" s="11"/>
      <c r="O142" s="26" t="str">
        <f t="shared" si="3"/>
        <v/>
      </c>
      <c r="P142" s="11"/>
    </row>
    <row r="143" spans="1:16" ht="15" customHeight="1" x14ac:dyDescent="0.25">
      <c r="A143" s="25"/>
      <c r="B143" s="25"/>
      <c r="C143" s="26" t="str">
        <f>IFERROR(IF(OR(A143="",B143=""),"",INDEX(Equipements!$H:$H,MATCH(A143,Equipements!$A:$A,0))&amp;"."&amp;B143),"")</f>
        <v/>
      </c>
      <c r="D143" s="11"/>
      <c r="E143" s="25"/>
      <c r="F143" s="25"/>
      <c r="G143" s="25"/>
      <c r="H143" s="11"/>
      <c r="I143" s="11"/>
      <c r="J143" s="26" t="str">
        <f t="shared" si="2"/>
        <v/>
      </c>
      <c r="K143" s="11"/>
      <c r="L143" s="11"/>
      <c r="M143" s="11"/>
      <c r="N143" s="11"/>
      <c r="O143" s="26" t="str">
        <f t="shared" si="3"/>
        <v/>
      </c>
      <c r="P143" s="11"/>
    </row>
    <row r="144" spans="1:16" ht="15" customHeight="1" x14ac:dyDescent="0.25">
      <c r="A144" s="25"/>
      <c r="B144" s="25"/>
      <c r="C144" s="26" t="str">
        <f>IFERROR(IF(OR(A144="",B144=""),"",INDEX(Equipements!$H:$H,MATCH(A144,Equipements!$A:$A,0))&amp;"."&amp;B144),"")</f>
        <v/>
      </c>
      <c r="D144" s="11"/>
      <c r="E144" s="25"/>
      <c r="F144" s="25"/>
      <c r="G144" s="25"/>
      <c r="H144" s="11"/>
      <c r="I144" s="11"/>
      <c r="J144" s="26" t="str">
        <f t="shared" si="2"/>
        <v/>
      </c>
      <c r="K144" s="11"/>
      <c r="L144" s="11"/>
      <c r="M144" s="11"/>
      <c r="N144" s="11"/>
      <c r="O144" s="26" t="str">
        <f t="shared" si="3"/>
        <v/>
      </c>
      <c r="P144" s="11"/>
    </row>
    <row r="145" spans="1:16" ht="15" customHeight="1" x14ac:dyDescent="0.25">
      <c r="A145" s="25"/>
      <c r="B145" s="25"/>
      <c r="C145" s="26" t="str">
        <f>IFERROR(IF(OR(A145="",B145=""),"",INDEX(Equipements!$H:$H,MATCH(A145,Equipements!$A:$A,0))&amp;"."&amp;B145),"")</f>
        <v/>
      </c>
      <c r="D145" s="11"/>
      <c r="E145" s="25"/>
      <c r="F145" s="25"/>
      <c r="G145" s="25"/>
      <c r="H145" s="11"/>
      <c r="I145" s="11"/>
      <c r="J145" s="26" t="str">
        <f t="shared" si="2"/>
        <v/>
      </c>
      <c r="K145" s="11"/>
      <c r="L145" s="11"/>
      <c r="M145" s="11"/>
      <c r="N145" s="11"/>
      <c r="O145" s="26" t="str">
        <f t="shared" si="3"/>
        <v/>
      </c>
      <c r="P145" s="11"/>
    </row>
    <row r="146" spans="1:16" ht="15" customHeight="1" x14ac:dyDescent="0.25">
      <c r="A146" s="25"/>
      <c r="B146" s="25"/>
      <c r="C146" s="26" t="str">
        <f>IFERROR(IF(OR(A146="",B146=""),"",INDEX(Equipements!$H:$H,MATCH(A146,Equipements!$A:$A,0))&amp;"."&amp;B146),"")</f>
        <v/>
      </c>
      <c r="D146" s="11"/>
      <c r="E146" s="25"/>
      <c r="F146" s="25"/>
      <c r="G146" s="25"/>
      <c r="H146" s="11"/>
      <c r="I146" s="11"/>
      <c r="J146" s="26" t="str">
        <f t="shared" si="2"/>
        <v/>
      </c>
      <c r="K146" s="11"/>
      <c r="L146" s="11"/>
      <c r="M146" s="11"/>
      <c r="N146" s="11"/>
      <c r="O146" s="26" t="str">
        <f t="shared" si="3"/>
        <v/>
      </c>
      <c r="P146" s="11"/>
    </row>
    <row r="147" spans="1:16" ht="15" customHeight="1" x14ac:dyDescent="0.25">
      <c r="A147" s="25"/>
      <c r="B147" s="25"/>
      <c r="C147" s="26" t="str">
        <f>IFERROR(IF(OR(A147="",B147=""),"",INDEX(Equipements!$H:$H,MATCH(A147,Equipements!$A:$A,0))&amp;"."&amp;B147),"")</f>
        <v/>
      </c>
      <c r="D147" s="11"/>
      <c r="E147" s="25"/>
      <c r="F147" s="25"/>
      <c r="G147" s="25"/>
      <c r="H147" s="11"/>
      <c r="I147" s="11"/>
      <c r="J147" s="26" t="str">
        <f t="shared" si="2"/>
        <v/>
      </c>
      <c r="K147" s="11"/>
      <c r="L147" s="11"/>
      <c r="M147" s="11"/>
      <c r="N147" s="11"/>
      <c r="O147" s="26" t="str">
        <f t="shared" si="3"/>
        <v/>
      </c>
      <c r="P147" s="11"/>
    </row>
    <row r="148" spans="1:16" ht="15" customHeight="1" x14ac:dyDescent="0.25">
      <c r="A148" s="25"/>
      <c r="B148" s="25"/>
      <c r="C148" s="26" t="str">
        <f>IFERROR(IF(OR(A148="",B148=""),"",INDEX(Equipements!$H:$H,MATCH(A148,Equipements!$A:$A,0))&amp;"."&amp;B148),"")</f>
        <v/>
      </c>
      <c r="D148" s="11"/>
      <c r="E148" s="25"/>
      <c r="F148" s="25"/>
      <c r="G148" s="25"/>
      <c r="H148" s="11"/>
      <c r="I148" s="11"/>
      <c r="J148" s="26" t="str">
        <f t="shared" si="2"/>
        <v/>
      </c>
      <c r="K148" s="11"/>
      <c r="L148" s="11"/>
      <c r="M148" s="11"/>
      <c r="N148" s="11"/>
      <c r="O148" s="26" t="str">
        <f t="shared" si="3"/>
        <v/>
      </c>
      <c r="P148" s="11"/>
    </row>
    <row r="149" spans="1:16" ht="15" customHeight="1" x14ac:dyDescent="0.25">
      <c r="A149" s="25"/>
      <c r="B149" s="25"/>
      <c r="C149" s="26" t="str">
        <f>IFERROR(IF(OR(A149="",B149=""),"",INDEX(Equipements!$H:$H,MATCH(A149,Equipements!$A:$A,0))&amp;"."&amp;B149),"")</f>
        <v/>
      </c>
      <c r="D149" s="11"/>
      <c r="E149" s="25"/>
      <c r="F149" s="25"/>
      <c r="G149" s="25"/>
      <c r="H149" s="11"/>
      <c r="I149" s="11"/>
      <c r="J149" s="26" t="str">
        <f t="shared" si="2"/>
        <v/>
      </c>
      <c r="K149" s="11"/>
      <c r="L149" s="11"/>
      <c r="M149" s="11"/>
      <c r="N149" s="11"/>
      <c r="O149" s="26" t="str">
        <f t="shared" si="3"/>
        <v/>
      </c>
      <c r="P149" s="11"/>
    </row>
    <row r="150" spans="1:16" ht="15" customHeight="1" x14ac:dyDescent="0.25">
      <c r="A150" s="25"/>
      <c r="B150" s="25"/>
      <c r="C150" s="26" t="str">
        <f>IFERROR(IF(OR(A150="",B150=""),"",INDEX(Equipements!$H:$H,MATCH(A150,Equipements!$A:$A,0))&amp;"."&amp;B150),"")</f>
        <v/>
      </c>
      <c r="D150" s="11"/>
      <c r="E150" s="25"/>
      <c r="F150" s="25"/>
      <c r="G150" s="25"/>
      <c r="H150" s="11"/>
      <c r="I150" s="11"/>
      <c r="J150" s="26" t="str">
        <f t="shared" si="2"/>
        <v/>
      </c>
      <c r="K150" s="11"/>
      <c r="L150" s="11"/>
      <c r="M150" s="11"/>
      <c r="N150" s="11"/>
      <c r="O150" s="26" t="str">
        <f t="shared" si="3"/>
        <v/>
      </c>
      <c r="P150" s="11"/>
    </row>
    <row r="151" spans="1:16" ht="15" customHeight="1" x14ac:dyDescent="0.25">
      <c r="A151" s="25"/>
      <c r="B151" s="25"/>
      <c r="C151" s="26" t="str">
        <f>IFERROR(IF(OR(A151="",B151=""),"",INDEX(Equipements!$H:$H,MATCH(A151,Equipements!$A:$A,0))&amp;"."&amp;B151),"")</f>
        <v/>
      </c>
      <c r="D151" s="11"/>
      <c r="E151" s="25"/>
      <c r="F151" s="25"/>
      <c r="G151" s="25"/>
      <c r="H151" s="11"/>
      <c r="I151" s="11"/>
      <c r="J151" s="26" t="str">
        <f t="shared" si="2"/>
        <v/>
      </c>
      <c r="K151" s="11"/>
      <c r="L151" s="11"/>
      <c r="M151" s="11"/>
      <c r="N151" s="11"/>
      <c r="O151" s="26" t="str">
        <f t="shared" si="3"/>
        <v/>
      </c>
      <c r="P151" s="11"/>
    </row>
    <row r="152" spans="1:16" ht="15" customHeight="1" x14ac:dyDescent="0.25">
      <c r="A152" s="25"/>
      <c r="B152" s="25"/>
      <c r="C152" s="26" t="str">
        <f>IFERROR(IF(OR(A152="",B152=""),"",INDEX(Equipements!$H:$H,MATCH(A152,Equipements!$A:$A,0))&amp;"."&amp;B152),"")</f>
        <v/>
      </c>
      <c r="D152" s="11"/>
      <c r="E152" s="25"/>
      <c r="F152" s="25"/>
      <c r="G152" s="25"/>
      <c r="H152" s="11"/>
      <c r="I152" s="11"/>
      <c r="J152" s="26" t="str">
        <f t="shared" si="2"/>
        <v/>
      </c>
      <c r="K152" s="11"/>
      <c r="L152" s="11"/>
      <c r="M152" s="11"/>
      <c r="N152" s="11"/>
      <c r="O152" s="26" t="str">
        <f t="shared" si="3"/>
        <v/>
      </c>
      <c r="P152" s="11"/>
    </row>
    <row r="153" spans="1:16" ht="15" customHeight="1" x14ac:dyDescent="0.25">
      <c r="A153" s="25"/>
      <c r="B153" s="25"/>
      <c r="C153" s="26" t="str">
        <f>IFERROR(IF(OR(A153="",B153=""),"",INDEX(Equipements!$H:$H,MATCH(A153,Equipements!$A:$A,0))&amp;"."&amp;B153),"")</f>
        <v/>
      </c>
      <c r="D153" s="11"/>
      <c r="E153" s="25"/>
      <c r="F153" s="25"/>
      <c r="G153" s="25"/>
      <c r="H153" s="11"/>
      <c r="I153" s="11"/>
      <c r="J153" s="26" t="str">
        <f t="shared" si="2"/>
        <v/>
      </c>
      <c r="K153" s="11"/>
      <c r="L153" s="11"/>
      <c r="M153" s="11"/>
      <c r="N153" s="11"/>
      <c r="O153" s="26" t="str">
        <f t="shared" si="3"/>
        <v/>
      </c>
      <c r="P153" s="11"/>
    </row>
    <row r="154" spans="1:16" ht="15" customHeight="1" x14ac:dyDescent="0.25">
      <c r="A154" s="25"/>
      <c r="B154" s="25"/>
      <c r="C154" s="26" t="str">
        <f>IFERROR(IF(OR(A154="",B154=""),"",INDEX(Equipements!$H:$H,MATCH(A154,Equipements!$A:$A,0))&amp;"."&amp;B154),"")</f>
        <v/>
      </c>
      <c r="D154" s="11"/>
      <c r="E154" s="25"/>
      <c r="F154" s="25"/>
      <c r="G154" s="25"/>
      <c r="H154" s="11"/>
      <c r="I154" s="11"/>
      <c r="J154" s="26" t="str">
        <f t="shared" si="2"/>
        <v/>
      </c>
      <c r="K154" s="11"/>
      <c r="L154" s="11"/>
      <c r="M154" s="11"/>
      <c r="N154" s="11"/>
      <c r="O154" s="26" t="str">
        <f t="shared" si="3"/>
        <v/>
      </c>
      <c r="P154" s="11"/>
    </row>
    <row r="155" spans="1:16" ht="15" customHeight="1" x14ac:dyDescent="0.25">
      <c r="A155" s="25"/>
      <c r="B155" s="25"/>
      <c r="C155" s="26" t="str">
        <f>IFERROR(IF(OR(A155="",B155=""),"",INDEX(Equipements!$H:$H,MATCH(A155,Equipements!$A:$A,0))&amp;"."&amp;B155),"")</f>
        <v/>
      </c>
      <c r="D155" s="11"/>
      <c r="E155" s="25"/>
      <c r="F155" s="25"/>
      <c r="G155" s="25"/>
      <c r="H155" s="11"/>
      <c r="I155" s="11"/>
      <c r="J155" s="26" t="str">
        <f t="shared" si="2"/>
        <v/>
      </c>
      <c r="K155" s="11"/>
      <c r="L155" s="11"/>
      <c r="M155" s="11"/>
      <c r="N155" s="11"/>
      <c r="O155" s="26" t="str">
        <f t="shared" si="3"/>
        <v/>
      </c>
      <c r="P155" s="11"/>
    </row>
    <row r="156" spans="1:16" ht="15" customHeight="1" x14ac:dyDescent="0.25">
      <c r="A156" s="25"/>
      <c r="B156" s="25"/>
      <c r="C156" s="26" t="str">
        <f>IFERROR(IF(OR(A156="",B156=""),"",INDEX(Equipements!$H:$H,MATCH(A156,Equipements!$A:$A,0))&amp;"."&amp;B156),"")</f>
        <v/>
      </c>
      <c r="D156" s="11"/>
      <c r="E156" s="25"/>
      <c r="F156" s="25"/>
      <c r="G156" s="25"/>
      <c r="H156" s="11"/>
      <c r="I156" s="11"/>
      <c r="J156" s="26" t="str">
        <f t="shared" si="2"/>
        <v/>
      </c>
      <c r="K156" s="11"/>
      <c r="L156" s="11"/>
      <c r="M156" s="11"/>
      <c r="N156" s="11"/>
      <c r="O156" s="26" t="str">
        <f t="shared" si="3"/>
        <v/>
      </c>
      <c r="P156" s="11"/>
    </row>
    <row r="157" spans="1:16" ht="15" customHeight="1" x14ac:dyDescent="0.25">
      <c r="A157" s="25"/>
      <c r="B157" s="25"/>
      <c r="C157" s="26" t="str">
        <f>IFERROR(IF(OR(A157="",B157=""),"",INDEX(Equipements!$H:$H,MATCH(A157,Equipements!$A:$A,0))&amp;"."&amp;B157),"")</f>
        <v/>
      </c>
      <c r="D157" s="11"/>
      <c r="E157" s="25"/>
      <c r="F157" s="25"/>
      <c r="G157" s="25"/>
      <c r="H157" s="11"/>
      <c r="I157" s="11"/>
      <c r="J157" s="26" t="str">
        <f t="shared" si="2"/>
        <v/>
      </c>
      <c r="K157" s="11"/>
      <c r="L157" s="11"/>
      <c r="M157" s="11"/>
      <c r="N157" s="11"/>
      <c r="O157" s="26" t="str">
        <f t="shared" si="3"/>
        <v/>
      </c>
      <c r="P157" s="11"/>
    </row>
    <row r="158" spans="1:16" ht="15" customHeight="1" x14ac:dyDescent="0.25">
      <c r="A158" s="25"/>
      <c r="B158" s="25"/>
      <c r="C158" s="26" t="str">
        <f>IFERROR(IF(OR(A158="",B158=""),"",INDEX(Equipements!$H:$H,MATCH(A158,Equipements!$A:$A,0))&amp;"."&amp;B158),"")</f>
        <v/>
      </c>
      <c r="D158" s="11"/>
      <c r="E158" s="25"/>
      <c r="F158" s="25"/>
      <c r="G158" s="25"/>
      <c r="H158" s="11"/>
      <c r="I158" s="11"/>
      <c r="J158" s="26" t="str">
        <f t="shared" si="2"/>
        <v/>
      </c>
      <c r="K158" s="11"/>
      <c r="L158" s="11"/>
      <c r="M158" s="11"/>
      <c r="N158" s="11"/>
      <c r="O158" s="26" t="str">
        <f t="shared" si="3"/>
        <v/>
      </c>
      <c r="P158" s="11"/>
    </row>
    <row r="159" spans="1:16" ht="15" customHeight="1" x14ac:dyDescent="0.25">
      <c r="A159" s="25"/>
      <c r="B159" s="25"/>
      <c r="C159" s="26" t="str">
        <f>IFERROR(IF(OR(A159="",B159=""),"",INDEX(Equipements!$H:$H,MATCH(A159,Equipements!$A:$A,0))&amp;"."&amp;B159),"")</f>
        <v/>
      </c>
      <c r="D159" s="11"/>
      <c r="E159" s="25"/>
      <c r="F159" s="25"/>
      <c r="G159" s="25"/>
      <c r="H159" s="11"/>
      <c r="I159" s="11"/>
      <c r="J159" s="26" t="str">
        <f t="shared" si="2"/>
        <v/>
      </c>
      <c r="K159" s="11"/>
      <c r="L159" s="11"/>
      <c r="M159" s="11"/>
      <c r="N159" s="11"/>
      <c r="O159" s="26" t="str">
        <f t="shared" si="3"/>
        <v/>
      </c>
      <c r="P159" s="11"/>
    </row>
    <row r="160" spans="1:16" ht="15" customHeight="1" x14ac:dyDescent="0.25">
      <c r="A160" s="25"/>
      <c r="B160" s="25"/>
      <c r="C160" s="26" t="str">
        <f>IFERROR(IF(OR(A160="",B160=""),"",INDEX(Equipements!$H:$H,MATCH(A160,Equipements!$A:$A,0))&amp;"."&amp;B160),"")</f>
        <v/>
      </c>
      <c r="D160" s="11"/>
      <c r="E160" s="25"/>
      <c r="F160" s="25"/>
      <c r="G160" s="25"/>
      <c r="H160" s="11"/>
      <c r="I160" s="11"/>
      <c r="J160" s="26" t="str">
        <f t="shared" si="2"/>
        <v/>
      </c>
      <c r="K160" s="11"/>
      <c r="L160" s="11"/>
      <c r="M160" s="11"/>
      <c r="N160" s="11"/>
      <c r="O160" s="26" t="str">
        <f t="shared" si="3"/>
        <v/>
      </c>
      <c r="P160" s="11"/>
    </row>
    <row r="161" spans="1:16" ht="15" customHeight="1" x14ac:dyDescent="0.25">
      <c r="A161" s="25"/>
      <c r="B161" s="25"/>
      <c r="C161" s="26" t="str">
        <f>IFERROR(IF(OR(A161="",B161=""),"",INDEX(Equipements!$H:$H,MATCH(A161,Equipements!$A:$A,0))&amp;"."&amp;B161),"")</f>
        <v/>
      </c>
      <c r="D161" s="11"/>
      <c r="E161" s="25"/>
      <c r="F161" s="25"/>
      <c r="G161" s="25"/>
      <c r="H161" s="11"/>
      <c r="I161" s="11"/>
      <c r="J161" s="26" t="str">
        <f t="shared" si="2"/>
        <v/>
      </c>
      <c r="K161" s="11"/>
      <c r="L161" s="11"/>
      <c r="M161" s="11"/>
      <c r="N161" s="11"/>
      <c r="O161" s="26" t="str">
        <f t="shared" si="3"/>
        <v/>
      </c>
      <c r="P161" s="11"/>
    </row>
    <row r="162" spans="1:16" ht="15" customHeight="1" x14ac:dyDescent="0.25">
      <c r="A162" s="25"/>
      <c r="B162" s="25"/>
      <c r="C162" s="26" t="str">
        <f>IFERROR(IF(OR(A162="",B162=""),"",INDEX(Equipements!$H:$H,MATCH(A162,Equipements!$A:$A,0))&amp;"."&amp;B162),"")</f>
        <v/>
      </c>
      <c r="D162" s="11"/>
      <c r="E162" s="25"/>
      <c r="F162" s="25"/>
      <c r="G162" s="25"/>
      <c r="H162" s="11"/>
      <c r="I162" s="11"/>
      <c r="J162" s="26" t="str">
        <f t="shared" si="2"/>
        <v/>
      </c>
      <c r="K162" s="11"/>
      <c r="L162" s="11"/>
      <c r="M162" s="11"/>
      <c r="N162" s="11"/>
      <c r="O162" s="26" t="str">
        <f t="shared" si="3"/>
        <v/>
      </c>
      <c r="P162" s="11"/>
    </row>
    <row r="163" spans="1:16" ht="15" customHeight="1" x14ac:dyDescent="0.25">
      <c r="A163" s="25"/>
      <c r="B163" s="25"/>
      <c r="C163" s="26" t="str">
        <f>IFERROR(IF(OR(A163="",B163=""),"",INDEX(Equipements!$H:$H,MATCH(A163,Equipements!$A:$A,0))&amp;"."&amp;B163),"")</f>
        <v/>
      </c>
      <c r="D163" s="11"/>
      <c r="E163" s="25"/>
      <c r="F163" s="25"/>
      <c r="G163" s="25"/>
      <c r="H163" s="11"/>
      <c r="I163" s="11"/>
      <c r="J163" s="26" t="str">
        <f t="shared" si="2"/>
        <v/>
      </c>
      <c r="K163" s="11"/>
      <c r="L163" s="11"/>
      <c r="M163" s="11"/>
      <c r="N163" s="11"/>
      <c r="O163" s="26" t="str">
        <f t="shared" si="3"/>
        <v/>
      </c>
      <c r="P163" s="11"/>
    </row>
    <row r="164" spans="1:16" ht="15" customHeight="1" x14ac:dyDescent="0.25">
      <c r="A164" s="25"/>
      <c r="B164" s="25"/>
      <c r="C164" s="26" t="str">
        <f>IFERROR(IF(OR(A164="",B164=""),"",INDEX(Equipements!$H:$H,MATCH(A164,Equipements!$A:$A,0))&amp;"."&amp;B164),"")</f>
        <v/>
      </c>
      <c r="D164" s="11"/>
      <c r="E164" s="25"/>
      <c r="F164" s="25"/>
      <c r="G164" s="25"/>
      <c r="H164" s="11"/>
      <c r="I164" s="11"/>
      <c r="J164" s="26" t="str">
        <f t="shared" si="2"/>
        <v/>
      </c>
      <c r="K164" s="11"/>
      <c r="L164" s="11"/>
      <c r="M164" s="11"/>
      <c r="N164" s="11"/>
      <c r="O164" s="26" t="str">
        <f t="shared" si="3"/>
        <v/>
      </c>
      <c r="P164" s="11"/>
    </row>
    <row r="165" spans="1:16" ht="15" customHeight="1" x14ac:dyDescent="0.25">
      <c r="A165" s="25"/>
      <c r="B165" s="25"/>
      <c r="C165" s="26" t="str">
        <f>IFERROR(IF(OR(A165="",B165=""),"",INDEX(Equipements!$H:$H,MATCH(A165,Equipements!$A:$A,0))&amp;"."&amp;B165),"")</f>
        <v/>
      </c>
      <c r="D165" s="11"/>
      <c r="E165" s="25"/>
      <c r="F165" s="25"/>
      <c r="G165" s="25"/>
      <c r="H165" s="11"/>
      <c r="I165" s="11"/>
      <c r="J165" s="26" t="str">
        <f t="shared" si="2"/>
        <v/>
      </c>
      <c r="K165" s="11"/>
      <c r="L165" s="11"/>
      <c r="M165" s="11"/>
      <c r="N165" s="11"/>
      <c r="O165" s="26" t="str">
        <f t="shared" si="3"/>
        <v/>
      </c>
      <c r="P165" s="11"/>
    </row>
    <row r="166" spans="1:16" ht="15" customHeight="1" x14ac:dyDescent="0.25">
      <c r="A166" s="25"/>
      <c r="B166" s="25"/>
      <c r="C166" s="26" t="str">
        <f>IFERROR(IF(OR(A166="",B166=""),"",INDEX(Equipements!$H:$H,MATCH(A166,Equipements!$A:$A,0))&amp;"."&amp;B166),"")</f>
        <v/>
      </c>
      <c r="D166" s="11"/>
      <c r="E166" s="25"/>
      <c r="F166" s="25"/>
      <c r="G166" s="25"/>
      <c r="H166" s="11"/>
      <c r="I166" s="11"/>
      <c r="J166" s="26" t="str">
        <f t="shared" si="2"/>
        <v/>
      </c>
      <c r="K166" s="11"/>
      <c r="L166" s="11"/>
      <c r="M166" s="11"/>
      <c r="N166" s="11"/>
      <c r="O166" s="26" t="str">
        <f t="shared" si="3"/>
        <v/>
      </c>
      <c r="P166" s="11"/>
    </row>
    <row r="167" spans="1:16" ht="15" customHeight="1" x14ac:dyDescent="0.25">
      <c r="A167" s="25"/>
      <c r="B167" s="25"/>
      <c r="C167" s="26" t="str">
        <f>IFERROR(IF(OR(A167="",B167=""),"",INDEX(Equipements!$H:$H,MATCH(A167,Equipements!$A:$A,0))&amp;"."&amp;B167),"")</f>
        <v/>
      </c>
      <c r="D167" s="11"/>
      <c r="E167" s="25"/>
      <c r="F167" s="25"/>
      <c r="G167" s="25"/>
      <c r="H167" s="11"/>
      <c r="I167" s="11"/>
      <c r="J167" s="26" t="str">
        <f t="shared" si="2"/>
        <v/>
      </c>
      <c r="K167" s="11"/>
      <c r="L167" s="11"/>
      <c r="M167" s="11"/>
      <c r="N167" s="11"/>
      <c r="O167" s="26" t="str">
        <f t="shared" si="3"/>
        <v/>
      </c>
      <c r="P167" s="11"/>
    </row>
    <row r="168" spans="1:16" ht="15" customHeight="1" x14ac:dyDescent="0.25">
      <c r="A168" s="25"/>
      <c r="B168" s="25"/>
      <c r="C168" s="26" t="str">
        <f>IFERROR(IF(OR(A168="",B168=""),"",INDEX(Equipements!$H:$H,MATCH(A168,Equipements!$A:$A,0))&amp;"."&amp;B168),"")</f>
        <v/>
      </c>
      <c r="D168" s="11"/>
      <c r="E168" s="25"/>
      <c r="F168" s="25"/>
      <c r="G168" s="25"/>
      <c r="H168" s="11"/>
      <c r="I168" s="11"/>
      <c r="J168" s="26" t="str">
        <f t="shared" si="2"/>
        <v/>
      </c>
      <c r="K168" s="11"/>
      <c r="L168" s="11"/>
      <c r="M168" s="11"/>
      <c r="N168" s="11"/>
      <c r="O168" s="26" t="str">
        <f t="shared" si="3"/>
        <v/>
      </c>
      <c r="P168" s="11"/>
    </row>
    <row r="169" spans="1:16" ht="15" customHeight="1" x14ac:dyDescent="0.25">
      <c r="A169" s="25"/>
      <c r="B169" s="25"/>
      <c r="C169" s="26" t="str">
        <f>IFERROR(IF(OR(A169="",B169=""),"",INDEX(Equipements!$H:$H,MATCH(A169,Equipements!$A:$A,0))&amp;"."&amp;B169),"")</f>
        <v/>
      </c>
      <c r="D169" s="11"/>
      <c r="E169" s="25"/>
      <c r="F169" s="25"/>
      <c r="G169" s="25"/>
      <c r="H169" s="11"/>
      <c r="I169" s="11"/>
      <c r="J169" s="26" t="str">
        <f t="shared" si="2"/>
        <v/>
      </c>
      <c r="K169" s="11"/>
      <c r="L169" s="11"/>
      <c r="M169" s="11"/>
      <c r="N169" s="11"/>
      <c r="O169" s="26" t="str">
        <f t="shared" si="3"/>
        <v/>
      </c>
      <c r="P169" s="11"/>
    </row>
    <row r="170" spans="1:16" ht="15" customHeight="1" x14ac:dyDescent="0.25">
      <c r="A170" s="25"/>
      <c r="B170" s="25"/>
      <c r="C170" s="26" t="str">
        <f>IFERROR(IF(OR(A170="",B170=""),"",INDEX(Equipements!$H:$H,MATCH(A170,Equipements!$A:$A,0))&amp;"."&amp;B170),"")</f>
        <v/>
      </c>
      <c r="D170" s="11"/>
      <c r="E170" s="25"/>
      <c r="F170" s="25"/>
      <c r="G170" s="25"/>
      <c r="H170" s="11"/>
      <c r="I170" s="11"/>
      <c r="J170" s="26" t="str">
        <f t="shared" si="2"/>
        <v/>
      </c>
      <c r="K170" s="11"/>
      <c r="L170" s="11"/>
      <c r="M170" s="11"/>
      <c r="N170" s="11"/>
      <c r="O170" s="26" t="str">
        <f t="shared" si="3"/>
        <v/>
      </c>
      <c r="P170" s="11"/>
    </row>
    <row r="171" spans="1:16" ht="15" customHeight="1" x14ac:dyDescent="0.25">
      <c r="A171" s="25"/>
      <c r="B171" s="25"/>
      <c r="C171" s="26" t="str">
        <f>IFERROR(IF(OR(A171="",B171=""),"",INDEX(Equipements!$H:$H,MATCH(A171,Equipements!$A:$A,0))&amp;"."&amp;B171),"")</f>
        <v/>
      </c>
      <c r="D171" s="11"/>
      <c r="E171" s="25"/>
      <c r="F171" s="25"/>
      <c r="G171" s="25"/>
      <c r="H171" s="11"/>
      <c r="I171" s="11"/>
      <c r="J171" s="26" t="str">
        <f t="shared" si="2"/>
        <v/>
      </c>
      <c r="K171" s="11"/>
      <c r="L171" s="11"/>
      <c r="M171" s="11"/>
      <c r="N171" s="11"/>
      <c r="O171" s="26" t="str">
        <f t="shared" si="3"/>
        <v/>
      </c>
      <c r="P171" s="11"/>
    </row>
    <row r="172" spans="1:16" ht="15" customHeight="1" x14ac:dyDescent="0.25">
      <c r="A172" s="25"/>
      <c r="B172" s="25"/>
      <c r="C172" s="26" t="str">
        <f>IFERROR(IF(OR(A172="",B172=""),"",INDEX(Equipements!$H:$H,MATCH(A172,Equipements!$A:$A,0))&amp;"."&amp;B172),"")</f>
        <v/>
      </c>
      <c r="D172" s="11"/>
      <c r="E172" s="25"/>
      <c r="F172" s="25"/>
      <c r="G172" s="25"/>
      <c r="H172" s="11"/>
      <c r="I172" s="11"/>
      <c r="J172" s="26" t="str">
        <f t="shared" si="2"/>
        <v/>
      </c>
      <c r="K172" s="11"/>
      <c r="L172" s="11"/>
      <c r="M172" s="11"/>
      <c r="N172" s="11"/>
      <c r="O172" s="26" t="str">
        <f t="shared" si="3"/>
        <v/>
      </c>
      <c r="P172" s="11"/>
    </row>
    <row r="173" spans="1:16" ht="15" customHeight="1" x14ac:dyDescent="0.25">
      <c r="A173" s="25"/>
      <c r="B173" s="25"/>
      <c r="C173" s="26" t="str">
        <f>IFERROR(IF(OR(A173="",B173=""),"",INDEX(Equipements!$H:$H,MATCH(A173,Equipements!$A:$A,0))&amp;"."&amp;B173),"")</f>
        <v/>
      </c>
      <c r="D173" s="11"/>
      <c r="E173" s="25"/>
      <c r="F173" s="25"/>
      <c r="G173" s="25"/>
      <c r="H173" s="11"/>
      <c r="I173" s="11"/>
      <c r="J173" s="26" t="str">
        <f t="shared" si="2"/>
        <v/>
      </c>
      <c r="K173" s="11"/>
      <c r="L173" s="11"/>
      <c r="M173" s="11"/>
      <c r="N173" s="11"/>
      <c r="O173" s="26" t="str">
        <f t="shared" si="3"/>
        <v/>
      </c>
      <c r="P173" s="11"/>
    </row>
    <row r="174" spans="1:16" ht="15" customHeight="1" x14ac:dyDescent="0.25">
      <c r="A174" s="25"/>
      <c r="B174" s="25"/>
      <c r="C174" s="26" t="str">
        <f>IFERROR(IF(OR(A174="",B174=""),"",INDEX(Equipements!$H:$H,MATCH(A174,Equipements!$A:$A,0))&amp;"."&amp;B174),"")</f>
        <v/>
      </c>
      <c r="D174" s="11"/>
      <c r="E174" s="25"/>
      <c r="F174" s="25"/>
      <c r="G174" s="25"/>
      <c r="H174" s="11"/>
      <c r="I174" s="11"/>
      <c r="J174" s="26" t="str">
        <f t="shared" si="2"/>
        <v/>
      </c>
      <c r="K174" s="11"/>
      <c r="L174" s="11"/>
      <c r="M174" s="11"/>
      <c r="N174" s="11"/>
      <c r="O174" s="26" t="str">
        <f t="shared" si="3"/>
        <v/>
      </c>
      <c r="P174" s="11"/>
    </row>
    <row r="175" spans="1:16" ht="15" customHeight="1" x14ac:dyDescent="0.25">
      <c r="A175" s="25"/>
      <c r="B175" s="25"/>
      <c r="C175" s="26" t="str">
        <f>IFERROR(IF(OR(A175="",B175=""),"",INDEX(Equipements!$H:$H,MATCH(A175,Equipements!$A:$A,0))&amp;"."&amp;B175),"")</f>
        <v/>
      </c>
      <c r="D175" s="11"/>
      <c r="E175" s="25"/>
      <c r="F175" s="25"/>
      <c r="G175" s="25"/>
      <c r="H175" s="11"/>
      <c r="I175" s="11"/>
      <c r="J175" s="26" t="str">
        <f t="shared" si="2"/>
        <v/>
      </c>
      <c r="K175" s="11"/>
      <c r="L175" s="11"/>
      <c r="M175" s="11"/>
      <c r="N175" s="11"/>
      <c r="O175" s="26" t="str">
        <f t="shared" si="3"/>
        <v/>
      </c>
      <c r="P175" s="11"/>
    </row>
    <row r="176" spans="1:16" ht="15" customHeight="1" x14ac:dyDescent="0.25">
      <c r="A176" s="25"/>
      <c r="B176" s="25"/>
      <c r="C176" s="26" t="str">
        <f>IFERROR(IF(OR(A176="",B176=""),"",INDEX(Equipements!$H:$H,MATCH(A176,Equipements!$A:$A,0))&amp;"."&amp;B176),"")</f>
        <v/>
      </c>
      <c r="D176" s="11"/>
      <c r="E176" s="25"/>
      <c r="F176" s="25"/>
      <c r="G176" s="25"/>
      <c r="H176" s="11"/>
      <c r="I176" s="11"/>
      <c r="J176" s="26" t="str">
        <f t="shared" si="2"/>
        <v/>
      </c>
      <c r="K176" s="11"/>
      <c r="L176" s="11"/>
      <c r="M176" s="11"/>
      <c r="N176" s="11"/>
      <c r="O176" s="26" t="str">
        <f t="shared" si="3"/>
        <v/>
      </c>
      <c r="P176" s="11"/>
    </row>
    <row r="177" spans="1:16" ht="15" customHeight="1" x14ac:dyDescent="0.25">
      <c r="A177" s="25"/>
      <c r="B177" s="25"/>
      <c r="C177" s="26" t="str">
        <f>IFERROR(IF(OR(A177="",B177=""),"",INDEX(Equipements!$H:$H,MATCH(A177,Equipements!$A:$A,0))&amp;"."&amp;B177),"")</f>
        <v/>
      </c>
      <c r="D177" s="11"/>
      <c r="E177" s="25"/>
      <c r="F177" s="25"/>
      <c r="G177" s="25"/>
      <c r="H177" s="11"/>
      <c r="I177" s="11"/>
      <c r="J177" s="26" t="str">
        <f t="shared" si="2"/>
        <v/>
      </c>
      <c r="K177" s="11"/>
      <c r="L177" s="11"/>
      <c r="M177" s="11"/>
      <c r="N177" s="11"/>
      <c r="O177" s="26" t="str">
        <f t="shared" si="3"/>
        <v/>
      </c>
      <c r="P177" s="11"/>
    </row>
    <row r="178" spans="1:16" ht="15" customHeight="1" x14ac:dyDescent="0.25">
      <c r="A178" s="25"/>
      <c r="B178" s="25"/>
      <c r="C178" s="26" t="str">
        <f>IFERROR(IF(OR(A178="",B178=""),"",INDEX(Equipements!$H:$H,MATCH(A178,Equipements!$A:$A,0))&amp;"."&amp;B178),"")</f>
        <v/>
      </c>
      <c r="D178" s="11"/>
      <c r="E178" s="25"/>
      <c r="F178" s="25"/>
      <c r="G178" s="25"/>
      <c r="H178" s="11"/>
      <c r="I178" s="11"/>
      <c r="J178" s="26" t="str">
        <f t="shared" si="2"/>
        <v/>
      </c>
      <c r="K178" s="11"/>
      <c r="L178" s="11"/>
      <c r="M178" s="11"/>
      <c r="N178" s="11"/>
      <c r="O178" s="26" t="str">
        <f t="shared" si="3"/>
        <v/>
      </c>
      <c r="P178" s="11"/>
    </row>
    <row r="179" spans="1:16" ht="15" customHeight="1" x14ac:dyDescent="0.25">
      <c r="A179" s="25"/>
      <c r="B179" s="25"/>
      <c r="C179" s="26" t="str">
        <f>IFERROR(IF(OR(A179="",B179=""),"",INDEX(Equipements!$H:$H,MATCH(A179,Equipements!$A:$A,0))&amp;"."&amp;B179),"")</f>
        <v/>
      </c>
      <c r="D179" s="11"/>
      <c r="E179" s="25"/>
      <c r="F179" s="25"/>
      <c r="G179" s="25"/>
      <c r="H179" s="11"/>
      <c r="I179" s="11"/>
      <c r="J179" s="26" t="str">
        <f t="shared" si="2"/>
        <v/>
      </c>
      <c r="K179" s="11"/>
      <c r="L179" s="11"/>
      <c r="M179" s="11"/>
      <c r="N179" s="11"/>
      <c r="O179" s="26" t="str">
        <f t="shared" si="3"/>
        <v/>
      </c>
      <c r="P179" s="11"/>
    </row>
    <row r="180" spans="1:16" ht="15" customHeight="1" x14ac:dyDescent="0.25">
      <c r="A180" s="25"/>
      <c r="B180" s="25"/>
      <c r="C180" s="26" t="str">
        <f>IFERROR(IF(OR(A180="",B180=""),"",INDEX(Equipements!$H:$H,MATCH(A180,Equipements!$A:$A,0))&amp;"."&amp;B180),"")</f>
        <v/>
      </c>
      <c r="D180" s="11"/>
      <c r="E180" s="25"/>
      <c r="F180" s="25"/>
      <c r="G180" s="25"/>
      <c r="H180" s="11"/>
      <c r="I180" s="11"/>
      <c r="J180" s="26" t="str">
        <f t="shared" si="2"/>
        <v/>
      </c>
      <c r="K180" s="11"/>
      <c r="L180" s="11"/>
      <c r="M180" s="11"/>
      <c r="N180" s="11"/>
      <c r="O180" s="26" t="str">
        <f t="shared" si="3"/>
        <v/>
      </c>
      <c r="P180" s="11"/>
    </row>
    <row r="181" spans="1:16" ht="15" customHeight="1" x14ac:dyDescent="0.25">
      <c r="A181" s="25"/>
      <c r="B181" s="25"/>
      <c r="C181" s="26" t="str">
        <f>IFERROR(IF(OR(A181="",B181=""),"",INDEX(Equipements!$H:$H,MATCH(A181,Equipements!$A:$A,0))&amp;"."&amp;B181),"")</f>
        <v/>
      </c>
      <c r="D181" s="11"/>
      <c r="E181" s="25"/>
      <c r="F181" s="25"/>
      <c r="G181" s="25"/>
      <c r="H181" s="11"/>
      <c r="I181" s="11"/>
      <c r="J181" s="26" t="str">
        <f t="shared" si="2"/>
        <v/>
      </c>
      <c r="K181" s="11"/>
      <c r="L181" s="11"/>
      <c r="M181" s="11"/>
      <c r="N181" s="11"/>
      <c r="O181" s="26" t="str">
        <f t="shared" si="3"/>
        <v/>
      </c>
      <c r="P181" s="11"/>
    </row>
    <row r="182" spans="1:16" ht="15" customHeight="1" x14ac:dyDescent="0.25">
      <c r="A182" s="25"/>
      <c r="B182" s="25"/>
      <c r="C182" s="26" t="str">
        <f>IFERROR(IF(OR(A182="",B182=""),"",INDEX(Equipements!$H:$H,MATCH(A182,Equipements!$A:$A,0))&amp;"."&amp;B182),"")</f>
        <v/>
      </c>
      <c r="D182" s="11"/>
      <c r="E182" s="25"/>
      <c r="F182" s="25"/>
      <c r="G182" s="25"/>
      <c r="H182" s="11"/>
      <c r="I182" s="11"/>
      <c r="J182" s="26" t="str">
        <f t="shared" si="2"/>
        <v/>
      </c>
      <c r="K182" s="11"/>
      <c r="L182" s="11"/>
      <c r="M182" s="11"/>
      <c r="N182" s="11"/>
      <c r="O182" s="26" t="str">
        <f t="shared" si="3"/>
        <v/>
      </c>
      <c r="P182" s="11"/>
    </row>
    <row r="183" spans="1:16" ht="15" customHeight="1" x14ac:dyDescent="0.25">
      <c r="A183" s="25"/>
      <c r="B183" s="25"/>
      <c r="C183" s="26" t="str">
        <f>IFERROR(IF(OR(A183="",B183=""),"",INDEX(Equipements!$H:$H,MATCH(A183,Equipements!$A:$A,0))&amp;"."&amp;B183),"")</f>
        <v/>
      </c>
      <c r="D183" s="11"/>
      <c r="E183" s="25"/>
      <c r="F183" s="25"/>
      <c r="G183" s="25"/>
      <c r="H183" s="11"/>
      <c r="I183" s="11"/>
      <c r="J183" s="26" t="str">
        <f t="shared" si="2"/>
        <v/>
      </c>
      <c r="K183" s="11"/>
      <c r="L183" s="11"/>
      <c r="M183" s="11"/>
      <c r="N183" s="11"/>
      <c r="O183" s="26" t="str">
        <f t="shared" si="3"/>
        <v/>
      </c>
      <c r="P183" s="11"/>
    </row>
    <row r="184" spans="1:16" ht="15" customHeight="1" x14ac:dyDescent="0.25">
      <c r="A184" s="25"/>
      <c r="B184" s="25"/>
      <c r="C184" s="26" t="str">
        <f>IFERROR(IF(OR(A184="",B184=""),"",INDEX(Equipements!$H:$H,MATCH(A184,Equipements!$A:$A,0))&amp;"."&amp;B184),"")</f>
        <v/>
      </c>
      <c r="D184" s="11"/>
      <c r="E184" s="25"/>
      <c r="F184" s="25"/>
      <c r="G184" s="25"/>
      <c r="H184" s="11"/>
      <c r="I184" s="11"/>
      <c r="J184" s="26" t="str">
        <f t="shared" si="2"/>
        <v/>
      </c>
      <c r="K184" s="11"/>
      <c r="L184" s="11"/>
      <c r="M184" s="11"/>
      <c r="N184" s="11"/>
      <c r="O184" s="26" t="str">
        <f t="shared" si="3"/>
        <v/>
      </c>
      <c r="P184" s="11"/>
    </row>
    <row r="185" spans="1:16" ht="15" customHeight="1" x14ac:dyDescent="0.25">
      <c r="A185" s="25"/>
      <c r="B185" s="25"/>
      <c r="C185" s="26" t="str">
        <f>IFERROR(IF(OR(A185="",B185=""),"",INDEX(Equipements!$H:$H,MATCH(A185,Equipements!$A:$A,0))&amp;"."&amp;B185),"")</f>
        <v/>
      </c>
      <c r="D185" s="11"/>
      <c r="E185" s="25"/>
      <c r="F185" s="25"/>
      <c r="G185" s="25"/>
      <c r="H185" s="11"/>
      <c r="I185" s="11"/>
      <c r="J185" s="26" t="str">
        <f t="shared" si="2"/>
        <v/>
      </c>
      <c r="K185" s="11"/>
      <c r="L185" s="11"/>
      <c r="M185" s="11"/>
      <c r="N185" s="11"/>
      <c r="O185" s="26" t="str">
        <f t="shared" si="3"/>
        <v/>
      </c>
      <c r="P185" s="11"/>
    </row>
    <row r="186" spans="1:16" ht="15" customHeight="1" x14ac:dyDescent="0.25">
      <c r="A186" s="25"/>
      <c r="B186" s="25"/>
      <c r="C186" s="26" t="str">
        <f>IFERROR(IF(OR(A186="",B186=""),"",INDEX(Equipements!$H:$H,MATCH(A186,Equipements!$A:$A,0))&amp;"."&amp;B186),"")</f>
        <v/>
      </c>
      <c r="D186" s="11"/>
      <c r="E186" s="25"/>
      <c r="F186" s="25"/>
      <c r="G186" s="25"/>
      <c r="H186" s="11"/>
      <c r="I186" s="11"/>
      <c r="J186" s="26" t="str">
        <f t="shared" si="2"/>
        <v/>
      </c>
      <c r="K186" s="11"/>
      <c r="L186" s="11"/>
      <c r="M186" s="11"/>
      <c r="N186" s="11"/>
      <c r="O186" s="26" t="str">
        <f t="shared" si="3"/>
        <v/>
      </c>
      <c r="P186" s="11"/>
    </row>
    <row r="187" spans="1:16" ht="15" customHeight="1" x14ac:dyDescent="0.25">
      <c r="A187" s="25"/>
      <c r="B187" s="25"/>
      <c r="C187" s="26" t="str">
        <f>IFERROR(IF(OR(A187="",B187=""),"",INDEX(Equipements!$H:$H,MATCH(A187,Equipements!$A:$A,0))&amp;"."&amp;B187),"")</f>
        <v/>
      </c>
      <c r="D187" s="11"/>
      <c r="E187" s="25"/>
      <c r="F187" s="25"/>
      <c r="G187" s="25"/>
      <c r="H187" s="11"/>
      <c r="I187" s="11"/>
      <c r="J187" s="26" t="str">
        <f t="shared" si="2"/>
        <v/>
      </c>
      <c r="K187" s="11"/>
      <c r="L187" s="11"/>
      <c r="M187" s="11"/>
      <c r="N187" s="11"/>
      <c r="O187" s="26" t="str">
        <f t="shared" si="3"/>
        <v/>
      </c>
      <c r="P187" s="11"/>
    </row>
    <row r="188" spans="1:16" ht="15" customHeight="1" x14ac:dyDescent="0.25">
      <c r="A188" s="25"/>
      <c r="B188" s="25"/>
      <c r="C188" s="26" t="str">
        <f>IFERROR(IF(OR(A188="",B188=""),"",INDEX(Equipements!$H:$H,MATCH(A188,Equipements!$A:$A,0))&amp;"."&amp;B188),"")</f>
        <v/>
      </c>
      <c r="D188" s="11"/>
      <c r="E188" s="25"/>
      <c r="F188" s="25"/>
      <c r="G188" s="25"/>
      <c r="H188" s="11"/>
      <c r="I188" s="11"/>
      <c r="J188" s="26" t="str">
        <f t="shared" si="2"/>
        <v/>
      </c>
      <c r="K188" s="11"/>
      <c r="L188" s="11"/>
      <c r="M188" s="11"/>
      <c r="N188" s="11"/>
      <c r="O188" s="26" t="str">
        <f t="shared" si="3"/>
        <v/>
      </c>
      <c r="P188" s="11"/>
    </row>
    <row r="189" spans="1:16" ht="15" customHeight="1" x14ac:dyDescent="0.25">
      <c r="A189" s="25"/>
      <c r="B189" s="25"/>
      <c r="C189" s="26" t="str">
        <f>IFERROR(IF(OR(A189="",B189=""),"",INDEX(Equipements!$H:$H,MATCH(A189,Equipements!$A:$A,0))&amp;"."&amp;B189),"")</f>
        <v/>
      </c>
      <c r="D189" s="11"/>
      <c r="E189" s="25"/>
      <c r="F189" s="25"/>
      <c r="G189" s="25"/>
      <c r="H189" s="11"/>
      <c r="I189" s="11"/>
      <c r="J189" s="26" t="str">
        <f t="shared" si="2"/>
        <v/>
      </c>
      <c r="K189" s="11"/>
      <c r="L189" s="11"/>
      <c r="M189" s="11"/>
      <c r="N189" s="11"/>
      <c r="O189" s="26" t="str">
        <f t="shared" si="3"/>
        <v/>
      </c>
      <c r="P189" s="11"/>
    </row>
    <row r="190" spans="1:16" ht="15" customHeight="1" x14ac:dyDescent="0.25">
      <c r="A190" s="25"/>
      <c r="B190" s="25"/>
      <c r="C190" s="26" t="str">
        <f>IFERROR(IF(OR(A190="",B190=""),"",INDEX(Equipements!$H:$H,MATCH(A190,Equipements!$A:$A,0))&amp;"."&amp;B190),"")</f>
        <v/>
      </c>
      <c r="D190" s="11"/>
      <c r="E190" s="25"/>
      <c r="F190" s="25"/>
      <c r="G190" s="25"/>
      <c r="H190" s="11"/>
      <c r="I190" s="11"/>
      <c r="J190" s="26" t="str">
        <f t="shared" si="2"/>
        <v/>
      </c>
      <c r="K190" s="11"/>
      <c r="L190" s="11"/>
      <c r="M190" s="11"/>
      <c r="N190" s="11"/>
      <c r="O190" s="26" t="str">
        <f t="shared" si="3"/>
        <v/>
      </c>
      <c r="P190" s="11"/>
    </row>
    <row r="191" spans="1:16" ht="15" customHeight="1" x14ac:dyDescent="0.25">
      <c r="A191" s="25"/>
      <c r="B191" s="25"/>
      <c r="C191" s="26" t="str">
        <f>IFERROR(IF(OR(A191="",B191=""),"",INDEX(Equipements!$H:$H,MATCH(A191,Equipements!$A:$A,0))&amp;"."&amp;B191),"")</f>
        <v/>
      </c>
      <c r="D191" s="11"/>
      <c r="E191" s="25"/>
      <c r="F191" s="25"/>
      <c r="G191" s="25"/>
      <c r="H191" s="11"/>
      <c r="I191" s="11"/>
      <c r="J191" s="26" t="str">
        <f t="shared" si="2"/>
        <v/>
      </c>
      <c r="K191" s="11"/>
      <c r="L191" s="11"/>
      <c r="M191" s="11"/>
      <c r="N191" s="11"/>
      <c r="O191" s="26" t="str">
        <f t="shared" si="3"/>
        <v/>
      </c>
      <c r="P191" s="11"/>
    </row>
    <row r="192" spans="1:16" ht="15" customHeight="1" x14ac:dyDescent="0.25">
      <c r="A192" s="25"/>
      <c r="B192" s="25"/>
      <c r="C192" s="26" t="str">
        <f>IFERROR(IF(OR(A192="",B192=""),"",INDEX(Equipements!$H:$H,MATCH(A192,Equipements!$A:$A,0))&amp;"."&amp;B192),"")</f>
        <v/>
      </c>
      <c r="D192" s="11"/>
      <c r="E192" s="25"/>
      <c r="F192" s="25"/>
      <c r="G192" s="25"/>
      <c r="H192" s="11"/>
      <c r="I192" s="11"/>
      <c r="J192" s="26" t="str">
        <f t="shared" si="2"/>
        <v/>
      </c>
      <c r="K192" s="11"/>
      <c r="L192" s="11"/>
      <c r="M192" s="11"/>
      <c r="N192" s="11"/>
      <c r="O192" s="26" t="str">
        <f t="shared" si="3"/>
        <v/>
      </c>
      <c r="P192" s="11"/>
    </row>
    <row r="193" spans="1:16" ht="15" customHeight="1" x14ac:dyDescent="0.25">
      <c r="A193" s="25"/>
      <c r="B193" s="25"/>
      <c r="C193" s="26" t="str">
        <f>IFERROR(IF(OR(A193="",B193=""),"",INDEX(Equipements!$H:$H,MATCH(A193,Equipements!$A:$A,0))&amp;"."&amp;B193),"")</f>
        <v/>
      </c>
      <c r="D193" s="11"/>
      <c r="E193" s="25"/>
      <c r="F193" s="25"/>
      <c r="G193" s="25"/>
      <c r="H193" s="11"/>
      <c r="I193" s="11"/>
      <c r="J193" s="26" t="str">
        <f t="shared" si="2"/>
        <v/>
      </c>
      <c r="K193" s="11"/>
      <c r="L193" s="11"/>
      <c r="M193" s="11"/>
      <c r="N193" s="11"/>
      <c r="O193" s="26" t="str">
        <f t="shared" si="3"/>
        <v/>
      </c>
      <c r="P193" s="11"/>
    </row>
    <row r="194" spans="1:16" ht="15" customHeight="1" x14ac:dyDescent="0.25">
      <c r="A194" s="25"/>
      <c r="B194" s="25"/>
      <c r="C194" s="26" t="str">
        <f>IFERROR(IF(OR(A194="",B194=""),"",INDEX(Equipements!$H:$H,MATCH(A194,Equipements!$A:$A,0))&amp;"."&amp;B194),"")</f>
        <v/>
      </c>
      <c r="D194" s="11"/>
      <c r="E194" s="25"/>
      <c r="F194" s="25"/>
      <c r="G194" s="25"/>
      <c r="H194" s="11"/>
      <c r="I194" s="11"/>
      <c r="J194" s="26" t="str">
        <f t="shared" si="2"/>
        <v/>
      </c>
      <c r="K194" s="11"/>
      <c r="L194" s="11"/>
      <c r="M194" s="11"/>
      <c r="N194" s="11"/>
      <c r="O194" s="26" t="str">
        <f t="shared" si="3"/>
        <v/>
      </c>
      <c r="P194" s="11"/>
    </row>
    <row r="195" spans="1:16" ht="15" customHeight="1" x14ac:dyDescent="0.25">
      <c r="A195" s="25"/>
      <c r="B195" s="25"/>
      <c r="C195" s="26" t="str">
        <f>IFERROR(IF(OR(A195="",B195=""),"",INDEX(Equipements!$H:$H,MATCH(A195,Equipements!$A:$A,0))&amp;"."&amp;B195),"")</f>
        <v/>
      </c>
      <c r="D195" s="11"/>
      <c r="E195" s="25"/>
      <c r="F195" s="25"/>
      <c r="G195" s="25"/>
      <c r="H195" s="11"/>
      <c r="I195" s="11"/>
      <c r="J195" s="26" t="str">
        <f t="shared" si="2"/>
        <v/>
      </c>
      <c r="K195" s="11"/>
      <c r="L195" s="11"/>
      <c r="M195" s="11"/>
      <c r="N195" s="11"/>
      <c r="O195" s="26" t="str">
        <f t="shared" si="3"/>
        <v/>
      </c>
      <c r="P195" s="11"/>
    </row>
    <row r="196" spans="1:16" ht="15" customHeight="1" x14ac:dyDescent="0.25">
      <c r="A196" s="25"/>
      <c r="B196" s="25"/>
      <c r="C196" s="26" t="str">
        <f>IFERROR(IF(OR(A196="",B196=""),"",INDEX(Equipements!$H:$H,MATCH(A196,Equipements!$A:$A,0))&amp;"."&amp;B196),"")</f>
        <v/>
      </c>
      <c r="D196" s="11"/>
      <c r="E196" s="25"/>
      <c r="F196" s="25"/>
      <c r="G196" s="25"/>
      <c r="H196" s="11"/>
      <c r="I196" s="11"/>
      <c r="J196" s="26" t="str">
        <f t="shared" si="2"/>
        <v/>
      </c>
      <c r="K196" s="11"/>
      <c r="L196" s="11"/>
      <c r="M196" s="11"/>
      <c r="N196" s="11"/>
      <c r="O196" s="26" t="str">
        <f t="shared" si="3"/>
        <v/>
      </c>
      <c r="P196" s="11"/>
    </row>
    <row r="197" spans="1:16" ht="15" customHeight="1" x14ac:dyDescent="0.25">
      <c r="A197" s="25"/>
      <c r="B197" s="25"/>
      <c r="C197" s="26" t="str">
        <f>IFERROR(IF(OR(A197="",B197=""),"",INDEX(Equipements!$H:$H,MATCH(A197,Equipements!$A:$A,0))&amp;"."&amp;B197),"")</f>
        <v/>
      </c>
      <c r="D197" s="11"/>
      <c r="E197" s="25"/>
      <c r="F197" s="25"/>
      <c r="G197" s="25"/>
      <c r="H197" s="11"/>
      <c r="I197" s="11"/>
      <c r="J197" s="26" t="str">
        <f t="shared" si="2"/>
        <v/>
      </c>
      <c r="K197" s="11"/>
      <c r="L197" s="11"/>
      <c r="M197" s="11"/>
      <c r="N197" s="11"/>
      <c r="O197" s="26" t="str">
        <f t="shared" si="3"/>
        <v/>
      </c>
      <c r="P197" s="11"/>
    </row>
    <row r="198" spans="1:16" ht="15" customHeight="1" x14ac:dyDescent="0.25">
      <c r="A198" s="25"/>
      <c r="B198" s="25"/>
      <c r="C198" s="26" t="str">
        <f>IFERROR(IF(OR(A198="",B198=""),"",INDEX(Equipements!$H:$H,MATCH(A198,Equipements!$A:$A,0))&amp;"."&amp;B198),"")</f>
        <v/>
      </c>
      <c r="D198" s="11"/>
      <c r="E198" s="25"/>
      <c r="F198" s="25"/>
      <c r="G198" s="25"/>
      <c r="H198" s="11"/>
      <c r="I198" s="11"/>
      <c r="J198" s="26" t="str">
        <f t="shared" si="2"/>
        <v/>
      </c>
      <c r="K198" s="11"/>
      <c r="L198" s="11"/>
      <c r="M198" s="11"/>
      <c r="N198" s="11"/>
      <c r="O198" s="26" t="str">
        <f t="shared" si="3"/>
        <v/>
      </c>
      <c r="P198" s="11"/>
    </row>
    <row r="199" spans="1:16" ht="15" customHeight="1" x14ac:dyDescent="0.25">
      <c r="A199" s="25"/>
      <c r="B199" s="25"/>
      <c r="C199" s="26" t="str">
        <f>IFERROR(IF(OR(A199="",B199=""),"",INDEX(Equipements!$H:$H,MATCH(A199,Equipements!$A:$A,0))&amp;"."&amp;B199),"")</f>
        <v/>
      </c>
      <c r="D199" s="11"/>
      <c r="E199" s="25"/>
      <c r="F199" s="25"/>
      <c r="G199" s="25"/>
      <c r="H199" s="11"/>
      <c r="I199" s="11"/>
      <c r="J199" s="26" t="str">
        <f t="shared" si="2"/>
        <v/>
      </c>
      <c r="K199" s="11"/>
      <c r="L199" s="11"/>
      <c r="M199" s="11"/>
      <c r="N199" s="11"/>
      <c r="O199" s="26" t="str">
        <f t="shared" si="3"/>
        <v/>
      </c>
      <c r="P199" s="11"/>
    </row>
    <row r="200" spans="1:16" ht="15" customHeight="1" x14ac:dyDescent="0.25">
      <c r="A200" s="25"/>
      <c r="B200" s="25"/>
      <c r="C200" s="26" t="str">
        <f>IFERROR(IF(OR(A200="",B200=""),"",INDEX(Equipements!$H:$H,MATCH(A200,Equipements!$A:$A,0))&amp;"."&amp;B200),"")</f>
        <v/>
      </c>
      <c r="D200" s="11"/>
      <c r="E200" s="25"/>
      <c r="F200" s="25"/>
      <c r="G200" s="25"/>
      <c r="H200" s="11"/>
      <c r="I200" s="11"/>
      <c r="J200" s="26" t="str">
        <f t="shared" si="2"/>
        <v/>
      </c>
      <c r="K200" s="11"/>
      <c r="L200" s="11"/>
      <c r="M200" s="11"/>
      <c r="N200" s="11"/>
      <c r="O200" s="26" t="str">
        <f t="shared" si="3"/>
        <v/>
      </c>
      <c r="P200" s="11"/>
    </row>
    <row r="201" spans="1:16" ht="15" customHeight="1" x14ac:dyDescent="0.25">
      <c r="A201" s="25"/>
      <c r="B201" s="25"/>
      <c r="C201" s="26" t="str">
        <f>IFERROR(IF(OR(A201="",B201=""),"",INDEX(Equipements!$H:$H,MATCH(A201,Equipements!$A:$A,0))&amp;"."&amp;B201),"")</f>
        <v/>
      </c>
      <c r="D201" s="11"/>
      <c r="E201" s="25"/>
      <c r="F201" s="25"/>
      <c r="G201" s="25"/>
      <c r="H201" s="11"/>
      <c r="I201" s="11"/>
      <c r="J201" s="26" t="str">
        <f t="shared" ref="J201:J264" si="4">IF(OR(G201="",H201=""),"","%"&amp;G201&amp;H201)</f>
        <v/>
      </c>
      <c r="K201" s="11"/>
      <c r="L201" s="11"/>
      <c r="M201" s="11"/>
      <c r="N201" s="11"/>
      <c r="O201" s="26" t="str">
        <f t="shared" ref="O201:O264" si="5">IF(H201="","",IF(I201="","mot entier","bit "&amp;I201))</f>
        <v/>
      </c>
      <c r="P201" s="11"/>
    </row>
    <row r="202" spans="1:16" ht="15" customHeight="1" x14ac:dyDescent="0.25">
      <c r="A202" s="25"/>
      <c r="B202" s="25"/>
      <c r="C202" s="26" t="str">
        <f>IFERROR(IF(OR(A202="",B202=""),"",INDEX(Equipements!$H:$H,MATCH(A202,Equipements!$A:$A,0))&amp;"."&amp;B202),"")</f>
        <v/>
      </c>
      <c r="D202" s="11"/>
      <c r="E202" s="25"/>
      <c r="F202" s="25"/>
      <c r="G202" s="25"/>
      <c r="H202" s="11"/>
      <c r="I202" s="11"/>
      <c r="J202" s="26" t="str">
        <f t="shared" si="4"/>
        <v/>
      </c>
      <c r="K202" s="11"/>
      <c r="L202" s="11"/>
      <c r="M202" s="11"/>
      <c r="N202" s="11"/>
      <c r="O202" s="26" t="str">
        <f t="shared" si="5"/>
        <v/>
      </c>
      <c r="P202" s="11"/>
    </row>
    <row r="203" spans="1:16" ht="15" customHeight="1" x14ac:dyDescent="0.25">
      <c r="A203" s="25"/>
      <c r="B203" s="25"/>
      <c r="C203" s="26" t="str">
        <f>IFERROR(IF(OR(A203="",B203=""),"",INDEX(Equipements!$H:$H,MATCH(A203,Equipements!$A:$A,0))&amp;"."&amp;B203),"")</f>
        <v/>
      </c>
      <c r="D203" s="11"/>
      <c r="E203" s="25"/>
      <c r="F203" s="25"/>
      <c r="G203" s="25"/>
      <c r="H203" s="11"/>
      <c r="I203" s="11"/>
      <c r="J203" s="26" t="str">
        <f t="shared" si="4"/>
        <v/>
      </c>
      <c r="K203" s="11"/>
      <c r="L203" s="11"/>
      <c r="M203" s="11"/>
      <c r="N203" s="11"/>
      <c r="O203" s="26" t="str">
        <f t="shared" si="5"/>
        <v/>
      </c>
      <c r="P203" s="11"/>
    </row>
    <row r="204" spans="1:16" ht="15" customHeight="1" x14ac:dyDescent="0.25">
      <c r="A204" s="25"/>
      <c r="B204" s="25"/>
      <c r="C204" s="26" t="str">
        <f>IFERROR(IF(OR(A204="",B204=""),"",INDEX(Equipements!$H:$H,MATCH(A204,Equipements!$A:$A,0))&amp;"."&amp;B204),"")</f>
        <v/>
      </c>
      <c r="D204" s="11"/>
      <c r="E204" s="25"/>
      <c r="F204" s="25"/>
      <c r="G204" s="25"/>
      <c r="H204" s="11"/>
      <c r="I204" s="11"/>
      <c r="J204" s="26" t="str">
        <f t="shared" si="4"/>
        <v/>
      </c>
      <c r="K204" s="11"/>
      <c r="L204" s="11"/>
      <c r="M204" s="11"/>
      <c r="N204" s="11"/>
      <c r="O204" s="26" t="str">
        <f t="shared" si="5"/>
        <v/>
      </c>
      <c r="P204" s="11"/>
    </row>
    <row r="205" spans="1:16" ht="15" customHeight="1" x14ac:dyDescent="0.25">
      <c r="A205" s="25"/>
      <c r="B205" s="25"/>
      <c r="C205" s="26" t="str">
        <f>IFERROR(IF(OR(A205="",B205=""),"",INDEX(Equipements!$H:$H,MATCH(A205,Equipements!$A:$A,0))&amp;"."&amp;B205),"")</f>
        <v/>
      </c>
      <c r="D205" s="11"/>
      <c r="E205" s="25"/>
      <c r="F205" s="25"/>
      <c r="G205" s="25"/>
      <c r="H205" s="11"/>
      <c r="I205" s="11"/>
      <c r="J205" s="26" t="str">
        <f t="shared" si="4"/>
        <v/>
      </c>
      <c r="K205" s="11"/>
      <c r="L205" s="11"/>
      <c r="M205" s="11"/>
      <c r="N205" s="11"/>
      <c r="O205" s="26" t="str">
        <f t="shared" si="5"/>
        <v/>
      </c>
      <c r="P205" s="11"/>
    </row>
    <row r="206" spans="1:16" ht="15" customHeight="1" x14ac:dyDescent="0.25">
      <c r="A206" s="25"/>
      <c r="B206" s="25"/>
      <c r="C206" s="26" t="str">
        <f>IFERROR(IF(OR(A206="",B206=""),"",INDEX(Equipements!$H:$H,MATCH(A206,Equipements!$A:$A,0))&amp;"."&amp;B206),"")</f>
        <v/>
      </c>
      <c r="D206" s="11"/>
      <c r="E206" s="25"/>
      <c r="F206" s="25"/>
      <c r="G206" s="25"/>
      <c r="H206" s="11"/>
      <c r="I206" s="11"/>
      <c r="J206" s="26" t="str">
        <f t="shared" si="4"/>
        <v/>
      </c>
      <c r="K206" s="11"/>
      <c r="L206" s="11"/>
      <c r="M206" s="11"/>
      <c r="N206" s="11"/>
      <c r="O206" s="26" t="str">
        <f t="shared" si="5"/>
        <v/>
      </c>
      <c r="P206" s="11"/>
    </row>
    <row r="207" spans="1:16" ht="15" customHeight="1" x14ac:dyDescent="0.25">
      <c r="A207" s="25"/>
      <c r="B207" s="25"/>
      <c r="C207" s="26" t="str">
        <f>IFERROR(IF(OR(A207="",B207=""),"",INDEX(Equipements!$H:$H,MATCH(A207,Equipements!$A:$A,0))&amp;"."&amp;B207),"")</f>
        <v/>
      </c>
      <c r="D207" s="11"/>
      <c r="E207" s="25"/>
      <c r="F207" s="25"/>
      <c r="G207" s="25"/>
      <c r="H207" s="11"/>
      <c r="I207" s="11"/>
      <c r="J207" s="26" t="str">
        <f t="shared" si="4"/>
        <v/>
      </c>
      <c r="K207" s="11"/>
      <c r="L207" s="11"/>
      <c r="M207" s="11"/>
      <c r="N207" s="11"/>
      <c r="O207" s="26" t="str">
        <f t="shared" si="5"/>
        <v/>
      </c>
      <c r="P207" s="11"/>
    </row>
    <row r="208" spans="1:16" ht="15" customHeight="1" x14ac:dyDescent="0.25">
      <c r="A208" s="25"/>
      <c r="B208" s="25"/>
      <c r="C208" s="26" t="str">
        <f>IFERROR(IF(OR(A208="",B208=""),"",INDEX(Equipements!$H:$H,MATCH(A208,Equipements!$A:$A,0))&amp;"."&amp;B208),"")</f>
        <v/>
      </c>
      <c r="D208" s="11"/>
      <c r="E208" s="25"/>
      <c r="F208" s="25"/>
      <c r="G208" s="25"/>
      <c r="H208" s="11"/>
      <c r="I208" s="11"/>
      <c r="J208" s="26" t="str">
        <f t="shared" si="4"/>
        <v/>
      </c>
      <c r="K208" s="11"/>
      <c r="L208" s="11"/>
      <c r="M208" s="11"/>
      <c r="N208" s="11"/>
      <c r="O208" s="26" t="str">
        <f t="shared" si="5"/>
        <v/>
      </c>
      <c r="P208" s="11"/>
    </row>
    <row r="209" spans="1:16" ht="15" customHeight="1" x14ac:dyDescent="0.25">
      <c r="A209" s="25"/>
      <c r="B209" s="25"/>
      <c r="C209" s="26" t="str">
        <f>IFERROR(IF(OR(A209="",B209=""),"",INDEX(Equipements!$H:$H,MATCH(A209,Equipements!$A:$A,0))&amp;"."&amp;B209),"")</f>
        <v/>
      </c>
      <c r="D209" s="11"/>
      <c r="E209" s="25"/>
      <c r="F209" s="25"/>
      <c r="G209" s="25"/>
      <c r="H209" s="11"/>
      <c r="I209" s="11"/>
      <c r="J209" s="26" t="str">
        <f t="shared" si="4"/>
        <v/>
      </c>
      <c r="K209" s="11"/>
      <c r="L209" s="11"/>
      <c r="M209" s="11"/>
      <c r="N209" s="11"/>
      <c r="O209" s="26" t="str">
        <f t="shared" si="5"/>
        <v/>
      </c>
      <c r="P209" s="11"/>
    </row>
    <row r="210" spans="1:16" ht="15" customHeight="1" x14ac:dyDescent="0.25">
      <c r="A210" s="25"/>
      <c r="B210" s="25"/>
      <c r="C210" s="26" t="str">
        <f>IFERROR(IF(OR(A210="",B210=""),"",INDEX(Equipements!$H:$H,MATCH(A210,Equipements!$A:$A,0))&amp;"."&amp;B210),"")</f>
        <v/>
      </c>
      <c r="D210" s="11"/>
      <c r="E210" s="25"/>
      <c r="F210" s="25"/>
      <c r="G210" s="25"/>
      <c r="H210" s="11"/>
      <c r="I210" s="11"/>
      <c r="J210" s="26" t="str">
        <f t="shared" si="4"/>
        <v/>
      </c>
      <c r="K210" s="11"/>
      <c r="L210" s="11"/>
      <c r="M210" s="11"/>
      <c r="N210" s="11"/>
      <c r="O210" s="26" t="str">
        <f t="shared" si="5"/>
        <v/>
      </c>
      <c r="P210" s="11"/>
    </row>
    <row r="211" spans="1:16" ht="15" customHeight="1" x14ac:dyDescent="0.25">
      <c r="A211" s="25"/>
      <c r="B211" s="25"/>
      <c r="C211" s="26" t="str">
        <f>IFERROR(IF(OR(A211="",B211=""),"",INDEX(Equipements!$H:$H,MATCH(A211,Equipements!$A:$A,0))&amp;"."&amp;B211),"")</f>
        <v/>
      </c>
      <c r="D211" s="11"/>
      <c r="E211" s="25"/>
      <c r="F211" s="25"/>
      <c r="G211" s="25"/>
      <c r="H211" s="11"/>
      <c r="I211" s="11"/>
      <c r="J211" s="26" t="str">
        <f t="shared" si="4"/>
        <v/>
      </c>
      <c r="K211" s="11"/>
      <c r="L211" s="11"/>
      <c r="M211" s="11"/>
      <c r="N211" s="11"/>
      <c r="O211" s="26" t="str">
        <f t="shared" si="5"/>
        <v/>
      </c>
      <c r="P211" s="11"/>
    </row>
    <row r="212" spans="1:16" ht="15" customHeight="1" x14ac:dyDescent="0.25">
      <c r="A212" s="25"/>
      <c r="B212" s="25"/>
      <c r="C212" s="26" t="str">
        <f>IFERROR(IF(OR(A212="",B212=""),"",INDEX(Equipements!$H:$H,MATCH(A212,Equipements!$A:$A,0))&amp;"."&amp;B212),"")</f>
        <v/>
      </c>
      <c r="D212" s="11"/>
      <c r="E212" s="25"/>
      <c r="F212" s="25"/>
      <c r="G212" s="25"/>
      <c r="H212" s="11"/>
      <c r="I212" s="11"/>
      <c r="J212" s="26" t="str">
        <f t="shared" si="4"/>
        <v/>
      </c>
      <c r="K212" s="11"/>
      <c r="L212" s="11"/>
      <c r="M212" s="11"/>
      <c r="N212" s="11"/>
      <c r="O212" s="26" t="str">
        <f t="shared" si="5"/>
        <v/>
      </c>
      <c r="P212" s="11"/>
    </row>
    <row r="213" spans="1:16" ht="15" customHeight="1" x14ac:dyDescent="0.25">
      <c r="A213" s="25"/>
      <c r="B213" s="25"/>
      <c r="C213" s="26" t="str">
        <f>IFERROR(IF(OR(A213="",B213=""),"",INDEX(Equipements!$H:$H,MATCH(A213,Equipements!$A:$A,0))&amp;"."&amp;B213),"")</f>
        <v/>
      </c>
      <c r="D213" s="11"/>
      <c r="E213" s="25"/>
      <c r="F213" s="25"/>
      <c r="G213" s="25"/>
      <c r="H213" s="11"/>
      <c r="I213" s="11"/>
      <c r="J213" s="26" t="str">
        <f t="shared" si="4"/>
        <v/>
      </c>
      <c r="K213" s="11"/>
      <c r="L213" s="11"/>
      <c r="M213" s="11"/>
      <c r="N213" s="11"/>
      <c r="O213" s="26" t="str">
        <f t="shared" si="5"/>
        <v/>
      </c>
      <c r="P213" s="11"/>
    </row>
    <row r="214" spans="1:16" ht="15" customHeight="1" x14ac:dyDescent="0.25">
      <c r="A214" s="25"/>
      <c r="B214" s="25"/>
      <c r="C214" s="26" t="str">
        <f>IFERROR(IF(OR(A214="",B214=""),"",INDEX(Equipements!$H:$H,MATCH(A214,Equipements!$A:$A,0))&amp;"."&amp;B214),"")</f>
        <v/>
      </c>
      <c r="D214" s="11"/>
      <c r="E214" s="25"/>
      <c r="F214" s="25"/>
      <c r="G214" s="25"/>
      <c r="H214" s="11"/>
      <c r="I214" s="11"/>
      <c r="J214" s="26" t="str">
        <f t="shared" si="4"/>
        <v/>
      </c>
      <c r="K214" s="11"/>
      <c r="L214" s="11"/>
      <c r="M214" s="11"/>
      <c r="N214" s="11"/>
      <c r="O214" s="26" t="str">
        <f t="shared" si="5"/>
        <v/>
      </c>
      <c r="P214" s="11"/>
    </row>
    <row r="215" spans="1:16" ht="15" customHeight="1" x14ac:dyDescent="0.25">
      <c r="A215" s="25"/>
      <c r="B215" s="25"/>
      <c r="C215" s="26" t="str">
        <f>IFERROR(IF(OR(A215="",B215=""),"",INDEX(Equipements!$H:$H,MATCH(A215,Equipements!$A:$A,0))&amp;"."&amp;B215),"")</f>
        <v/>
      </c>
      <c r="D215" s="11"/>
      <c r="E215" s="25"/>
      <c r="F215" s="25"/>
      <c r="G215" s="25"/>
      <c r="H215" s="11"/>
      <c r="I215" s="11"/>
      <c r="J215" s="26" t="str">
        <f t="shared" si="4"/>
        <v/>
      </c>
      <c r="K215" s="11"/>
      <c r="L215" s="11"/>
      <c r="M215" s="11"/>
      <c r="N215" s="11"/>
      <c r="O215" s="26" t="str">
        <f t="shared" si="5"/>
        <v/>
      </c>
      <c r="P215" s="11"/>
    </row>
    <row r="216" spans="1:16" ht="15" customHeight="1" x14ac:dyDescent="0.25">
      <c r="A216" s="25"/>
      <c r="B216" s="25"/>
      <c r="C216" s="26" t="str">
        <f>IFERROR(IF(OR(A216="",B216=""),"",INDEX(Equipements!$H:$H,MATCH(A216,Equipements!$A:$A,0))&amp;"."&amp;B216),"")</f>
        <v/>
      </c>
      <c r="D216" s="11"/>
      <c r="E216" s="25"/>
      <c r="F216" s="25"/>
      <c r="G216" s="25"/>
      <c r="H216" s="11"/>
      <c r="I216" s="11"/>
      <c r="J216" s="26" t="str">
        <f t="shared" si="4"/>
        <v/>
      </c>
      <c r="K216" s="11"/>
      <c r="L216" s="11"/>
      <c r="M216" s="11"/>
      <c r="N216" s="11"/>
      <c r="O216" s="26" t="str">
        <f t="shared" si="5"/>
        <v/>
      </c>
      <c r="P216" s="11"/>
    </row>
    <row r="217" spans="1:16" ht="15" customHeight="1" x14ac:dyDescent="0.25">
      <c r="A217" s="25"/>
      <c r="B217" s="25"/>
      <c r="C217" s="26" t="str">
        <f>IFERROR(IF(OR(A217="",B217=""),"",INDEX(Equipements!$H:$H,MATCH(A217,Equipements!$A:$A,0))&amp;"."&amp;B217),"")</f>
        <v/>
      </c>
      <c r="D217" s="11"/>
      <c r="E217" s="25"/>
      <c r="F217" s="25"/>
      <c r="G217" s="25"/>
      <c r="H217" s="11"/>
      <c r="I217" s="11"/>
      <c r="J217" s="26" t="str">
        <f t="shared" si="4"/>
        <v/>
      </c>
      <c r="K217" s="11"/>
      <c r="L217" s="11"/>
      <c r="M217" s="11"/>
      <c r="N217" s="11"/>
      <c r="O217" s="26" t="str">
        <f t="shared" si="5"/>
        <v/>
      </c>
      <c r="P217" s="11"/>
    </row>
    <row r="218" spans="1:16" ht="15" customHeight="1" x14ac:dyDescent="0.25">
      <c r="A218" s="25"/>
      <c r="B218" s="25"/>
      <c r="C218" s="26" t="str">
        <f>IFERROR(IF(OR(A218="",B218=""),"",INDEX(Equipements!$H:$H,MATCH(A218,Equipements!$A:$A,0))&amp;"."&amp;B218),"")</f>
        <v/>
      </c>
      <c r="D218" s="11"/>
      <c r="E218" s="25"/>
      <c r="F218" s="25"/>
      <c r="G218" s="25"/>
      <c r="H218" s="11"/>
      <c r="I218" s="11"/>
      <c r="J218" s="26" t="str">
        <f t="shared" si="4"/>
        <v/>
      </c>
      <c r="K218" s="11"/>
      <c r="L218" s="11"/>
      <c r="M218" s="11"/>
      <c r="N218" s="11"/>
      <c r="O218" s="26" t="str">
        <f t="shared" si="5"/>
        <v/>
      </c>
      <c r="P218" s="11"/>
    </row>
    <row r="219" spans="1:16" ht="15" customHeight="1" x14ac:dyDescent="0.25">
      <c r="A219" s="25"/>
      <c r="B219" s="25"/>
      <c r="C219" s="26" t="str">
        <f>IFERROR(IF(OR(A219="",B219=""),"",INDEX(Equipements!$H:$H,MATCH(A219,Equipements!$A:$A,0))&amp;"."&amp;B219),"")</f>
        <v/>
      </c>
      <c r="D219" s="11"/>
      <c r="E219" s="25"/>
      <c r="F219" s="25"/>
      <c r="G219" s="25"/>
      <c r="H219" s="11"/>
      <c r="I219" s="11"/>
      <c r="J219" s="26" t="str">
        <f t="shared" si="4"/>
        <v/>
      </c>
      <c r="K219" s="11"/>
      <c r="L219" s="11"/>
      <c r="M219" s="11"/>
      <c r="N219" s="11"/>
      <c r="O219" s="26" t="str">
        <f t="shared" si="5"/>
        <v/>
      </c>
      <c r="P219" s="11"/>
    </row>
    <row r="220" spans="1:16" ht="15" customHeight="1" x14ac:dyDescent="0.25">
      <c r="A220" s="25"/>
      <c r="B220" s="25"/>
      <c r="C220" s="26" t="str">
        <f>IFERROR(IF(OR(A220="",B220=""),"",INDEX(Equipements!$H:$H,MATCH(A220,Equipements!$A:$A,0))&amp;"."&amp;B220),"")</f>
        <v/>
      </c>
      <c r="D220" s="11"/>
      <c r="E220" s="25"/>
      <c r="F220" s="25"/>
      <c r="G220" s="25"/>
      <c r="H220" s="11"/>
      <c r="I220" s="11"/>
      <c r="J220" s="26" t="str">
        <f t="shared" si="4"/>
        <v/>
      </c>
      <c r="K220" s="11"/>
      <c r="L220" s="11"/>
      <c r="M220" s="11"/>
      <c r="N220" s="11"/>
      <c r="O220" s="26" t="str">
        <f t="shared" si="5"/>
        <v/>
      </c>
      <c r="P220" s="11"/>
    </row>
    <row r="221" spans="1:16" ht="15" customHeight="1" x14ac:dyDescent="0.25">
      <c r="A221" s="25"/>
      <c r="B221" s="25"/>
      <c r="C221" s="26" t="str">
        <f>IFERROR(IF(OR(A221="",B221=""),"",INDEX(Equipements!$H:$H,MATCH(A221,Equipements!$A:$A,0))&amp;"."&amp;B221),"")</f>
        <v/>
      </c>
      <c r="D221" s="11"/>
      <c r="E221" s="25"/>
      <c r="F221" s="25"/>
      <c r="G221" s="25"/>
      <c r="H221" s="11"/>
      <c r="I221" s="11"/>
      <c r="J221" s="26" t="str">
        <f t="shared" si="4"/>
        <v/>
      </c>
      <c r="K221" s="11"/>
      <c r="L221" s="11"/>
      <c r="M221" s="11"/>
      <c r="N221" s="11"/>
      <c r="O221" s="26" t="str">
        <f t="shared" si="5"/>
        <v/>
      </c>
      <c r="P221" s="11"/>
    </row>
    <row r="222" spans="1:16" ht="15" customHeight="1" x14ac:dyDescent="0.25">
      <c r="A222" s="25"/>
      <c r="B222" s="25"/>
      <c r="C222" s="26" t="str">
        <f>IFERROR(IF(OR(A222="",B222=""),"",INDEX(Equipements!$H:$H,MATCH(A222,Equipements!$A:$A,0))&amp;"."&amp;B222),"")</f>
        <v/>
      </c>
      <c r="D222" s="11"/>
      <c r="E222" s="25"/>
      <c r="F222" s="25"/>
      <c r="G222" s="25"/>
      <c r="H222" s="11"/>
      <c r="I222" s="11"/>
      <c r="J222" s="26" t="str">
        <f t="shared" si="4"/>
        <v/>
      </c>
      <c r="K222" s="11"/>
      <c r="L222" s="11"/>
      <c r="M222" s="11"/>
      <c r="N222" s="11"/>
      <c r="O222" s="26" t="str">
        <f t="shared" si="5"/>
        <v/>
      </c>
      <c r="P222" s="11"/>
    </row>
    <row r="223" spans="1:16" ht="15" customHeight="1" x14ac:dyDescent="0.25">
      <c r="A223" s="25"/>
      <c r="B223" s="25"/>
      <c r="C223" s="26" t="str">
        <f>IFERROR(IF(OR(A223="",B223=""),"",INDEX(Equipements!$H:$H,MATCH(A223,Equipements!$A:$A,0))&amp;"."&amp;B223),"")</f>
        <v/>
      </c>
      <c r="D223" s="11"/>
      <c r="E223" s="25"/>
      <c r="F223" s="25"/>
      <c r="G223" s="25"/>
      <c r="H223" s="11"/>
      <c r="I223" s="11"/>
      <c r="J223" s="26" t="str">
        <f t="shared" si="4"/>
        <v/>
      </c>
      <c r="K223" s="11"/>
      <c r="L223" s="11"/>
      <c r="M223" s="11"/>
      <c r="N223" s="11"/>
      <c r="O223" s="26" t="str">
        <f t="shared" si="5"/>
        <v/>
      </c>
      <c r="P223" s="11"/>
    </row>
    <row r="224" spans="1:16" ht="15" customHeight="1" x14ac:dyDescent="0.25">
      <c r="A224" s="25"/>
      <c r="B224" s="25"/>
      <c r="C224" s="26" t="str">
        <f>IFERROR(IF(OR(A224="",B224=""),"",INDEX(Equipements!$H:$H,MATCH(A224,Equipements!$A:$A,0))&amp;"."&amp;B224),"")</f>
        <v/>
      </c>
      <c r="D224" s="11"/>
      <c r="E224" s="25"/>
      <c r="F224" s="25"/>
      <c r="G224" s="25"/>
      <c r="H224" s="11"/>
      <c r="I224" s="11"/>
      <c r="J224" s="26" t="str">
        <f t="shared" si="4"/>
        <v/>
      </c>
      <c r="K224" s="11"/>
      <c r="L224" s="11"/>
      <c r="M224" s="11"/>
      <c r="N224" s="11"/>
      <c r="O224" s="26" t="str">
        <f t="shared" si="5"/>
        <v/>
      </c>
      <c r="P224" s="11"/>
    </row>
    <row r="225" spans="1:16" ht="15" customHeight="1" x14ac:dyDescent="0.25">
      <c r="A225" s="25"/>
      <c r="B225" s="25"/>
      <c r="C225" s="26" t="str">
        <f>IFERROR(IF(OR(A225="",B225=""),"",INDEX(Equipements!$H:$H,MATCH(A225,Equipements!$A:$A,0))&amp;"."&amp;B225),"")</f>
        <v/>
      </c>
      <c r="D225" s="11"/>
      <c r="E225" s="25"/>
      <c r="F225" s="25"/>
      <c r="G225" s="25"/>
      <c r="H225" s="11"/>
      <c r="I225" s="11"/>
      <c r="J225" s="26" t="str">
        <f t="shared" si="4"/>
        <v/>
      </c>
      <c r="K225" s="11"/>
      <c r="L225" s="11"/>
      <c r="M225" s="11"/>
      <c r="N225" s="11"/>
      <c r="O225" s="26" t="str">
        <f t="shared" si="5"/>
        <v/>
      </c>
      <c r="P225" s="11"/>
    </row>
    <row r="226" spans="1:16" ht="15" customHeight="1" x14ac:dyDescent="0.25">
      <c r="A226" s="25"/>
      <c r="B226" s="25"/>
      <c r="C226" s="26" t="str">
        <f>IFERROR(IF(OR(A226="",B226=""),"",INDEX(Equipements!$H:$H,MATCH(A226,Equipements!$A:$A,0))&amp;"."&amp;B226),"")</f>
        <v/>
      </c>
      <c r="D226" s="11"/>
      <c r="E226" s="25"/>
      <c r="F226" s="25"/>
      <c r="G226" s="25"/>
      <c r="H226" s="11"/>
      <c r="I226" s="11"/>
      <c r="J226" s="26" t="str">
        <f t="shared" si="4"/>
        <v/>
      </c>
      <c r="K226" s="11"/>
      <c r="L226" s="11"/>
      <c r="M226" s="11"/>
      <c r="N226" s="11"/>
      <c r="O226" s="26" t="str">
        <f t="shared" si="5"/>
        <v/>
      </c>
      <c r="P226" s="11"/>
    </row>
    <row r="227" spans="1:16" ht="15" customHeight="1" x14ac:dyDescent="0.25">
      <c r="A227" s="25"/>
      <c r="B227" s="25"/>
      <c r="C227" s="26" t="str">
        <f>IFERROR(IF(OR(A227="",B227=""),"",INDEX(Equipements!$H:$H,MATCH(A227,Equipements!$A:$A,0))&amp;"."&amp;B227),"")</f>
        <v/>
      </c>
      <c r="D227" s="11"/>
      <c r="E227" s="25"/>
      <c r="F227" s="25"/>
      <c r="G227" s="25"/>
      <c r="H227" s="11"/>
      <c r="I227" s="11"/>
      <c r="J227" s="26" t="str">
        <f t="shared" si="4"/>
        <v/>
      </c>
      <c r="K227" s="11"/>
      <c r="L227" s="11"/>
      <c r="M227" s="11"/>
      <c r="N227" s="11"/>
      <c r="O227" s="26" t="str">
        <f t="shared" si="5"/>
        <v/>
      </c>
      <c r="P227" s="11"/>
    </row>
    <row r="228" spans="1:16" ht="15" customHeight="1" x14ac:dyDescent="0.25">
      <c r="A228" s="25"/>
      <c r="B228" s="25"/>
      <c r="C228" s="26" t="str">
        <f>IFERROR(IF(OR(A228="",B228=""),"",INDEX(Equipements!$H:$H,MATCH(A228,Equipements!$A:$A,0))&amp;"."&amp;B228),"")</f>
        <v/>
      </c>
      <c r="D228" s="11"/>
      <c r="E228" s="25"/>
      <c r="F228" s="25"/>
      <c r="G228" s="25"/>
      <c r="H228" s="11"/>
      <c r="I228" s="11"/>
      <c r="J228" s="26" t="str">
        <f t="shared" si="4"/>
        <v/>
      </c>
      <c r="K228" s="11"/>
      <c r="L228" s="11"/>
      <c r="M228" s="11"/>
      <c r="N228" s="11"/>
      <c r="O228" s="26" t="str">
        <f t="shared" si="5"/>
        <v/>
      </c>
      <c r="P228" s="11"/>
    </row>
    <row r="229" spans="1:16" ht="15" customHeight="1" x14ac:dyDescent="0.25">
      <c r="A229" s="25"/>
      <c r="B229" s="25"/>
      <c r="C229" s="26" t="str">
        <f>IFERROR(IF(OR(A229="",B229=""),"",INDEX(Equipements!$H:$H,MATCH(A229,Equipements!$A:$A,0))&amp;"."&amp;B229),"")</f>
        <v/>
      </c>
      <c r="D229" s="11"/>
      <c r="E229" s="25"/>
      <c r="F229" s="25"/>
      <c r="G229" s="25"/>
      <c r="H229" s="11"/>
      <c r="I229" s="11"/>
      <c r="J229" s="26" t="str">
        <f t="shared" si="4"/>
        <v/>
      </c>
      <c r="K229" s="11"/>
      <c r="L229" s="11"/>
      <c r="M229" s="11"/>
      <c r="N229" s="11"/>
      <c r="O229" s="26" t="str">
        <f t="shared" si="5"/>
        <v/>
      </c>
      <c r="P229" s="11"/>
    </row>
    <row r="230" spans="1:16" ht="15" customHeight="1" x14ac:dyDescent="0.25">
      <c r="A230" s="25"/>
      <c r="B230" s="25"/>
      <c r="C230" s="26" t="str">
        <f>IFERROR(IF(OR(A230="",B230=""),"",INDEX(Equipements!$H:$H,MATCH(A230,Equipements!$A:$A,0))&amp;"."&amp;B230),"")</f>
        <v/>
      </c>
      <c r="D230" s="11"/>
      <c r="E230" s="25"/>
      <c r="F230" s="25"/>
      <c r="G230" s="25"/>
      <c r="H230" s="11"/>
      <c r="I230" s="11"/>
      <c r="J230" s="26" t="str">
        <f t="shared" si="4"/>
        <v/>
      </c>
      <c r="K230" s="11"/>
      <c r="L230" s="11"/>
      <c r="M230" s="11"/>
      <c r="N230" s="11"/>
      <c r="O230" s="26" t="str">
        <f t="shared" si="5"/>
        <v/>
      </c>
      <c r="P230" s="11"/>
    </row>
    <row r="231" spans="1:16" ht="15" customHeight="1" x14ac:dyDescent="0.25">
      <c r="A231" s="25"/>
      <c r="B231" s="25"/>
      <c r="C231" s="26" t="str">
        <f>IFERROR(IF(OR(A231="",B231=""),"",INDEX(Equipements!$H:$H,MATCH(A231,Equipements!$A:$A,0))&amp;"."&amp;B231),"")</f>
        <v/>
      </c>
      <c r="D231" s="11"/>
      <c r="E231" s="25"/>
      <c r="F231" s="25"/>
      <c r="G231" s="25"/>
      <c r="H231" s="11"/>
      <c r="I231" s="11"/>
      <c r="J231" s="26" t="str">
        <f t="shared" si="4"/>
        <v/>
      </c>
      <c r="K231" s="11"/>
      <c r="L231" s="11"/>
      <c r="M231" s="11"/>
      <c r="N231" s="11"/>
      <c r="O231" s="26" t="str">
        <f t="shared" si="5"/>
        <v/>
      </c>
      <c r="P231" s="11"/>
    </row>
    <row r="232" spans="1:16" ht="15" customHeight="1" x14ac:dyDescent="0.25">
      <c r="A232" s="25"/>
      <c r="B232" s="25"/>
      <c r="C232" s="26" t="str">
        <f>IFERROR(IF(OR(A232="",B232=""),"",INDEX(Equipements!$H:$H,MATCH(A232,Equipements!$A:$A,0))&amp;"."&amp;B232),"")</f>
        <v/>
      </c>
      <c r="D232" s="11"/>
      <c r="E232" s="25"/>
      <c r="F232" s="25"/>
      <c r="G232" s="25"/>
      <c r="H232" s="11"/>
      <c r="I232" s="11"/>
      <c r="J232" s="26" t="str">
        <f t="shared" si="4"/>
        <v/>
      </c>
      <c r="K232" s="11"/>
      <c r="L232" s="11"/>
      <c r="M232" s="11"/>
      <c r="N232" s="11"/>
      <c r="O232" s="26" t="str">
        <f t="shared" si="5"/>
        <v/>
      </c>
      <c r="P232" s="11"/>
    </row>
    <row r="233" spans="1:16" ht="15" customHeight="1" x14ac:dyDescent="0.25">
      <c r="A233" s="25"/>
      <c r="B233" s="25"/>
      <c r="C233" s="26" t="str">
        <f>IFERROR(IF(OR(A233="",B233=""),"",INDEX(Equipements!$H:$H,MATCH(A233,Equipements!$A:$A,0))&amp;"."&amp;B233),"")</f>
        <v/>
      </c>
      <c r="D233" s="11"/>
      <c r="E233" s="25"/>
      <c r="F233" s="25"/>
      <c r="G233" s="25"/>
      <c r="H233" s="11"/>
      <c r="I233" s="11"/>
      <c r="J233" s="26" t="str">
        <f t="shared" si="4"/>
        <v/>
      </c>
      <c r="K233" s="11"/>
      <c r="L233" s="11"/>
      <c r="M233" s="11"/>
      <c r="N233" s="11"/>
      <c r="O233" s="26" t="str">
        <f t="shared" si="5"/>
        <v/>
      </c>
      <c r="P233" s="11"/>
    </row>
    <row r="234" spans="1:16" ht="15" customHeight="1" x14ac:dyDescent="0.25">
      <c r="A234" s="25"/>
      <c r="B234" s="25"/>
      <c r="C234" s="26" t="str">
        <f>IFERROR(IF(OR(A234="",B234=""),"",INDEX(Equipements!$H:$H,MATCH(A234,Equipements!$A:$A,0))&amp;"."&amp;B234),"")</f>
        <v/>
      </c>
      <c r="D234" s="11"/>
      <c r="E234" s="25"/>
      <c r="F234" s="25"/>
      <c r="G234" s="25"/>
      <c r="H234" s="11"/>
      <c r="I234" s="11"/>
      <c r="J234" s="26" t="str">
        <f t="shared" si="4"/>
        <v/>
      </c>
      <c r="K234" s="11"/>
      <c r="L234" s="11"/>
      <c r="M234" s="11"/>
      <c r="N234" s="11"/>
      <c r="O234" s="26" t="str">
        <f t="shared" si="5"/>
        <v/>
      </c>
      <c r="P234" s="11"/>
    </row>
    <row r="235" spans="1:16" ht="15" customHeight="1" x14ac:dyDescent="0.25">
      <c r="A235" s="25"/>
      <c r="B235" s="25"/>
      <c r="C235" s="26" t="str">
        <f>IFERROR(IF(OR(A235="",B235=""),"",INDEX(Equipements!$H:$H,MATCH(A235,Equipements!$A:$A,0))&amp;"."&amp;B235),"")</f>
        <v/>
      </c>
      <c r="D235" s="11"/>
      <c r="E235" s="25"/>
      <c r="F235" s="25"/>
      <c r="G235" s="25"/>
      <c r="H235" s="11"/>
      <c r="I235" s="11"/>
      <c r="J235" s="26" t="str">
        <f t="shared" si="4"/>
        <v/>
      </c>
      <c r="K235" s="11"/>
      <c r="L235" s="11"/>
      <c r="M235" s="11"/>
      <c r="N235" s="11"/>
      <c r="O235" s="26" t="str">
        <f t="shared" si="5"/>
        <v/>
      </c>
      <c r="P235" s="11"/>
    </row>
    <row r="236" spans="1:16" ht="15" customHeight="1" x14ac:dyDescent="0.25">
      <c r="A236" s="25"/>
      <c r="B236" s="25"/>
      <c r="C236" s="26" t="str">
        <f>IFERROR(IF(OR(A236="",B236=""),"",INDEX(Equipements!$H:$H,MATCH(A236,Equipements!$A:$A,0))&amp;"."&amp;B236),"")</f>
        <v/>
      </c>
      <c r="D236" s="11"/>
      <c r="E236" s="25"/>
      <c r="F236" s="25"/>
      <c r="G236" s="25"/>
      <c r="H236" s="11"/>
      <c r="I236" s="11"/>
      <c r="J236" s="26" t="str">
        <f t="shared" si="4"/>
        <v/>
      </c>
      <c r="K236" s="11"/>
      <c r="L236" s="11"/>
      <c r="M236" s="11"/>
      <c r="N236" s="11"/>
      <c r="O236" s="26" t="str">
        <f t="shared" si="5"/>
        <v/>
      </c>
      <c r="P236" s="11"/>
    </row>
    <row r="237" spans="1:16" ht="15" customHeight="1" x14ac:dyDescent="0.25">
      <c r="A237" s="25"/>
      <c r="B237" s="25"/>
      <c r="C237" s="26" t="str">
        <f>IFERROR(IF(OR(A237="",B237=""),"",INDEX(Equipements!$H:$H,MATCH(A237,Equipements!$A:$A,0))&amp;"."&amp;B237),"")</f>
        <v/>
      </c>
      <c r="D237" s="11"/>
      <c r="E237" s="25"/>
      <c r="F237" s="25"/>
      <c r="G237" s="25"/>
      <c r="H237" s="11"/>
      <c r="I237" s="11"/>
      <c r="J237" s="26" t="str">
        <f t="shared" si="4"/>
        <v/>
      </c>
      <c r="K237" s="11"/>
      <c r="L237" s="11"/>
      <c r="M237" s="11"/>
      <c r="N237" s="11"/>
      <c r="O237" s="26" t="str">
        <f t="shared" si="5"/>
        <v/>
      </c>
      <c r="P237" s="11"/>
    </row>
    <row r="238" spans="1:16" ht="15" customHeight="1" x14ac:dyDescent="0.25">
      <c r="A238" s="25"/>
      <c r="B238" s="25"/>
      <c r="C238" s="26" t="str">
        <f>IFERROR(IF(OR(A238="",B238=""),"",INDEX(Equipements!$H:$H,MATCH(A238,Equipements!$A:$A,0))&amp;"."&amp;B238),"")</f>
        <v/>
      </c>
      <c r="D238" s="11"/>
      <c r="E238" s="25"/>
      <c r="F238" s="25"/>
      <c r="G238" s="25"/>
      <c r="H238" s="11"/>
      <c r="I238" s="11"/>
      <c r="J238" s="26" t="str">
        <f t="shared" si="4"/>
        <v/>
      </c>
      <c r="K238" s="11"/>
      <c r="L238" s="11"/>
      <c r="M238" s="11"/>
      <c r="N238" s="11"/>
      <c r="O238" s="26" t="str">
        <f t="shared" si="5"/>
        <v/>
      </c>
      <c r="P238" s="11"/>
    </row>
    <row r="239" spans="1:16" ht="15" customHeight="1" x14ac:dyDescent="0.25">
      <c r="A239" s="25"/>
      <c r="B239" s="25"/>
      <c r="C239" s="26" t="str">
        <f>IFERROR(IF(OR(A239="",B239=""),"",INDEX(Equipements!$H:$H,MATCH(A239,Equipements!$A:$A,0))&amp;"."&amp;B239),"")</f>
        <v/>
      </c>
      <c r="D239" s="11"/>
      <c r="E239" s="25"/>
      <c r="F239" s="25"/>
      <c r="G239" s="25"/>
      <c r="H239" s="11"/>
      <c r="I239" s="11"/>
      <c r="J239" s="26" t="str">
        <f t="shared" si="4"/>
        <v/>
      </c>
      <c r="K239" s="11"/>
      <c r="L239" s="11"/>
      <c r="M239" s="11"/>
      <c r="N239" s="11"/>
      <c r="O239" s="26" t="str">
        <f t="shared" si="5"/>
        <v/>
      </c>
      <c r="P239" s="11"/>
    </row>
    <row r="240" spans="1:16" ht="15" customHeight="1" x14ac:dyDescent="0.25">
      <c r="A240" s="25"/>
      <c r="B240" s="25"/>
      <c r="C240" s="26" t="str">
        <f>IFERROR(IF(OR(A240="",B240=""),"",INDEX(Equipements!$H:$H,MATCH(A240,Equipements!$A:$A,0))&amp;"."&amp;B240),"")</f>
        <v/>
      </c>
      <c r="D240" s="11"/>
      <c r="E240" s="25"/>
      <c r="F240" s="25"/>
      <c r="G240" s="25"/>
      <c r="H240" s="11"/>
      <c r="I240" s="11"/>
      <c r="J240" s="26" t="str">
        <f t="shared" si="4"/>
        <v/>
      </c>
      <c r="K240" s="11"/>
      <c r="L240" s="11"/>
      <c r="M240" s="11"/>
      <c r="N240" s="11"/>
      <c r="O240" s="26" t="str">
        <f t="shared" si="5"/>
        <v/>
      </c>
      <c r="P240" s="11"/>
    </row>
    <row r="241" spans="1:16" ht="15" customHeight="1" x14ac:dyDescent="0.25">
      <c r="A241" s="25"/>
      <c r="B241" s="25"/>
      <c r="C241" s="26" t="str">
        <f>IFERROR(IF(OR(A241="",B241=""),"",INDEX(Equipements!$H:$H,MATCH(A241,Equipements!$A:$A,0))&amp;"."&amp;B241),"")</f>
        <v/>
      </c>
      <c r="D241" s="11"/>
      <c r="E241" s="25"/>
      <c r="F241" s="25"/>
      <c r="G241" s="25"/>
      <c r="H241" s="11"/>
      <c r="I241" s="11"/>
      <c r="J241" s="26" t="str">
        <f t="shared" si="4"/>
        <v/>
      </c>
      <c r="K241" s="11"/>
      <c r="L241" s="11"/>
      <c r="M241" s="11"/>
      <c r="N241" s="11"/>
      <c r="O241" s="26" t="str">
        <f t="shared" si="5"/>
        <v/>
      </c>
      <c r="P241" s="11"/>
    </row>
    <row r="242" spans="1:16" ht="15" customHeight="1" x14ac:dyDescent="0.25">
      <c r="A242" s="25"/>
      <c r="B242" s="25"/>
      <c r="C242" s="26" t="str">
        <f>IFERROR(IF(OR(A242="",B242=""),"",INDEX(Equipements!$H:$H,MATCH(A242,Equipements!$A:$A,0))&amp;"."&amp;B242),"")</f>
        <v/>
      </c>
      <c r="D242" s="11"/>
      <c r="E242" s="25"/>
      <c r="F242" s="25"/>
      <c r="G242" s="25"/>
      <c r="H242" s="11"/>
      <c r="I242" s="11"/>
      <c r="J242" s="26" t="str">
        <f t="shared" si="4"/>
        <v/>
      </c>
      <c r="K242" s="11"/>
      <c r="L242" s="11"/>
      <c r="M242" s="11"/>
      <c r="N242" s="11"/>
      <c r="O242" s="26" t="str">
        <f t="shared" si="5"/>
        <v/>
      </c>
      <c r="P242" s="11"/>
    </row>
    <row r="243" spans="1:16" ht="15" customHeight="1" x14ac:dyDescent="0.25">
      <c r="A243" s="25"/>
      <c r="B243" s="25"/>
      <c r="C243" s="26" t="str">
        <f>IFERROR(IF(OR(A243="",B243=""),"",INDEX(Equipements!$H:$H,MATCH(A243,Equipements!$A:$A,0))&amp;"."&amp;B243),"")</f>
        <v/>
      </c>
      <c r="D243" s="11"/>
      <c r="E243" s="25"/>
      <c r="F243" s="25"/>
      <c r="G243" s="25"/>
      <c r="H243" s="11"/>
      <c r="I243" s="11"/>
      <c r="J243" s="26" t="str">
        <f t="shared" si="4"/>
        <v/>
      </c>
      <c r="K243" s="11"/>
      <c r="L243" s="11"/>
      <c r="M243" s="11"/>
      <c r="N243" s="11"/>
      <c r="O243" s="26" t="str">
        <f t="shared" si="5"/>
        <v/>
      </c>
      <c r="P243" s="11"/>
    </row>
    <row r="244" spans="1:16" ht="15" customHeight="1" x14ac:dyDescent="0.25">
      <c r="A244" s="25"/>
      <c r="B244" s="25"/>
      <c r="C244" s="26" t="str">
        <f>IFERROR(IF(OR(A244="",B244=""),"",INDEX(Equipements!$H:$H,MATCH(A244,Equipements!$A:$A,0))&amp;"."&amp;B244),"")</f>
        <v/>
      </c>
      <c r="D244" s="11"/>
      <c r="E244" s="25"/>
      <c r="F244" s="25"/>
      <c r="G244" s="25"/>
      <c r="H244" s="11"/>
      <c r="I244" s="11"/>
      <c r="J244" s="26" t="str">
        <f t="shared" si="4"/>
        <v/>
      </c>
      <c r="K244" s="11"/>
      <c r="L244" s="11"/>
      <c r="M244" s="11"/>
      <c r="N244" s="11"/>
      <c r="O244" s="26" t="str">
        <f t="shared" si="5"/>
        <v/>
      </c>
      <c r="P244" s="11"/>
    </row>
    <row r="245" spans="1:16" ht="15" customHeight="1" x14ac:dyDescent="0.25">
      <c r="A245" s="25"/>
      <c r="B245" s="25"/>
      <c r="C245" s="26" t="str">
        <f>IFERROR(IF(OR(A245="",B245=""),"",INDEX(Equipements!$H:$H,MATCH(A245,Equipements!$A:$A,0))&amp;"."&amp;B245),"")</f>
        <v/>
      </c>
      <c r="D245" s="11"/>
      <c r="E245" s="25"/>
      <c r="F245" s="25"/>
      <c r="G245" s="25"/>
      <c r="H245" s="11"/>
      <c r="I245" s="11"/>
      <c r="J245" s="26" t="str">
        <f t="shared" si="4"/>
        <v/>
      </c>
      <c r="K245" s="11"/>
      <c r="L245" s="11"/>
      <c r="M245" s="11"/>
      <c r="N245" s="11"/>
      <c r="O245" s="26" t="str">
        <f t="shared" si="5"/>
        <v/>
      </c>
      <c r="P245" s="11"/>
    </row>
    <row r="246" spans="1:16" ht="15" customHeight="1" x14ac:dyDescent="0.25">
      <c r="A246" s="25"/>
      <c r="B246" s="25"/>
      <c r="C246" s="26" t="str">
        <f>IFERROR(IF(OR(A246="",B246=""),"",INDEX(Equipements!$H:$H,MATCH(A246,Equipements!$A:$A,0))&amp;"."&amp;B246),"")</f>
        <v/>
      </c>
      <c r="D246" s="11"/>
      <c r="E246" s="25"/>
      <c r="F246" s="25"/>
      <c r="G246" s="25"/>
      <c r="H246" s="11"/>
      <c r="I246" s="11"/>
      <c r="J246" s="26" t="str">
        <f t="shared" si="4"/>
        <v/>
      </c>
      <c r="K246" s="11"/>
      <c r="L246" s="11"/>
      <c r="M246" s="11"/>
      <c r="N246" s="11"/>
      <c r="O246" s="26" t="str">
        <f t="shared" si="5"/>
        <v/>
      </c>
      <c r="P246" s="11"/>
    </row>
    <row r="247" spans="1:16" ht="15" customHeight="1" x14ac:dyDescent="0.25">
      <c r="A247" s="25"/>
      <c r="B247" s="25"/>
      <c r="C247" s="26" t="str">
        <f>IFERROR(IF(OR(A247="",B247=""),"",INDEX(Equipements!$H:$H,MATCH(A247,Equipements!$A:$A,0))&amp;"."&amp;B247),"")</f>
        <v/>
      </c>
      <c r="D247" s="11"/>
      <c r="E247" s="25"/>
      <c r="F247" s="25"/>
      <c r="G247" s="25"/>
      <c r="H247" s="11"/>
      <c r="I247" s="11"/>
      <c r="J247" s="26" t="str">
        <f t="shared" si="4"/>
        <v/>
      </c>
      <c r="K247" s="11"/>
      <c r="L247" s="11"/>
      <c r="M247" s="11"/>
      <c r="N247" s="11"/>
      <c r="O247" s="26" t="str">
        <f t="shared" si="5"/>
        <v/>
      </c>
      <c r="P247" s="11"/>
    </row>
    <row r="248" spans="1:16" ht="15" customHeight="1" x14ac:dyDescent="0.25">
      <c r="A248" s="25"/>
      <c r="B248" s="25"/>
      <c r="C248" s="26" t="str">
        <f>IFERROR(IF(OR(A248="",B248=""),"",INDEX(Equipements!$H:$H,MATCH(A248,Equipements!$A:$A,0))&amp;"."&amp;B248),"")</f>
        <v/>
      </c>
      <c r="D248" s="11"/>
      <c r="E248" s="25"/>
      <c r="F248" s="25"/>
      <c r="G248" s="25"/>
      <c r="H248" s="11"/>
      <c r="I248" s="11"/>
      <c r="J248" s="26" t="str">
        <f t="shared" si="4"/>
        <v/>
      </c>
      <c r="K248" s="11"/>
      <c r="L248" s="11"/>
      <c r="M248" s="11"/>
      <c r="N248" s="11"/>
      <c r="O248" s="26" t="str">
        <f t="shared" si="5"/>
        <v/>
      </c>
      <c r="P248" s="11"/>
    </row>
    <row r="249" spans="1:16" ht="15" customHeight="1" x14ac:dyDescent="0.25">
      <c r="A249" s="25"/>
      <c r="B249" s="25"/>
      <c r="C249" s="26" t="str">
        <f>IFERROR(IF(OR(A249="",B249=""),"",INDEX(Equipements!$H:$H,MATCH(A249,Equipements!$A:$A,0))&amp;"."&amp;B249),"")</f>
        <v/>
      </c>
      <c r="D249" s="11"/>
      <c r="E249" s="25"/>
      <c r="F249" s="25"/>
      <c r="G249" s="25"/>
      <c r="H249" s="11"/>
      <c r="I249" s="11"/>
      <c r="J249" s="26" t="str">
        <f t="shared" si="4"/>
        <v/>
      </c>
      <c r="K249" s="11"/>
      <c r="L249" s="11"/>
      <c r="M249" s="11"/>
      <c r="N249" s="11"/>
      <c r="O249" s="26" t="str">
        <f t="shared" si="5"/>
        <v/>
      </c>
      <c r="P249" s="11"/>
    </row>
    <row r="250" spans="1:16" ht="15" customHeight="1" x14ac:dyDescent="0.25">
      <c r="A250" s="25"/>
      <c r="B250" s="25"/>
      <c r="C250" s="26" t="str">
        <f>IFERROR(IF(OR(A250="",B250=""),"",INDEX(Equipements!$H:$H,MATCH(A250,Equipements!$A:$A,0))&amp;"."&amp;B250),"")</f>
        <v/>
      </c>
      <c r="D250" s="11"/>
      <c r="E250" s="25"/>
      <c r="F250" s="25"/>
      <c r="G250" s="25"/>
      <c r="H250" s="11"/>
      <c r="I250" s="11"/>
      <c r="J250" s="26" t="str">
        <f t="shared" si="4"/>
        <v/>
      </c>
      <c r="K250" s="11"/>
      <c r="L250" s="11"/>
      <c r="M250" s="11"/>
      <c r="N250" s="11"/>
      <c r="O250" s="26" t="str">
        <f t="shared" si="5"/>
        <v/>
      </c>
      <c r="P250" s="11"/>
    </row>
    <row r="251" spans="1:16" ht="15" customHeight="1" x14ac:dyDescent="0.25">
      <c r="A251" s="25"/>
      <c r="B251" s="25"/>
      <c r="C251" s="26" t="str">
        <f>IFERROR(IF(OR(A251="",B251=""),"",INDEX(Equipements!$H:$H,MATCH(A251,Equipements!$A:$A,0))&amp;"."&amp;B251),"")</f>
        <v/>
      </c>
      <c r="D251" s="11"/>
      <c r="E251" s="25"/>
      <c r="F251" s="25"/>
      <c r="G251" s="25"/>
      <c r="H251" s="11"/>
      <c r="I251" s="11"/>
      <c r="J251" s="26" t="str">
        <f t="shared" si="4"/>
        <v/>
      </c>
      <c r="K251" s="11"/>
      <c r="L251" s="11"/>
      <c r="M251" s="11"/>
      <c r="N251" s="11"/>
      <c r="O251" s="26" t="str">
        <f t="shared" si="5"/>
        <v/>
      </c>
      <c r="P251" s="11"/>
    </row>
    <row r="252" spans="1:16" ht="15" customHeight="1" x14ac:dyDescent="0.25">
      <c r="A252" s="25"/>
      <c r="B252" s="25"/>
      <c r="C252" s="26" t="str">
        <f>IFERROR(IF(OR(A252="",B252=""),"",INDEX(Equipements!$H:$H,MATCH(A252,Equipements!$A:$A,0))&amp;"."&amp;B252),"")</f>
        <v/>
      </c>
      <c r="D252" s="11"/>
      <c r="E252" s="25"/>
      <c r="F252" s="25"/>
      <c r="G252" s="25"/>
      <c r="H252" s="11"/>
      <c r="I252" s="11"/>
      <c r="J252" s="26" t="str">
        <f t="shared" si="4"/>
        <v/>
      </c>
      <c r="K252" s="11"/>
      <c r="L252" s="11"/>
      <c r="M252" s="11"/>
      <c r="N252" s="11"/>
      <c r="O252" s="26" t="str">
        <f t="shared" si="5"/>
        <v/>
      </c>
      <c r="P252" s="11"/>
    </row>
    <row r="253" spans="1:16" ht="15" customHeight="1" x14ac:dyDescent="0.25">
      <c r="A253" s="25"/>
      <c r="B253" s="25"/>
      <c r="C253" s="26" t="str">
        <f>IFERROR(IF(OR(A253="",B253=""),"",INDEX(Equipements!$H:$H,MATCH(A253,Equipements!$A:$A,0))&amp;"."&amp;B253),"")</f>
        <v/>
      </c>
      <c r="D253" s="11"/>
      <c r="E253" s="25"/>
      <c r="F253" s="25"/>
      <c r="G253" s="25"/>
      <c r="H253" s="11"/>
      <c r="I253" s="11"/>
      <c r="J253" s="26" t="str">
        <f t="shared" si="4"/>
        <v/>
      </c>
      <c r="K253" s="11"/>
      <c r="L253" s="11"/>
      <c r="M253" s="11"/>
      <c r="N253" s="11"/>
      <c r="O253" s="26" t="str">
        <f t="shared" si="5"/>
        <v/>
      </c>
      <c r="P253" s="11"/>
    </row>
    <row r="254" spans="1:16" ht="15" customHeight="1" x14ac:dyDescent="0.25">
      <c r="A254" s="25"/>
      <c r="B254" s="25"/>
      <c r="C254" s="26" t="str">
        <f>IFERROR(IF(OR(A254="",B254=""),"",INDEX(Equipements!$H:$H,MATCH(A254,Equipements!$A:$A,0))&amp;"."&amp;B254),"")</f>
        <v/>
      </c>
      <c r="D254" s="11"/>
      <c r="E254" s="25"/>
      <c r="F254" s="25"/>
      <c r="G254" s="25"/>
      <c r="H254" s="11"/>
      <c r="I254" s="11"/>
      <c r="J254" s="26" t="str">
        <f t="shared" si="4"/>
        <v/>
      </c>
      <c r="K254" s="11"/>
      <c r="L254" s="11"/>
      <c r="M254" s="11"/>
      <c r="N254" s="11"/>
      <c r="O254" s="26" t="str">
        <f t="shared" si="5"/>
        <v/>
      </c>
      <c r="P254" s="11"/>
    </row>
    <row r="255" spans="1:16" ht="15" customHeight="1" x14ac:dyDescent="0.25">
      <c r="A255" s="25"/>
      <c r="B255" s="25"/>
      <c r="C255" s="26" t="str">
        <f>IFERROR(IF(OR(A255="",B255=""),"",INDEX(Equipements!$H:$H,MATCH(A255,Equipements!$A:$A,0))&amp;"."&amp;B255),"")</f>
        <v/>
      </c>
      <c r="D255" s="11"/>
      <c r="E255" s="25"/>
      <c r="F255" s="25"/>
      <c r="G255" s="25"/>
      <c r="H255" s="11"/>
      <c r="I255" s="11"/>
      <c r="J255" s="26" t="str">
        <f t="shared" si="4"/>
        <v/>
      </c>
      <c r="K255" s="11"/>
      <c r="L255" s="11"/>
      <c r="M255" s="11"/>
      <c r="N255" s="11"/>
      <c r="O255" s="26" t="str">
        <f t="shared" si="5"/>
        <v/>
      </c>
      <c r="P255" s="11"/>
    </row>
    <row r="256" spans="1:16" ht="15" customHeight="1" x14ac:dyDescent="0.25">
      <c r="A256" s="25"/>
      <c r="B256" s="25"/>
      <c r="C256" s="26" t="str">
        <f>IFERROR(IF(OR(A256="",B256=""),"",INDEX(Equipements!$H:$H,MATCH(A256,Equipements!$A:$A,0))&amp;"."&amp;B256),"")</f>
        <v/>
      </c>
      <c r="D256" s="11"/>
      <c r="E256" s="25"/>
      <c r="F256" s="25"/>
      <c r="G256" s="25"/>
      <c r="H256" s="11"/>
      <c r="I256" s="11"/>
      <c r="J256" s="26" t="str">
        <f t="shared" si="4"/>
        <v/>
      </c>
      <c r="K256" s="11"/>
      <c r="L256" s="11"/>
      <c r="M256" s="11"/>
      <c r="N256" s="11"/>
      <c r="O256" s="26" t="str">
        <f t="shared" si="5"/>
        <v/>
      </c>
      <c r="P256" s="11"/>
    </row>
    <row r="257" spans="1:16" ht="15" customHeight="1" x14ac:dyDescent="0.25">
      <c r="A257" s="25"/>
      <c r="B257" s="25"/>
      <c r="C257" s="26" t="str">
        <f>IFERROR(IF(OR(A257="",B257=""),"",INDEX(Equipements!$H:$H,MATCH(A257,Equipements!$A:$A,0))&amp;"."&amp;B257),"")</f>
        <v/>
      </c>
      <c r="D257" s="11"/>
      <c r="E257" s="25"/>
      <c r="F257" s="25"/>
      <c r="G257" s="25"/>
      <c r="H257" s="11"/>
      <c r="I257" s="11"/>
      <c r="J257" s="26" t="str">
        <f t="shared" si="4"/>
        <v/>
      </c>
      <c r="K257" s="11"/>
      <c r="L257" s="11"/>
      <c r="M257" s="11"/>
      <c r="N257" s="11"/>
      <c r="O257" s="26" t="str">
        <f t="shared" si="5"/>
        <v/>
      </c>
      <c r="P257" s="11"/>
    </row>
    <row r="258" spans="1:16" ht="15" customHeight="1" x14ac:dyDescent="0.25">
      <c r="A258" s="25"/>
      <c r="B258" s="25"/>
      <c r="C258" s="26" t="str">
        <f>IFERROR(IF(OR(A258="",B258=""),"",INDEX(Equipements!$H:$H,MATCH(A258,Equipements!$A:$A,0))&amp;"."&amp;B258),"")</f>
        <v/>
      </c>
      <c r="D258" s="11"/>
      <c r="E258" s="25"/>
      <c r="F258" s="25"/>
      <c r="G258" s="25"/>
      <c r="H258" s="11"/>
      <c r="I258" s="11"/>
      <c r="J258" s="26" t="str">
        <f t="shared" si="4"/>
        <v/>
      </c>
      <c r="K258" s="11"/>
      <c r="L258" s="11"/>
      <c r="M258" s="11"/>
      <c r="N258" s="11"/>
      <c r="O258" s="26" t="str">
        <f t="shared" si="5"/>
        <v/>
      </c>
      <c r="P258" s="11"/>
    </row>
    <row r="259" spans="1:16" ht="15" customHeight="1" x14ac:dyDescent="0.25">
      <c r="A259" s="25"/>
      <c r="B259" s="25"/>
      <c r="C259" s="26" t="str">
        <f>IFERROR(IF(OR(A259="",B259=""),"",INDEX(Equipements!$H:$H,MATCH(A259,Equipements!$A:$A,0))&amp;"."&amp;B259),"")</f>
        <v/>
      </c>
      <c r="D259" s="11"/>
      <c r="E259" s="25"/>
      <c r="F259" s="25"/>
      <c r="G259" s="25"/>
      <c r="H259" s="11"/>
      <c r="I259" s="11"/>
      <c r="J259" s="26" t="str">
        <f t="shared" si="4"/>
        <v/>
      </c>
      <c r="K259" s="11"/>
      <c r="L259" s="11"/>
      <c r="M259" s="11"/>
      <c r="N259" s="11"/>
      <c r="O259" s="26" t="str">
        <f t="shared" si="5"/>
        <v/>
      </c>
      <c r="P259" s="11"/>
    </row>
    <row r="260" spans="1:16" ht="15" customHeight="1" x14ac:dyDescent="0.25">
      <c r="A260" s="25"/>
      <c r="B260" s="25"/>
      <c r="C260" s="26" t="str">
        <f>IFERROR(IF(OR(A260="",B260=""),"",INDEX(Equipements!$H:$H,MATCH(A260,Equipements!$A:$A,0))&amp;"."&amp;B260),"")</f>
        <v/>
      </c>
      <c r="D260" s="11"/>
      <c r="E260" s="25"/>
      <c r="F260" s="25"/>
      <c r="G260" s="25"/>
      <c r="H260" s="11"/>
      <c r="I260" s="11"/>
      <c r="J260" s="26" t="str">
        <f t="shared" si="4"/>
        <v/>
      </c>
      <c r="K260" s="11"/>
      <c r="L260" s="11"/>
      <c r="M260" s="11"/>
      <c r="N260" s="11"/>
      <c r="O260" s="26" t="str">
        <f t="shared" si="5"/>
        <v/>
      </c>
      <c r="P260" s="11"/>
    </row>
    <row r="261" spans="1:16" ht="15" customHeight="1" x14ac:dyDescent="0.25">
      <c r="A261" s="25"/>
      <c r="B261" s="25"/>
      <c r="C261" s="26" t="str">
        <f>IFERROR(IF(OR(A261="",B261=""),"",INDEX(Equipements!$H:$H,MATCH(A261,Equipements!$A:$A,0))&amp;"."&amp;B261),"")</f>
        <v/>
      </c>
      <c r="D261" s="11"/>
      <c r="E261" s="25"/>
      <c r="F261" s="25"/>
      <c r="G261" s="25"/>
      <c r="H261" s="11"/>
      <c r="I261" s="11"/>
      <c r="J261" s="26" t="str">
        <f t="shared" si="4"/>
        <v/>
      </c>
      <c r="K261" s="11"/>
      <c r="L261" s="11"/>
      <c r="M261" s="11"/>
      <c r="N261" s="11"/>
      <c r="O261" s="26" t="str">
        <f t="shared" si="5"/>
        <v/>
      </c>
      <c r="P261" s="11"/>
    </row>
    <row r="262" spans="1:16" ht="15" customHeight="1" x14ac:dyDescent="0.25">
      <c r="A262" s="25"/>
      <c r="B262" s="25"/>
      <c r="C262" s="26" t="str">
        <f>IFERROR(IF(OR(A262="",B262=""),"",INDEX(Equipements!$H:$H,MATCH(A262,Equipements!$A:$A,0))&amp;"."&amp;B262),"")</f>
        <v/>
      </c>
      <c r="D262" s="11"/>
      <c r="E262" s="25"/>
      <c r="F262" s="25"/>
      <c r="G262" s="25"/>
      <c r="H262" s="11"/>
      <c r="I262" s="11"/>
      <c r="J262" s="26" t="str">
        <f t="shared" si="4"/>
        <v/>
      </c>
      <c r="K262" s="11"/>
      <c r="L262" s="11"/>
      <c r="M262" s="11"/>
      <c r="N262" s="11"/>
      <c r="O262" s="26" t="str">
        <f t="shared" si="5"/>
        <v/>
      </c>
      <c r="P262" s="11"/>
    </row>
    <row r="263" spans="1:16" ht="15" customHeight="1" x14ac:dyDescent="0.25">
      <c r="A263" s="25"/>
      <c r="B263" s="25"/>
      <c r="C263" s="26" t="str">
        <f>IFERROR(IF(OR(A263="",B263=""),"",INDEX(Equipements!$H:$H,MATCH(A263,Equipements!$A:$A,0))&amp;"."&amp;B263),"")</f>
        <v/>
      </c>
      <c r="D263" s="11"/>
      <c r="E263" s="25"/>
      <c r="F263" s="25"/>
      <c r="G263" s="25"/>
      <c r="H263" s="11"/>
      <c r="I263" s="11"/>
      <c r="J263" s="26" t="str">
        <f t="shared" si="4"/>
        <v/>
      </c>
      <c r="K263" s="11"/>
      <c r="L263" s="11"/>
      <c r="M263" s="11"/>
      <c r="N263" s="11"/>
      <c r="O263" s="26" t="str">
        <f t="shared" si="5"/>
        <v/>
      </c>
      <c r="P263" s="11"/>
    </row>
    <row r="264" spans="1:16" ht="15" customHeight="1" x14ac:dyDescent="0.25">
      <c r="A264" s="25"/>
      <c r="B264" s="25"/>
      <c r="C264" s="26" t="str">
        <f>IFERROR(IF(OR(A264="",B264=""),"",INDEX(Equipements!$H:$H,MATCH(A264,Equipements!$A:$A,0))&amp;"."&amp;B264),"")</f>
        <v/>
      </c>
      <c r="D264" s="11"/>
      <c r="E264" s="25"/>
      <c r="F264" s="25"/>
      <c r="G264" s="25"/>
      <c r="H264" s="11"/>
      <c r="I264" s="11"/>
      <c r="J264" s="26" t="str">
        <f t="shared" si="4"/>
        <v/>
      </c>
      <c r="K264" s="11"/>
      <c r="L264" s="11"/>
      <c r="M264" s="11"/>
      <c r="N264" s="11"/>
      <c r="O264" s="26" t="str">
        <f t="shared" si="5"/>
        <v/>
      </c>
      <c r="P264" s="11"/>
    </row>
    <row r="265" spans="1:16" ht="15" customHeight="1" x14ac:dyDescent="0.25">
      <c r="A265" s="25"/>
      <c r="B265" s="25"/>
      <c r="C265" s="26" t="str">
        <f>IFERROR(IF(OR(A265="",B265=""),"",INDEX(Equipements!$H:$H,MATCH(A265,Equipements!$A:$A,0))&amp;"."&amp;B265),"")</f>
        <v/>
      </c>
      <c r="D265" s="11"/>
      <c r="E265" s="25"/>
      <c r="F265" s="25"/>
      <c r="G265" s="25"/>
      <c r="H265" s="11"/>
      <c r="I265" s="11"/>
      <c r="J265" s="26" t="str">
        <f t="shared" ref="J265:J328" si="6">IF(OR(G265="",H265=""),"","%"&amp;G265&amp;H265)</f>
        <v/>
      </c>
      <c r="K265" s="11"/>
      <c r="L265" s="11"/>
      <c r="M265" s="11"/>
      <c r="N265" s="11"/>
      <c r="O265" s="26" t="str">
        <f t="shared" ref="O265:O328" si="7">IF(H265="","",IF(I265="","mot entier","bit "&amp;I265))</f>
        <v/>
      </c>
      <c r="P265" s="11"/>
    </row>
    <row r="266" spans="1:16" ht="15" customHeight="1" x14ac:dyDescent="0.25">
      <c r="A266" s="25"/>
      <c r="B266" s="25"/>
      <c r="C266" s="26" t="str">
        <f>IFERROR(IF(OR(A266="",B266=""),"",INDEX(Equipements!$H:$H,MATCH(A266,Equipements!$A:$A,0))&amp;"."&amp;B266),"")</f>
        <v/>
      </c>
      <c r="D266" s="11"/>
      <c r="E266" s="25"/>
      <c r="F266" s="25"/>
      <c r="G266" s="25"/>
      <c r="H266" s="11"/>
      <c r="I266" s="11"/>
      <c r="J266" s="26" t="str">
        <f t="shared" si="6"/>
        <v/>
      </c>
      <c r="K266" s="11"/>
      <c r="L266" s="11"/>
      <c r="M266" s="11"/>
      <c r="N266" s="11"/>
      <c r="O266" s="26" t="str">
        <f t="shared" si="7"/>
        <v/>
      </c>
      <c r="P266" s="11"/>
    </row>
    <row r="267" spans="1:16" ht="15" customHeight="1" x14ac:dyDescent="0.25">
      <c r="A267" s="25"/>
      <c r="B267" s="25"/>
      <c r="C267" s="26" t="str">
        <f>IFERROR(IF(OR(A267="",B267=""),"",INDEX(Equipements!$H:$H,MATCH(A267,Equipements!$A:$A,0))&amp;"."&amp;B267),"")</f>
        <v/>
      </c>
      <c r="D267" s="11"/>
      <c r="E267" s="25"/>
      <c r="F267" s="25"/>
      <c r="G267" s="25"/>
      <c r="H267" s="11"/>
      <c r="I267" s="11"/>
      <c r="J267" s="26" t="str">
        <f t="shared" si="6"/>
        <v/>
      </c>
      <c r="K267" s="11"/>
      <c r="L267" s="11"/>
      <c r="M267" s="11"/>
      <c r="N267" s="11"/>
      <c r="O267" s="26" t="str">
        <f t="shared" si="7"/>
        <v/>
      </c>
      <c r="P267" s="11"/>
    </row>
    <row r="268" spans="1:16" ht="15" customHeight="1" x14ac:dyDescent="0.25">
      <c r="A268" s="25"/>
      <c r="B268" s="25"/>
      <c r="C268" s="26" t="str">
        <f>IFERROR(IF(OR(A268="",B268=""),"",INDEX(Equipements!$H:$H,MATCH(A268,Equipements!$A:$A,0))&amp;"."&amp;B268),"")</f>
        <v/>
      </c>
      <c r="D268" s="11"/>
      <c r="E268" s="25"/>
      <c r="F268" s="25"/>
      <c r="G268" s="25"/>
      <c r="H268" s="11"/>
      <c r="I268" s="11"/>
      <c r="J268" s="26" t="str">
        <f t="shared" si="6"/>
        <v/>
      </c>
      <c r="K268" s="11"/>
      <c r="L268" s="11"/>
      <c r="M268" s="11"/>
      <c r="N268" s="11"/>
      <c r="O268" s="26" t="str">
        <f t="shared" si="7"/>
        <v/>
      </c>
      <c r="P268" s="11"/>
    </row>
    <row r="269" spans="1:16" ht="15" customHeight="1" x14ac:dyDescent="0.25">
      <c r="A269" s="25"/>
      <c r="B269" s="25"/>
      <c r="C269" s="26" t="str">
        <f>IFERROR(IF(OR(A269="",B269=""),"",INDEX(Equipements!$H:$H,MATCH(A269,Equipements!$A:$A,0))&amp;"."&amp;B269),"")</f>
        <v/>
      </c>
      <c r="D269" s="11"/>
      <c r="E269" s="25"/>
      <c r="F269" s="25"/>
      <c r="G269" s="25"/>
      <c r="H269" s="11"/>
      <c r="I269" s="11"/>
      <c r="J269" s="26" t="str">
        <f t="shared" si="6"/>
        <v/>
      </c>
      <c r="K269" s="11"/>
      <c r="L269" s="11"/>
      <c r="M269" s="11"/>
      <c r="N269" s="11"/>
      <c r="O269" s="26" t="str">
        <f t="shared" si="7"/>
        <v/>
      </c>
      <c r="P269" s="11"/>
    </row>
    <row r="270" spans="1:16" ht="15" customHeight="1" x14ac:dyDescent="0.25">
      <c r="A270" s="25"/>
      <c r="B270" s="25"/>
      <c r="C270" s="26" t="str">
        <f>IFERROR(IF(OR(A270="",B270=""),"",INDEX(Equipements!$H:$H,MATCH(A270,Equipements!$A:$A,0))&amp;"."&amp;B270),"")</f>
        <v/>
      </c>
      <c r="D270" s="11"/>
      <c r="E270" s="25"/>
      <c r="F270" s="25"/>
      <c r="G270" s="25"/>
      <c r="H270" s="11"/>
      <c r="I270" s="11"/>
      <c r="J270" s="26" t="str">
        <f t="shared" si="6"/>
        <v/>
      </c>
      <c r="K270" s="11"/>
      <c r="L270" s="11"/>
      <c r="M270" s="11"/>
      <c r="N270" s="11"/>
      <c r="O270" s="26" t="str">
        <f t="shared" si="7"/>
        <v/>
      </c>
      <c r="P270" s="11"/>
    </row>
    <row r="271" spans="1:16" ht="15" customHeight="1" x14ac:dyDescent="0.25">
      <c r="A271" s="25"/>
      <c r="B271" s="25"/>
      <c r="C271" s="26" t="str">
        <f>IFERROR(IF(OR(A271="",B271=""),"",INDEX(Equipements!$H:$H,MATCH(A271,Equipements!$A:$A,0))&amp;"."&amp;B271),"")</f>
        <v/>
      </c>
      <c r="D271" s="11"/>
      <c r="E271" s="25"/>
      <c r="F271" s="25"/>
      <c r="G271" s="25"/>
      <c r="H271" s="11"/>
      <c r="I271" s="11"/>
      <c r="J271" s="26" t="str">
        <f t="shared" si="6"/>
        <v/>
      </c>
      <c r="K271" s="11"/>
      <c r="L271" s="11"/>
      <c r="M271" s="11"/>
      <c r="N271" s="11"/>
      <c r="O271" s="26" t="str">
        <f t="shared" si="7"/>
        <v/>
      </c>
      <c r="P271" s="11"/>
    </row>
    <row r="272" spans="1:16" ht="15" customHeight="1" x14ac:dyDescent="0.25">
      <c r="A272" s="25"/>
      <c r="B272" s="25"/>
      <c r="C272" s="26" t="str">
        <f>IFERROR(IF(OR(A272="",B272=""),"",INDEX(Equipements!$H:$H,MATCH(A272,Equipements!$A:$A,0))&amp;"."&amp;B272),"")</f>
        <v/>
      </c>
      <c r="D272" s="11"/>
      <c r="E272" s="25"/>
      <c r="F272" s="25"/>
      <c r="G272" s="25"/>
      <c r="H272" s="11"/>
      <c r="I272" s="11"/>
      <c r="J272" s="26" t="str">
        <f t="shared" si="6"/>
        <v/>
      </c>
      <c r="K272" s="11"/>
      <c r="L272" s="11"/>
      <c r="M272" s="11"/>
      <c r="N272" s="11"/>
      <c r="O272" s="26" t="str">
        <f t="shared" si="7"/>
        <v/>
      </c>
      <c r="P272" s="11"/>
    </row>
    <row r="273" spans="1:16" ht="15" customHeight="1" x14ac:dyDescent="0.25">
      <c r="A273" s="25"/>
      <c r="B273" s="25"/>
      <c r="C273" s="26" t="str">
        <f>IFERROR(IF(OR(A273="",B273=""),"",INDEX(Equipements!$H:$H,MATCH(A273,Equipements!$A:$A,0))&amp;"."&amp;B273),"")</f>
        <v/>
      </c>
      <c r="D273" s="11"/>
      <c r="E273" s="25"/>
      <c r="F273" s="25"/>
      <c r="G273" s="25"/>
      <c r="H273" s="11"/>
      <c r="I273" s="11"/>
      <c r="J273" s="26" t="str">
        <f t="shared" si="6"/>
        <v/>
      </c>
      <c r="K273" s="11"/>
      <c r="L273" s="11"/>
      <c r="M273" s="11"/>
      <c r="N273" s="11"/>
      <c r="O273" s="26" t="str">
        <f t="shared" si="7"/>
        <v/>
      </c>
      <c r="P273" s="11"/>
    </row>
    <row r="274" spans="1:16" ht="15" customHeight="1" x14ac:dyDescent="0.25">
      <c r="A274" s="25"/>
      <c r="B274" s="25"/>
      <c r="C274" s="26" t="str">
        <f>IFERROR(IF(OR(A274="",B274=""),"",INDEX(Equipements!$H:$H,MATCH(A274,Equipements!$A:$A,0))&amp;"."&amp;B274),"")</f>
        <v/>
      </c>
      <c r="D274" s="11"/>
      <c r="E274" s="25"/>
      <c r="F274" s="25"/>
      <c r="G274" s="25"/>
      <c r="H274" s="11"/>
      <c r="I274" s="11"/>
      <c r="J274" s="26" t="str">
        <f t="shared" si="6"/>
        <v/>
      </c>
      <c r="K274" s="11"/>
      <c r="L274" s="11"/>
      <c r="M274" s="11"/>
      <c r="N274" s="11"/>
      <c r="O274" s="26" t="str">
        <f t="shared" si="7"/>
        <v/>
      </c>
      <c r="P274" s="11"/>
    </row>
    <row r="275" spans="1:16" ht="15" customHeight="1" x14ac:dyDescent="0.25">
      <c r="A275" s="25"/>
      <c r="B275" s="25"/>
      <c r="C275" s="26" t="str">
        <f>IFERROR(IF(OR(A275="",B275=""),"",INDEX(Equipements!$H:$H,MATCH(A275,Equipements!$A:$A,0))&amp;"."&amp;B275),"")</f>
        <v/>
      </c>
      <c r="D275" s="11"/>
      <c r="E275" s="25"/>
      <c r="F275" s="25"/>
      <c r="G275" s="25"/>
      <c r="H275" s="11"/>
      <c r="I275" s="11"/>
      <c r="J275" s="26" t="str">
        <f t="shared" si="6"/>
        <v/>
      </c>
      <c r="K275" s="11"/>
      <c r="L275" s="11"/>
      <c r="M275" s="11"/>
      <c r="N275" s="11"/>
      <c r="O275" s="26" t="str">
        <f t="shared" si="7"/>
        <v/>
      </c>
      <c r="P275" s="11"/>
    </row>
    <row r="276" spans="1:16" ht="15" customHeight="1" x14ac:dyDescent="0.25">
      <c r="A276" s="25"/>
      <c r="B276" s="25"/>
      <c r="C276" s="26" t="str">
        <f>IFERROR(IF(OR(A276="",B276=""),"",INDEX(Equipements!$H:$H,MATCH(A276,Equipements!$A:$A,0))&amp;"."&amp;B276),"")</f>
        <v/>
      </c>
      <c r="D276" s="11"/>
      <c r="E276" s="25"/>
      <c r="F276" s="25"/>
      <c r="G276" s="25"/>
      <c r="H276" s="11"/>
      <c r="I276" s="11"/>
      <c r="J276" s="26" t="str">
        <f t="shared" si="6"/>
        <v/>
      </c>
      <c r="K276" s="11"/>
      <c r="L276" s="11"/>
      <c r="M276" s="11"/>
      <c r="N276" s="11"/>
      <c r="O276" s="26" t="str">
        <f t="shared" si="7"/>
        <v/>
      </c>
      <c r="P276" s="11"/>
    </row>
    <row r="277" spans="1:16" ht="15" customHeight="1" x14ac:dyDescent="0.25">
      <c r="A277" s="25"/>
      <c r="B277" s="25"/>
      <c r="C277" s="26" t="str">
        <f>IFERROR(IF(OR(A277="",B277=""),"",INDEX(Equipements!$H:$H,MATCH(A277,Equipements!$A:$A,0))&amp;"."&amp;B277),"")</f>
        <v/>
      </c>
      <c r="D277" s="11"/>
      <c r="E277" s="25"/>
      <c r="F277" s="25"/>
      <c r="G277" s="25"/>
      <c r="H277" s="11"/>
      <c r="I277" s="11"/>
      <c r="J277" s="26" t="str">
        <f t="shared" si="6"/>
        <v/>
      </c>
      <c r="K277" s="11"/>
      <c r="L277" s="11"/>
      <c r="M277" s="11"/>
      <c r="N277" s="11"/>
      <c r="O277" s="26" t="str">
        <f t="shared" si="7"/>
        <v/>
      </c>
      <c r="P277" s="11"/>
    </row>
    <row r="278" spans="1:16" ht="15" customHeight="1" x14ac:dyDescent="0.25">
      <c r="A278" s="25"/>
      <c r="B278" s="25"/>
      <c r="C278" s="26" t="str">
        <f>IFERROR(IF(OR(A278="",B278=""),"",INDEX(Equipements!$H:$H,MATCH(A278,Equipements!$A:$A,0))&amp;"."&amp;B278),"")</f>
        <v/>
      </c>
      <c r="D278" s="11"/>
      <c r="E278" s="25"/>
      <c r="F278" s="25"/>
      <c r="G278" s="25"/>
      <c r="H278" s="11"/>
      <c r="I278" s="11"/>
      <c r="J278" s="26" t="str">
        <f t="shared" si="6"/>
        <v/>
      </c>
      <c r="K278" s="11"/>
      <c r="L278" s="11"/>
      <c r="M278" s="11"/>
      <c r="N278" s="11"/>
      <c r="O278" s="26" t="str">
        <f t="shared" si="7"/>
        <v/>
      </c>
      <c r="P278" s="11"/>
    </row>
    <row r="279" spans="1:16" ht="15" customHeight="1" x14ac:dyDescent="0.25">
      <c r="A279" s="25"/>
      <c r="B279" s="25"/>
      <c r="C279" s="26" t="str">
        <f>IFERROR(IF(OR(A279="",B279=""),"",INDEX(Equipements!$H:$H,MATCH(A279,Equipements!$A:$A,0))&amp;"."&amp;B279),"")</f>
        <v/>
      </c>
      <c r="D279" s="11"/>
      <c r="E279" s="25"/>
      <c r="F279" s="25"/>
      <c r="G279" s="25"/>
      <c r="H279" s="11"/>
      <c r="I279" s="11"/>
      <c r="J279" s="26" t="str">
        <f t="shared" si="6"/>
        <v/>
      </c>
      <c r="K279" s="11"/>
      <c r="L279" s="11"/>
      <c r="M279" s="11"/>
      <c r="N279" s="11"/>
      <c r="O279" s="26" t="str">
        <f t="shared" si="7"/>
        <v/>
      </c>
      <c r="P279" s="11"/>
    </row>
    <row r="280" spans="1:16" ht="15" customHeight="1" x14ac:dyDescent="0.25">
      <c r="A280" s="25"/>
      <c r="B280" s="25"/>
      <c r="C280" s="26" t="str">
        <f>IFERROR(IF(OR(A280="",B280=""),"",INDEX(Equipements!$H:$H,MATCH(A280,Equipements!$A:$A,0))&amp;"."&amp;B280),"")</f>
        <v/>
      </c>
      <c r="D280" s="11"/>
      <c r="E280" s="25"/>
      <c r="F280" s="25"/>
      <c r="G280" s="25"/>
      <c r="H280" s="11"/>
      <c r="I280" s="11"/>
      <c r="J280" s="26" t="str">
        <f t="shared" si="6"/>
        <v/>
      </c>
      <c r="K280" s="11"/>
      <c r="L280" s="11"/>
      <c r="M280" s="11"/>
      <c r="N280" s="11"/>
      <c r="O280" s="26" t="str">
        <f t="shared" si="7"/>
        <v/>
      </c>
      <c r="P280" s="11"/>
    </row>
    <row r="281" spans="1:16" ht="15" customHeight="1" x14ac:dyDescent="0.25">
      <c r="A281" s="25"/>
      <c r="B281" s="25"/>
      <c r="C281" s="26" t="str">
        <f>IFERROR(IF(OR(A281="",B281=""),"",INDEX(Equipements!$H:$H,MATCH(A281,Equipements!$A:$A,0))&amp;"."&amp;B281),"")</f>
        <v/>
      </c>
      <c r="D281" s="11"/>
      <c r="E281" s="25"/>
      <c r="F281" s="25"/>
      <c r="G281" s="25"/>
      <c r="H281" s="11"/>
      <c r="I281" s="11"/>
      <c r="J281" s="26" t="str">
        <f t="shared" si="6"/>
        <v/>
      </c>
      <c r="K281" s="11"/>
      <c r="L281" s="11"/>
      <c r="M281" s="11"/>
      <c r="N281" s="11"/>
      <c r="O281" s="26" t="str">
        <f t="shared" si="7"/>
        <v/>
      </c>
      <c r="P281" s="11"/>
    </row>
    <row r="282" spans="1:16" ht="15" customHeight="1" x14ac:dyDescent="0.25">
      <c r="A282" s="25"/>
      <c r="B282" s="25"/>
      <c r="C282" s="26" t="str">
        <f>IFERROR(IF(OR(A282="",B282=""),"",INDEX(Equipements!$H:$H,MATCH(A282,Equipements!$A:$A,0))&amp;"."&amp;B282),"")</f>
        <v/>
      </c>
      <c r="D282" s="11"/>
      <c r="E282" s="25"/>
      <c r="F282" s="25"/>
      <c r="G282" s="25"/>
      <c r="H282" s="11"/>
      <c r="I282" s="11"/>
      <c r="J282" s="26" t="str">
        <f t="shared" si="6"/>
        <v/>
      </c>
      <c r="K282" s="11"/>
      <c r="L282" s="11"/>
      <c r="M282" s="11"/>
      <c r="N282" s="11"/>
      <c r="O282" s="26" t="str">
        <f t="shared" si="7"/>
        <v/>
      </c>
      <c r="P282" s="11"/>
    </row>
    <row r="283" spans="1:16" ht="15" customHeight="1" x14ac:dyDescent="0.25">
      <c r="A283" s="25"/>
      <c r="B283" s="25"/>
      <c r="C283" s="26" t="str">
        <f>IFERROR(IF(OR(A283="",B283=""),"",INDEX(Equipements!$H:$H,MATCH(A283,Equipements!$A:$A,0))&amp;"."&amp;B283),"")</f>
        <v/>
      </c>
      <c r="D283" s="11"/>
      <c r="E283" s="25"/>
      <c r="F283" s="25"/>
      <c r="G283" s="25"/>
      <c r="H283" s="11"/>
      <c r="I283" s="11"/>
      <c r="J283" s="26" t="str">
        <f t="shared" si="6"/>
        <v/>
      </c>
      <c r="K283" s="11"/>
      <c r="L283" s="11"/>
      <c r="M283" s="11"/>
      <c r="N283" s="11"/>
      <c r="O283" s="26" t="str">
        <f t="shared" si="7"/>
        <v/>
      </c>
      <c r="P283" s="11"/>
    </row>
    <row r="284" spans="1:16" ht="15" customHeight="1" x14ac:dyDescent="0.25">
      <c r="A284" s="25"/>
      <c r="B284" s="25"/>
      <c r="C284" s="26" t="str">
        <f>IFERROR(IF(OR(A284="",B284=""),"",INDEX(Equipements!$H:$H,MATCH(A284,Equipements!$A:$A,0))&amp;"."&amp;B284),"")</f>
        <v/>
      </c>
      <c r="D284" s="11"/>
      <c r="E284" s="25"/>
      <c r="F284" s="25"/>
      <c r="G284" s="25"/>
      <c r="H284" s="11"/>
      <c r="I284" s="11"/>
      <c r="J284" s="26" t="str">
        <f t="shared" si="6"/>
        <v/>
      </c>
      <c r="K284" s="11"/>
      <c r="L284" s="11"/>
      <c r="M284" s="11"/>
      <c r="N284" s="11"/>
      <c r="O284" s="26" t="str">
        <f t="shared" si="7"/>
        <v/>
      </c>
      <c r="P284" s="11"/>
    </row>
    <row r="285" spans="1:16" ht="15" customHeight="1" x14ac:dyDescent="0.25">
      <c r="A285" s="25"/>
      <c r="B285" s="25"/>
      <c r="C285" s="26" t="str">
        <f>IFERROR(IF(OR(A285="",B285=""),"",INDEX(Equipements!$H:$H,MATCH(A285,Equipements!$A:$A,0))&amp;"."&amp;B285),"")</f>
        <v/>
      </c>
      <c r="D285" s="11"/>
      <c r="E285" s="25"/>
      <c r="F285" s="25"/>
      <c r="G285" s="25"/>
      <c r="H285" s="11"/>
      <c r="I285" s="11"/>
      <c r="J285" s="26" t="str">
        <f t="shared" si="6"/>
        <v/>
      </c>
      <c r="K285" s="11"/>
      <c r="L285" s="11"/>
      <c r="M285" s="11"/>
      <c r="N285" s="11"/>
      <c r="O285" s="26" t="str">
        <f t="shared" si="7"/>
        <v/>
      </c>
      <c r="P285" s="11"/>
    </row>
    <row r="286" spans="1:16" ht="15" customHeight="1" x14ac:dyDescent="0.25">
      <c r="A286" s="25"/>
      <c r="B286" s="25"/>
      <c r="C286" s="26" t="str">
        <f>IFERROR(IF(OR(A286="",B286=""),"",INDEX(Equipements!$H:$H,MATCH(A286,Equipements!$A:$A,0))&amp;"."&amp;B286),"")</f>
        <v/>
      </c>
      <c r="D286" s="11"/>
      <c r="E286" s="25"/>
      <c r="F286" s="25"/>
      <c r="G286" s="25"/>
      <c r="H286" s="11"/>
      <c r="I286" s="11"/>
      <c r="J286" s="26" t="str">
        <f t="shared" si="6"/>
        <v/>
      </c>
      <c r="K286" s="11"/>
      <c r="L286" s="11"/>
      <c r="M286" s="11"/>
      <c r="N286" s="11"/>
      <c r="O286" s="26" t="str">
        <f t="shared" si="7"/>
        <v/>
      </c>
      <c r="P286" s="11"/>
    </row>
    <row r="287" spans="1:16" ht="15" customHeight="1" x14ac:dyDescent="0.25">
      <c r="A287" s="25"/>
      <c r="B287" s="25"/>
      <c r="C287" s="26" t="str">
        <f>IFERROR(IF(OR(A287="",B287=""),"",INDEX(Equipements!$H:$H,MATCH(A287,Equipements!$A:$A,0))&amp;"."&amp;B287),"")</f>
        <v/>
      </c>
      <c r="D287" s="11"/>
      <c r="E287" s="25"/>
      <c r="F287" s="25"/>
      <c r="G287" s="25"/>
      <c r="H287" s="11"/>
      <c r="I287" s="11"/>
      <c r="J287" s="26" t="str">
        <f t="shared" si="6"/>
        <v/>
      </c>
      <c r="K287" s="11"/>
      <c r="L287" s="11"/>
      <c r="M287" s="11"/>
      <c r="N287" s="11"/>
      <c r="O287" s="26" t="str">
        <f t="shared" si="7"/>
        <v/>
      </c>
      <c r="P287" s="11"/>
    </row>
    <row r="288" spans="1:16" ht="15" customHeight="1" x14ac:dyDescent="0.25">
      <c r="A288" s="25"/>
      <c r="B288" s="25"/>
      <c r="C288" s="26" t="str">
        <f>IFERROR(IF(OR(A288="",B288=""),"",INDEX(Equipements!$H:$H,MATCH(A288,Equipements!$A:$A,0))&amp;"."&amp;B288),"")</f>
        <v/>
      </c>
      <c r="D288" s="11"/>
      <c r="E288" s="25"/>
      <c r="F288" s="25"/>
      <c r="G288" s="25"/>
      <c r="H288" s="11"/>
      <c r="I288" s="11"/>
      <c r="J288" s="26" t="str">
        <f t="shared" si="6"/>
        <v/>
      </c>
      <c r="K288" s="11"/>
      <c r="L288" s="11"/>
      <c r="M288" s="11"/>
      <c r="N288" s="11"/>
      <c r="O288" s="26" t="str">
        <f t="shared" si="7"/>
        <v/>
      </c>
      <c r="P288" s="11"/>
    </row>
    <row r="289" spans="1:16" ht="15" customHeight="1" x14ac:dyDescent="0.25">
      <c r="A289" s="25"/>
      <c r="B289" s="25"/>
      <c r="C289" s="26" t="str">
        <f>IFERROR(IF(OR(A289="",B289=""),"",INDEX(Equipements!$H:$H,MATCH(A289,Equipements!$A:$A,0))&amp;"."&amp;B289),"")</f>
        <v/>
      </c>
      <c r="D289" s="11"/>
      <c r="E289" s="25"/>
      <c r="F289" s="25"/>
      <c r="G289" s="25"/>
      <c r="H289" s="11"/>
      <c r="I289" s="11"/>
      <c r="J289" s="26" t="str">
        <f t="shared" si="6"/>
        <v/>
      </c>
      <c r="K289" s="11"/>
      <c r="L289" s="11"/>
      <c r="M289" s="11"/>
      <c r="N289" s="11"/>
      <c r="O289" s="26" t="str">
        <f t="shared" si="7"/>
        <v/>
      </c>
      <c r="P289" s="11"/>
    </row>
    <row r="290" spans="1:16" ht="15" customHeight="1" x14ac:dyDescent="0.25">
      <c r="A290" s="25"/>
      <c r="B290" s="25"/>
      <c r="C290" s="26" t="str">
        <f>IFERROR(IF(OR(A290="",B290=""),"",INDEX(Equipements!$H:$H,MATCH(A290,Equipements!$A:$A,0))&amp;"."&amp;B290),"")</f>
        <v/>
      </c>
      <c r="D290" s="11"/>
      <c r="E290" s="25"/>
      <c r="F290" s="25"/>
      <c r="G290" s="25"/>
      <c r="H290" s="11"/>
      <c r="I290" s="11"/>
      <c r="J290" s="26" t="str">
        <f t="shared" si="6"/>
        <v/>
      </c>
      <c r="K290" s="11"/>
      <c r="L290" s="11"/>
      <c r="M290" s="11"/>
      <c r="N290" s="11"/>
      <c r="O290" s="26" t="str">
        <f t="shared" si="7"/>
        <v/>
      </c>
      <c r="P290" s="11"/>
    </row>
    <row r="291" spans="1:16" ht="15" customHeight="1" x14ac:dyDescent="0.25">
      <c r="A291" s="25"/>
      <c r="B291" s="25"/>
      <c r="C291" s="26" t="str">
        <f>IFERROR(IF(OR(A291="",B291=""),"",INDEX(Equipements!$H:$H,MATCH(A291,Equipements!$A:$A,0))&amp;"."&amp;B291),"")</f>
        <v/>
      </c>
      <c r="D291" s="11"/>
      <c r="E291" s="25"/>
      <c r="F291" s="25"/>
      <c r="G291" s="25"/>
      <c r="H291" s="11"/>
      <c r="I291" s="11"/>
      <c r="J291" s="26" t="str">
        <f t="shared" si="6"/>
        <v/>
      </c>
      <c r="K291" s="11"/>
      <c r="L291" s="11"/>
      <c r="M291" s="11"/>
      <c r="N291" s="11"/>
      <c r="O291" s="26" t="str">
        <f t="shared" si="7"/>
        <v/>
      </c>
      <c r="P291" s="11"/>
    </row>
    <row r="292" spans="1:16" ht="15" customHeight="1" x14ac:dyDescent="0.25">
      <c r="A292" s="25"/>
      <c r="B292" s="25"/>
      <c r="C292" s="26" t="str">
        <f>IFERROR(IF(OR(A292="",B292=""),"",INDEX(Equipements!$H:$H,MATCH(A292,Equipements!$A:$A,0))&amp;"."&amp;B292),"")</f>
        <v/>
      </c>
      <c r="D292" s="11"/>
      <c r="E292" s="25"/>
      <c r="F292" s="25"/>
      <c r="G292" s="25"/>
      <c r="H292" s="11"/>
      <c r="I292" s="11"/>
      <c r="J292" s="26" t="str">
        <f t="shared" si="6"/>
        <v/>
      </c>
      <c r="K292" s="11"/>
      <c r="L292" s="11"/>
      <c r="M292" s="11"/>
      <c r="N292" s="11"/>
      <c r="O292" s="26" t="str">
        <f t="shared" si="7"/>
        <v/>
      </c>
      <c r="P292" s="11"/>
    </row>
    <row r="293" spans="1:16" ht="15" customHeight="1" x14ac:dyDescent="0.25">
      <c r="A293" s="25"/>
      <c r="B293" s="25"/>
      <c r="C293" s="26" t="str">
        <f>IFERROR(IF(OR(A293="",B293=""),"",INDEX(Equipements!$H:$H,MATCH(A293,Equipements!$A:$A,0))&amp;"."&amp;B293),"")</f>
        <v/>
      </c>
      <c r="D293" s="11"/>
      <c r="E293" s="25"/>
      <c r="F293" s="25"/>
      <c r="G293" s="25"/>
      <c r="H293" s="11"/>
      <c r="I293" s="11"/>
      <c r="J293" s="26" t="str">
        <f t="shared" si="6"/>
        <v/>
      </c>
      <c r="K293" s="11"/>
      <c r="L293" s="11"/>
      <c r="M293" s="11"/>
      <c r="N293" s="11"/>
      <c r="O293" s="26" t="str">
        <f t="shared" si="7"/>
        <v/>
      </c>
      <c r="P293" s="11"/>
    </row>
    <row r="294" spans="1:16" ht="15" customHeight="1" x14ac:dyDescent="0.25">
      <c r="A294" s="25"/>
      <c r="B294" s="25"/>
      <c r="C294" s="26" t="str">
        <f>IFERROR(IF(OR(A294="",B294=""),"",INDEX(Equipements!$H:$H,MATCH(A294,Equipements!$A:$A,0))&amp;"."&amp;B294),"")</f>
        <v/>
      </c>
      <c r="D294" s="11"/>
      <c r="E294" s="25"/>
      <c r="F294" s="25"/>
      <c r="G294" s="25"/>
      <c r="H294" s="11"/>
      <c r="I294" s="11"/>
      <c r="J294" s="26" t="str">
        <f t="shared" si="6"/>
        <v/>
      </c>
      <c r="K294" s="11"/>
      <c r="L294" s="11"/>
      <c r="M294" s="11"/>
      <c r="N294" s="11"/>
      <c r="O294" s="26" t="str">
        <f t="shared" si="7"/>
        <v/>
      </c>
      <c r="P294" s="11"/>
    </row>
    <row r="295" spans="1:16" ht="15" customHeight="1" x14ac:dyDescent="0.25">
      <c r="A295" s="25"/>
      <c r="B295" s="25"/>
      <c r="C295" s="26" t="str">
        <f>IFERROR(IF(OR(A295="",B295=""),"",INDEX(Equipements!$H:$H,MATCH(A295,Equipements!$A:$A,0))&amp;"."&amp;B295),"")</f>
        <v/>
      </c>
      <c r="D295" s="11"/>
      <c r="E295" s="25"/>
      <c r="F295" s="25"/>
      <c r="G295" s="25"/>
      <c r="H295" s="11"/>
      <c r="I295" s="11"/>
      <c r="J295" s="26" t="str">
        <f t="shared" si="6"/>
        <v/>
      </c>
      <c r="K295" s="11"/>
      <c r="L295" s="11"/>
      <c r="M295" s="11"/>
      <c r="N295" s="11"/>
      <c r="O295" s="26" t="str">
        <f t="shared" si="7"/>
        <v/>
      </c>
      <c r="P295" s="11"/>
    </row>
    <row r="296" spans="1:16" ht="15" customHeight="1" x14ac:dyDescent="0.25">
      <c r="A296" s="25"/>
      <c r="B296" s="25"/>
      <c r="C296" s="26" t="str">
        <f>IFERROR(IF(OR(A296="",B296=""),"",INDEX(Equipements!$H:$H,MATCH(A296,Equipements!$A:$A,0))&amp;"."&amp;B296),"")</f>
        <v/>
      </c>
      <c r="D296" s="11"/>
      <c r="E296" s="25"/>
      <c r="F296" s="25"/>
      <c r="G296" s="25"/>
      <c r="H296" s="11"/>
      <c r="I296" s="11"/>
      <c r="J296" s="26" t="str">
        <f t="shared" si="6"/>
        <v/>
      </c>
      <c r="K296" s="11"/>
      <c r="L296" s="11"/>
      <c r="M296" s="11"/>
      <c r="N296" s="11"/>
      <c r="O296" s="26" t="str">
        <f t="shared" si="7"/>
        <v/>
      </c>
      <c r="P296" s="11"/>
    </row>
    <row r="297" spans="1:16" ht="15" customHeight="1" x14ac:dyDescent="0.25">
      <c r="A297" s="25"/>
      <c r="B297" s="25"/>
      <c r="C297" s="26" t="str">
        <f>IFERROR(IF(OR(A297="",B297=""),"",INDEX(Equipements!$H:$H,MATCH(A297,Equipements!$A:$A,0))&amp;"."&amp;B297),"")</f>
        <v/>
      </c>
      <c r="D297" s="11"/>
      <c r="E297" s="25"/>
      <c r="F297" s="25"/>
      <c r="G297" s="25"/>
      <c r="H297" s="11"/>
      <c r="I297" s="11"/>
      <c r="J297" s="26" t="str">
        <f t="shared" si="6"/>
        <v/>
      </c>
      <c r="K297" s="11"/>
      <c r="L297" s="11"/>
      <c r="M297" s="11"/>
      <c r="N297" s="11"/>
      <c r="O297" s="26" t="str">
        <f t="shared" si="7"/>
        <v/>
      </c>
      <c r="P297" s="11"/>
    </row>
    <row r="298" spans="1:16" ht="15" customHeight="1" x14ac:dyDescent="0.25">
      <c r="A298" s="25"/>
      <c r="B298" s="25"/>
      <c r="C298" s="26" t="str">
        <f>IFERROR(IF(OR(A298="",B298=""),"",INDEX(Equipements!$H:$H,MATCH(A298,Equipements!$A:$A,0))&amp;"."&amp;B298),"")</f>
        <v/>
      </c>
      <c r="D298" s="11"/>
      <c r="E298" s="25"/>
      <c r="F298" s="25"/>
      <c r="G298" s="25"/>
      <c r="H298" s="11"/>
      <c r="I298" s="11"/>
      <c r="J298" s="26" t="str">
        <f t="shared" si="6"/>
        <v/>
      </c>
      <c r="K298" s="11"/>
      <c r="L298" s="11"/>
      <c r="M298" s="11"/>
      <c r="N298" s="11"/>
      <c r="O298" s="26" t="str">
        <f t="shared" si="7"/>
        <v/>
      </c>
      <c r="P298" s="11"/>
    </row>
    <row r="299" spans="1:16" ht="15" customHeight="1" x14ac:dyDescent="0.25">
      <c r="A299" s="25"/>
      <c r="B299" s="25"/>
      <c r="C299" s="26" t="str">
        <f>IFERROR(IF(OR(A299="",B299=""),"",INDEX(Equipements!$H:$H,MATCH(A299,Equipements!$A:$A,0))&amp;"."&amp;B299),"")</f>
        <v/>
      </c>
      <c r="D299" s="11"/>
      <c r="E299" s="25"/>
      <c r="F299" s="25"/>
      <c r="G299" s="25"/>
      <c r="H299" s="11"/>
      <c r="I299" s="11"/>
      <c r="J299" s="26" t="str">
        <f t="shared" si="6"/>
        <v/>
      </c>
      <c r="K299" s="11"/>
      <c r="L299" s="11"/>
      <c r="M299" s="11"/>
      <c r="N299" s="11"/>
      <c r="O299" s="26" t="str">
        <f t="shared" si="7"/>
        <v/>
      </c>
      <c r="P299" s="11"/>
    </row>
    <row r="300" spans="1:16" ht="15" customHeight="1" x14ac:dyDescent="0.25">
      <c r="A300" s="25"/>
      <c r="B300" s="25"/>
      <c r="C300" s="26" t="str">
        <f>IFERROR(IF(OR(A300="",B300=""),"",INDEX(Equipements!$H:$H,MATCH(A300,Equipements!$A:$A,0))&amp;"."&amp;B300),"")</f>
        <v/>
      </c>
      <c r="D300" s="11"/>
      <c r="E300" s="25"/>
      <c r="F300" s="25"/>
      <c r="G300" s="25"/>
      <c r="H300" s="11"/>
      <c r="I300" s="11"/>
      <c r="J300" s="26" t="str">
        <f t="shared" si="6"/>
        <v/>
      </c>
      <c r="K300" s="11"/>
      <c r="L300" s="11"/>
      <c r="M300" s="11"/>
      <c r="N300" s="11"/>
      <c r="O300" s="26" t="str">
        <f t="shared" si="7"/>
        <v/>
      </c>
      <c r="P300" s="11"/>
    </row>
    <row r="301" spans="1:16" ht="15" customHeight="1" x14ac:dyDescent="0.25">
      <c r="A301" s="25"/>
      <c r="B301" s="25"/>
      <c r="C301" s="26" t="str">
        <f>IFERROR(IF(OR(A301="",B301=""),"",INDEX(Equipements!$H:$H,MATCH(A301,Equipements!$A:$A,0))&amp;"."&amp;B301),"")</f>
        <v/>
      </c>
      <c r="D301" s="11"/>
      <c r="E301" s="25"/>
      <c r="F301" s="25"/>
      <c r="G301" s="25"/>
      <c r="H301" s="11"/>
      <c r="I301" s="11"/>
      <c r="J301" s="26" t="str">
        <f t="shared" si="6"/>
        <v/>
      </c>
      <c r="K301" s="11"/>
      <c r="L301" s="11"/>
      <c r="M301" s="11"/>
      <c r="N301" s="11"/>
      <c r="O301" s="26" t="str">
        <f t="shared" si="7"/>
        <v/>
      </c>
      <c r="P301" s="11"/>
    </row>
    <row r="302" spans="1:16" ht="15" customHeight="1" x14ac:dyDescent="0.25">
      <c r="A302" s="25"/>
      <c r="B302" s="25"/>
      <c r="C302" s="26" t="str">
        <f>IFERROR(IF(OR(A302="",B302=""),"",INDEX(Equipements!$H:$H,MATCH(A302,Equipements!$A:$A,0))&amp;"."&amp;B302),"")</f>
        <v/>
      </c>
      <c r="D302" s="11"/>
      <c r="E302" s="25"/>
      <c r="F302" s="25"/>
      <c r="G302" s="25"/>
      <c r="H302" s="11"/>
      <c r="I302" s="11"/>
      <c r="J302" s="26" t="str">
        <f t="shared" si="6"/>
        <v/>
      </c>
      <c r="K302" s="11"/>
      <c r="L302" s="11"/>
      <c r="M302" s="11"/>
      <c r="N302" s="11"/>
      <c r="O302" s="26" t="str">
        <f t="shared" si="7"/>
        <v/>
      </c>
      <c r="P302" s="11"/>
    </row>
    <row r="303" spans="1:16" ht="15" customHeight="1" x14ac:dyDescent="0.25">
      <c r="A303" s="25"/>
      <c r="B303" s="25"/>
      <c r="C303" s="26" t="str">
        <f>IFERROR(IF(OR(A303="",B303=""),"",INDEX(Equipements!$H:$H,MATCH(A303,Equipements!$A:$A,0))&amp;"."&amp;B303),"")</f>
        <v/>
      </c>
      <c r="D303" s="11"/>
      <c r="E303" s="25"/>
      <c r="F303" s="25"/>
      <c r="G303" s="25"/>
      <c r="H303" s="11"/>
      <c r="I303" s="11"/>
      <c r="J303" s="26" t="str">
        <f t="shared" si="6"/>
        <v/>
      </c>
      <c r="K303" s="11"/>
      <c r="L303" s="11"/>
      <c r="M303" s="11"/>
      <c r="N303" s="11"/>
      <c r="O303" s="26" t="str">
        <f t="shared" si="7"/>
        <v/>
      </c>
      <c r="P303" s="11"/>
    </row>
    <row r="304" spans="1:16" ht="15" customHeight="1" x14ac:dyDescent="0.25">
      <c r="A304" s="25"/>
      <c r="B304" s="25"/>
      <c r="C304" s="26" t="str">
        <f>IFERROR(IF(OR(A304="",B304=""),"",INDEX(Equipements!$H:$H,MATCH(A304,Equipements!$A:$A,0))&amp;"."&amp;B304),"")</f>
        <v/>
      </c>
      <c r="D304" s="11"/>
      <c r="E304" s="25"/>
      <c r="F304" s="25"/>
      <c r="G304" s="25"/>
      <c r="H304" s="11"/>
      <c r="I304" s="11"/>
      <c r="J304" s="26" t="str">
        <f t="shared" si="6"/>
        <v/>
      </c>
      <c r="K304" s="11"/>
      <c r="L304" s="11"/>
      <c r="M304" s="11"/>
      <c r="N304" s="11"/>
      <c r="O304" s="26" t="str">
        <f t="shared" si="7"/>
        <v/>
      </c>
      <c r="P304" s="11"/>
    </row>
    <row r="305" spans="1:16" ht="15" customHeight="1" x14ac:dyDescent="0.25">
      <c r="A305" s="25"/>
      <c r="B305" s="25"/>
      <c r="C305" s="26" t="str">
        <f>IFERROR(IF(OR(A305="",B305=""),"",INDEX(Equipements!$H:$H,MATCH(A305,Equipements!$A:$A,0))&amp;"."&amp;B305),"")</f>
        <v/>
      </c>
      <c r="D305" s="11"/>
      <c r="E305" s="25"/>
      <c r="F305" s="25"/>
      <c r="G305" s="25"/>
      <c r="H305" s="11"/>
      <c r="I305" s="11"/>
      <c r="J305" s="26" t="str">
        <f t="shared" si="6"/>
        <v/>
      </c>
      <c r="K305" s="11"/>
      <c r="L305" s="11"/>
      <c r="M305" s="11"/>
      <c r="N305" s="11"/>
      <c r="O305" s="26" t="str">
        <f t="shared" si="7"/>
        <v/>
      </c>
      <c r="P305" s="11"/>
    </row>
    <row r="306" spans="1:16" ht="15" customHeight="1" x14ac:dyDescent="0.25">
      <c r="A306" s="25"/>
      <c r="B306" s="25"/>
      <c r="C306" s="26" t="str">
        <f>IFERROR(IF(OR(A306="",B306=""),"",INDEX(Equipements!$H:$H,MATCH(A306,Equipements!$A:$A,0))&amp;"."&amp;B306),"")</f>
        <v/>
      </c>
      <c r="D306" s="11"/>
      <c r="E306" s="25"/>
      <c r="F306" s="25"/>
      <c r="G306" s="25"/>
      <c r="H306" s="11"/>
      <c r="I306" s="11"/>
      <c r="J306" s="26" t="str">
        <f t="shared" si="6"/>
        <v/>
      </c>
      <c r="K306" s="11"/>
      <c r="L306" s="11"/>
      <c r="M306" s="11"/>
      <c r="N306" s="11"/>
      <c r="O306" s="26" t="str">
        <f t="shared" si="7"/>
        <v/>
      </c>
      <c r="P306" s="11"/>
    </row>
    <row r="307" spans="1:16" ht="15" customHeight="1" x14ac:dyDescent="0.25">
      <c r="A307" s="25"/>
      <c r="B307" s="25"/>
      <c r="C307" s="26" t="str">
        <f>IFERROR(IF(OR(A307="",B307=""),"",INDEX(Equipements!$H:$H,MATCH(A307,Equipements!$A:$A,0))&amp;"."&amp;B307),"")</f>
        <v/>
      </c>
      <c r="D307" s="11"/>
      <c r="E307" s="25"/>
      <c r="F307" s="25"/>
      <c r="G307" s="25"/>
      <c r="H307" s="11"/>
      <c r="I307" s="11"/>
      <c r="J307" s="26" t="str">
        <f t="shared" si="6"/>
        <v/>
      </c>
      <c r="K307" s="11"/>
      <c r="L307" s="11"/>
      <c r="M307" s="11"/>
      <c r="N307" s="11"/>
      <c r="O307" s="26" t="str">
        <f t="shared" si="7"/>
        <v/>
      </c>
      <c r="P307" s="11"/>
    </row>
    <row r="308" spans="1:16" ht="15" customHeight="1" x14ac:dyDescent="0.25">
      <c r="A308" s="25"/>
      <c r="B308" s="25"/>
      <c r="C308" s="26" t="str">
        <f>IFERROR(IF(OR(A308="",B308=""),"",INDEX(Equipements!$H:$H,MATCH(A308,Equipements!$A:$A,0))&amp;"."&amp;B308),"")</f>
        <v/>
      </c>
      <c r="D308" s="11"/>
      <c r="E308" s="25"/>
      <c r="F308" s="25"/>
      <c r="G308" s="25"/>
      <c r="H308" s="11"/>
      <c r="I308" s="11"/>
      <c r="J308" s="26" t="str">
        <f t="shared" si="6"/>
        <v/>
      </c>
      <c r="K308" s="11"/>
      <c r="L308" s="11"/>
      <c r="M308" s="11"/>
      <c r="N308" s="11"/>
      <c r="O308" s="26" t="str">
        <f t="shared" si="7"/>
        <v/>
      </c>
      <c r="P308" s="11"/>
    </row>
    <row r="309" spans="1:16" ht="15" customHeight="1" x14ac:dyDescent="0.25">
      <c r="A309" s="25"/>
      <c r="B309" s="25"/>
      <c r="C309" s="26" t="str">
        <f>IFERROR(IF(OR(A309="",B309=""),"",INDEX(Equipements!$H:$H,MATCH(A309,Equipements!$A:$A,0))&amp;"."&amp;B309),"")</f>
        <v/>
      </c>
      <c r="D309" s="11"/>
      <c r="E309" s="25"/>
      <c r="F309" s="25"/>
      <c r="G309" s="25"/>
      <c r="H309" s="11"/>
      <c r="I309" s="11"/>
      <c r="J309" s="26" t="str">
        <f t="shared" si="6"/>
        <v/>
      </c>
      <c r="K309" s="11"/>
      <c r="L309" s="11"/>
      <c r="M309" s="11"/>
      <c r="N309" s="11"/>
      <c r="O309" s="26" t="str">
        <f t="shared" si="7"/>
        <v/>
      </c>
      <c r="P309" s="11"/>
    </row>
    <row r="310" spans="1:16" ht="15" customHeight="1" x14ac:dyDescent="0.25">
      <c r="A310" s="25"/>
      <c r="B310" s="25"/>
      <c r="C310" s="26" t="str">
        <f>IFERROR(IF(OR(A310="",B310=""),"",INDEX(Equipements!$H:$H,MATCH(A310,Equipements!$A:$A,0))&amp;"."&amp;B310),"")</f>
        <v/>
      </c>
      <c r="D310" s="11"/>
      <c r="E310" s="25"/>
      <c r="F310" s="25"/>
      <c r="G310" s="25"/>
      <c r="H310" s="11"/>
      <c r="I310" s="11"/>
      <c r="J310" s="26" t="str">
        <f t="shared" si="6"/>
        <v/>
      </c>
      <c r="K310" s="11"/>
      <c r="L310" s="11"/>
      <c r="M310" s="11"/>
      <c r="N310" s="11"/>
      <c r="O310" s="26" t="str">
        <f t="shared" si="7"/>
        <v/>
      </c>
      <c r="P310" s="11"/>
    </row>
    <row r="311" spans="1:16" ht="15" customHeight="1" x14ac:dyDescent="0.25">
      <c r="A311" s="25"/>
      <c r="B311" s="25"/>
      <c r="C311" s="26" t="str">
        <f>IFERROR(IF(OR(A311="",B311=""),"",INDEX(Equipements!$H:$H,MATCH(A311,Equipements!$A:$A,0))&amp;"."&amp;B311),"")</f>
        <v/>
      </c>
      <c r="D311" s="11"/>
      <c r="E311" s="25"/>
      <c r="F311" s="25"/>
      <c r="G311" s="25"/>
      <c r="H311" s="11"/>
      <c r="I311" s="11"/>
      <c r="J311" s="26" t="str">
        <f t="shared" si="6"/>
        <v/>
      </c>
      <c r="K311" s="11"/>
      <c r="L311" s="11"/>
      <c r="M311" s="11"/>
      <c r="N311" s="11"/>
      <c r="O311" s="26" t="str">
        <f t="shared" si="7"/>
        <v/>
      </c>
      <c r="P311" s="11"/>
    </row>
    <row r="312" spans="1:16" ht="15" customHeight="1" x14ac:dyDescent="0.25">
      <c r="A312" s="25"/>
      <c r="B312" s="25"/>
      <c r="C312" s="26" t="str">
        <f>IFERROR(IF(OR(A312="",B312=""),"",INDEX(Equipements!$H:$H,MATCH(A312,Equipements!$A:$A,0))&amp;"."&amp;B312),"")</f>
        <v/>
      </c>
      <c r="D312" s="11"/>
      <c r="E312" s="25"/>
      <c r="F312" s="25"/>
      <c r="G312" s="25"/>
      <c r="H312" s="11"/>
      <c r="I312" s="11"/>
      <c r="J312" s="26" t="str">
        <f t="shared" si="6"/>
        <v/>
      </c>
      <c r="K312" s="11"/>
      <c r="L312" s="11"/>
      <c r="M312" s="11"/>
      <c r="N312" s="11"/>
      <c r="O312" s="26" t="str">
        <f t="shared" si="7"/>
        <v/>
      </c>
      <c r="P312" s="11"/>
    </row>
    <row r="313" spans="1:16" ht="15" customHeight="1" x14ac:dyDescent="0.25">
      <c r="A313" s="25"/>
      <c r="B313" s="25"/>
      <c r="C313" s="26" t="str">
        <f>IFERROR(IF(OR(A313="",B313=""),"",INDEX(Equipements!$H:$H,MATCH(A313,Equipements!$A:$A,0))&amp;"."&amp;B313),"")</f>
        <v/>
      </c>
      <c r="D313" s="11"/>
      <c r="E313" s="25"/>
      <c r="F313" s="25"/>
      <c r="G313" s="25"/>
      <c r="H313" s="11"/>
      <c r="I313" s="11"/>
      <c r="J313" s="26" t="str">
        <f t="shared" si="6"/>
        <v/>
      </c>
      <c r="K313" s="11"/>
      <c r="L313" s="11"/>
      <c r="M313" s="11"/>
      <c r="N313" s="11"/>
      <c r="O313" s="26" t="str">
        <f t="shared" si="7"/>
        <v/>
      </c>
      <c r="P313" s="11"/>
    </row>
    <row r="314" spans="1:16" ht="15" customHeight="1" x14ac:dyDescent="0.25">
      <c r="A314" s="25"/>
      <c r="B314" s="25"/>
      <c r="C314" s="26" t="str">
        <f>IFERROR(IF(OR(A314="",B314=""),"",INDEX(Equipements!$H:$H,MATCH(A314,Equipements!$A:$A,0))&amp;"."&amp;B314),"")</f>
        <v/>
      </c>
      <c r="D314" s="11"/>
      <c r="E314" s="25"/>
      <c r="F314" s="25"/>
      <c r="G314" s="25"/>
      <c r="H314" s="11"/>
      <c r="I314" s="11"/>
      <c r="J314" s="26" t="str">
        <f t="shared" si="6"/>
        <v/>
      </c>
      <c r="K314" s="11"/>
      <c r="L314" s="11"/>
      <c r="M314" s="11"/>
      <c r="N314" s="11"/>
      <c r="O314" s="26" t="str">
        <f t="shared" si="7"/>
        <v/>
      </c>
      <c r="P314" s="11"/>
    </row>
    <row r="315" spans="1:16" ht="15" customHeight="1" x14ac:dyDescent="0.25">
      <c r="A315" s="25"/>
      <c r="B315" s="25"/>
      <c r="C315" s="26" t="str">
        <f>IFERROR(IF(OR(A315="",B315=""),"",INDEX(Equipements!$H:$H,MATCH(A315,Equipements!$A:$A,0))&amp;"."&amp;B315),"")</f>
        <v/>
      </c>
      <c r="D315" s="11"/>
      <c r="E315" s="25"/>
      <c r="F315" s="25"/>
      <c r="G315" s="25"/>
      <c r="H315" s="11"/>
      <c r="I315" s="11"/>
      <c r="J315" s="26" t="str">
        <f t="shared" si="6"/>
        <v/>
      </c>
      <c r="K315" s="11"/>
      <c r="L315" s="11"/>
      <c r="M315" s="11"/>
      <c r="N315" s="11"/>
      <c r="O315" s="26" t="str">
        <f t="shared" si="7"/>
        <v/>
      </c>
      <c r="P315" s="11"/>
    </row>
    <row r="316" spans="1:16" ht="15" customHeight="1" x14ac:dyDescent="0.25">
      <c r="A316" s="25"/>
      <c r="B316" s="25"/>
      <c r="C316" s="26" t="str">
        <f>IFERROR(IF(OR(A316="",B316=""),"",INDEX(Equipements!$H:$H,MATCH(A316,Equipements!$A:$A,0))&amp;"."&amp;B316),"")</f>
        <v/>
      </c>
      <c r="D316" s="11"/>
      <c r="E316" s="25"/>
      <c r="F316" s="25"/>
      <c r="G316" s="25"/>
      <c r="H316" s="11"/>
      <c r="I316" s="11"/>
      <c r="J316" s="26" t="str">
        <f t="shared" si="6"/>
        <v/>
      </c>
      <c r="K316" s="11"/>
      <c r="L316" s="11"/>
      <c r="M316" s="11"/>
      <c r="N316" s="11"/>
      <c r="O316" s="26" t="str">
        <f t="shared" si="7"/>
        <v/>
      </c>
      <c r="P316" s="11"/>
    </row>
    <row r="317" spans="1:16" ht="15" customHeight="1" x14ac:dyDescent="0.25">
      <c r="A317" s="25"/>
      <c r="B317" s="25"/>
      <c r="C317" s="26" t="str">
        <f>IFERROR(IF(OR(A317="",B317=""),"",INDEX(Equipements!$H:$H,MATCH(A317,Equipements!$A:$A,0))&amp;"."&amp;B317),"")</f>
        <v/>
      </c>
      <c r="D317" s="11"/>
      <c r="E317" s="25"/>
      <c r="F317" s="25"/>
      <c r="G317" s="25"/>
      <c r="H317" s="11"/>
      <c r="I317" s="11"/>
      <c r="J317" s="26" t="str">
        <f t="shared" si="6"/>
        <v/>
      </c>
      <c r="K317" s="11"/>
      <c r="L317" s="11"/>
      <c r="M317" s="11"/>
      <c r="N317" s="11"/>
      <c r="O317" s="26" t="str">
        <f t="shared" si="7"/>
        <v/>
      </c>
      <c r="P317" s="11"/>
    </row>
    <row r="318" spans="1:16" ht="15" customHeight="1" x14ac:dyDescent="0.25">
      <c r="A318" s="25"/>
      <c r="B318" s="25"/>
      <c r="C318" s="26" t="str">
        <f>IFERROR(IF(OR(A318="",B318=""),"",INDEX(Equipements!$H:$H,MATCH(A318,Equipements!$A:$A,0))&amp;"."&amp;B318),"")</f>
        <v/>
      </c>
      <c r="D318" s="11"/>
      <c r="E318" s="25"/>
      <c r="F318" s="25"/>
      <c r="G318" s="25"/>
      <c r="H318" s="11"/>
      <c r="I318" s="11"/>
      <c r="J318" s="26" t="str">
        <f t="shared" si="6"/>
        <v/>
      </c>
      <c r="K318" s="11"/>
      <c r="L318" s="11"/>
      <c r="M318" s="11"/>
      <c r="N318" s="11"/>
      <c r="O318" s="26" t="str">
        <f t="shared" si="7"/>
        <v/>
      </c>
      <c r="P318" s="11"/>
    </row>
    <row r="319" spans="1:16" ht="15" customHeight="1" x14ac:dyDescent="0.25">
      <c r="A319" s="25"/>
      <c r="B319" s="25"/>
      <c r="C319" s="26" t="str">
        <f>IFERROR(IF(OR(A319="",B319=""),"",INDEX(Equipements!$H:$H,MATCH(A319,Equipements!$A:$A,0))&amp;"."&amp;B319),"")</f>
        <v/>
      </c>
      <c r="D319" s="11"/>
      <c r="E319" s="25"/>
      <c r="F319" s="25"/>
      <c r="G319" s="25"/>
      <c r="H319" s="11"/>
      <c r="I319" s="11"/>
      <c r="J319" s="26" t="str">
        <f t="shared" si="6"/>
        <v/>
      </c>
      <c r="K319" s="11"/>
      <c r="L319" s="11"/>
      <c r="M319" s="11"/>
      <c r="N319" s="11"/>
      <c r="O319" s="26" t="str">
        <f t="shared" si="7"/>
        <v/>
      </c>
      <c r="P319" s="11"/>
    </row>
    <row r="320" spans="1:16" ht="15" customHeight="1" x14ac:dyDescent="0.25">
      <c r="A320" s="25"/>
      <c r="B320" s="25"/>
      <c r="C320" s="26" t="str">
        <f>IFERROR(IF(OR(A320="",B320=""),"",INDEX(Equipements!$H:$H,MATCH(A320,Equipements!$A:$A,0))&amp;"."&amp;B320),"")</f>
        <v/>
      </c>
      <c r="D320" s="11"/>
      <c r="E320" s="25"/>
      <c r="F320" s="25"/>
      <c r="G320" s="25"/>
      <c r="H320" s="11"/>
      <c r="I320" s="11"/>
      <c r="J320" s="26" t="str">
        <f t="shared" si="6"/>
        <v/>
      </c>
      <c r="K320" s="11"/>
      <c r="L320" s="11"/>
      <c r="M320" s="11"/>
      <c r="N320" s="11"/>
      <c r="O320" s="26" t="str">
        <f t="shared" si="7"/>
        <v/>
      </c>
      <c r="P320" s="11"/>
    </row>
    <row r="321" spans="1:16" ht="15" customHeight="1" x14ac:dyDescent="0.25">
      <c r="A321" s="25"/>
      <c r="B321" s="25"/>
      <c r="C321" s="26" t="str">
        <f>IFERROR(IF(OR(A321="",B321=""),"",INDEX(Equipements!$H:$H,MATCH(A321,Equipements!$A:$A,0))&amp;"."&amp;B321),"")</f>
        <v/>
      </c>
      <c r="D321" s="11"/>
      <c r="E321" s="25"/>
      <c r="F321" s="25"/>
      <c r="G321" s="25"/>
      <c r="H321" s="11"/>
      <c r="I321" s="11"/>
      <c r="J321" s="26" t="str">
        <f t="shared" si="6"/>
        <v/>
      </c>
      <c r="K321" s="11"/>
      <c r="L321" s="11"/>
      <c r="M321" s="11"/>
      <c r="N321" s="11"/>
      <c r="O321" s="26" t="str">
        <f t="shared" si="7"/>
        <v/>
      </c>
      <c r="P321" s="11"/>
    </row>
    <row r="322" spans="1:16" ht="15" customHeight="1" x14ac:dyDescent="0.25">
      <c r="A322" s="25"/>
      <c r="B322" s="25"/>
      <c r="C322" s="26" t="str">
        <f>IFERROR(IF(OR(A322="",B322=""),"",INDEX(Equipements!$H:$H,MATCH(A322,Equipements!$A:$A,0))&amp;"."&amp;B322),"")</f>
        <v/>
      </c>
      <c r="D322" s="11"/>
      <c r="E322" s="25"/>
      <c r="F322" s="25"/>
      <c r="G322" s="25"/>
      <c r="H322" s="11"/>
      <c r="I322" s="11"/>
      <c r="J322" s="26" t="str">
        <f t="shared" si="6"/>
        <v/>
      </c>
      <c r="K322" s="11"/>
      <c r="L322" s="11"/>
      <c r="M322" s="11"/>
      <c r="N322" s="11"/>
      <c r="O322" s="26" t="str">
        <f t="shared" si="7"/>
        <v/>
      </c>
      <c r="P322" s="11"/>
    </row>
    <row r="323" spans="1:16" ht="15" customHeight="1" x14ac:dyDescent="0.25">
      <c r="A323" s="25"/>
      <c r="B323" s="25"/>
      <c r="C323" s="26" t="str">
        <f>IFERROR(IF(OR(A323="",B323=""),"",INDEX(Equipements!$H:$H,MATCH(A323,Equipements!$A:$A,0))&amp;"."&amp;B323),"")</f>
        <v/>
      </c>
      <c r="D323" s="11"/>
      <c r="E323" s="25"/>
      <c r="F323" s="25"/>
      <c r="G323" s="25"/>
      <c r="H323" s="11"/>
      <c r="I323" s="11"/>
      <c r="J323" s="26" t="str">
        <f t="shared" si="6"/>
        <v/>
      </c>
      <c r="K323" s="11"/>
      <c r="L323" s="11"/>
      <c r="M323" s="11"/>
      <c r="N323" s="11"/>
      <c r="O323" s="26" t="str">
        <f t="shared" si="7"/>
        <v/>
      </c>
      <c r="P323" s="11"/>
    </row>
    <row r="324" spans="1:16" ht="15" customHeight="1" x14ac:dyDescent="0.25">
      <c r="A324" s="25"/>
      <c r="B324" s="25"/>
      <c r="C324" s="26" t="str">
        <f>IFERROR(IF(OR(A324="",B324=""),"",INDEX(Equipements!$H:$H,MATCH(A324,Equipements!$A:$A,0))&amp;"."&amp;B324),"")</f>
        <v/>
      </c>
      <c r="D324" s="11"/>
      <c r="E324" s="25"/>
      <c r="F324" s="25"/>
      <c r="G324" s="25"/>
      <c r="H324" s="11"/>
      <c r="I324" s="11"/>
      <c r="J324" s="26" t="str">
        <f t="shared" si="6"/>
        <v/>
      </c>
      <c r="K324" s="11"/>
      <c r="L324" s="11"/>
      <c r="M324" s="11"/>
      <c r="N324" s="11"/>
      <c r="O324" s="26" t="str">
        <f t="shared" si="7"/>
        <v/>
      </c>
      <c r="P324" s="11"/>
    </row>
    <row r="325" spans="1:16" ht="15" customHeight="1" x14ac:dyDescent="0.25">
      <c r="A325" s="25"/>
      <c r="B325" s="25"/>
      <c r="C325" s="26" t="str">
        <f>IFERROR(IF(OR(A325="",B325=""),"",INDEX(Equipements!$H:$H,MATCH(A325,Equipements!$A:$A,0))&amp;"."&amp;B325),"")</f>
        <v/>
      </c>
      <c r="D325" s="11"/>
      <c r="E325" s="25"/>
      <c r="F325" s="25"/>
      <c r="G325" s="25"/>
      <c r="H325" s="11"/>
      <c r="I325" s="11"/>
      <c r="J325" s="26" t="str">
        <f t="shared" si="6"/>
        <v/>
      </c>
      <c r="K325" s="11"/>
      <c r="L325" s="11"/>
      <c r="M325" s="11"/>
      <c r="N325" s="11"/>
      <c r="O325" s="26" t="str">
        <f t="shared" si="7"/>
        <v/>
      </c>
      <c r="P325" s="11"/>
    </row>
    <row r="326" spans="1:16" ht="15" customHeight="1" x14ac:dyDescent="0.25">
      <c r="A326" s="25"/>
      <c r="B326" s="25"/>
      <c r="C326" s="26" t="str">
        <f>IFERROR(IF(OR(A326="",B326=""),"",INDEX(Equipements!$H:$H,MATCH(A326,Equipements!$A:$A,0))&amp;"."&amp;B326),"")</f>
        <v/>
      </c>
      <c r="D326" s="11"/>
      <c r="E326" s="25"/>
      <c r="F326" s="25"/>
      <c r="G326" s="25"/>
      <c r="H326" s="11"/>
      <c r="I326" s="11"/>
      <c r="J326" s="26" t="str">
        <f t="shared" si="6"/>
        <v/>
      </c>
      <c r="K326" s="11"/>
      <c r="L326" s="11"/>
      <c r="M326" s="11"/>
      <c r="N326" s="11"/>
      <c r="O326" s="26" t="str">
        <f t="shared" si="7"/>
        <v/>
      </c>
      <c r="P326" s="11"/>
    </row>
    <row r="327" spans="1:16" ht="15" customHeight="1" x14ac:dyDescent="0.25">
      <c r="A327" s="25"/>
      <c r="B327" s="25"/>
      <c r="C327" s="26" t="str">
        <f>IFERROR(IF(OR(A327="",B327=""),"",INDEX(Equipements!$H:$H,MATCH(A327,Equipements!$A:$A,0))&amp;"."&amp;B327),"")</f>
        <v/>
      </c>
      <c r="D327" s="11"/>
      <c r="E327" s="25"/>
      <c r="F327" s="25"/>
      <c r="G327" s="25"/>
      <c r="H327" s="11"/>
      <c r="I327" s="11"/>
      <c r="J327" s="26" t="str">
        <f t="shared" si="6"/>
        <v/>
      </c>
      <c r="K327" s="11"/>
      <c r="L327" s="11"/>
      <c r="M327" s="11"/>
      <c r="N327" s="11"/>
      <c r="O327" s="26" t="str">
        <f t="shared" si="7"/>
        <v/>
      </c>
      <c r="P327" s="11"/>
    </row>
    <row r="328" spans="1:16" ht="15" customHeight="1" x14ac:dyDescent="0.25">
      <c r="A328" s="25"/>
      <c r="B328" s="25"/>
      <c r="C328" s="26" t="str">
        <f>IFERROR(IF(OR(A328="",B328=""),"",INDEX(Equipements!$H:$H,MATCH(A328,Equipements!$A:$A,0))&amp;"."&amp;B328),"")</f>
        <v/>
      </c>
      <c r="D328" s="11"/>
      <c r="E328" s="25"/>
      <c r="F328" s="25"/>
      <c r="G328" s="25"/>
      <c r="H328" s="11"/>
      <c r="I328" s="11"/>
      <c r="J328" s="26" t="str">
        <f t="shared" si="6"/>
        <v/>
      </c>
      <c r="K328" s="11"/>
      <c r="L328" s="11"/>
      <c r="M328" s="11"/>
      <c r="N328" s="11"/>
      <c r="O328" s="26" t="str">
        <f t="shared" si="7"/>
        <v/>
      </c>
      <c r="P328" s="11"/>
    </row>
    <row r="329" spans="1:16" ht="15" customHeight="1" x14ac:dyDescent="0.25">
      <c r="A329" s="25"/>
      <c r="B329" s="25"/>
      <c r="C329" s="26" t="str">
        <f>IFERROR(IF(OR(A329="",B329=""),"",INDEX(Equipements!$H:$H,MATCH(A329,Equipements!$A:$A,0))&amp;"."&amp;B329),"")</f>
        <v/>
      </c>
      <c r="D329" s="11"/>
      <c r="E329" s="25"/>
      <c r="F329" s="25"/>
      <c r="G329" s="25"/>
      <c r="H329" s="11"/>
      <c r="I329" s="11"/>
      <c r="J329" s="26" t="str">
        <f t="shared" ref="J329:J392" si="8">IF(OR(G329="",H329=""),"","%"&amp;G329&amp;H329)</f>
        <v/>
      </c>
      <c r="K329" s="11"/>
      <c r="L329" s="11"/>
      <c r="M329" s="11"/>
      <c r="N329" s="11"/>
      <c r="O329" s="26" t="str">
        <f t="shared" ref="O329:O392" si="9">IF(H329="","",IF(I329="","mot entier","bit "&amp;I329))</f>
        <v/>
      </c>
      <c r="P329" s="11"/>
    </row>
    <row r="330" spans="1:16" ht="15" customHeight="1" x14ac:dyDescent="0.25">
      <c r="A330" s="25"/>
      <c r="B330" s="25"/>
      <c r="C330" s="26" t="str">
        <f>IFERROR(IF(OR(A330="",B330=""),"",INDEX(Equipements!$H:$H,MATCH(A330,Equipements!$A:$A,0))&amp;"."&amp;B330),"")</f>
        <v/>
      </c>
      <c r="D330" s="11"/>
      <c r="E330" s="25"/>
      <c r="F330" s="25"/>
      <c r="G330" s="25"/>
      <c r="H330" s="11"/>
      <c r="I330" s="11"/>
      <c r="J330" s="26" t="str">
        <f t="shared" si="8"/>
        <v/>
      </c>
      <c r="K330" s="11"/>
      <c r="L330" s="11"/>
      <c r="M330" s="11"/>
      <c r="N330" s="11"/>
      <c r="O330" s="26" t="str">
        <f t="shared" si="9"/>
        <v/>
      </c>
      <c r="P330" s="11"/>
    </row>
    <row r="331" spans="1:16" ht="15" customHeight="1" x14ac:dyDescent="0.25">
      <c r="A331" s="25"/>
      <c r="B331" s="25"/>
      <c r="C331" s="26" t="str">
        <f>IFERROR(IF(OR(A331="",B331=""),"",INDEX(Equipements!$H:$H,MATCH(A331,Equipements!$A:$A,0))&amp;"."&amp;B331),"")</f>
        <v/>
      </c>
      <c r="D331" s="11"/>
      <c r="E331" s="25"/>
      <c r="F331" s="25"/>
      <c r="G331" s="25"/>
      <c r="H331" s="11"/>
      <c r="I331" s="11"/>
      <c r="J331" s="26" t="str">
        <f t="shared" si="8"/>
        <v/>
      </c>
      <c r="K331" s="11"/>
      <c r="L331" s="11"/>
      <c r="M331" s="11"/>
      <c r="N331" s="11"/>
      <c r="O331" s="26" t="str">
        <f t="shared" si="9"/>
        <v/>
      </c>
      <c r="P331" s="11"/>
    </row>
    <row r="332" spans="1:16" ht="15" customHeight="1" x14ac:dyDescent="0.25">
      <c r="A332" s="25"/>
      <c r="B332" s="25"/>
      <c r="C332" s="26" t="str">
        <f>IFERROR(IF(OR(A332="",B332=""),"",INDEX(Equipements!$H:$H,MATCH(A332,Equipements!$A:$A,0))&amp;"."&amp;B332),"")</f>
        <v/>
      </c>
      <c r="D332" s="11"/>
      <c r="E332" s="25"/>
      <c r="F332" s="25"/>
      <c r="G332" s="25"/>
      <c r="H332" s="11"/>
      <c r="I332" s="11"/>
      <c r="J332" s="26" t="str">
        <f t="shared" si="8"/>
        <v/>
      </c>
      <c r="K332" s="11"/>
      <c r="L332" s="11"/>
      <c r="M332" s="11"/>
      <c r="N332" s="11"/>
      <c r="O332" s="26" t="str">
        <f t="shared" si="9"/>
        <v/>
      </c>
      <c r="P332" s="11"/>
    </row>
    <row r="333" spans="1:16" ht="15" customHeight="1" x14ac:dyDescent="0.25">
      <c r="A333" s="25"/>
      <c r="B333" s="25"/>
      <c r="C333" s="26" t="str">
        <f>IFERROR(IF(OR(A333="",B333=""),"",INDEX(Equipements!$H:$H,MATCH(A333,Equipements!$A:$A,0))&amp;"."&amp;B333),"")</f>
        <v/>
      </c>
      <c r="D333" s="11"/>
      <c r="E333" s="25"/>
      <c r="F333" s="25"/>
      <c r="G333" s="25"/>
      <c r="H333" s="11"/>
      <c r="I333" s="11"/>
      <c r="J333" s="26" t="str">
        <f t="shared" si="8"/>
        <v/>
      </c>
      <c r="K333" s="11"/>
      <c r="L333" s="11"/>
      <c r="M333" s="11"/>
      <c r="N333" s="11"/>
      <c r="O333" s="26" t="str">
        <f t="shared" si="9"/>
        <v/>
      </c>
      <c r="P333" s="11"/>
    </row>
    <row r="334" spans="1:16" ht="15" customHeight="1" x14ac:dyDescent="0.25">
      <c r="A334" s="25"/>
      <c r="B334" s="25"/>
      <c r="C334" s="26" t="str">
        <f>IFERROR(IF(OR(A334="",B334=""),"",INDEX(Equipements!$H:$H,MATCH(A334,Equipements!$A:$A,0))&amp;"."&amp;B334),"")</f>
        <v/>
      </c>
      <c r="D334" s="11"/>
      <c r="E334" s="25"/>
      <c r="F334" s="25"/>
      <c r="G334" s="25"/>
      <c r="H334" s="11"/>
      <c r="I334" s="11"/>
      <c r="J334" s="26" t="str">
        <f t="shared" si="8"/>
        <v/>
      </c>
      <c r="K334" s="11"/>
      <c r="L334" s="11"/>
      <c r="M334" s="11"/>
      <c r="N334" s="11"/>
      <c r="O334" s="26" t="str">
        <f t="shared" si="9"/>
        <v/>
      </c>
      <c r="P334" s="11"/>
    </row>
    <row r="335" spans="1:16" ht="15" customHeight="1" x14ac:dyDescent="0.25">
      <c r="A335" s="25"/>
      <c r="B335" s="25"/>
      <c r="C335" s="26" t="str">
        <f>IFERROR(IF(OR(A335="",B335=""),"",INDEX(Equipements!$H:$H,MATCH(A335,Equipements!$A:$A,0))&amp;"."&amp;B335),"")</f>
        <v/>
      </c>
      <c r="D335" s="11"/>
      <c r="E335" s="25"/>
      <c r="F335" s="25"/>
      <c r="G335" s="25"/>
      <c r="H335" s="11"/>
      <c r="I335" s="11"/>
      <c r="J335" s="26" t="str">
        <f t="shared" si="8"/>
        <v/>
      </c>
      <c r="K335" s="11"/>
      <c r="L335" s="11"/>
      <c r="M335" s="11"/>
      <c r="N335" s="11"/>
      <c r="O335" s="26" t="str">
        <f t="shared" si="9"/>
        <v/>
      </c>
      <c r="P335" s="11"/>
    </row>
    <row r="336" spans="1:16" ht="15" customHeight="1" x14ac:dyDescent="0.25">
      <c r="A336" s="25"/>
      <c r="B336" s="25"/>
      <c r="C336" s="26" t="str">
        <f>IFERROR(IF(OR(A336="",B336=""),"",INDEX(Equipements!$H:$H,MATCH(A336,Equipements!$A:$A,0))&amp;"."&amp;B336),"")</f>
        <v/>
      </c>
      <c r="D336" s="11"/>
      <c r="E336" s="25"/>
      <c r="F336" s="25"/>
      <c r="G336" s="25"/>
      <c r="H336" s="11"/>
      <c r="I336" s="11"/>
      <c r="J336" s="26" t="str">
        <f t="shared" si="8"/>
        <v/>
      </c>
      <c r="K336" s="11"/>
      <c r="L336" s="11"/>
      <c r="M336" s="11"/>
      <c r="N336" s="11"/>
      <c r="O336" s="26" t="str">
        <f t="shared" si="9"/>
        <v/>
      </c>
      <c r="P336" s="11"/>
    </row>
    <row r="337" spans="1:16" ht="15" customHeight="1" x14ac:dyDescent="0.25">
      <c r="A337" s="25"/>
      <c r="B337" s="25"/>
      <c r="C337" s="26" t="str">
        <f>IFERROR(IF(OR(A337="",B337=""),"",INDEX(Equipements!$H:$H,MATCH(A337,Equipements!$A:$A,0))&amp;"."&amp;B337),"")</f>
        <v/>
      </c>
      <c r="D337" s="11"/>
      <c r="E337" s="25"/>
      <c r="F337" s="25"/>
      <c r="G337" s="25"/>
      <c r="H337" s="11"/>
      <c r="I337" s="11"/>
      <c r="J337" s="26" t="str">
        <f t="shared" si="8"/>
        <v/>
      </c>
      <c r="K337" s="11"/>
      <c r="L337" s="11"/>
      <c r="M337" s="11"/>
      <c r="N337" s="11"/>
      <c r="O337" s="26" t="str">
        <f t="shared" si="9"/>
        <v/>
      </c>
      <c r="P337" s="11"/>
    </row>
    <row r="338" spans="1:16" ht="15" customHeight="1" x14ac:dyDescent="0.25">
      <c r="A338" s="25"/>
      <c r="B338" s="25"/>
      <c r="C338" s="26" t="str">
        <f>IFERROR(IF(OR(A338="",B338=""),"",INDEX(Equipements!$H:$H,MATCH(A338,Equipements!$A:$A,0))&amp;"."&amp;B338),"")</f>
        <v/>
      </c>
      <c r="D338" s="11"/>
      <c r="E338" s="25"/>
      <c r="F338" s="25"/>
      <c r="G338" s="25"/>
      <c r="H338" s="11"/>
      <c r="I338" s="11"/>
      <c r="J338" s="26" t="str">
        <f t="shared" si="8"/>
        <v/>
      </c>
      <c r="K338" s="11"/>
      <c r="L338" s="11"/>
      <c r="M338" s="11"/>
      <c r="N338" s="11"/>
      <c r="O338" s="26" t="str">
        <f t="shared" si="9"/>
        <v/>
      </c>
      <c r="P338" s="11"/>
    </row>
    <row r="339" spans="1:16" ht="15" customHeight="1" x14ac:dyDescent="0.25">
      <c r="A339" s="25"/>
      <c r="B339" s="25"/>
      <c r="C339" s="26" t="str">
        <f>IFERROR(IF(OR(A339="",B339=""),"",INDEX(Equipements!$H:$H,MATCH(A339,Equipements!$A:$A,0))&amp;"."&amp;B339),"")</f>
        <v/>
      </c>
      <c r="D339" s="11"/>
      <c r="E339" s="25"/>
      <c r="F339" s="25"/>
      <c r="G339" s="25"/>
      <c r="H339" s="11"/>
      <c r="I339" s="11"/>
      <c r="J339" s="26" t="str">
        <f t="shared" si="8"/>
        <v/>
      </c>
      <c r="K339" s="11"/>
      <c r="L339" s="11"/>
      <c r="M339" s="11"/>
      <c r="N339" s="11"/>
      <c r="O339" s="26" t="str">
        <f t="shared" si="9"/>
        <v/>
      </c>
      <c r="P339" s="11"/>
    </row>
    <row r="340" spans="1:16" ht="15" customHeight="1" x14ac:dyDescent="0.25">
      <c r="A340" s="25"/>
      <c r="B340" s="25"/>
      <c r="C340" s="26" t="str">
        <f>IFERROR(IF(OR(A340="",B340=""),"",INDEX(Equipements!$H:$H,MATCH(A340,Equipements!$A:$A,0))&amp;"."&amp;B340),"")</f>
        <v/>
      </c>
      <c r="D340" s="11"/>
      <c r="E340" s="25"/>
      <c r="F340" s="25"/>
      <c r="G340" s="25"/>
      <c r="H340" s="11"/>
      <c r="I340" s="11"/>
      <c r="J340" s="26" t="str">
        <f t="shared" si="8"/>
        <v/>
      </c>
      <c r="K340" s="11"/>
      <c r="L340" s="11"/>
      <c r="M340" s="11"/>
      <c r="N340" s="11"/>
      <c r="O340" s="26" t="str">
        <f t="shared" si="9"/>
        <v/>
      </c>
      <c r="P340" s="11"/>
    </row>
    <row r="341" spans="1:16" ht="15" customHeight="1" x14ac:dyDescent="0.25">
      <c r="A341" s="25"/>
      <c r="B341" s="25"/>
      <c r="C341" s="26" t="str">
        <f>IFERROR(IF(OR(A341="",B341=""),"",INDEX(Equipements!$H:$H,MATCH(A341,Equipements!$A:$A,0))&amp;"."&amp;B341),"")</f>
        <v/>
      </c>
      <c r="D341" s="11"/>
      <c r="E341" s="25"/>
      <c r="F341" s="25"/>
      <c r="G341" s="25"/>
      <c r="H341" s="11"/>
      <c r="I341" s="11"/>
      <c r="J341" s="26" t="str">
        <f t="shared" si="8"/>
        <v/>
      </c>
      <c r="K341" s="11"/>
      <c r="L341" s="11"/>
      <c r="M341" s="11"/>
      <c r="N341" s="11"/>
      <c r="O341" s="26" t="str">
        <f t="shared" si="9"/>
        <v/>
      </c>
      <c r="P341" s="11"/>
    </row>
    <row r="342" spans="1:16" ht="15" customHeight="1" x14ac:dyDescent="0.25">
      <c r="A342" s="25"/>
      <c r="B342" s="25"/>
      <c r="C342" s="26" t="str">
        <f>IFERROR(IF(OR(A342="",B342=""),"",INDEX(Equipements!$H:$H,MATCH(A342,Equipements!$A:$A,0))&amp;"."&amp;B342),"")</f>
        <v/>
      </c>
      <c r="D342" s="11"/>
      <c r="E342" s="25"/>
      <c r="F342" s="25"/>
      <c r="G342" s="25"/>
      <c r="H342" s="11"/>
      <c r="I342" s="11"/>
      <c r="J342" s="26" t="str">
        <f t="shared" si="8"/>
        <v/>
      </c>
      <c r="K342" s="11"/>
      <c r="L342" s="11"/>
      <c r="M342" s="11"/>
      <c r="N342" s="11"/>
      <c r="O342" s="26" t="str">
        <f t="shared" si="9"/>
        <v/>
      </c>
      <c r="P342" s="11"/>
    </row>
    <row r="343" spans="1:16" ht="15" customHeight="1" x14ac:dyDescent="0.25">
      <c r="A343" s="25"/>
      <c r="B343" s="25"/>
      <c r="C343" s="26" t="str">
        <f>IFERROR(IF(OR(A343="",B343=""),"",INDEX(Equipements!$H:$H,MATCH(A343,Equipements!$A:$A,0))&amp;"."&amp;B343),"")</f>
        <v/>
      </c>
      <c r="D343" s="11"/>
      <c r="E343" s="25"/>
      <c r="F343" s="25"/>
      <c r="G343" s="25"/>
      <c r="H343" s="11"/>
      <c r="I343" s="11"/>
      <c r="J343" s="26" t="str">
        <f t="shared" si="8"/>
        <v/>
      </c>
      <c r="K343" s="11"/>
      <c r="L343" s="11"/>
      <c r="M343" s="11"/>
      <c r="N343" s="11"/>
      <c r="O343" s="26" t="str">
        <f t="shared" si="9"/>
        <v/>
      </c>
      <c r="P343" s="11"/>
    </row>
    <row r="344" spans="1:16" ht="15" customHeight="1" x14ac:dyDescent="0.25">
      <c r="A344" s="25"/>
      <c r="B344" s="25"/>
      <c r="C344" s="26" t="str">
        <f>IFERROR(IF(OR(A344="",B344=""),"",INDEX(Equipements!$H:$H,MATCH(A344,Equipements!$A:$A,0))&amp;"."&amp;B344),"")</f>
        <v/>
      </c>
      <c r="D344" s="11"/>
      <c r="E344" s="25"/>
      <c r="F344" s="25"/>
      <c r="G344" s="25"/>
      <c r="H344" s="11"/>
      <c r="I344" s="11"/>
      <c r="J344" s="26" t="str">
        <f t="shared" si="8"/>
        <v/>
      </c>
      <c r="K344" s="11"/>
      <c r="L344" s="11"/>
      <c r="M344" s="11"/>
      <c r="N344" s="11"/>
      <c r="O344" s="26" t="str">
        <f t="shared" si="9"/>
        <v/>
      </c>
      <c r="P344" s="11"/>
    </row>
    <row r="345" spans="1:16" ht="15" customHeight="1" x14ac:dyDescent="0.25">
      <c r="A345" s="25"/>
      <c r="B345" s="25"/>
      <c r="C345" s="26" t="str">
        <f>IFERROR(IF(OR(A345="",B345=""),"",INDEX(Equipements!$H:$H,MATCH(A345,Equipements!$A:$A,0))&amp;"."&amp;B345),"")</f>
        <v/>
      </c>
      <c r="D345" s="11"/>
      <c r="E345" s="25"/>
      <c r="F345" s="25"/>
      <c r="G345" s="25"/>
      <c r="H345" s="11"/>
      <c r="I345" s="11"/>
      <c r="J345" s="26" t="str">
        <f t="shared" si="8"/>
        <v/>
      </c>
      <c r="K345" s="11"/>
      <c r="L345" s="11"/>
      <c r="M345" s="11"/>
      <c r="N345" s="11"/>
      <c r="O345" s="26" t="str">
        <f t="shared" si="9"/>
        <v/>
      </c>
      <c r="P345" s="11"/>
    </row>
    <row r="346" spans="1:16" ht="15" customHeight="1" x14ac:dyDescent="0.25">
      <c r="A346" s="25"/>
      <c r="B346" s="25"/>
      <c r="C346" s="26" t="str">
        <f>IFERROR(IF(OR(A346="",B346=""),"",INDEX(Equipements!$H:$H,MATCH(A346,Equipements!$A:$A,0))&amp;"."&amp;B346),"")</f>
        <v/>
      </c>
      <c r="D346" s="11"/>
      <c r="E346" s="25"/>
      <c r="F346" s="25"/>
      <c r="G346" s="25"/>
      <c r="H346" s="11"/>
      <c r="I346" s="11"/>
      <c r="J346" s="26" t="str">
        <f t="shared" si="8"/>
        <v/>
      </c>
      <c r="K346" s="11"/>
      <c r="L346" s="11"/>
      <c r="M346" s="11"/>
      <c r="N346" s="11"/>
      <c r="O346" s="26" t="str">
        <f t="shared" si="9"/>
        <v/>
      </c>
      <c r="P346" s="11"/>
    </row>
    <row r="347" spans="1:16" ht="15" customHeight="1" x14ac:dyDescent="0.25">
      <c r="A347" s="25"/>
      <c r="B347" s="25"/>
      <c r="C347" s="26" t="str">
        <f>IFERROR(IF(OR(A347="",B347=""),"",INDEX(Equipements!$H:$H,MATCH(A347,Equipements!$A:$A,0))&amp;"."&amp;B347),"")</f>
        <v/>
      </c>
      <c r="D347" s="11"/>
      <c r="E347" s="25"/>
      <c r="F347" s="25"/>
      <c r="G347" s="25"/>
      <c r="H347" s="11"/>
      <c r="I347" s="11"/>
      <c r="J347" s="26" t="str">
        <f t="shared" si="8"/>
        <v/>
      </c>
      <c r="K347" s="11"/>
      <c r="L347" s="11"/>
      <c r="M347" s="11"/>
      <c r="N347" s="11"/>
      <c r="O347" s="26" t="str">
        <f t="shared" si="9"/>
        <v/>
      </c>
      <c r="P347" s="11"/>
    </row>
    <row r="348" spans="1:16" ht="15" customHeight="1" x14ac:dyDescent="0.25">
      <c r="A348" s="25"/>
      <c r="B348" s="25"/>
      <c r="C348" s="26" t="str">
        <f>IFERROR(IF(OR(A348="",B348=""),"",INDEX(Equipements!$H:$H,MATCH(A348,Equipements!$A:$A,0))&amp;"."&amp;B348),"")</f>
        <v/>
      </c>
      <c r="D348" s="11"/>
      <c r="E348" s="25"/>
      <c r="F348" s="25"/>
      <c r="G348" s="25"/>
      <c r="H348" s="11"/>
      <c r="I348" s="11"/>
      <c r="J348" s="26" t="str">
        <f t="shared" si="8"/>
        <v/>
      </c>
      <c r="K348" s="11"/>
      <c r="L348" s="11"/>
      <c r="M348" s="11"/>
      <c r="N348" s="11"/>
      <c r="O348" s="26" t="str">
        <f t="shared" si="9"/>
        <v/>
      </c>
      <c r="P348" s="11"/>
    </row>
    <row r="349" spans="1:16" ht="15" customHeight="1" x14ac:dyDescent="0.25">
      <c r="A349" s="25"/>
      <c r="B349" s="25"/>
      <c r="C349" s="26" t="str">
        <f>IFERROR(IF(OR(A349="",B349=""),"",INDEX(Equipements!$H:$H,MATCH(A349,Equipements!$A:$A,0))&amp;"."&amp;B349),"")</f>
        <v/>
      </c>
      <c r="D349" s="11"/>
      <c r="E349" s="25"/>
      <c r="F349" s="25"/>
      <c r="G349" s="25"/>
      <c r="H349" s="11"/>
      <c r="I349" s="11"/>
      <c r="J349" s="26" t="str">
        <f t="shared" si="8"/>
        <v/>
      </c>
      <c r="K349" s="11"/>
      <c r="L349" s="11"/>
      <c r="M349" s="11"/>
      <c r="N349" s="11"/>
      <c r="O349" s="26" t="str">
        <f t="shared" si="9"/>
        <v/>
      </c>
      <c r="P349" s="11"/>
    </row>
    <row r="350" spans="1:16" ht="15" customHeight="1" x14ac:dyDescent="0.25">
      <c r="A350" s="25"/>
      <c r="B350" s="25"/>
      <c r="C350" s="26" t="str">
        <f>IFERROR(IF(OR(A350="",B350=""),"",INDEX(Equipements!$H:$H,MATCH(A350,Equipements!$A:$A,0))&amp;"."&amp;B350),"")</f>
        <v/>
      </c>
      <c r="D350" s="11"/>
      <c r="E350" s="25"/>
      <c r="F350" s="25"/>
      <c r="G350" s="25"/>
      <c r="H350" s="11"/>
      <c r="I350" s="11"/>
      <c r="J350" s="26" t="str">
        <f t="shared" si="8"/>
        <v/>
      </c>
      <c r="K350" s="11"/>
      <c r="L350" s="11"/>
      <c r="M350" s="11"/>
      <c r="N350" s="11"/>
      <c r="O350" s="26" t="str">
        <f t="shared" si="9"/>
        <v/>
      </c>
      <c r="P350" s="11"/>
    </row>
    <row r="351" spans="1:16" ht="15" customHeight="1" x14ac:dyDescent="0.25">
      <c r="A351" s="25"/>
      <c r="B351" s="25"/>
      <c r="C351" s="26" t="str">
        <f>IFERROR(IF(OR(A351="",B351=""),"",INDEX(Equipements!$H:$H,MATCH(A351,Equipements!$A:$A,0))&amp;"."&amp;B351),"")</f>
        <v/>
      </c>
      <c r="D351" s="11"/>
      <c r="E351" s="25"/>
      <c r="F351" s="25"/>
      <c r="G351" s="25"/>
      <c r="H351" s="11"/>
      <c r="I351" s="11"/>
      <c r="J351" s="26" t="str">
        <f t="shared" si="8"/>
        <v/>
      </c>
      <c r="K351" s="11"/>
      <c r="L351" s="11"/>
      <c r="M351" s="11"/>
      <c r="N351" s="11"/>
      <c r="O351" s="26" t="str">
        <f t="shared" si="9"/>
        <v/>
      </c>
      <c r="P351" s="11"/>
    </row>
    <row r="352" spans="1:16" ht="15" customHeight="1" x14ac:dyDescent="0.25">
      <c r="A352" s="25"/>
      <c r="B352" s="25"/>
      <c r="C352" s="26" t="str">
        <f>IFERROR(IF(OR(A352="",B352=""),"",INDEX(Equipements!$H:$H,MATCH(A352,Equipements!$A:$A,0))&amp;"."&amp;B352),"")</f>
        <v/>
      </c>
      <c r="D352" s="11"/>
      <c r="E352" s="25"/>
      <c r="F352" s="25"/>
      <c r="G352" s="25"/>
      <c r="H352" s="11"/>
      <c r="I352" s="11"/>
      <c r="J352" s="26" t="str">
        <f t="shared" si="8"/>
        <v/>
      </c>
      <c r="K352" s="11"/>
      <c r="L352" s="11"/>
      <c r="M352" s="11"/>
      <c r="N352" s="11"/>
      <c r="O352" s="26" t="str">
        <f t="shared" si="9"/>
        <v/>
      </c>
      <c r="P352" s="11"/>
    </row>
    <row r="353" spans="1:16" ht="15" customHeight="1" x14ac:dyDescent="0.25">
      <c r="A353" s="25"/>
      <c r="B353" s="25"/>
      <c r="C353" s="26" t="str">
        <f>IFERROR(IF(OR(A353="",B353=""),"",INDEX(Equipements!$H:$H,MATCH(A353,Equipements!$A:$A,0))&amp;"."&amp;B353),"")</f>
        <v/>
      </c>
      <c r="D353" s="11"/>
      <c r="E353" s="25"/>
      <c r="F353" s="25"/>
      <c r="G353" s="25"/>
      <c r="H353" s="11"/>
      <c r="I353" s="11"/>
      <c r="J353" s="26" t="str">
        <f t="shared" si="8"/>
        <v/>
      </c>
      <c r="K353" s="11"/>
      <c r="L353" s="11"/>
      <c r="M353" s="11"/>
      <c r="N353" s="11"/>
      <c r="O353" s="26" t="str">
        <f t="shared" si="9"/>
        <v/>
      </c>
      <c r="P353" s="11"/>
    </row>
    <row r="354" spans="1:16" ht="15" customHeight="1" x14ac:dyDescent="0.25">
      <c r="A354" s="25"/>
      <c r="B354" s="25"/>
      <c r="C354" s="26" t="str">
        <f>IFERROR(IF(OR(A354="",B354=""),"",INDEX(Equipements!$H:$H,MATCH(A354,Equipements!$A:$A,0))&amp;"."&amp;B354),"")</f>
        <v/>
      </c>
      <c r="D354" s="11"/>
      <c r="E354" s="25"/>
      <c r="F354" s="25"/>
      <c r="G354" s="25"/>
      <c r="H354" s="11"/>
      <c r="I354" s="11"/>
      <c r="J354" s="26" t="str">
        <f t="shared" si="8"/>
        <v/>
      </c>
      <c r="K354" s="11"/>
      <c r="L354" s="11"/>
      <c r="M354" s="11"/>
      <c r="N354" s="11"/>
      <c r="O354" s="26" t="str">
        <f t="shared" si="9"/>
        <v/>
      </c>
      <c r="P354" s="11"/>
    </row>
    <row r="355" spans="1:16" ht="15" customHeight="1" x14ac:dyDescent="0.25">
      <c r="A355" s="25"/>
      <c r="B355" s="25"/>
      <c r="C355" s="26" t="str">
        <f>IFERROR(IF(OR(A355="",B355=""),"",INDEX(Equipements!$H:$H,MATCH(A355,Equipements!$A:$A,0))&amp;"."&amp;B355),"")</f>
        <v/>
      </c>
      <c r="D355" s="11"/>
      <c r="E355" s="25"/>
      <c r="F355" s="25"/>
      <c r="G355" s="25"/>
      <c r="H355" s="11"/>
      <c r="I355" s="11"/>
      <c r="J355" s="26" t="str">
        <f t="shared" si="8"/>
        <v/>
      </c>
      <c r="K355" s="11"/>
      <c r="L355" s="11"/>
      <c r="M355" s="11"/>
      <c r="N355" s="11"/>
      <c r="O355" s="26" t="str">
        <f t="shared" si="9"/>
        <v/>
      </c>
      <c r="P355" s="11"/>
    </row>
    <row r="356" spans="1:16" ht="15" customHeight="1" x14ac:dyDescent="0.25">
      <c r="A356" s="25"/>
      <c r="B356" s="25"/>
      <c r="C356" s="26" t="str">
        <f>IFERROR(IF(OR(A356="",B356=""),"",INDEX(Equipements!$H:$H,MATCH(A356,Equipements!$A:$A,0))&amp;"."&amp;B356),"")</f>
        <v/>
      </c>
      <c r="D356" s="11"/>
      <c r="E356" s="25"/>
      <c r="F356" s="25"/>
      <c r="G356" s="25"/>
      <c r="H356" s="11"/>
      <c r="I356" s="11"/>
      <c r="J356" s="26" t="str">
        <f t="shared" si="8"/>
        <v/>
      </c>
      <c r="K356" s="11"/>
      <c r="L356" s="11"/>
      <c r="M356" s="11"/>
      <c r="N356" s="11"/>
      <c r="O356" s="26" t="str">
        <f t="shared" si="9"/>
        <v/>
      </c>
      <c r="P356" s="11"/>
    </row>
    <row r="357" spans="1:16" ht="15" customHeight="1" x14ac:dyDescent="0.25">
      <c r="A357" s="25"/>
      <c r="B357" s="25"/>
      <c r="C357" s="26" t="str">
        <f>IFERROR(IF(OR(A357="",B357=""),"",INDEX(Equipements!$H:$H,MATCH(A357,Equipements!$A:$A,0))&amp;"."&amp;B357),"")</f>
        <v/>
      </c>
      <c r="D357" s="11"/>
      <c r="E357" s="25"/>
      <c r="F357" s="25"/>
      <c r="G357" s="25"/>
      <c r="H357" s="11"/>
      <c r="I357" s="11"/>
      <c r="J357" s="26" t="str">
        <f t="shared" si="8"/>
        <v/>
      </c>
      <c r="K357" s="11"/>
      <c r="L357" s="11"/>
      <c r="M357" s="11"/>
      <c r="N357" s="11"/>
      <c r="O357" s="26" t="str">
        <f t="shared" si="9"/>
        <v/>
      </c>
      <c r="P357" s="11"/>
    </row>
    <row r="358" spans="1:16" ht="15" customHeight="1" x14ac:dyDescent="0.25">
      <c r="A358" s="25"/>
      <c r="B358" s="25"/>
      <c r="C358" s="26" t="str">
        <f>IFERROR(IF(OR(A358="",B358=""),"",INDEX(Equipements!$H:$H,MATCH(A358,Equipements!$A:$A,0))&amp;"."&amp;B358),"")</f>
        <v/>
      </c>
      <c r="D358" s="11"/>
      <c r="E358" s="25"/>
      <c r="F358" s="25"/>
      <c r="G358" s="25"/>
      <c r="H358" s="11"/>
      <c r="I358" s="11"/>
      <c r="J358" s="26" t="str">
        <f t="shared" si="8"/>
        <v/>
      </c>
      <c r="K358" s="11"/>
      <c r="L358" s="11"/>
      <c r="M358" s="11"/>
      <c r="N358" s="11"/>
      <c r="O358" s="26" t="str">
        <f t="shared" si="9"/>
        <v/>
      </c>
      <c r="P358" s="11"/>
    </row>
    <row r="359" spans="1:16" ht="15" customHeight="1" x14ac:dyDescent="0.25">
      <c r="A359" s="25"/>
      <c r="B359" s="25"/>
      <c r="C359" s="26" t="str">
        <f>IFERROR(IF(OR(A359="",B359=""),"",INDEX(Equipements!$H:$H,MATCH(A359,Equipements!$A:$A,0))&amp;"."&amp;B359),"")</f>
        <v/>
      </c>
      <c r="D359" s="11"/>
      <c r="E359" s="25"/>
      <c r="F359" s="25"/>
      <c r="G359" s="25"/>
      <c r="H359" s="11"/>
      <c r="I359" s="11"/>
      <c r="J359" s="26" t="str">
        <f t="shared" si="8"/>
        <v/>
      </c>
      <c r="K359" s="11"/>
      <c r="L359" s="11"/>
      <c r="M359" s="11"/>
      <c r="N359" s="11"/>
      <c r="O359" s="26" t="str">
        <f t="shared" si="9"/>
        <v/>
      </c>
      <c r="P359" s="11"/>
    </row>
    <row r="360" spans="1:16" ht="15" customHeight="1" x14ac:dyDescent="0.25">
      <c r="A360" s="25"/>
      <c r="B360" s="25"/>
      <c r="C360" s="26" t="str">
        <f>IFERROR(IF(OR(A360="",B360=""),"",INDEX(Equipements!$H:$H,MATCH(A360,Equipements!$A:$A,0))&amp;"."&amp;B360),"")</f>
        <v/>
      </c>
      <c r="D360" s="11"/>
      <c r="E360" s="25"/>
      <c r="F360" s="25"/>
      <c r="G360" s="25"/>
      <c r="H360" s="11"/>
      <c r="I360" s="11"/>
      <c r="J360" s="26" t="str">
        <f t="shared" si="8"/>
        <v/>
      </c>
      <c r="K360" s="11"/>
      <c r="L360" s="11"/>
      <c r="M360" s="11"/>
      <c r="N360" s="11"/>
      <c r="O360" s="26" t="str">
        <f t="shared" si="9"/>
        <v/>
      </c>
      <c r="P360" s="11"/>
    </row>
    <row r="361" spans="1:16" ht="15" customHeight="1" x14ac:dyDescent="0.25">
      <c r="A361" s="25"/>
      <c r="B361" s="25"/>
      <c r="C361" s="26" t="str">
        <f>IFERROR(IF(OR(A361="",B361=""),"",INDEX(Equipements!$H:$H,MATCH(A361,Equipements!$A:$A,0))&amp;"."&amp;B361),"")</f>
        <v/>
      </c>
      <c r="D361" s="11"/>
      <c r="E361" s="25"/>
      <c r="F361" s="25"/>
      <c r="G361" s="25"/>
      <c r="H361" s="11"/>
      <c r="I361" s="11"/>
      <c r="J361" s="26" t="str">
        <f t="shared" si="8"/>
        <v/>
      </c>
      <c r="K361" s="11"/>
      <c r="L361" s="11"/>
      <c r="M361" s="11"/>
      <c r="N361" s="11"/>
      <c r="O361" s="26" t="str">
        <f t="shared" si="9"/>
        <v/>
      </c>
      <c r="P361" s="11"/>
    </row>
    <row r="362" spans="1:16" ht="15" customHeight="1" x14ac:dyDescent="0.25">
      <c r="A362" s="25"/>
      <c r="B362" s="25"/>
      <c r="C362" s="26" t="str">
        <f>IFERROR(IF(OR(A362="",B362=""),"",INDEX(Equipements!$H:$H,MATCH(A362,Equipements!$A:$A,0))&amp;"."&amp;B362),"")</f>
        <v/>
      </c>
      <c r="D362" s="11"/>
      <c r="E362" s="25"/>
      <c r="F362" s="25"/>
      <c r="G362" s="25"/>
      <c r="H362" s="11"/>
      <c r="I362" s="11"/>
      <c r="J362" s="26" t="str">
        <f t="shared" si="8"/>
        <v/>
      </c>
      <c r="K362" s="11"/>
      <c r="L362" s="11"/>
      <c r="M362" s="11"/>
      <c r="N362" s="11"/>
      <c r="O362" s="26" t="str">
        <f t="shared" si="9"/>
        <v/>
      </c>
      <c r="P362" s="11"/>
    </row>
    <row r="363" spans="1:16" ht="15" customHeight="1" x14ac:dyDescent="0.25">
      <c r="A363" s="25"/>
      <c r="B363" s="25"/>
      <c r="C363" s="26" t="str">
        <f>IFERROR(IF(OR(A363="",B363=""),"",INDEX(Equipements!$H:$H,MATCH(A363,Equipements!$A:$A,0))&amp;"."&amp;B363),"")</f>
        <v/>
      </c>
      <c r="D363" s="11"/>
      <c r="E363" s="25"/>
      <c r="F363" s="25"/>
      <c r="G363" s="25"/>
      <c r="H363" s="11"/>
      <c r="I363" s="11"/>
      <c r="J363" s="26" t="str">
        <f t="shared" si="8"/>
        <v/>
      </c>
      <c r="K363" s="11"/>
      <c r="L363" s="11"/>
      <c r="M363" s="11"/>
      <c r="N363" s="11"/>
      <c r="O363" s="26" t="str">
        <f t="shared" si="9"/>
        <v/>
      </c>
      <c r="P363" s="11"/>
    </row>
    <row r="364" spans="1:16" ht="15" customHeight="1" x14ac:dyDescent="0.25">
      <c r="A364" s="25"/>
      <c r="B364" s="25"/>
      <c r="C364" s="26" t="str">
        <f>IFERROR(IF(OR(A364="",B364=""),"",INDEX(Equipements!$H:$H,MATCH(A364,Equipements!$A:$A,0))&amp;"."&amp;B364),"")</f>
        <v/>
      </c>
      <c r="D364" s="11"/>
      <c r="E364" s="25"/>
      <c r="F364" s="25"/>
      <c r="G364" s="25"/>
      <c r="H364" s="11"/>
      <c r="I364" s="11"/>
      <c r="J364" s="26" t="str">
        <f t="shared" si="8"/>
        <v/>
      </c>
      <c r="K364" s="11"/>
      <c r="L364" s="11"/>
      <c r="M364" s="11"/>
      <c r="N364" s="11"/>
      <c r="O364" s="26" t="str">
        <f t="shared" si="9"/>
        <v/>
      </c>
      <c r="P364" s="11"/>
    </row>
    <row r="365" spans="1:16" ht="15" customHeight="1" x14ac:dyDescent="0.25">
      <c r="A365" s="25"/>
      <c r="B365" s="25"/>
      <c r="C365" s="26" t="str">
        <f>IFERROR(IF(OR(A365="",B365=""),"",INDEX(Equipements!$H:$H,MATCH(A365,Equipements!$A:$A,0))&amp;"."&amp;B365),"")</f>
        <v/>
      </c>
      <c r="D365" s="11"/>
      <c r="E365" s="25"/>
      <c r="F365" s="25"/>
      <c r="G365" s="25"/>
      <c r="H365" s="11"/>
      <c r="I365" s="11"/>
      <c r="J365" s="26" t="str">
        <f t="shared" si="8"/>
        <v/>
      </c>
      <c r="K365" s="11"/>
      <c r="L365" s="11"/>
      <c r="M365" s="11"/>
      <c r="N365" s="11"/>
      <c r="O365" s="26" t="str">
        <f t="shared" si="9"/>
        <v/>
      </c>
      <c r="P365" s="11"/>
    </row>
    <row r="366" spans="1:16" ht="15" customHeight="1" x14ac:dyDescent="0.25">
      <c r="A366" s="25"/>
      <c r="B366" s="25"/>
      <c r="C366" s="26" t="str">
        <f>IFERROR(IF(OR(A366="",B366=""),"",INDEX(Equipements!$H:$H,MATCH(A366,Equipements!$A:$A,0))&amp;"."&amp;B366),"")</f>
        <v/>
      </c>
      <c r="D366" s="11"/>
      <c r="E366" s="25"/>
      <c r="F366" s="25"/>
      <c r="G366" s="25"/>
      <c r="H366" s="11"/>
      <c r="I366" s="11"/>
      <c r="J366" s="26" t="str">
        <f t="shared" si="8"/>
        <v/>
      </c>
      <c r="K366" s="11"/>
      <c r="L366" s="11"/>
      <c r="M366" s="11"/>
      <c r="N366" s="11"/>
      <c r="O366" s="26" t="str">
        <f t="shared" si="9"/>
        <v/>
      </c>
      <c r="P366" s="11"/>
    </row>
    <row r="367" spans="1:16" ht="15" customHeight="1" x14ac:dyDescent="0.25">
      <c r="A367" s="25"/>
      <c r="B367" s="25"/>
      <c r="C367" s="26" t="str">
        <f>IFERROR(IF(OR(A367="",B367=""),"",INDEX(Equipements!$H:$H,MATCH(A367,Equipements!$A:$A,0))&amp;"."&amp;B367),"")</f>
        <v/>
      </c>
      <c r="D367" s="11"/>
      <c r="E367" s="25"/>
      <c r="F367" s="25"/>
      <c r="G367" s="25"/>
      <c r="H367" s="11"/>
      <c r="I367" s="11"/>
      <c r="J367" s="26" t="str">
        <f t="shared" si="8"/>
        <v/>
      </c>
      <c r="K367" s="11"/>
      <c r="L367" s="11"/>
      <c r="M367" s="11"/>
      <c r="N367" s="11"/>
      <c r="O367" s="26" t="str">
        <f t="shared" si="9"/>
        <v/>
      </c>
      <c r="P367" s="11"/>
    </row>
    <row r="368" spans="1:16" ht="15" customHeight="1" x14ac:dyDescent="0.25">
      <c r="A368" s="25"/>
      <c r="B368" s="25"/>
      <c r="C368" s="26" t="str">
        <f>IFERROR(IF(OR(A368="",B368=""),"",INDEX(Equipements!$H:$H,MATCH(A368,Equipements!$A:$A,0))&amp;"."&amp;B368),"")</f>
        <v/>
      </c>
      <c r="D368" s="11"/>
      <c r="E368" s="25"/>
      <c r="F368" s="25"/>
      <c r="G368" s="25"/>
      <c r="H368" s="11"/>
      <c r="I368" s="11"/>
      <c r="J368" s="26" t="str">
        <f t="shared" si="8"/>
        <v/>
      </c>
      <c r="K368" s="11"/>
      <c r="L368" s="11"/>
      <c r="M368" s="11"/>
      <c r="N368" s="11"/>
      <c r="O368" s="26" t="str">
        <f t="shared" si="9"/>
        <v/>
      </c>
      <c r="P368" s="11"/>
    </row>
    <row r="369" spans="1:16" ht="15" customHeight="1" x14ac:dyDescent="0.25">
      <c r="A369" s="25"/>
      <c r="B369" s="25"/>
      <c r="C369" s="26" t="str">
        <f>IFERROR(IF(OR(A369="",B369=""),"",INDEX(Equipements!$H:$H,MATCH(A369,Equipements!$A:$A,0))&amp;"."&amp;B369),"")</f>
        <v/>
      </c>
      <c r="D369" s="11"/>
      <c r="E369" s="25"/>
      <c r="F369" s="25"/>
      <c r="G369" s="25"/>
      <c r="H369" s="11"/>
      <c r="I369" s="11"/>
      <c r="J369" s="26" t="str">
        <f t="shared" si="8"/>
        <v/>
      </c>
      <c r="K369" s="11"/>
      <c r="L369" s="11"/>
      <c r="M369" s="11"/>
      <c r="N369" s="11"/>
      <c r="O369" s="26" t="str">
        <f t="shared" si="9"/>
        <v/>
      </c>
      <c r="P369" s="11"/>
    </row>
    <row r="370" spans="1:16" ht="15" customHeight="1" x14ac:dyDescent="0.25">
      <c r="A370" s="25"/>
      <c r="B370" s="25"/>
      <c r="C370" s="26" t="str">
        <f>IFERROR(IF(OR(A370="",B370=""),"",INDEX(Equipements!$H:$H,MATCH(A370,Equipements!$A:$A,0))&amp;"."&amp;B370),"")</f>
        <v/>
      </c>
      <c r="D370" s="11"/>
      <c r="E370" s="25"/>
      <c r="F370" s="25"/>
      <c r="G370" s="25"/>
      <c r="H370" s="11"/>
      <c r="I370" s="11"/>
      <c r="J370" s="26" t="str">
        <f t="shared" si="8"/>
        <v/>
      </c>
      <c r="K370" s="11"/>
      <c r="L370" s="11"/>
      <c r="M370" s="11"/>
      <c r="N370" s="11"/>
      <c r="O370" s="26" t="str">
        <f t="shared" si="9"/>
        <v/>
      </c>
      <c r="P370" s="11"/>
    </row>
    <row r="371" spans="1:16" ht="15" customHeight="1" x14ac:dyDescent="0.25">
      <c r="A371" s="25"/>
      <c r="B371" s="25"/>
      <c r="C371" s="26" t="str">
        <f>IFERROR(IF(OR(A371="",B371=""),"",INDEX(Equipements!$H:$H,MATCH(A371,Equipements!$A:$A,0))&amp;"."&amp;B371),"")</f>
        <v/>
      </c>
      <c r="D371" s="11"/>
      <c r="E371" s="25"/>
      <c r="F371" s="25"/>
      <c r="G371" s="25"/>
      <c r="H371" s="11"/>
      <c r="I371" s="11"/>
      <c r="J371" s="26" t="str">
        <f t="shared" si="8"/>
        <v/>
      </c>
      <c r="K371" s="11"/>
      <c r="L371" s="11"/>
      <c r="M371" s="11"/>
      <c r="N371" s="11"/>
      <c r="O371" s="26" t="str">
        <f t="shared" si="9"/>
        <v/>
      </c>
      <c r="P371" s="11"/>
    </row>
    <row r="372" spans="1:16" ht="15" customHeight="1" x14ac:dyDescent="0.25">
      <c r="A372" s="25"/>
      <c r="B372" s="25"/>
      <c r="C372" s="26" t="str">
        <f>IFERROR(IF(OR(A372="",B372=""),"",INDEX(Equipements!$H:$H,MATCH(A372,Equipements!$A:$A,0))&amp;"."&amp;B372),"")</f>
        <v/>
      </c>
      <c r="D372" s="11"/>
      <c r="E372" s="25"/>
      <c r="F372" s="25"/>
      <c r="G372" s="25"/>
      <c r="H372" s="11"/>
      <c r="I372" s="11"/>
      <c r="J372" s="26" t="str">
        <f t="shared" si="8"/>
        <v/>
      </c>
      <c r="K372" s="11"/>
      <c r="L372" s="11"/>
      <c r="M372" s="11"/>
      <c r="N372" s="11"/>
      <c r="O372" s="26" t="str">
        <f t="shared" si="9"/>
        <v/>
      </c>
      <c r="P372" s="11"/>
    </row>
    <row r="373" spans="1:16" ht="15" customHeight="1" x14ac:dyDescent="0.25">
      <c r="A373" s="25"/>
      <c r="B373" s="25"/>
      <c r="C373" s="26" t="str">
        <f>IFERROR(IF(OR(A373="",B373=""),"",INDEX(Equipements!$H:$H,MATCH(A373,Equipements!$A:$A,0))&amp;"."&amp;B373),"")</f>
        <v/>
      </c>
      <c r="D373" s="11"/>
      <c r="E373" s="25"/>
      <c r="F373" s="25"/>
      <c r="G373" s="25"/>
      <c r="H373" s="11"/>
      <c r="I373" s="11"/>
      <c r="J373" s="26" t="str">
        <f t="shared" si="8"/>
        <v/>
      </c>
      <c r="K373" s="11"/>
      <c r="L373" s="11"/>
      <c r="M373" s="11"/>
      <c r="N373" s="11"/>
      <c r="O373" s="26" t="str">
        <f t="shared" si="9"/>
        <v/>
      </c>
      <c r="P373" s="11"/>
    </row>
    <row r="374" spans="1:16" ht="15" customHeight="1" x14ac:dyDescent="0.25">
      <c r="A374" s="25"/>
      <c r="B374" s="25"/>
      <c r="C374" s="26" t="str">
        <f>IFERROR(IF(OR(A374="",B374=""),"",INDEX(Equipements!$H:$H,MATCH(A374,Equipements!$A:$A,0))&amp;"."&amp;B374),"")</f>
        <v/>
      </c>
      <c r="D374" s="11"/>
      <c r="E374" s="25"/>
      <c r="F374" s="25"/>
      <c r="G374" s="25"/>
      <c r="H374" s="11"/>
      <c r="I374" s="11"/>
      <c r="J374" s="26" t="str">
        <f t="shared" si="8"/>
        <v/>
      </c>
      <c r="K374" s="11"/>
      <c r="L374" s="11"/>
      <c r="M374" s="11"/>
      <c r="N374" s="11"/>
      <c r="O374" s="26" t="str">
        <f t="shared" si="9"/>
        <v/>
      </c>
      <c r="P374" s="11"/>
    </row>
    <row r="375" spans="1:16" ht="15" customHeight="1" x14ac:dyDescent="0.25">
      <c r="A375" s="25"/>
      <c r="B375" s="25"/>
      <c r="C375" s="26" t="str">
        <f>IFERROR(IF(OR(A375="",B375=""),"",INDEX(Equipements!$H:$H,MATCH(A375,Equipements!$A:$A,0))&amp;"."&amp;B375),"")</f>
        <v/>
      </c>
      <c r="D375" s="11"/>
      <c r="E375" s="25"/>
      <c r="F375" s="25"/>
      <c r="G375" s="25"/>
      <c r="H375" s="11"/>
      <c r="I375" s="11"/>
      <c r="J375" s="26" t="str">
        <f t="shared" si="8"/>
        <v/>
      </c>
      <c r="K375" s="11"/>
      <c r="L375" s="11"/>
      <c r="M375" s="11"/>
      <c r="N375" s="11"/>
      <c r="O375" s="26" t="str">
        <f t="shared" si="9"/>
        <v/>
      </c>
      <c r="P375" s="11"/>
    </row>
    <row r="376" spans="1:16" ht="15" customHeight="1" x14ac:dyDescent="0.25">
      <c r="A376" s="25"/>
      <c r="B376" s="25"/>
      <c r="C376" s="26" t="str">
        <f>IFERROR(IF(OR(A376="",B376=""),"",INDEX(Equipements!$H:$H,MATCH(A376,Equipements!$A:$A,0))&amp;"."&amp;B376),"")</f>
        <v/>
      </c>
      <c r="D376" s="11"/>
      <c r="E376" s="25"/>
      <c r="F376" s="25"/>
      <c r="G376" s="25"/>
      <c r="H376" s="11"/>
      <c r="I376" s="11"/>
      <c r="J376" s="26" t="str">
        <f t="shared" si="8"/>
        <v/>
      </c>
      <c r="K376" s="11"/>
      <c r="L376" s="11"/>
      <c r="M376" s="11"/>
      <c r="N376" s="11"/>
      <c r="O376" s="26" t="str">
        <f t="shared" si="9"/>
        <v/>
      </c>
      <c r="P376" s="11"/>
    </row>
    <row r="377" spans="1:16" ht="15" customHeight="1" x14ac:dyDescent="0.25">
      <c r="A377" s="25"/>
      <c r="B377" s="25"/>
      <c r="C377" s="26" t="str">
        <f>IFERROR(IF(OR(A377="",B377=""),"",INDEX(Equipements!$H:$H,MATCH(A377,Equipements!$A:$A,0))&amp;"."&amp;B377),"")</f>
        <v/>
      </c>
      <c r="D377" s="11"/>
      <c r="E377" s="25"/>
      <c r="F377" s="25"/>
      <c r="G377" s="25"/>
      <c r="H377" s="11"/>
      <c r="I377" s="11"/>
      <c r="J377" s="26" t="str">
        <f t="shared" si="8"/>
        <v/>
      </c>
      <c r="K377" s="11"/>
      <c r="L377" s="11"/>
      <c r="M377" s="11"/>
      <c r="N377" s="11"/>
      <c r="O377" s="26" t="str">
        <f t="shared" si="9"/>
        <v/>
      </c>
      <c r="P377" s="11"/>
    </row>
    <row r="378" spans="1:16" ht="15" customHeight="1" x14ac:dyDescent="0.25">
      <c r="A378" s="25"/>
      <c r="B378" s="25"/>
      <c r="C378" s="26" t="str">
        <f>IFERROR(IF(OR(A378="",B378=""),"",INDEX(Equipements!$H:$H,MATCH(A378,Equipements!$A:$A,0))&amp;"."&amp;B378),"")</f>
        <v/>
      </c>
      <c r="D378" s="11"/>
      <c r="E378" s="25"/>
      <c r="F378" s="25"/>
      <c r="G378" s="25"/>
      <c r="H378" s="11"/>
      <c r="I378" s="11"/>
      <c r="J378" s="26" t="str">
        <f t="shared" si="8"/>
        <v/>
      </c>
      <c r="K378" s="11"/>
      <c r="L378" s="11"/>
      <c r="M378" s="11"/>
      <c r="N378" s="11"/>
      <c r="O378" s="26" t="str">
        <f t="shared" si="9"/>
        <v/>
      </c>
      <c r="P378" s="11"/>
    </row>
    <row r="379" spans="1:16" ht="15" customHeight="1" x14ac:dyDescent="0.25">
      <c r="A379" s="25"/>
      <c r="B379" s="25"/>
      <c r="C379" s="26" t="str">
        <f>IFERROR(IF(OR(A379="",B379=""),"",INDEX(Equipements!$H:$H,MATCH(A379,Equipements!$A:$A,0))&amp;"."&amp;B379),"")</f>
        <v/>
      </c>
      <c r="D379" s="11"/>
      <c r="E379" s="25"/>
      <c r="F379" s="25"/>
      <c r="G379" s="25"/>
      <c r="H379" s="11"/>
      <c r="I379" s="11"/>
      <c r="J379" s="26" t="str">
        <f t="shared" si="8"/>
        <v/>
      </c>
      <c r="K379" s="11"/>
      <c r="L379" s="11"/>
      <c r="M379" s="11"/>
      <c r="N379" s="11"/>
      <c r="O379" s="26" t="str">
        <f t="shared" si="9"/>
        <v/>
      </c>
      <c r="P379" s="11"/>
    </row>
    <row r="380" spans="1:16" ht="15" customHeight="1" x14ac:dyDescent="0.25">
      <c r="A380" s="25"/>
      <c r="B380" s="25"/>
      <c r="C380" s="26" t="str">
        <f>IFERROR(IF(OR(A380="",B380=""),"",INDEX(Equipements!$H:$H,MATCH(A380,Equipements!$A:$A,0))&amp;"."&amp;B380),"")</f>
        <v/>
      </c>
      <c r="D380" s="11"/>
      <c r="E380" s="25"/>
      <c r="F380" s="25"/>
      <c r="G380" s="25"/>
      <c r="H380" s="11"/>
      <c r="I380" s="11"/>
      <c r="J380" s="26" t="str">
        <f t="shared" si="8"/>
        <v/>
      </c>
      <c r="K380" s="11"/>
      <c r="L380" s="11"/>
      <c r="M380" s="11"/>
      <c r="N380" s="11"/>
      <c r="O380" s="26" t="str">
        <f t="shared" si="9"/>
        <v/>
      </c>
      <c r="P380" s="11"/>
    </row>
    <row r="381" spans="1:16" ht="15" customHeight="1" x14ac:dyDescent="0.25">
      <c r="A381" s="25"/>
      <c r="B381" s="25"/>
      <c r="C381" s="26" t="str">
        <f>IFERROR(IF(OR(A381="",B381=""),"",INDEX(Equipements!$H:$H,MATCH(A381,Equipements!$A:$A,0))&amp;"."&amp;B381),"")</f>
        <v/>
      </c>
      <c r="D381" s="11"/>
      <c r="E381" s="25"/>
      <c r="F381" s="25"/>
      <c r="G381" s="25"/>
      <c r="H381" s="11"/>
      <c r="I381" s="11"/>
      <c r="J381" s="26" t="str">
        <f t="shared" si="8"/>
        <v/>
      </c>
      <c r="K381" s="11"/>
      <c r="L381" s="11"/>
      <c r="M381" s="11"/>
      <c r="N381" s="11"/>
      <c r="O381" s="26" t="str">
        <f t="shared" si="9"/>
        <v/>
      </c>
      <c r="P381" s="11"/>
    </row>
    <row r="382" spans="1:16" ht="15" customHeight="1" x14ac:dyDescent="0.25">
      <c r="A382" s="25"/>
      <c r="B382" s="25"/>
      <c r="C382" s="26" t="str">
        <f>IFERROR(IF(OR(A382="",B382=""),"",INDEX(Equipements!$H:$H,MATCH(A382,Equipements!$A:$A,0))&amp;"."&amp;B382),"")</f>
        <v/>
      </c>
      <c r="D382" s="11"/>
      <c r="E382" s="25"/>
      <c r="F382" s="25"/>
      <c r="G382" s="25"/>
      <c r="H382" s="11"/>
      <c r="I382" s="11"/>
      <c r="J382" s="26" t="str">
        <f t="shared" si="8"/>
        <v/>
      </c>
      <c r="K382" s="11"/>
      <c r="L382" s="11"/>
      <c r="M382" s="11"/>
      <c r="N382" s="11"/>
      <c r="O382" s="26" t="str">
        <f t="shared" si="9"/>
        <v/>
      </c>
      <c r="P382" s="11"/>
    </row>
    <row r="383" spans="1:16" ht="15" customHeight="1" x14ac:dyDescent="0.25">
      <c r="A383" s="25"/>
      <c r="B383" s="25"/>
      <c r="C383" s="26" t="str">
        <f>IFERROR(IF(OR(A383="",B383=""),"",INDEX(Equipements!$H:$H,MATCH(A383,Equipements!$A:$A,0))&amp;"."&amp;B383),"")</f>
        <v/>
      </c>
      <c r="D383" s="11"/>
      <c r="E383" s="25"/>
      <c r="F383" s="25"/>
      <c r="G383" s="25"/>
      <c r="H383" s="11"/>
      <c r="I383" s="11"/>
      <c r="J383" s="26" t="str">
        <f t="shared" si="8"/>
        <v/>
      </c>
      <c r="K383" s="11"/>
      <c r="L383" s="11"/>
      <c r="M383" s="11"/>
      <c r="N383" s="11"/>
      <c r="O383" s="26" t="str">
        <f t="shared" si="9"/>
        <v/>
      </c>
      <c r="P383" s="11"/>
    </row>
    <row r="384" spans="1:16" ht="15" customHeight="1" x14ac:dyDescent="0.25">
      <c r="A384" s="25"/>
      <c r="B384" s="25"/>
      <c r="C384" s="26" t="str">
        <f>IFERROR(IF(OR(A384="",B384=""),"",INDEX(Equipements!$H:$H,MATCH(A384,Equipements!$A:$A,0))&amp;"."&amp;B384),"")</f>
        <v/>
      </c>
      <c r="D384" s="11"/>
      <c r="E384" s="25"/>
      <c r="F384" s="25"/>
      <c r="G384" s="25"/>
      <c r="H384" s="11"/>
      <c r="I384" s="11"/>
      <c r="J384" s="26" t="str">
        <f t="shared" si="8"/>
        <v/>
      </c>
      <c r="K384" s="11"/>
      <c r="L384" s="11"/>
      <c r="M384" s="11"/>
      <c r="N384" s="11"/>
      <c r="O384" s="26" t="str">
        <f t="shared" si="9"/>
        <v/>
      </c>
      <c r="P384" s="11"/>
    </row>
    <row r="385" spans="1:16" ht="15" customHeight="1" x14ac:dyDescent="0.25">
      <c r="A385" s="25"/>
      <c r="B385" s="25"/>
      <c r="C385" s="26" t="str">
        <f>IFERROR(IF(OR(A385="",B385=""),"",INDEX(Equipements!$H:$H,MATCH(A385,Equipements!$A:$A,0))&amp;"."&amp;B385),"")</f>
        <v/>
      </c>
      <c r="D385" s="11"/>
      <c r="E385" s="25"/>
      <c r="F385" s="25"/>
      <c r="G385" s="25"/>
      <c r="H385" s="11"/>
      <c r="I385" s="11"/>
      <c r="J385" s="26" t="str">
        <f t="shared" si="8"/>
        <v/>
      </c>
      <c r="K385" s="11"/>
      <c r="L385" s="11"/>
      <c r="M385" s="11"/>
      <c r="N385" s="11"/>
      <c r="O385" s="26" t="str">
        <f t="shared" si="9"/>
        <v/>
      </c>
      <c r="P385" s="11"/>
    </row>
    <row r="386" spans="1:16" ht="15" customHeight="1" x14ac:dyDescent="0.25">
      <c r="A386" s="25"/>
      <c r="B386" s="25"/>
      <c r="C386" s="26" t="str">
        <f>IFERROR(IF(OR(A386="",B386=""),"",INDEX(Equipements!$H:$H,MATCH(A386,Equipements!$A:$A,0))&amp;"."&amp;B386),"")</f>
        <v/>
      </c>
      <c r="D386" s="11"/>
      <c r="E386" s="25"/>
      <c r="F386" s="25"/>
      <c r="G386" s="25"/>
      <c r="H386" s="11"/>
      <c r="I386" s="11"/>
      <c r="J386" s="26" t="str">
        <f t="shared" si="8"/>
        <v/>
      </c>
      <c r="K386" s="11"/>
      <c r="L386" s="11"/>
      <c r="M386" s="11"/>
      <c r="N386" s="11"/>
      <c r="O386" s="26" t="str">
        <f t="shared" si="9"/>
        <v/>
      </c>
      <c r="P386" s="11"/>
    </row>
    <row r="387" spans="1:16" ht="15" customHeight="1" x14ac:dyDescent="0.25">
      <c r="A387" s="25"/>
      <c r="B387" s="25"/>
      <c r="C387" s="26" t="str">
        <f>IFERROR(IF(OR(A387="",B387=""),"",INDEX(Equipements!$H:$H,MATCH(A387,Equipements!$A:$A,0))&amp;"."&amp;B387),"")</f>
        <v/>
      </c>
      <c r="D387" s="11"/>
      <c r="E387" s="25"/>
      <c r="F387" s="25"/>
      <c r="G387" s="25"/>
      <c r="H387" s="11"/>
      <c r="I387" s="11"/>
      <c r="J387" s="26" t="str">
        <f t="shared" si="8"/>
        <v/>
      </c>
      <c r="K387" s="11"/>
      <c r="L387" s="11"/>
      <c r="M387" s="11"/>
      <c r="N387" s="11"/>
      <c r="O387" s="26" t="str">
        <f t="shared" si="9"/>
        <v/>
      </c>
      <c r="P387" s="11"/>
    </row>
    <row r="388" spans="1:16" ht="15" customHeight="1" x14ac:dyDescent="0.25">
      <c r="A388" s="25"/>
      <c r="B388" s="25"/>
      <c r="C388" s="26" t="str">
        <f>IFERROR(IF(OR(A388="",B388=""),"",INDEX(Equipements!$H:$H,MATCH(A388,Equipements!$A:$A,0))&amp;"."&amp;B388),"")</f>
        <v/>
      </c>
      <c r="D388" s="11"/>
      <c r="E388" s="25"/>
      <c r="F388" s="25"/>
      <c r="G388" s="25"/>
      <c r="H388" s="11"/>
      <c r="I388" s="11"/>
      <c r="J388" s="26" t="str">
        <f t="shared" si="8"/>
        <v/>
      </c>
      <c r="K388" s="11"/>
      <c r="L388" s="11"/>
      <c r="M388" s="11"/>
      <c r="N388" s="11"/>
      <c r="O388" s="26" t="str">
        <f t="shared" si="9"/>
        <v/>
      </c>
      <c r="P388" s="11"/>
    </row>
    <row r="389" spans="1:16" ht="15" customHeight="1" x14ac:dyDescent="0.25">
      <c r="A389" s="25"/>
      <c r="B389" s="25"/>
      <c r="C389" s="26" t="str">
        <f>IFERROR(IF(OR(A389="",B389=""),"",INDEX(Equipements!$H:$H,MATCH(A389,Equipements!$A:$A,0))&amp;"."&amp;B389),"")</f>
        <v/>
      </c>
      <c r="D389" s="11"/>
      <c r="E389" s="25"/>
      <c r="F389" s="25"/>
      <c r="G389" s="25"/>
      <c r="H389" s="11"/>
      <c r="I389" s="11"/>
      <c r="J389" s="26" t="str">
        <f t="shared" si="8"/>
        <v/>
      </c>
      <c r="K389" s="11"/>
      <c r="L389" s="11"/>
      <c r="M389" s="11"/>
      <c r="N389" s="11"/>
      <c r="O389" s="26" t="str">
        <f t="shared" si="9"/>
        <v/>
      </c>
      <c r="P389" s="11"/>
    </row>
    <row r="390" spans="1:16" ht="15" customHeight="1" x14ac:dyDescent="0.25">
      <c r="A390" s="25"/>
      <c r="B390" s="25"/>
      <c r="C390" s="26" t="str">
        <f>IFERROR(IF(OR(A390="",B390=""),"",INDEX(Equipements!$H:$H,MATCH(A390,Equipements!$A:$A,0))&amp;"."&amp;B390),"")</f>
        <v/>
      </c>
      <c r="D390" s="11"/>
      <c r="E390" s="25"/>
      <c r="F390" s="25"/>
      <c r="G390" s="25"/>
      <c r="H390" s="11"/>
      <c r="I390" s="11"/>
      <c r="J390" s="26" t="str">
        <f t="shared" si="8"/>
        <v/>
      </c>
      <c r="K390" s="11"/>
      <c r="L390" s="11"/>
      <c r="M390" s="11"/>
      <c r="N390" s="11"/>
      <c r="O390" s="26" t="str">
        <f t="shared" si="9"/>
        <v/>
      </c>
      <c r="P390" s="11"/>
    </row>
    <row r="391" spans="1:16" ht="15" customHeight="1" x14ac:dyDescent="0.25">
      <c r="A391" s="25"/>
      <c r="B391" s="25"/>
      <c r="C391" s="26" t="str">
        <f>IFERROR(IF(OR(A391="",B391=""),"",INDEX(Equipements!$H:$H,MATCH(A391,Equipements!$A:$A,0))&amp;"."&amp;B391),"")</f>
        <v/>
      </c>
      <c r="D391" s="11"/>
      <c r="E391" s="25"/>
      <c r="F391" s="25"/>
      <c r="G391" s="25"/>
      <c r="H391" s="11"/>
      <c r="I391" s="11"/>
      <c r="J391" s="26" t="str">
        <f t="shared" si="8"/>
        <v/>
      </c>
      <c r="K391" s="11"/>
      <c r="L391" s="11"/>
      <c r="M391" s="11"/>
      <c r="N391" s="11"/>
      <c r="O391" s="26" t="str">
        <f t="shared" si="9"/>
        <v/>
      </c>
      <c r="P391" s="11"/>
    </row>
    <row r="392" spans="1:16" ht="15" customHeight="1" x14ac:dyDescent="0.25">
      <c r="A392" s="25"/>
      <c r="B392" s="25"/>
      <c r="C392" s="26" t="str">
        <f>IFERROR(IF(OR(A392="",B392=""),"",INDEX(Equipements!$H:$H,MATCH(A392,Equipements!$A:$A,0))&amp;"."&amp;B392),"")</f>
        <v/>
      </c>
      <c r="D392" s="11"/>
      <c r="E392" s="25"/>
      <c r="F392" s="25"/>
      <c r="G392" s="25"/>
      <c r="H392" s="11"/>
      <c r="I392" s="11"/>
      <c r="J392" s="26" t="str">
        <f t="shared" si="8"/>
        <v/>
      </c>
      <c r="K392" s="11"/>
      <c r="L392" s="11"/>
      <c r="M392" s="11"/>
      <c r="N392" s="11"/>
      <c r="O392" s="26" t="str">
        <f t="shared" si="9"/>
        <v/>
      </c>
      <c r="P392" s="11"/>
    </row>
    <row r="393" spans="1:16" ht="15" customHeight="1" x14ac:dyDescent="0.25">
      <c r="A393" s="25"/>
      <c r="B393" s="25"/>
      <c r="C393" s="26" t="str">
        <f>IFERROR(IF(OR(A393="",B393=""),"",INDEX(Equipements!$H:$H,MATCH(A393,Equipements!$A:$A,0))&amp;"."&amp;B393),"")</f>
        <v/>
      </c>
      <c r="D393" s="11"/>
      <c r="E393" s="25"/>
      <c r="F393" s="25"/>
      <c r="G393" s="25"/>
      <c r="H393" s="11"/>
      <c r="I393" s="11"/>
      <c r="J393" s="26" t="str">
        <f t="shared" ref="J393:J456" si="10">IF(OR(G393="",H393=""),"","%"&amp;G393&amp;H393)</f>
        <v/>
      </c>
      <c r="K393" s="11"/>
      <c r="L393" s="11"/>
      <c r="M393" s="11"/>
      <c r="N393" s="11"/>
      <c r="O393" s="26" t="str">
        <f t="shared" ref="O393:O456" si="11">IF(H393="","",IF(I393="","mot entier","bit "&amp;I393))</f>
        <v/>
      </c>
      <c r="P393" s="11"/>
    </row>
    <row r="394" spans="1:16" ht="15" customHeight="1" x14ac:dyDescent="0.25">
      <c r="A394" s="25"/>
      <c r="B394" s="25"/>
      <c r="C394" s="26" t="str">
        <f>IFERROR(IF(OR(A394="",B394=""),"",INDEX(Equipements!$H:$H,MATCH(A394,Equipements!$A:$A,0))&amp;"."&amp;B394),"")</f>
        <v/>
      </c>
      <c r="D394" s="11"/>
      <c r="E394" s="25"/>
      <c r="F394" s="25"/>
      <c r="G394" s="25"/>
      <c r="H394" s="11"/>
      <c r="I394" s="11"/>
      <c r="J394" s="26" t="str">
        <f t="shared" si="10"/>
        <v/>
      </c>
      <c r="K394" s="11"/>
      <c r="L394" s="11"/>
      <c r="M394" s="11"/>
      <c r="N394" s="11"/>
      <c r="O394" s="26" t="str">
        <f t="shared" si="11"/>
        <v/>
      </c>
      <c r="P394" s="11"/>
    </row>
    <row r="395" spans="1:16" ht="15" customHeight="1" x14ac:dyDescent="0.25">
      <c r="A395" s="25"/>
      <c r="B395" s="25"/>
      <c r="C395" s="26" t="str">
        <f>IFERROR(IF(OR(A395="",B395=""),"",INDEX(Equipements!$H:$H,MATCH(A395,Equipements!$A:$A,0))&amp;"."&amp;B395),"")</f>
        <v/>
      </c>
      <c r="D395" s="11"/>
      <c r="E395" s="25"/>
      <c r="F395" s="25"/>
      <c r="G395" s="25"/>
      <c r="H395" s="11"/>
      <c r="I395" s="11"/>
      <c r="J395" s="26" t="str">
        <f t="shared" si="10"/>
        <v/>
      </c>
      <c r="K395" s="11"/>
      <c r="L395" s="11"/>
      <c r="M395" s="11"/>
      <c r="N395" s="11"/>
      <c r="O395" s="26" t="str">
        <f t="shared" si="11"/>
        <v/>
      </c>
      <c r="P395" s="11"/>
    </row>
    <row r="396" spans="1:16" ht="15" customHeight="1" x14ac:dyDescent="0.25">
      <c r="A396" s="25"/>
      <c r="B396" s="25"/>
      <c r="C396" s="26" t="str">
        <f>IFERROR(IF(OR(A396="",B396=""),"",INDEX(Equipements!$H:$H,MATCH(A396,Equipements!$A:$A,0))&amp;"."&amp;B396),"")</f>
        <v/>
      </c>
      <c r="D396" s="11"/>
      <c r="E396" s="25"/>
      <c r="F396" s="25"/>
      <c r="G396" s="25"/>
      <c r="H396" s="11"/>
      <c r="I396" s="11"/>
      <c r="J396" s="26" t="str">
        <f t="shared" si="10"/>
        <v/>
      </c>
      <c r="K396" s="11"/>
      <c r="L396" s="11"/>
      <c r="M396" s="11"/>
      <c r="N396" s="11"/>
      <c r="O396" s="26" t="str">
        <f t="shared" si="11"/>
        <v/>
      </c>
      <c r="P396" s="11"/>
    </row>
    <row r="397" spans="1:16" ht="15" customHeight="1" x14ac:dyDescent="0.25">
      <c r="A397" s="25"/>
      <c r="B397" s="25"/>
      <c r="C397" s="26" t="str">
        <f>IFERROR(IF(OR(A397="",B397=""),"",INDEX(Equipements!$H:$H,MATCH(A397,Equipements!$A:$A,0))&amp;"."&amp;B397),"")</f>
        <v/>
      </c>
      <c r="D397" s="11"/>
      <c r="E397" s="25"/>
      <c r="F397" s="25"/>
      <c r="G397" s="25"/>
      <c r="H397" s="11"/>
      <c r="I397" s="11"/>
      <c r="J397" s="26" t="str">
        <f t="shared" si="10"/>
        <v/>
      </c>
      <c r="K397" s="11"/>
      <c r="L397" s="11"/>
      <c r="M397" s="11"/>
      <c r="N397" s="11"/>
      <c r="O397" s="26" t="str">
        <f t="shared" si="11"/>
        <v/>
      </c>
      <c r="P397" s="11"/>
    </row>
    <row r="398" spans="1:16" ht="15" customHeight="1" x14ac:dyDescent="0.25">
      <c r="A398" s="25"/>
      <c r="B398" s="25"/>
      <c r="C398" s="26" t="str">
        <f>IFERROR(IF(OR(A398="",B398=""),"",INDEX(Equipements!$H:$H,MATCH(A398,Equipements!$A:$A,0))&amp;"."&amp;B398),"")</f>
        <v/>
      </c>
      <c r="D398" s="11"/>
      <c r="E398" s="25"/>
      <c r="F398" s="25"/>
      <c r="G398" s="25"/>
      <c r="H398" s="11"/>
      <c r="I398" s="11"/>
      <c r="J398" s="26" t="str">
        <f t="shared" si="10"/>
        <v/>
      </c>
      <c r="K398" s="11"/>
      <c r="L398" s="11"/>
      <c r="M398" s="11"/>
      <c r="N398" s="11"/>
      <c r="O398" s="26" t="str">
        <f t="shared" si="11"/>
        <v/>
      </c>
      <c r="P398" s="11"/>
    </row>
    <row r="399" spans="1:16" ht="15" customHeight="1" x14ac:dyDescent="0.25">
      <c r="A399" s="25"/>
      <c r="B399" s="25"/>
      <c r="C399" s="26" t="str">
        <f>IFERROR(IF(OR(A399="",B399=""),"",INDEX(Equipements!$H:$H,MATCH(A399,Equipements!$A:$A,0))&amp;"."&amp;B399),"")</f>
        <v/>
      </c>
      <c r="D399" s="11"/>
      <c r="E399" s="25"/>
      <c r="F399" s="25"/>
      <c r="G399" s="25"/>
      <c r="H399" s="11"/>
      <c r="I399" s="11"/>
      <c r="J399" s="26" t="str">
        <f t="shared" si="10"/>
        <v/>
      </c>
      <c r="K399" s="11"/>
      <c r="L399" s="11"/>
      <c r="M399" s="11"/>
      <c r="N399" s="11"/>
      <c r="O399" s="26" t="str">
        <f t="shared" si="11"/>
        <v/>
      </c>
      <c r="P399" s="11"/>
    </row>
    <row r="400" spans="1:16" ht="15" customHeight="1" x14ac:dyDescent="0.25">
      <c r="A400" s="25"/>
      <c r="B400" s="25"/>
      <c r="C400" s="26" t="str">
        <f>IFERROR(IF(OR(A400="",B400=""),"",INDEX(Equipements!$H:$H,MATCH(A400,Equipements!$A:$A,0))&amp;"."&amp;B400),"")</f>
        <v/>
      </c>
      <c r="D400" s="11"/>
      <c r="E400" s="25"/>
      <c r="F400" s="25"/>
      <c r="G400" s="25"/>
      <c r="H400" s="11"/>
      <c r="I400" s="11"/>
      <c r="J400" s="26" t="str">
        <f t="shared" si="10"/>
        <v/>
      </c>
      <c r="K400" s="11"/>
      <c r="L400" s="11"/>
      <c r="M400" s="11"/>
      <c r="N400" s="11"/>
      <c r="O400" s="26" t="str">
        <f t="shared" si="11"/>
        <v/>
      </c>
      <c r="P400" s="11"/>
    </row>
    <row r="401" spans="1:16" ht="15" customHeight="1" x14ac:dyDescent="0.25">
      <c r="A401" s="25"/>
      <c r="B401" s="25"/>
      <c r="C401" s="26" t="str">
        <f>IFERROR(IF(OR(A401="",B401=""),"",INDEX(Equipements!$H:$H,MATCH(A401,Equipements!$A:$A,0))&amp;"."&amp;B401),"")</f>
        <v/>
      </c>
      <c r="D401" s="11"/>
      <c r="E401" s="25"/>
      <c r="F401" s="25"/>
      <c r="G401" s="25"/>
      <c r="H401" s="11"/>
      <c r="I401" s="11"/>
      <c r="J401" s="26" t="str">
        <f t="shared" si="10"/>
        <v/>
      </c>
      <c r="K401" s="11"/>
      <c r="L401" s="11"/>
      <c r="M401" s="11"/>
      <c r="N401" s="11"/>
      <c r="O401" s="26" t="str">
        <f t="shared" si="11"/>
        <v/>
      </c>
      <c r="P401" s="11"/>
    </row>
    <row r="402" spans="1:16" ht="15" customHeight="1" x14ac:dyDescent="0.25">
      <c r="A402" s="25"/>
      <c r="B402" s="25"/>
      <c r="C402" s="26" t="str">
        <f>IFERROR(IF(OR(A402="",B402=""),"",INDEX(Equipements!$H:$H,MATCH(A402,Equipements!$A:$A,0))&amp;"."&amp;B402),"")</f>
        <v/>
      </c>
      <c r="D402" s="11"/>
      <c r="E402" s="25"/>
      <c r="F402" s="25"/>
      <c r="G402" s="25"/>
      <c r="H402" s="11"/>
      <c r="I402" s="11"/>
      <c r="J402" s="26" t="str">
        <f t="shared" si="10"/>
        <v/>
      </c>
      <c r="K402" s="11"/>
      <c r="L402" s="11"/>
      <c r="M402" s="11"/>
      <c r="N402" s="11"/>
      <c r="O402" s="26" t="str">
        <f t="shared" si="11"/>
        <v/>
      </c>
      <c r="P402" s="11"/>
    </row>
    <row r="403" spans="1:16" ht="15" customHeight="1" x14ac:dyDescent="0.25">
      <c r="A403" s="25"/>
      <c r="B403" s="25"/>
      <c r="C403" s="26" t="str">
        <f>IFERROR(IF(OR(A403="",B403=""),"",INDEX(Equipements!$H:$H,MATCH(A403,Equipements!$A:$A,0))&amp;"."&amp;B403),"")</f>
        <v/>
      </c>
      <c r="D403" s="11"/>
      <c r="E403" s="25"/>
      <c r="F403" s="25"/>
      <c r="G403" s="25"/>
      <c r="H403" s="11"/>
      <c r="I403" s="11"/>
      <c r="J403" s="26" t="str">
        <f t="shared" si="10"/>
        <v/>
      </c>
      <c r="K403" s="11"/>
      <c r="L403" s="11"/>
      <c r="M403" s="11"/>
      <c r="N403" s="11"/>
      <c r="O403" s="26" t="str">
        <f t="shared" si="11"/>
        <v/>
      </c>
      <c r="P403" s="11"/>
    </row>
    <row r="404" spans="1:16" ht="15" customHeight="1" x14ac:dyDescent="0.25">
      <c r="A404" s="25"/>
      <c r="B404" s="25"/>
      <c r="C404" s="26" t="str">
        <f>IFERROR(IF(OR(A404="",B404=""),"",INDEX(Equipements!$H:$H,MATCH(A404,Equipements!$A:$A,0))&amp;"."&amp;B404),"")</f>
        <v/>
      </c>
      <c r="D404" s="11"/>
      <c r="E404" s="25"/>
      <c r="F404" s="25"/>
      <c r="G404" s="25"/>
      <c r="H404" s="11"/>
      <c r="I404" s="11"/>
      <c r="J404" s="26" t="str">
        <f t="shared" si="10"/>
        <v/>
      </c>
      <c r="K404" s="11"/>
      <c r="L404" s="11"/>
      <c r="M404" s="11"/>
      <c r="N404" s="11"/>
      <c r="O404" s="26" t="str">
        <f t="shared" si="11"/>
        <v/>
      </c>
      <c r="P404" s="11"/>
    </row>
    <row r="405" spans="1:16" ht="15" customHeight="1" x14ac:dyDescent="0.25">
      <c r="A405" s="25"/>
      <c r="B405" s="25"/>
      <c r="C405" s="26" t="str">
        <f>IFERROR(IF(OR(A405="",B405=""),"",INDEX(Equipements!$H:$H,MATCH(A405,Equipements!$A:$A,0))&amp;"."&amp;B405),"")</f>
        <v/>
      </c>
      <c r="D405" s="11"/>
      <c r="E405" s="25"/>
      <c r="F405" s="25"/>
      <c r="G405" s="25"/>
      <c r="H405" s="11"/>
      <c r="I405" s="11"/>
      <c r="J405" s="26" t="str">
        <f t="shared" si="10"/>
        <v/>
      </c>
      <c r="K405" s="11"/>
      <c r="L405" s="11"/>
      <c r="M405" s="11"/>
      <c r="N405" s="11"/>
      <c r="O405" s="26" t="str">
        <f t="shared" si="11"/>
        <v/>
      </c>
      <c r="P405" s="11"/>
    </row>
    <row r="406" spans="1:16" ht="15" customHeight="1" x14ac:dyDescent="0.25">
      <c r="A406" s="25"/>
      <c r="B406" s="25"/>
      <c r="C406" s="26" t="str">
        <f>IFERROR(IF(OR(A406="",B406=""),"",INDEX(Equipements!$H:$H,MATCH(A406,Equipements!$A:$A,0))&amp;"."&amp;B406),"")</f>
        <v/>
      </c>
      <c r="D406" s="11"/>
      <c r="E406" s="25"/>
      <c r="F406" s="25"/>
      <c r="G406" s="25"/>
      <c r="H406" s="11"/>
      <c r="I406" s="11"/>
      <c r="J406" s="26" t="str">
        <f t="shared" si="10"/>
        <v/>
      </c>
      <c r="K406" s="11"/>
      <c r="L406" s="11"/>
      <c r="M406" s="11"/>
      <c r="N406" s="11"/>
      <c r="O406" s="26" t="str">
        <f t="shared" si="11"/>
        <v/>
      </c>
      <c r="P406" s="11"/>
    </row>
    <row r="407" spans="1:16" ht="15" customHeight="1" x14ac:dyDescent="0.25">
      <c r="A407" s="25"/>
      <c r="B407" s="25"/>
      <c r="C407" s="26" t="str">
        <f>IFERROR(IF(OR(A407="",B407=""),"",INDEX(Equipements!$H:$H,MATCH(A407,Equipements!$A:$A,0))&amp;"."&amp;B407),"")</f>
        <v/>
      </c>
      <c r="D407" s="11"/>
      <c r="E407" s="25"/>
      <c r="F407" s="25"/>
      <c r="G407" s="25"/>
      <c r="H407" s="11"/>
      <c r="I407" s="11"/>
      <c r="J407" s="26" t="str">
        <f t="shared" si="10"/>
        <v/>
      </c>
      <c r="K407" s="11"/>
      <c r="L407" s="11"/>
      <c r="M407" s="11"/>
      <c r="N407" s="11"/>
      <c r="O407" s="26" t="str">
        <f t="shared" si="11"/>
        <v/>
      </c>
      <c r="P407" s="11"/>
    </row>
    <row r="408" spans="1:16" ht="15" customHeight="1" x14ac:dyDescent="0.25">
      <c r="A408" s="25"/>
      <c r="B408" s="25"/>
      <c r="C408" s="26" t="str">
        <f>IFERROR(IF(OR(A408="",B408=""),"",INDEX(Equipements!$H:$H,MATCH(A408,Equipements!$A:$A,0))&amp;"."&amp;B408),"")</f>
        <v/>
      </c>
      <c r="D408" s="11"/>
      <c r="E408" s="25"/>
      <c r="F408" s="25"/>
      <c r="G408" s="25"/>
      <c r="H408" s="11"/>
      <c r="I408" s="11"/>
      <c r="J408" s="26" t="str">
        <f t="shared" si="10"/>
        <v/>
      </c>
      <c r="K408" s="11"/>
      <c r="L408" s="11"/>
      <c r="M408" s="11"/>
      <c r="N408" s="11"/>
      <c r="O408" s="26" t="str">
        <f t="shared" si="11"/>
        <v/>
      </c>
      <c r="P408" s="11"/>
    </row>
    <row r="409" spans="1:16" ht="15" customHeight="1" x14ac:dyDescent="0.25">
      <c r="A409" s="25"/>
      <c r="B409" s="25"/>
      <c r="C409" s="26" t="str">
        <f>IFERROR(IF(OR(A409="",B409=""),"",INDEX(Equipements!$H:$H,MATCH(A409,Equipements!$A:$A,0))&amp;"."&amp;B409),"")</f>
        <v/>
      </c>
      <c r="D409" s="11"/>
      <c r="E409" s="25"/>
      <c r="F409" s="25"/>
      <c r="G409" s="25"/>
      <c r="H409" s="11"/>
      <c r="I409" s="11"/>
      <c r="J409" s="26" t="str">
        <f t="shared" si="10"/>
        <v/>
      </c>
      <c r="K409" s="11"/>
      <c r="L409" s="11"/>
      <c r="M409" s="11"/>
      <c r="N409" s="11"/>
      <c r="O409" s="26" t="str">
        <f t="shared" si="11"/>
        <v/>
      </c>
      <c r="P409" s="11"/>
    </row>
    <row r="410" spans="1:16" ht="15" customHeight="1" x14ac:dyDescent="0.25">
      <c r="A410" s="25"/>
      <c r="B410" s="25"/>
      <c r="C410" s="26" t="str">
        <f>IFERROR(IF(OR(A410="",B410=""),"",INDEX(Equipements!$H:$H,MATCH(A410,Equipements!$A:$A,0))&amp;"."&amp;B410),"")</f>
        <v/>
      </c>
      <c r="D410" s="11"/>
      <c r="E410" s="25"/>
      <c r="F410" s="25"/>
      <c r="G410" s="25"/>
      <c r="H410" s="11"/>
      <c r="I410" s="11"/>
      <c r="J410" s="26" t="str">
        <f t="shared" si="10"/>
        <v/>
      </c>
      <c r="K410" s="11"/>
      <c r="L410" s="11"/>
      <c r="M410" s="11"/>
      <c r="N410" s="11"/>
      <c r="O410" s="26" t="str">
        <f t="shared" si="11"/>
        <v/>
      </c>
      <c r="P410" s="11"/>
    </row>
    <row r="411" spans="1:16" ht="15" customHeight="1" x14ac:dyDescent="0.25">
      <c r="A411" s="25"/>
      <c r="B411" s="25"/>
      <c r="C411" s="26" t="str">
        <f>IFERROR(IF(OR(A411="",B411=""),"",INDEX(Equipements!$H:$H,MATCH(A411,Equipements!$A:$A,0))&amp;"."&amp;B411),"")</f>
        <v/>
      </c>
      <c r="D411" s="11"/>
      <c r="E411" s="25"/>
      <c r="F411" s="25"/>
      <c r="G411" s="25"/>
      <c r="H411" s="11"/>
      <c r="I411" s="11"/>
      <c r="J411" s="26" t="str">
        <f t="shared" si="10"/>
        <v/>
      </c>
      <c r="K411" s="11"/>
      <c r="L411" s="11"/>
      <c r="M411" s="11"/>
      <c r="N411" s="11"/>
      <c r="O411" s="26" t="str">
        <f t="shared" si="11"/>
        <v/>
      </c>
      <c r="P411" s="11"/>
    </row>
    <row r="412" spans="1:16" ht="15" customHeight="1" x14ac:dyDescent="0.25">
      <c r="A412" s="25"/>
      <c r="B412" s="25"/>
      <c r="C412" s="26" t="str">
        <f>IFERROR(IF(OR(A412="",B412=""),"",INDEX(Equipements!$H:$H,MATCH(A412,Equipements!$A:$A,0))&amp;"."&amp;B412),"")</f>
        <v/>
      </c>
      <c r="D412" s="11"/>
      <c r="E412" s="25"/>
      <c r="F412" s="25"/>
      <c r="G412" s="25"/>
      <c r="H412" s="11"/>
      <c r="I412" s="11"/>
      <c r="J412" s="26" t="str">
        <f t="shared" si="10"/>
        <v/>
      </c>
      <c r="K412" s="11"/>
      <c r="L412" s="11"/>
      <c r="M412" s="11"/>
      <c r="N412" s="11"/>
      <c r="O412" s="26" t="str">
        <f t="shared" si="11"/>
        <v/>
      </c>
      <c r="P412" s="11"/>
    </row>
    <row r="413" spans="1:16" ht="15" customHeight="1" x14ac:dyDescent="0.25">
      <c r="A413" s="25"/>
      <c r="B413" s="25"/>
      <c r="C413" s="26" t="str">
        <f>IFERROR(IF(OR(A413="",B413=""),"",INDEX(Equipements!$H:$H,MATCH(A413,Equipements!$A:$A,0))&amp;"."&amp;B413),"")</f>
        <v/>
      </c>
      <c r="D413" s="11"/>
      <c r="E413" s="25"/>
      <c r="F413" s="25"/>
      <c r="G413" s="25"/>
      <c r="H413" s="11"/>
      <c r="I413" s="11"/>
      <c r="J413" s="26" t="str">
        <f t="shared" si="10"/>
        <v/>
      </c>
      <c r="K413" s="11"/>
      <c r="L413" s="11"/>
      <c r="M413" s="11"/>
      <c r="N413" s="11"/>
      <c r="O413" s="26" t="str">
        <f t="shared" si="11"/>
        <v/>
      </c>
      <c r="P413" s="11"/>
    </row>
    <row r="414" spans="1:16" ht="15" customHeight="1" x14ac:dyDescent="0.25">
      <c r="A414" s="25"/>
      <c r="B414" s="25"/>
      <c r="C414" s="26" t="str">
        <f>IFERROR(IF(OR(A414="",B414=""),"",INDEX(Equipements!$H:$H,MATCH(A414,Equipements!$A:$A,0))&amp;"."&amp;B414),"")</f>
        <v/>
      </c>
      <c r="D414" s="11"/>
      <c r="E414" s="25"/>
      <c r="F414" s="25"/>
      <c r="G414" s="25"/>
      <c r="H414" s="11"/>
      <c r="I414" s="11"/>
      <c r="J414" s="26" t="str">
        <f t="shared" si="10"/>
        <v/>
      </c>
      <c r="K414" s="11"/>
      <c r="L414" s="11"/>
      <c r="M414" s="11"/>
      <c r="N414" s="11"/>
      <c r="O414" s="26" t="str">
        <f t="shared" si="11"/>
        <v/>
      </c>
      <c r="P414" s="11"/>
    </row>
    <row r="415" spans="1:16" ht="15" customHeight="1" x14ac:dyDescent="0.25">
      <c r="A415" s="25"/>
      <c r="B415" s="25"/>
      <c r="C415" s="26" t="str">
        <f>IFERROR(IF(OR(A415="",B415=""),"",INDEX(Equipements!$H:$H,MATCH(A415,Equipements!$A:$A,0))&amp;"."&amp;B415),"")</f>
        <v/>
      </c>
      <c r="D415" s="11"/>
      <c r="E415" s="25"/>
      <c r="F415" s="25"/>
      <c r="G415" s="25"/>
      <c r="H415" s="11"/>
      <c r="I415" s="11"/>
      <c r="J415" s="26" t="str">
        <f t="shared" si="10"/>
        <v/>
      </c>
      <c r="K415" s="11"/>
      <c r="L415" s="11"/>
      <c r="M415" s="11"/>
      <c r="N415" s="11"/>
      <c r="O415" s="26" t="str">
        <f t="shared" si="11"/>
        <v/>
      </c>
      <c r="P415" s="11"/>
    </row>
    <row r="416" spans="1:16" ht="15" customHeight="1" x14ac:dyDescent="0.25">
      <c r="A416" s="25"/>
      <c r="B416" s="25"/>
      <c r="C416" s="26" t="str">
        <f>IFERROR(IF(OR(A416="",B416=""),"",INDEX(Equipements!$H:$H,MATCH(A416,Equipements!$A:$A,0))&amp;"."&amp;B416),"")</f>
        <v/>
      </c>
      <c r="D416" s="11"/>
      <c r="E416" s="25"/>
      <c r="F416" s="25"/>
      <c r="G416" s="25"/>
      <c r="H416" s="11"/>
      <c r="I416" s="11"/>
      <c r="J416" s="26" t="str">
        <f t="shared" si="10"/>
        <v/>
      </c>
      <c r="K416" s="11"/>
      <c r="L416" s="11"/>
      <c r="M416" s="11"/>
      <c r="N416" s="11"/>
      <c r="O416" s="26" t="str">
        <f t="shared" si="11"/>
        <v/>
      </c>
      <c r="P416" s="11"/>
    </row>
    <row r="417" spans="1:16" ht="15" customHeight="1" x14ac:dyDescent="0.25">
      <c r="A417" s="25"/>
      <c r="B417" s="25"/>
      <c r="C417" s="26" t="str">
        <f>IFERROR(IF(OR(A417="",B417=""),"",INDEX(Equipements!$H:$H,MATCH(A417,Equipements!$A:$A,0))&amp;"."&amp;B417),"")</f>
        <v/>
      </c>
      <c r="D417" s="11"/>
      <c r="E417" s="25"/>
      <c r="F417" s="25"/>
      <c r="G417" s="25"/>
      <c r="H417" s="11"/>
      <c r="I417" s="11"/>
      <c r="J417" s="26" t="str">
        <f t="shared" si="10"/>
        <v/>
      </c>
      <c r="K417" s="11"/>
      <c r="L417" s="11"/>
      <c r="M417" s="11"/>
      <c r="N417" s="11"/>
      <c r="O417" s="26" t="str">
        <f t="shared" si="11"/>
        <v/>
      </c>
      <c r="P417" s="11"/>
    </row>
    <row r="418" spans="1:16" ht="15" customHeight="1" x14ac:dyDescent="0.25">
      <c r="A418" s="25"/>
      <c r="B418" s="25"/>
      <c r="C418" s="26" t="str">
        <f>IFERROR(IF(OR(A418="",B418=""),"",INDEX(Equipements!$H:$H,MATCH(A418,Equipements!$A:$A,0))&amp;"."&amp;B418),"")</f>
        <v/>
      </c>
      <c r="D418" s="11"/>
      <c r="E418" s="25"/>
      <c r="F418" s="25"/>
      <c r="G418" s="25"/>
      <c r="H418" s="11"/>
      <c r="I418" s="11"/>
      <c r="J418" s="26" t="str">
        <f t="shared" si="10"/>
        <v/>
      </c>
      <c r="K418" s="11"/>
      <c r="L418" s="11"/>
      <c r="M418" s="11"/>
      <c r="N418" s="11"/>
      <c r="O418" s="26" t="str">
        <f t="shared" si="11"/>
        <v/>
      </c>
      <c r="P418" s="11"/>
    </row>
    <row r="419" spans="1:16" ht="15" customHeight="1" x14ac:dyDescent="0.25">
      <c r="A419" s="25"/>
      <c r="B419" s="25"/>
      <c r="C419" s="26" t="str">
        <f>IFERROR(IF(OR(A419="",B419=""),"",INDEX(Equipements!$H:$H,MATCH(A419,Equipements!$A:$A,0))&amp;"."&amp;B419),"")</f>
        <v/>
      </c>
      <c r="D419" s="11"/>
      <c r="E419" s="25"/>
      <c r="F419" s="25"/>
      <c r="G419" s="25"/>
      <c r="H419" s="11"/>
      <c r="I419" s="11"/>
      <c r="J419" s="26" t="str">
        <f t="shared" si="10"/>
        <v/>
      </c>
      <c r="K419" s="11"/>
      <c r="L419" s="11"/>
      <c r="M419" s="11"/>
      <c r="N419" s="11"/>
      <c r="O419" s="26" t="str">
        <f t="shared" si="11"/>
        <v/>
      </c>
      <c r="P419" s="11"/>
    </row>
    <row r="420" spans="1:16" ht="15" customHeight="1" x14ac:dyDescent="0.25">
      <c r="A420" s="25"/>
      <c r="B420" s="25"/>
      <c r="C420" s="26" t="str">
        <f>IFERROR(IF(OR(A420="",B420=""),"",INDEX(Equipements!$H:$H,MATCH(A420,Equipements!$A:$A,0))&amp;"."&amp;B420),"")</f>
        <v/>
      </c>
      <c r="D420" s="11"/>
      <c r="E420" s="25"/>
      <c r="F420" s="25"/>
      <c r="G420" s="25"/>
      <c r="H420" s="11"/>
      <c r="I420" s="11"/>
      <c r="J420" s="26" t="str">
        <f t="shared" si="10"/>
        <v/>
      </c>
      <c r="K420" s="11"/>
      <c r="L420" s="11"/>
      <c r="M420" s="11"/>
      <c r="N420" s="11"/>
      <c r="O420" s="26" t="str">
        <f t="shared" si="11"/>
        <v/>
      </c>
      <c r="P420" s="11"/>
    </row>
    <row r="421" spans="1:16" ht="15" customHeight="1" x14ac:dyDescent="0.25">
      <c r="A421" s="25"/>
      <c r="B421" s="25"/>
      <c r="C421" s="26" t="str">
        <f>IFERROR(IF(OR(A421="",B421=""),"",INDEX(Equipements!$H:$H,MATCH(A421,Equipements!$A:$A,0))&amp;"."&amp;B421),"")</f>
        <v/>
      </c>
      <c r="D421" s="11"/>
      <c r="E421" s="25"/>
      <c r="F421" s="25"/>
      <c r="G421" s="25"/>
      <c r="H421" s="11"/>
      <c r="I421" s="11"/>
      <c r="J421" s="26" t="str">
        <f t="shared" si="10"/>
        <v/>
      </c>
      <c r="K421" s="11"/>
      <c r="L421" s="11"/>
      <c r="M421" s="11"/>
      <c r="N421" s="11"/>
      <c r="O421" s="26" t="str">
        <f t="shared" si="11"/>
        <v/>
      </c>
      <c r="P421" s="11"/>
    </row>
    <row r="422" spans="1:16" ht="15" customHeight="1" x14ac:dyDescent="0.25">
      <c r="A422" s="25"/>
      <c r="B422" s="25"/>
      <c r="C422" s="26" t="str">
        <f>IFERROR(IF(OR(A422="",B422=""),"",INDEX(Equipements!$H:$H,MATCH(A422,Equipements!$A:$A,0))&amp;"."&amp;B422),"")</f>
        <v/>
      </c>
      <c r="D422" s="11"/>
      <c r="E422" s="25"/>
      <c r="F422" s="25"/>
      <c r="G422" s="25"/>
      <c r="H422" s="11"/>
      <c r="I422" s="11"/>
      <c r="J422" s="26" t="str">
        <f t="shared" si="10"/>
        <v/>
      </c>
      <c r="K422" s="11"/>
      <c r="L422" s="11"/>
      <c r="M422" s="11"/>
      <c r="N422" s="11"/>
      <c r="O422" s="26" t="str">
        <f t="shared" si="11"/>
        <v/>
      </c>
      <c r="P422" s="11"/>
    </row>
    <row r="423" spans="1:16" ht="15" customHeight="1" x14ac:dyDescent="0.25">
      <c r="A423" s="25"/>
      <c r="B423" s="25"/>
      <c r="C423" s="26" t="str">
        <f>IFERROR(IF(OR(A423="",B423=""),"",INDEX(Equipements!$H:$H,MATCH(A423,Equipements!$A:$A,0))&amp;"."&amp;B423),"")</f>
        <v/>
      </c>
      <c r="D423" s="11"/>
      <c r="E423" s="25"/>
      <c r="F423" s="25"/>
      <c r="G423" s="25"/>
      <c r="H423" s="11"/>
      <c r="I423" s="11"/>
      <c r="J423" s="26" t="str">
        <f t="shared" si="10"/>
        <v/>
      </c>
      <c r="K423" s="11"/>
      <c r="L423" s="11"/>
      <c r="M423" s="11"/>
      <c r="N423" s="11"/>
      <c r="O423" s="26" t="str">
        <f t="shared" si="11"/>
        <v/>
      </c>
      <c r="P423" s="11"/>
    </row>
    <row r="424" spans="1:16" ht="15" customHeight="1" x14ac:dyDescent="0.25">
      <c r="A424" s="25"/>
      <c r="B424" s="25"/>
      <c r="C424" s="26" t="str">
        <f>IFERROR(IF(OR(A424="",B424=""),"",INDEX(Equipements!$H:$H,MATCH(A424,Equipements!$A:$A,0))&amp;"."&amp;B424),"")</f>
        <v/>
      </c>
      <c r="D424" s="11"/>
      <c r="E424" s="25"/>
      <c r="F424" s="25"/>
      <c r="G424" s="25"/>
      <c r="H424" s="11"/>
      <c r="I424" s="11"/>
      <c r="J424" s="26" t="str">
        <f t="shared" si="10"/>
        <v/>
      </c>
      <c r="K424" s="11"/>
      <c r="L424" s="11"/>
      <c r="M424" s="11"/>
      <c r="N424" s="11"/>
      <c r="O424" s="26" t="str">
        <f t="shared" si="11"/>
        <v/>
      </c>
      <c r="P424" s="11"/>
    </row>
    <row r="425" spans="1:16" ht="15" customHeight="1" x14ac:dyDescent="0.25">
      <c r="A425" s="25"/>
      <c r="B425" s="25"/>
      <c r="C425" s="26" t="str">
        <f>IFERROR(IF(OR(A425="",B425=""),"",INDEX(Equipements!$H:$H,MATCH(A425,Equipements!$A:$A,0))&amp;"."&amp;B425),"")</f>
        <v/>
      </c>
      <c r="D425" s="11"/>
      <c r="E425" s="25"/>
      <c r="F425" s="25"/>
      <c r="G425" s="25"/>
      <c r="H425" s="11"/>
      <c r="I425" s="11"/>
      <c r="J425" s="26" t="str">
        <f t="shared" si="10"/>
        <v/>
      </c>
      <c r="K425" s="11"/>
      <c r="L425" s="11"/>
      <c r="M425" s="11"/>
      <c r="N425" s="11"/>
      <c r="O425" s="26" t="str">
        <f t="shared" si="11"/>
        <v/>
      </c>
      <c r="P425" s="11"/>
    </row>
    <row r="426" spans="1:16" ht="15" customHeight="1" x14ac:dyDescent="0.25">
      <c r="A426" s="25"/>
      <c r="B426" s="25"/>
      <c r="C426" s="26" t="str">
        <f>IFERROR(IF(OR(A426="",B426=""),"",INDEX(Equipements!$H:$H,MATCH(A426,Equipements!$A:$A,0))&amp;"."&amp;B426),"")</f>
        <v/>
      </c>
      <c r="D426" s="11"/>
      <c r="E426" s="25"/>
      <c r="F426" s="25"/>
      <c r="G426" s="25"/>
      <c r="H426" s="11"/>
      <c r="I426" s="11"/>
      <c r="J426" s="26" t="str">
        <f t="shared" si="10"/>
        <v/>
      </c>
      <c r="K426" s="11"/>
      <c r="L426" s="11"/>
      <c r="M426" s="11"/>
      <c r="N426" s="11"/>
      <c r="O426" s="26" t="str">
        <f t="shared" si="11"/>
        <v/>
      </c>
      <c r="P426" s="11"/>
    </row>
    <row r="427" spans="1:16" ht="15" customHeight="1" x14ac:dyDescent="0.25">
      <c r="A427" s="25"/>
      <c r="B427" s="25"/>
      <c r="C427" s="26" t="str">
        <f>IFERROR(IF(OR(A427="",B427=""),"",INDEX(Equipements!$H:$H,MATCH(A427,Equipements!$A:$A,0))&amp;"."&amp;B427),"")</f>
        <v/>
      </c>
      <c r="D427" s="11"/>
      <c r="E427" s="25"/>
      <c r="F427" s="25"/>
      <c r="G427" s="25"/>
      <c r="H427" s="11"/>
      <c r="I427" s="11"/>
      <c r="J427" s="26" t="str">
        <f t="shared" si="10"/>
        <v/>
      </c>
      <c r="K427" s="11"/>
      <c r="L427" s="11"/>
      <c r="M427" s="11"/>
      <c r="N427" s="11"/>
      <c r="O427" s="26" t="str">
        <f t="shared" si="11"/>
        <v/>
      </c>
      <c r="P427" s="11"/>
    </row>
    <row r="428" spans="1:16" ht="15" customHeight="1" x14ac:dyDescent="0.25">
      <c r="A428" s="25"/>
      <c r="B428" s="25"/>
      <c r="C428" s="26" t="str">
        <f>IFERROR(IF(OR(A428="",B428=""),"",INDEX(Equipements!$H:$H,MATCH(A428,Equipements!$A:$A,0))&amp;"."&amp;B428),"")</f>
        <v/>
      </c>
      <c r="D428" s="11"/>
      <c r="E428" s="25"/>
      <c r="F428" s="25"/>
      <c r="G428" s="25"/>
      <c r="H428" s="11"/>
      <c r="I428" s="11"/>
      <c r="J428" s="26" t="str">
        <f t="shared" si="10"/>
        <v/>
      </c>
      <c r="K428" s="11"/>
      <c r="L428" s="11"/>
      <c r="M428" s="11"/>
      <c r="N428" s="11"/>
      <c r="O428" s="26" t="str">
        <f t="shared" si="11"/>
        <v/>
      </c>
      <c r="P428" s="11"/>
    </row>
    <row r="429" spans="1:16" ht="15" customHeight="1" x14ac:dyDescent="0.25">
      <c r="A429" s="25"/>
      <c r="B429" s="25"/>
      <c r="C429" s="26" t="str">
        <f>IFERROR(IF(OR(A429="",B429=""),"",INDEX(Equipements!$H:$H,MATCH(A429,Equipements!$A:$A,0))&amp;"."&amp;B429),"")</f>
        <v/>
      </c>
      <c r="D429" s="11"/>
      <c r="E429" s="25"/>
      <c r="F429" s="25"/>
      <c r="G429" s="25"/>
      <c r="H429" s="11"/>
      <c r="I429" s="11"/>
      <c r="J429" s="26" t="str">
        <f t="shared" si="10"/>
        <v/>
      </c>
      <c r="K429" s="11"/>
      <c r="L429" s="11"/>
      <c r="M429" s="11"/>
      <c r="N429" s="11"/>
      <c r="O429" s="26" t="str">
        <f t="shared" si="11"/>
        <v/>
      </c>
      <c r="P429" s="11"/>
    </row>
    <row r="430" spans="1:16" ht="15" customHeight="1" x14ac:dyDescent="0.25">
      <c r="A430" s="25"/>
      <c r="B430" s="25"/>
      <c r="C430" s="26" t="str">
        <f>IFERROR(IF(OR(A430="",B430=""),"",INDEX(Equipements!$H:$H,MATCH(A430,Equipements!$A:$A,0))&amp;"."&amp;B430),"")</f>
        <v/>
      </c>
      <c r="D430" s="11"/>
      <c r="E430" s="25"/>
      <c r="F430" s="25"/>
      <c r="G430" s="25"/>
      <c r="H430" s="11"/>
      <c r="I430" s="11"/>
      <c r="J430" s="26" t="str">
        <f t="shared" si="10"/>
        <v/>
      </c>
      <c r="K430" s="11"/>
      <c r="L430" s="11"/>
      <c r="M430" s="11"/>
      <c r="N430" s="11"/>
      <c r="O430" s="26" t="str">
        <f t="shared" si="11"/>
        <v/>
      </c>
      <c r="P430" s="11"/>
    </row>
    <row r="431" spans="1:16" ht="15" customHeight="1" x14ac:dyDescent="0.25">
      <c r="A431" s="25"/>
      <c r="B431" s="25"/>
      <c r="C431" s="26" t="str">
        <f>IFERROR(IF(OR(A431="",B431=""),"",INDEX(Equipements!$H:$H,MATCH(A431,Equipements!$A:$A,0))&amp;"."&amp;B431),"")</f>
        <v/>
      </c>
      <c r="D431" s="11"/>
      <c r="E431" s="25"/>
      <c r="F431" s="25"/>
      <c r="G431" s="25"/>
      <c r="H431" s="11"/>
      <c r="I431" s="11"/>
      <c r="J431" s="26" t="str">
        <f t="shared" si="10"/>
        <v/>
      </c>
      <c r="K431" s="11"/>
      <c r="L431" s="11"/>
      <c r="M431" s="11"/>
      <c r="N431" s="11"/>
      <c r="O431" s="26" t="str">
        <f t="shared" si="11"/>
        <v/>
      </c>
      <c r="P431" s="11"/>
    </row>
    <row r="432" spans="1:16" ht="15" customHeight="1" x14ac:dyDescent="0.25">
      <c r="A432" s="25"/>
      <c r="B432" s="25"/>
      <c r="C432" s="26" t="str">
        <f>IFERROR(IF(OR(A432="",B432=""),"",INDEX(Equipements!$H:$H,MATCH(A432,Equipements!$A:$A,0))&amp;"."&amp;B432),"")</f>
        <v/>
      </c>
      <c r="D432" s="11"/>
      <c r="E432" s="25"/>
      <c r="F432" s="25"/>
      <c r="G432" s="25"/>
      <c r="H432" s="11"/>
      <c r="I432" s="11"/>
      <c r="J432" s="26" t="str">
        <f t="shared" si="10"/>
        <v/>
      </c>
      <c r="K432" s="11"/>
      <c r="L432" s="11"/>
      <c r="M432" s="11"/>
      <c r="N432" s="11"/>
      <c r="O432" s="26" t="str">
        <f t="shared" si="11"/>
        <v/>
      </c>
      <c r="P432" s="11"/>
    </row>
    <row r="433" spans="1:16" ht="15" customHeight="1" x14ac:dyDescent="0.25">
      <c r="A433" s="25"/>
      <c r="B433" s="25"/>
      <c r="C433" s="26" t="str">
        <f>IFERROR(IF(OR(A433="",B433=""),"",INDEX(Equipements!$H:$H,MATCH(A433,Equipements!$A:$A,0))&amp;"."&amp;B433),"")</f>
        <v/>
      </c>
      <c r="D433" s="11"/>
      <c r="E433" s="25"/>
      <c r="F433" s="25"/>
      <c r="G433" s="25"/>
      <c r="H433" s="11"/>
      <c r="I433" s="11"/>
      <c r="J433" s="26" t="str">
        <f t="shared" si="10"/>
        <v/>
      </c>
      <c r="K433" s="11"/>
      <c r="L433" s="11"/>
      <c r="M433" s="11"/>
      <c r="N433" s="11"/>
      <c r="O433" s="26" t="str">
        <f t="shared" si="11"/>
        <v/>
      </c>
      <c r="P433" s="11"/>
    </row>
    <row r="434" spans="1:16" ht="15" customHeight="1" x14ac:dyDescent="0.25">
      <c r="A434" s="25"/>
      <c r="B434" s="25"/>
      <c r="C434" s="26" t="str">
        <f>IFERROR(IF(OR(A434="",B434=""),"",INDEX(Equipements!$H:$H,MATCH(A434,Equipements!$A:$A,0))&amp;"."&amp;B434),"")</f>
        <v/>
      </c>
      <c r="D434" s="11"/>
      <c r="E434" s="25"/>
      <c r="F434" s="25"/>
      <c r="G434" s="25"/>
      <c r="H434" s="11"/>
      <c r="I434" s="11"/>
      <c r="J434" s="26" t="str">
        <f t="shared" si="10"/>
        <v/>
      </c>
      <c r="K434" s="11"/>
      <c r="L434" s="11"/>
      <c r="M434" s="11"/>
      <c r="N434" s="11"/>
      <c r="O434" s="26" t="str">
        <f t="shared" si="11"/>
        <v/>
      </c>
      <c r="P434" s="11"/>
    </row>
    <row r="435" spans="1:16" ht="15" customHeight="1" x14ac:dyDescent="0.25">
      <c r="A435" s="25"/>
      <c r="B435" s="25"/>
      <c r="C435" s="26" t="str">
        <f>IFERROR(IF(OR(A435="",B435=""),"",INDEX(Equipements!$H:$H,MATCH(A435,Equipements!$A:$A,0))&amp;"."&amp;B435),"")</f>
        <v/>
      </c>
      <c r="D435" s="11"/>
      <c r="E435" s="25"/>
      <c r="F435" s="25"/>
      <c r="G435" s="25"/>
      <c r="H435" s="11"/>
      <c r="I435" s="11"/>
      <c r="J435" s="26" t="str">
        <f t="shared" si="10"/>
        <v/>
      </c>
      <c r="K435" s="11"/>
      <c r="L435" s="11"/>
      <c r="M435" s="11"/>
      <c r="N435" s="11"/>
      <c r="O435" s="26" t="str">
        <f t="shared" si="11"/>
        <v/>
      </c>
      <c r="P435" s="11"/>
    </row>
    <row r="436" spans="1:16" ht="15" customHeight="1" x14ac:dyDescent="0.25">
      <c r="A436" s="25"/>
      <c r="B436" s="25"/>
      <c r="C436" s="26" t="str">
        <f>IFERROR(IF(OR(A436="",B436=""),"",INDEX(Equipements!$H:$H,MATCH(A436,Equipements!$A:$A,0))&amp;"."&amp;B436),"")</f>
        <v/>
      </c>
      <c r="D436" s="11"/>
      <c r="E436" s="25"/>
      <c r="F436" s="25"/>
      <c r="G436" s="25"/>
      <c r="H436" s="11"/>
      <c r="I436" s="11"/>
      <c r="J436" s="26" t="str">
        <f t="shared" si="10"/>
        <v/>
      </c>
      <c r="K436" s="11"/>
      <c r="L436" s="11"/>
      <c r="M436" s="11"/>
      <c r="N436" s="11"/>
      <c r="O436" s="26" t="str">
        <f t="shared" si="11"/>
        <v/>
      </c>
      <c r="P436" s="11"/>
    </row>
    <row r="437" spans="1:16" ht="15" customHeight="1" x14ac:dyDescent="0.25">
      <c r="A437" s="25"/>
      <c r="B437" s="25"/>
      <c r="C437" s="26" t="str">
        <f>IFERROR(IF(OR(A437="",B437=""),"",INDEX(Equipements!$H:$H,MATCH(A437,Equipements!$A:$A,0))&amp;"."&amp;B437),"")</f>
        <v/>
      </c>
      <c r="D437" s="11"/>
      <c r="E437" s="25"/>
      <c r="F437" s="25"/>
      <c r="G437" s="25"/>
      <c r="H437" s="11"/>
      <c r="I437" s="11"/>
      <c r="J437" s="26" t="str">
        <f t="shared" si="10"/>
        <v/>
      </c>
      <c r="K437" s="11"/>
      <c r="L437" s="11"/>
      <c r="M437" s="11"/>
      <c r="N437" s="11"/>
      <c r="O437" s="26" t="str">
        <f t="shared" si="11"/>
        <v/>
      </c>
      <c r="P437" s="11"/>
    </row>
    <row r="438" spans="1:16" ht="15" customHeight="1" x14ac:dyDescent="0.25">
      <c r="A438" s="25"/>
      <c r="B438" s="25"/>
      <c r="C438" s="26" t="str">
        <f>IFERROR(IF(OR(A438="",B438=""),"",INDEX(Equipements!$H:$H,MATCH(A438,Equipements!$A:$A,0))&amp;"."&amp;B438),"")</f>
        <v/>
      </c>
      <c r="D438" s="11"/>
      <c r="E438" s="25"/>
      <c r="F438" s="25"/>
      <c r="G438" s="25"/>
      <c r="H438" s="11"/>
      <c r="I438" s="11"/>
      <c r="J438" s="26" t="str">
        <f t="shared" si="10"/>
        <v/>
      </c>
      <c r="K438" s="11"/>
      <c r="L438" s="11"/>
      <c r="M438" s="11"/>
      <c r="N438" s="11"/>
      <c r="O438" s="26" t="str">
        <f t="shared" si="11"/>
        <v/>
      </c>
      <c r="P438" s="11"/>
    </row>
    <row r="439" spans="1:16" ht="15" customHeight="1" x14ac:dyDescent="0.25">
      <c r="A439" s="25"/>
      <c r="B439" s="25"/>
      <c r="C439" s="26" t="str">
        <f>IFERROR(IF(OR(A439="",B439=""),"",INDEX(Equipements!$H:$H,MATCH(A439,Equipements!$A:$A,0))&amp;"."&amp;B439),"")</f>
        <v/>
      </c>
      <c r="D439" s="11"/>
      <c r="E439" s="25"/>
      <c r="F439" s="25"/>
      <c r="G439" s="25"/>
      <c r="H439" s="11"/>
      <c r="I439" s="11"/>
      <c r="J439" s="26" t="str">
        <f t="shared" si="10"/>
        <v/>
      </c>
      <c r="K439" s="11"/>
      <c r="L439" s="11"/>
      <c r="M439" s="11"/>
      <c r="N439" s="11"/>
      <c r="O439" s="26" t="str">
        <f t="shared" si="11"/>
        <v/>
      </c>
      <c r="P439" s="11"/>
    </row>
    <row r="440" spans="1:16" ht="15" customHeight="1" x14ac:dyDescent="0.25">
      <c r="A440" s="25"/>
      <c r="B440" s="25"/>
      <c r="C440" s="26" t="str">
        <f>IFERROR(IF(OR(A440="",B440=""),"",INDEX(Equipements!$H:$H,MATCH(A440,Equipements!$A:$A,0))&amp;"."&amp;B440),"")</f>
        <v/>
      </c>
      <c r="D440" s="11"/>
      <c r="E440" s="25"/>
      <c r="F440" s="25"/>
      <c r="G440" s="25"/>
      <c r="H440" s="11"/>
      <c r="I440" s="11"/>
      <c r="J440" s="26" t="str">
        <f t="shared" si="10"/>
        <v/>
      </c>
      <c r="K440" s="11"/>
      <c r="L440" s="11"/>
      <c r="M440" s="11"/>
      <c r="N440" s="11"/>
      <c r="O440" s="26" t="str">
        <f t="shared" si="11"/>
        <v/>
      </c>
      <c r="P440" s="11"/>
    </row>
    <row r="441" spans="1:16" ht="15" customHeight="1" x14ac:dyDescent="0.25">
      <c r="A441" s="25"/>
      <c r="B441" s="25"/>
      <c r="C441" s="26" t="str">
        <f>IFERROR(IF(OR(A441="",B441=""),"",INDEX(Equipements!$H:$H,MATCH(A441,Equipements!$A:$A,0))&amp;"."&amp;B441),"")</f>
        <v/>
      </c>
      <c r="D441" s="11"/>
      <c r="E441" s="25"/>
      <c r="F441" s="25"/>
      <c r="G441" s="25"/>
      <c r="H441" s="11"/>
      <c r="I441" s="11"/>
      <c r="J441" s="26" t="str">
        <f t="shared" si="10"/>
        <v/>
      </c>
      <c r="K441" s="11"/>
      <c r="L441" s="11"/>
      <c r="M441" s="11"/>
      <c r="N441" s="11"/>
      <c r="O441" s="26" t="str">
        <f t="shared" si="11"/>
        <v/>
      </c>
      <c r="P441" s="11"/>
    </row>
    <row r="442" spans="1:16" ht="15" customHeight="1" x14ac:dyDescent="0.25">
      <c r="A442" s="25"/>
      <c r="B442" s="25"/>
      <c r="C442" s="26" t="str">
        <f>IFERROR(IF(OR(A442="",B442=""),"",INDEX(Equipements!$H:$H,MATCH(A442,Equipements!$A:$A,0))&amp;"."&amp;B442),"")</f>
        <v/>
      </c>
      <c r="D442" s="11"/>
      <c r="E442" s="25"/>
      <c r="F442" s="25"/>
      <c r="G442" s="25"/>
      <c r="H442" s="11"/>
      <c r="I442" s="11"/>
      <c r="J442" s="26" t="str">
        <f t="shared" si="10"/>
        <v/>
      </c>
      <c r="K442" s="11"/>
      <c r="L442" s="11"/>
      <c r="M442" s="11"/>
      <c r="N442" s="11"/>
      <c r="O442" s="26" t="str">
        <f t="shared" si="11"/>
        <v/>
      </c>
      <c r="P442" s="11"/>
    </row>
    <row r="443" spans="1:16" ht="15" customHeight="1" x14ac:dyDescent="0.25">
      <c r="A443" s="25"/>
      <c r="B443" s="25"/>
      <c r="C443" s="26" t="str">
        <f>IFERROR(IF(OR(A443="",B443=""),"",INDEX(Equipements!$H:$H,MATCH(A443,Equipements!$A:$A,0))&amp;"."&amp;B443),"")</f>
        <v/>
      </c>
      <c r="D443" s="11"/>
      <c r="E443" s="25"/>
      <c r="F443" s="25"/>
      <c r="G443" s="25"/>
      <c r="H443" s="11"/>
      <c r="I443" s="11"/>
      <c r="J443" s="26" t="str">
        <f t="shared" si="10"/>
        <v/>
      </c>
      <c r="K443" s="11"/>
      <c r="L443" s="11"/>
      <c r="M443" s="11"/>
      <c r="N443" s="11"/>
      <c r="O443" s="26" t="str">
        <f t="shared" si="11"/>
        <v/>
      </c>
      <c r="P443" s="11"/>
    </row>
    <row r="444" spans="1:16" ht="15" customHeight="1" x14ac:dyDescent="0.25">
      <c r="A444" s="25"/>
      <c r="B444" s="25"/>
      <c r="C444" s="26" t="str">
        <f>IFERROR(IF(OR(A444="",B444=""),"",INDEX(Equipements!$H:$H,MATCH(A444,Equipements!$A:$A,0))&amp;"."&amp;B444),"")</f>
        <v/>
      </c>
      <c r="D444" s="11"/>
      <c r="E444" s="25"/>
      <c r="F444" s="25"/>
      <c r="G444" s="25"/>
      <c r="H444" s="11"/>
      <c r="I444" s="11"/>
      <c r="J444" s="26" t="str">
        <f t="shared" si="10"/>
        <v/>
      </c>
      <c r="K444" s="11"/>
      <c r="L444" s="11"/>
      <c r="M444" s="11"/>
      <c r="N444" s="11"/>
      <c r="O444" s="26" t="str">
        <f t="shared" si="11"/>
        <v/>
      </c>
      <c r="P444" s="11"/>
    </row>
    <row r="445" spans="1:16" ht="15" customHeight="1" x14ac:dyDescent="0.25">
      <c r="A445" s="25"/>
      <c r="B445" s="25"/>
      <c r="C445" s="26" t="str">
        <f>IFERROR(IF(OR(A445="",B445=""),"",INDEX(Equipements!$H:$H,MATCH(A445,Equipements!$A:$A,0))&amp;"."&amp;B445),"")</f>
        <v/>
      </c>
      <c r="D445" s="11"/>
      <c r="E445" s="25"/>
      <c r="F445" s="25"/>
      <c r="G445" s="25"/>
      <c r="H445" s="11"/>
      <c r="I445" s="11"/>
      <c r="J445" s="26" t="str">
        <f t="shared" si="10"/>
        <v/>
      </c>
      <c r="K445" s="11"/>
      <c r="L445" s="11"/>
      <c r="M445" s="11"/>
      <c r="N445" s="11"/>
      <c r="O445" s="26" t="str">
        <f t="shared" si="11"/>
        <v/>
      </c>
      <c r="P445" s="11"/>
    </row>
    <row r="446" spans="1:16" ht="15" customHeight="1" x14ac:dyDescent="0.25">
      <c r="A446" s="25"/>
      <c r="B446" s="25"/>
      <c r="C446" s="26" t="str">
        <f>IFERROR(IF(OR(A446="",B446=""),"",INDEX(Equipements!$H:$H,MATCH(A446,Equipements!$A:$A,0))&amp;"."&amp;B446),"")</f>
        <v/>
      </c>
      <c r="D446" s="11"/>
      <c r="E446" s="25"/>
      <c r="F446" s="25"/>
      <c r="G446" s="25"/>
      <c r="H446" s="11"/>
      <c r="I446" s="11"/>
      <c r="J446" s="26" t="str">
        <f t="shared" si="10"/>
        <v/>
      </c>
      <c r="K446" s="11"/>
      <c r="L446" s="11"/>
      <c r="M446" s="11"/>
      <c r="N446" s="11"/>
      <c r="O446" s="26" t="str">
        <f t="shared" si="11"/>
        <v/>
      </c>
      <c r="P446" s="11"/>
    </row>
    <row r="447" spans="1:16" ht="15" customHeight="1" x14ac:dyDescent="0.25">
      <c r="A447" s="25"/>
      <c r="B447" s="25"/>
      <c r="C447" s="26" t="str">
        <f>IFERROR(IF(OR(A447="",B447=""),"",INDEX(Equipements!$H:$H,MATCH(A447,Equipements!$A:$A,0))&amp;"."&amp;B447),"")</f>
        <v/>
      </c>
      <c r="D447" s="11"/>
      <c r="E447" s="25"/>
      <c r="F447" s="25"/>
      <c r="G447" s="25"/>
      <c r="H447" s="11"/>
      <c r="I447" s="11"/>
      <c r="J447" s="26" t="str">
        <f t="shared" si="10"/>
        <v/>
      </c>
      <c r="K447" s="11"/>
      <c r="L447" s="11"/>
      <c r="M447" s="11"/>
      <c r="N447" s="11"/>
      <c r="O447" s="26" t="str">
        <f t="shared" si="11"/>
        <v/>
      </c>
      <c r="P447" s="11"/>
    </row>
    <row r="448" spans="1:16" ht="15" customHeight="1" x14ac:dyDescent="0.25">
      <c r="A448" s="25"/>
      <c r="B448" s="25"/>
      <c r="C448" s="26" t="str">
        <f>IFERROR(IF(OR(A448="",B448=""),"",INDEX(Equipements!$H:$H,MATCH(A448,Equipements!$A:$A,0))&amp;"."&amp;B448),"")</f>
        <v/>
      </c>
      <c r="D448" s="11"/>
      <c r="E448" s="25"/>
      <c r="F448" s="25"/>
      <c r="G448" s="25"/>
      <c r="H448" s="11"/>
      <c r="I448" s="11"/>
      <c r="J448" s="26" t="str">
        <f t="shared" si="10"/>
        <v/>
      </c>
      <c r="K448" s="11"/>
      <c r="L448" s="11"/>
      <c r="M448" s="11"/>
      <c r="N448" s="11"/>
      <c r="O448" s="26" t="str">
        <f t="shared" si="11"/>
        <v/>
      </c>
      <c r="P448" s="11"/>
    </row>
    <row r="449" spans="1:16" ht="15" customHeight="1" x14ac:dyDescent="0.25">
      <c r="A449" s="25"/>
      <c r="B449" s="25"/>
      <c r="C449" s="26" t="str">
        <f>IFERROR(IF(OR(A449="",B449=""),"",INDEX(Equipements!$H:$H,MATCH(A449,Equipements!$A:$A,0))&amp;"."&amp;B449),"")</f>
        <v/>
      </c>
      <c r="D449" s="11"/>
      <c r="E449" s="25"/>
      <c r="F449" s="25"/>
      <c r="G449" s="25"/>
      <c r="H449" s="11"/>
      <c r="I449" s="11"/>
      <c r="J449" s="26" t="str">
        <f t="shared" si="10"/>
        <v/>
      </c>
      <c r="K449" s="11"/>
      <c r="L449" s="11"/>
      <c r="M449" s="11"/>
      <c r="N449" s="11"/>
      <c r="O449" s="26" t="str">
        <f t="shared" si="11"/>
        <v/>
      </c>
      <c r="P449" s="11"/>
    </row>
    <row r="450" spans="1:16" ht="15" customHeight="1" x14ac:dyDescent="0.25">
      <c r="A450" s="25"/>
      <c r="B450" s="25"/>
      <c r="C450" s="26" t="str">
        <f>IFERROR(IF(OR(A450="",B450=""),"",INDEX(Equipements!$H:$H,MATCH(A450,Equipements!$A:$A,0))&amp;"."&amp;B450),"")</f>
        <v/>
      </c>
      <c r="D450" s="11"/>
      <c r="E450" s="25"/>
      <c r="F450" s="25"/>
      <c r="G450" s="25"/>
      <c r="H450" s="11"/>
      <c r="I450" s="11"/>
      <c r="J450" s="26" t="str">
        <f t="shared" si="10"/>
        <v/>
      </c>
      <c r="K450" s="11"/>
      <c r="L450" s="11"/>
      <c r="M450" s="11"/>
      <c r="N450" s="11"/>
      <c r="O450" s="26" t="str">
        <f t="shared" si="11"/>
        <v/>
      </c>
      <c r="P450" s="11"/>
    </row>
    <row r="451" spans="1:16" ht="15" customHeight="1" x14ac:dyDescent="0.25">
      <c r="A451" s="25"/>
      <c r="B451" s="25"/>
      <c r="C451" s="26" t="str">
        <f>IFERROR(IF(OR(A451="",B451=""),"",INDEX(Equipements!$H:$H,MATCH(A451,Equipements!$A:$A,0))&amp;"."&amp;B451),"")</f>
        <v/>
      </c>
      <c r="D451" s="11"/>
      <c r="E451" s="25"/>
      <c r="F451" s="25"/>
      <c r="G451" s="25"/>
      <c r="H451" s="11"/>
      <c r="I451" s="11"/>
      <c r="J451" s="26" t="str">
        <f t="shared" si="10"/>
        <v/>
      </c>
      <c r="K451" s="11"/>
      <c r="L451" s="11"/>
      <c r="M451" s="11"/>
      <c r="N451" s="11"/>
      <c r="O451" s="26" t="str">
        <f t="shared" si="11"/>
        <v/>
      </c>
      <c r="P451" s="11"/>
    </row>
    <row r="452" spans="1:16" ht="15" customHeight="1" x14ac:dyDescent="0.25">
      <c r="A452" s="25"/>
      <c r="B452" s="25"/>
      <c r="C452" s="26" t="str">
        <f>IFERROR(IF(OR(A452="",B452=""),"",INDEX(Equipements!$H:$H,MATCH(A452,Equipements!$A:$A,0))&amp;"."&amp;B452),"")</f>
        <v/>
      </c>
      <c r="D452" s="11"/>
      <c r="E452" s="25"/>
      <c r="F452" s="25"/>
      <c r="G452" s="25"/>
      <c r="H452" s="11"/>
      <c r="I452" s="11"/>
      <c r="J452" s="26" t="str">
        <f t="shared" si="10"/>
        <v/>
      </c>
      <c r="K452" s="11"/>
      <c r="L452" s="11"/>
      <c r="M452" s="11"/>
      <c r="N452" s="11"/>
      <c r="O452" s="26" t="str">
        <f t="shared" si="11"/>
        <v/>
      </c>
      <c r="P452" s="11"/>
    </row>
    <row r="453" spans="1:16" ht="15" customHeight="1" x14ac:dyDescent="0.25">
      <c r="A453" s="25"/>
      <c r="B453" s="25"/>
      <c r="C453" s="26" t="str">
        <f>IFERROR(IF(OR(A453="",B453=""),"",INDEX(Equipements!$H:$H,MATCH(A453,Equipements!$A:$A,0))&amp;"."&amp;B453),"")</f>
        <v/>
      </c>
      <c r="D453" s="11"/>
      <c r="E453" s="25"/>
      <c r="F453" s="25"/>
      <c r="G453" s="25"/>
      <c r="H453" s="11"/>
      <c r="I453" s="11"/>
      <c r="J453" s="26" t="str">
        <f t="shared" si="10"/>
        <v/>
      </c>
      <c r="K453" s="11"/>
      <c r="L453" s="11"/>
      <c r="M453" s="11"/>
      <c r="N453" s="11"/>
      <c r="O453" s="26" t="str">
        <f t="shared" si="11"/>
        <v/>
      </c>
      <c r="P453" s="11"/>
    </row>
    <row r="454" spans="1:16" ht="15" customHeight="1" x14ac:dyDescent="0.25">
      <c r="A454" s="25"/>
      <c r="B454" s="25"/>
      <c r="C454" s="26" t="str">
        <f>IFERROR(IF(OR(A454="",B454=""),"",INDEX(Equipements!$H:$H,MATCH(A454,Equipements!$A:$A,0))&amp;"."&amp;B454),"")</f>
        <v/>
      </c>
      <c r="D454" s="11"/>
      <c r="E454" s="25"/>
      <c r="F454" s="25"/>
      <c r="G454" s="25"/>
      <c r="H454" s="11"/>
      <c r="I454" s="11"/>
      <c r="J454" s="26" t="str">
        <f t="shared" si="10"/>
        <v/>
      </c>
      <c r="K454" s="11"/>
      <c r="L454" s="11"/>
      <c r="M454" s="11"/>
      <c r="N454" s="11"/>
      <c r="O454" s="26" t="str">
        <f t="shared" si="11"/>
        <v/>
      </c>
      <c r="P454" s="11"/>
    </row>
    <row r="455" spans="1:16" ht="15" customHeight="1" x14ac:dyDescent="0.25">
      <c r="A455" s="25"/>
      <c r="B455" s="25"/>
      <c r="C455" s="26" t="str">
        <f>IFERROR(IF(OR(A455="",B455=""),"",INDEX(Equipements!$H:$H,MATCH(A455,Equipements!$A:$A,0))&amp;"."&amp;B455),"")</f>
        <v/>
      </c>
      <c r="D455" s="11"/>
      <c r="E455" s="25"/>
      <c r="F455" s="25"/>
      <c r="G455" s="25"/>
      <c r="H455" s="11"/>
      <c r="I455" s="11"/>
      <c r="J455" s="26" t="str">
        <f t="shared" si="10"/>
        <v/>
      </c>
      <c r="K455" s="11"/>
      <c r="L455" s="11"/>
      <c r="M455" s="11"/>
      <c r="N455" s="11"/>
      <c r="O455" s="26" t="str">
        <f t="shared" si="11"/>
        <v/>
      </c>
      <c r="P455" s="11"/>
    </row>
    <row r="456" spans="1:16" ht="15" customHeight="1" x14ac:dyDescent="0.25">
      <c r="A456" s="25"/>
      <c r="B456" s="25"/>
      <c r="C456" s="26" t="str">
        <f>IFERROR(IF(OR(A456="",B456=""),"",INDEX(Equipements!$H:$H,MATCH(A456,Equipements!$A:$A,0))&amp;"."&amp;B456),"")</f>
        <v/>
      </c>
      <c r="D456" s="11"/>
      <c r="E456" s="25"/>
      <c r="F456" s="25"/>
      <c r="G456" s="25"/>
      <c r="H456" s="11"/>
      <c r="I456" s="11"/>
      <c r="J456" s="26" t="str">
        <f t="shared" si="10"/>
        <v/>
      </c>
      <c r="K456" s="11"/>
      <c r="L456" s="11"/>
      <c r="M456" s="11"/>
      <c r="N456" s="11"/>
      <c r="O456" s="26" t="str">
        <f t="shared" si="11"/>
        <v/>
      </c>
      <c r="P456" s="11"/>
    </row>
    <row r="457" spans="1:16" ht="15" customHeight="1" x14ac:dyDescent="0.25">
      <c r="A457" s="25"/>
      <c r="B457" s="25"/>
      <c r="C457" s="26" t="str">
        <f>IFERROR(IF(OR(A457="",B457=""),"",INDEX(Equipements!$H:$H,MATCH(A457,Equipements!$A:$A,0))&amp;"."&amp;B457),"")</f>
        <v/>
      </c>
      <c r="D457" s="11"/>
      <c r="E457" s="25"/>
      <c r="F457" s="25"/>
      <c r="G457" s="25"/>
      <c r="H457" s="11"/>
      <c r="I457" s="11"/>
      <c r="J457" s="26" t="str">
        <f t="shared" ref="J457:J520" si="12">IF(OR(G457="",H457=""),"","%"&amp;G457&amp;H457)</f>
        <v/>
      </c>
      <c r="K457" s="11"/>
      <c r="L457" s="11"/>
      <c r="M457" s="11"/>
      <c r="N457" s="11"/>
      <c r="O457" s="26" t="str">
        <f t="shared" ref="O457:O520" si="13">IF(H457="","",IF(I457="","mot entier","bit "&amp;I457))</f>
        <v/>
      </c>
      <c r="P457" s="11"/>
    </row>
    <row r="458" spans="1:16" ht="15" customHeight="1" x14ac:dyDescent="0.25">
      <c r="A458" s="25"/>
      <c r="B458" s="25"/>
      <c r="C458" s="26" t="str">
        <f>IFERROR(IF(OR(A458="",B458=""),"",INDEX(Equipements!$H:$H,MATCH(A458,Equipements!$A:$A,0))&amp;"."&amp;B458),"")</f>
        <v/>
      </c>
      <c r="D458" s="11"/>
      <c r="E458" s="25"/>
      <c r="F458" s="25"/>
      <c r="G458" s="25"/>
      <c r="H458" s="11"/>
      <c r="I458" s="11"/>
      <c r="J458" s="26" t="str">
        <f t="shared" si="12"/>
        <v/>
      </c>
      <c r="K458" s="11"/>
      <c r="L458" s="11"/>
      <c r="M458" s="11"/>
      <c r="N458" s="11"/>
      <c r="O458" s="26" t="str">
        <f t="shared" si="13"/>
        <v/>
      </c>
      <c r="P458" s="11"/>
    </row>
    <row r="459" spans="1:16" ht="15" customHeight="1" x14ac:dyDescent="0.25">
      <c r="A459" s="25"/>
      <c r="B459" s="25"/>
      <c r="C459" s="26" t="str">
        <f>IFERROR(IF(OR(A459="",B459=""),"",INDEX(Equipements!$H:$H,MATCH(A459,Equipements!$A:$A,0))&amp;"."&amp;B459),"")</f>
        <v/>
      </c>
      <c r="D459" s="11"/>
      <c r="E459" s="25"/>
      <c r="F459" s="25"/>
      <c r="G459" s="25"/>
      <c r="H459" s="11"/>
      <c r="I459" s="11"/>
      <c r="J459" s="26" t="str">
        <f t="shared" si="12"/>
        <v/>
      </c>
      <c r="K459" s="11"/>
      <c r="L459" s="11"/>
      <c r="M459" s="11"/>
      <c r="N459" s="11"/>
      <c r="O459" s="26" t="str">
        <f t="shared" si="13"/>
        <v/>
      </c>
      <c r="P459" s="11"/>
    </row>
    <row r="460" spans="1:16" ht="15" customHeight="1" x14ac:dyDescent="0.25">
      <c r="A460" s="25"/>
      <c r="B460" s="25"/>
      <c r="C460" s="26" t="str">
        <f>IFERROR(IF(OR(A460="",B460=""),"",INDEX(Equipements!$H:$H,MATCH(A460,Equipements!$A:$A,0))&amp;"."&amp;B460),"")</f>
        <v/>
      </c>
      <c r="D460" s="11"/>
      <c r="E460" s="25"/>
      <c r="F460" s="25"/>
      <c r="G460" s="25"/>
      <c r="H460" s="11"/>
      <c r="I460" s="11"/>
      <c r="J460" s="26" t="str">
        <f t="shared" si="12"/>
        <v/>
      </c>
      <c r="K460" s="11"/>
      <c r="L460" s="11"/>
      <c r="M460" s="11"/>
      <c r="N460" s="11"/>
      <c r="O460" s="26" t="str">
        <f t="shared" si="13"/>
        <v/>
      </c>
      <c r="P460" s="11"/>
    </row>
    <row r="461" spans="1:16" ht="15" customHeight="1" x14ac:dyDescent="0.25">
      <c r="A461" s="25"/>
      <c r="B461" s="25"/>
      <c r="C461" s="26" t="str">
        <f>IFERROR(IF(OR(A461="",B461=""),"",INDEX(Equipements!$H:$H,MATCH(A461,Equipements!$A:$A,0))&amp;"."&amp;B461),"")</f>
        <v/>
      </c>
      <c r="D461" s="11"/>
      <c r="E461" s="25"/>
      <c r="F461" s="25"/>
      <c r="G461" s="25"/>
      <c r="H461" s="11"/>
      <c r="I461" s="11"/>
      <c r="J461" s="26" t="str">
        <f t="shared" si="12"/>
        <v/>
      </c>
      <c r="K461" s="11"/>
      <c r="L461" s="11"/>
      <c r="M461" s="11"/>
      <c r="N461" s="11"/>
      <c r="O461" s="26" t="str">
        <f t="shared" si="13"/>
        <v/>
      </c>
      <c r="P461" s="11"/>
    </row>
    <row r="462" spans="1:16" ht="15" customHeight="1" x14ac:dyDescent="0.25">
      <c r="A462" s="25"/>
      <c r="B462" s="25"/>
      <c r="C462" s="26" t="str">
        <f>IFERROR(IF(OR(A462="",B462=""),"",INDEX(Equipements!$H:$H,MATCH(A462,Equipements!$A:$A,0))&amp;"."&amp;B462),"")</f>
        <v/>
      </c>
      <c r="D462" s="11"/>
      <c r="E462" s="25"/>
      <c r="F462" s="25"/>
      <c r="G462" s="25"/>
      <c r="H462" s="11"/>
      <c r="I462" s="11"/>
      <c r="J462" s="26" t="str">
        <f t="shared" si="12"/>
        <v/>
      </c>
      <c r="K462" s="11"/>
      <c r="L462" s="11"/>
      <c r="M462" s="11"/>
      <c r="N462" s="11"/>
      <c r="O462" s="26" t="str">
        <f t="shared" si="13"/>
        <v/>
      </c>
      <c r="P462" s="11"/>
    </row>
    <row r="463" spans="1:16" ht="15" customHeight="1" x14ac:dyDescent="0.25">
      <c r="A463" s="25"/>
      <c r="B463" s="25"/>
      <c r="C463" s="26" t="str">
        <f>IFERROR(IF(OR(A463="",B463=""),"",INDEX(Equipements!$H:$H,MATCH(A463,Equipements!$A:$A,0))&amp;"."&amp;B463),"")</f>
        <v/>
      </c>
      <c r="D463" s="11"/>
      <c r="E463" s="25"/>
      <c r="F463" s="25"/>
      <c r="G463" s="25"/>
      <c r="H463" s="11"/>
      <c r="I463" s="11"/>
      <c r="J463" s="26" t="str">
        <f t="shared" si="12"/>
        <v/>
      </c>
      <c r="K463" s="11"/>
      <c r="L463" s="11"/>
      <c r="M463" s="11"/>
      <c r="N463" s="11"/>
      <c r="O463" s="26" t="str">
        <f t="shared" si="13"/>
        <v/>
      </c>
      <c r="P463" s="11"/>
    </row>
    <row r="464" spans="1:16" ht="15" customHeight="1" x14ac:dyDescent="0.25">
      <c r="A464" s="25"/>
      <c r="B464" s="25"/>
      <c r="C464" s="26" t="str">
        <f>IFERROR(IF(OR(A464="",B464=""),"",INDEX(Equipements!$H:$H,MATCH(A464,Equipements!$A:$A,0))&amp;"."&amp;B464),"")</f>
        <v/>
      </c>
      <c r="D464" s="11"/>
      <c r="E464" s="25"/>
      <c r="F464" s="25"/>
      <c r="G464" s="25"/>
      <c r="H464" s="11"/>
      <c r="I464" s="11"/>
      <c r="J464" s="26" t="str">
        <f t="shared" si="12"/>
        <v/>
      </c>
      <c r="K464" s="11"/>
      <c r="L464" s="11"/>
      <c r="M464" s="11"/>
      <c r="N464" s="11"/>
      <c r="O464" s="26" t="str">
        <f t="shared" si="13"/>
        <v/>
      </c>
      <c r="P464" s="11"/>
    </row>
    <row r="465" spans="1:16" ht="15" customHeight="1" x14ac:dyDescent="0.25">
      <c r="A465" s="25"/>
      <c r="B465" s="25"/>
      <c r="C465" s="26" t="str">
        <f>IFERROR(IF(OR(A465="",B465=""),"",INDEX(Equipements!$H:$H,MATCH(A465,Equipements!$A:$A,0))&amp;"."&amp;B465),"")</f>
        <v/>
      </c>
      <c r="D465" s="11"/>
      <c r="E465" s="25"/>
      <c r="F465" s="25"/>
      <c r="G465" s="25"/>
      <c r="H465" s="11"/>
      <c r="I465" s="11"/>
      <c r="J465" s="26" t="str">
        <f t="shared" si="12"/>
        <v/>
      </c>
      <c r="K465" s="11"/>
      <c r="L465" s="11"/>
      <c r="M465" s="11"/>
      <c r="N465" s="11"/>
      <c r="O465" s="26" t="str">
        <f t="shared" si="13"/>
        <v/>
      </c>
      <c r="P465" s="11"/>
    </row>
    <row r="466" spans="1:16" ht="15" customHeight="1" x14ac:dyDescent="0.25">
      <c r="A466" s="25"/>
      <c r="B466" s="25"/>
      <c r="C466" s="26" t="str">
        <f>IFERROR(IF(OR(A466="",B466=""),"",INDEX(Equipements!$H:$H,MATCH(A466,Equipements!$A:$A,0))&amp;"."&amp;B466),"")</f>
        <v/>
      </c>
      <c r="D466" s="11"/>
      <c r="E466" s="25"/>
      <c r="F466" s="25"/>
      <c r="G466" s="25"/>
      <c r="H466" s="11"/>
      <c r="I466" s="11"/>
      <c r="J466" s="26" t="str">
        <f t="shared" si="12"/>
        <v/>
      </c>
      <c r="K466" s="11"/>
      <c r="L466" s="11"/>
      <c r="M466" s="11"/>
      <c r="N466" s="11"/>
      <c r="O466" s="26" t="str">
        <f t="shared" si="13"/>
        <v/>
      </c>
      <c r="P466" s="11"/>
    </row>
    <row r="467" spans="1:16" ht="15" customHeight="1" x14ac:dyDescent="0.25">
      <c r="A467" s="25"/>
      <c r="B467" s="25"/>
      <c r="C467" s="26" t="str">
        <f>IFERROR(IF(OR(A467="",B467=""),"",INDEX(Equipements!$H:$H,MATCH(A467,Equipements!$A:$A,0))&amp;"."&amp;B467),"")</f>
        <v/>
      </c>
      <c r="D467" s="11"/>
      <c r="E467" s="25"/>
      <c r="F467" s="25"/>
      <c r="G467" s="25"/>
      <c r="H467" s="11"/>
      <c r="I467" s="11"/>
      <c r="J467" s="26" t="str">
        <f t="shared" si="12"/>
        <v/>
      </c>
      <c r="K467" s="11"/>
      <c r="L467" s="11"/>
      <c r="M467" s="11"/>
      <c r="N467" s="11"/>
      <c r="O467" s="26" t="str">
        <f t="shared" si="13"/>
        <v/>
      </c>
      <c r="P467" s="11"/>
    </row>
    <row r="468" spans="1:16" ht="15" customHeight="1" x14ac:dyDescent="0.25">
      <c r="A468" s="25"/>
      <c r="B468" s="25"/>
      <c r="C468" s="26" t="str">
        <f>IFERROR(IF(OR(A468="",B468=""),"",INDEX(Equipements!$H:$H,MATCH(A468,Equipements!$A:$A,0))&amp;"."&amp;B468),"")</f>
        <v/>
      </c>
      <c r="D468" s="11"/>
      <c r="E468" s="25"/>
      <c r="F468" s="25"/>
      <c r="G468" s="25"/>
      <c r="H468" s="11"/>
      <c r="I468" s="11"/>
      <c r="J468" s="26" t="str">
        <f t="shared" si="12"/>
        <v/>
      </c>
      <c r="K468" s="11"/>
      <c r="L468" s="11"/>
      <c r="M468" s="11"/>
      <c r="N468" s="11"/>
      <c r="O468" s="26" t="str">
        <f t="shared" si="13"/>
        <v/>
      </c>
      <c r="P468" s="11"/>
    </row>
    <row r="469" spans="1:16" ht="15" customHeight="1" x14ac:dyDescent="0.25">
      <c r="A469" s="25"/>
      <c r="B469" s="25"/>
      <c r="C469" s="26" t="str">
        <f>IFERROR(IF(OR(A469="",B469=""),"",INDEX(Equipements!$H:$H,MATCH(A469,Equipements!$A:$A,0))&amp;"."&amp;B469),"")</f>
        <v/>
      </c>
      <c r="D469" s="11"/>
      <c r="E469" s="25"/>
      <c r="F469" s="25"/>
      <c r="G469" s="25"/>
      <c r="H469" s="11"/>
      <c r="I469" s="11"/>
      <c r="J469" s="26" t="str">
        <f t="shared" si="12"/>
        <v/>
      </c>
      <c r="K469" s="11"/>
      <c r="L469" s="11"/>
      <c r="M469" s="11"/>
      <c r="N469" s="11"/>
      <c r="O469" s="26" t="str">
        <f t="shared" si="13"/>
        <v/>
      </c>
      <c r="P469" s="11"/>
    </row>
    <row r="470" spans="1:16" ht="15" customHeight="1" x14ac:dyDescent="0.25">
      <c r="A470" s="25"/>
      <c r="B470" s="25"/>
      <c r="C470" s="26" t="str">
        <f>IFERROR(IF(OR(A470="",B470=""),"",INDEX(Equipements!$H:$H,MATCH(A470,Equipements!$A:$A,0))&amp;"."&amp;B470),"")</f>
        <v/>
      </c>
      <c r="D470" s="11"/>
      <c r="E470" s="25"/>
      <c r="F470" s="25"/>
      <c r="G470" s="25"/>
      <c r="H470" s="11"/>
      <c r="I470" s="11"/>
      <c r="J470" s="26" t="str">
        <f t="shared" si="12"/>
        <v/>
      </c>
      <c r="K470" s="11"/>
      <c r="L470" s="11"/>
      <c r="M470" s="11"/>
      <c r="N470" s="11"/>
      <c r="O470" s="26" t="str">
        <f t="shared" si="13"/>
        <v/>
      </c>
      <c r="P470" s="11"/>
    </row>
    <row r="471" spans="1:16" ht="15" customHeight="1" x14ac:dyDescent="0.25">
      <c r="A471" s="25"/>
      <c r="B471" s="25"/>
      <c r="C471" s="26" t="str">
        <f>IFERROR(IF(OR(A471="",B471=""),"",INDEX(Equipements!$H:$H,MATCH(A471,Equipements!$A:$A,0))&amp;"."&amp;B471),"")</f>
        <v/>
      </c>
      <c r="D471" s="11"/>
      <c r="E471" s="25"/>
      <c r="F471" s="25"/>
      <c r="G471" s="25"/>
      <c r="H471" s="11"/>
      <c r="I471" s="11"/>
      <c r="J471" s="26" t="str">
        <f t="shared" si="12"/>
        <v/>
      </c>
      <c r="K471" s="11"/>
      <c r="L471" s="11"/>
      <c r="M471" s="11"/>
      <c r="N471" s="11"/>
      <c r="O471" s="26" t="str">
        <f t="shared" si="13"/>
        <v/>
      </c>
      <c r="P471" s="11"/>
    </row>
    <row r="472" spans="1:16" ht="15" customHeight="1" x14ac:dyDescent="0.25">
      <c r="A472" s="25"/>
      <c r="B472" s="25"/>
      <c r="C472" s="26" t="str">
        <f>IFERROR(IF(OR(A472="",B472=""),"",INDEX(Equipements!$H:$H,MATCH(A472,Equipements!$A:$A,0))&amp;"."&amp;B472),"")</f>
        <v/>
      </c>
      <c r="D472" s="11"/>
      <c r="E472" s="25"/>
      <c r="F472" s="25"/>
      <c r="G472" s="25"/>
      <c r="H472" s="11"/>
      <c r="I472" s="11"/>
      <c r="J472" s="26" t="str">
        <f t="shared" si="12"/>
        <v/>
      </c>
      <c r="K472" s="11"/>
      <c r="L472" s="11"/>
      <c r="M472" s="11"/>
      <c r="N472" s="11"/>
      <c r="O472" s="26" t="str">
        <f t="shared" si="13"/>
        <v/>
      </c>
      <c r="P472" s="11"/>
    </row>
    <row r="473" spans="1:16" ht="15" customHeight="1" x14ac:dyDescent="0.25">
      <c r="A473" s="25"/>
      <c r="B473" s="25"/>
      <c r="C473" s="26" t="str">
        <f>IFERROR(IF(OR(A473="",B473=""),"",INDEX(Equipements!$H:$H,MATCH(A473,Equipements!$A:$A,0))&amp;"."&amp;B473),"")</f>
        <v/>
      </c>
      <c r="D473" s="11"/>
      <c r="E473" s="25"/>
      <c r="F473" s="25"/>
      <c r="G473" s="25"/>
      <c r="H473" s="11"/>
      <c r="I473" s="11"/>
      <c r="J473" s="26" t="str">
        <f t="shared" si="12"/>
        <v/>
      </c>
      <c r="K473" s="11"/>
      <c r="L473" s="11"/>
      <c r="M473" s="11"/>
      <c r="N473" s="11"/>
      <c r="O473" s="26" t="str">
        <f t="shared" si="13"/>
        <v/>
      </c>
      <c r="P473" s="11"/>
    </row>
    <row r="474" spans="1:16" ht="15" customHeight="1" x14ac:dyDescent="0.25">
      <c r="A474" s="25"/>
      <c r="B474" s="25"/>
      <c r="C474" s="26" t="str">
        <f>IFERROR(IF(OR(A474="",B474=""),"",INDEX(Equipements!$H:$H,MATCH(A474,Equipements!$A:$A,0))&amp;"."&amp;B474),"")</f>
        <v/>
      </c>
      <c r="D474" s="11"/>
      <c r="E474" s="25"/>
      <c r="F474" s="25"/>
      <c r="G474" s="25"/>
      <c r="H474" s="11"/>
      <c r="I474" s="11"/>
      <c r="J474" s="26" t="str">
        <f t="shared" si="12"/>
        <v/>
      </c>
      <c r="K474" s="11"/>
      <c r="L474" s="11"/>
      <c r="M474" s="11"/>
      <c r="N474" s="11"/>
      <c r="O474" s="26" t="str">
        <f t="shared" si="13"/>
        <v/>
      </c>
      <c r="P474" s="11"/>
    </row>
    <row r="475" spans="1:16" ht="15" customHeight="1" x14ac:dyDescent="0.25">
      <c r="A475" s="25"/>
      <c r="B475" s="25"/>
      <c r="C475" s="26" t="str">
        <f>IFERROR(IF(OR(A475="",B475=""),"",INDEX(Equipements!$H:$H,MATCH(A475,Equipements!$A:$A,0))&amp;"."&amp;B475),"")</f>
        <v/>
      </c>
      <c r="D475" s="11"/>
      <c r="E475" s="25"/>
      <c r="F475" s="25"/>
      <c r="G475" s="25"/>
      <c r="H475" s="11"/>
      <c r="I475" s="11"/>
      <c r="J475" s="26" t="str">
        <f t="shared" si="12"/>
        <v/>
      </c>
      <c r="K475" s="11"/>
      <c r="L475" s="11"/>
      <c r="M475" s="11"/>
      <c r="N475" s="11"/>
      <c r="O475" s="26" t="str">
        <f t="shared" si="13"/>
        <v/>
      </c>
      <c r="P475" s="11"/>
    </row>
    <row r="476" spans="1:16" ht="15" customHeight="1" x14ac:dyDescent="0.25">
      <c r="A476" s="25"/>
      <c r="B476" s="25"/>
      <c r="C476" s="26" t="str">
        <f>IFERROR(IF(OR(A476="",B476=""),"",INDEX(Equipements!$H:$H,MATCH(A476,Equipements!$A:$A,0))&amp;"."&amp;B476),"")</f>
        <v/>
      </c>
      <c r="D476" s="11"/>
      <c r="E476" s="25"/>
      <c r="F476" s="25"/>
      <c r="G476" s="25"/>
      <c r="H476" s="11"/>
      <c r="I476" s="11"/>
      <c r="J476" s="26" t="str">
        <f t="shared" si="12"/>
        <v/>
      </c>
      <c r="K476" s="11"/>
      <c r="L476" s="11"/>
      <c r="M476" s="11"/>
      <c r="N476" s="11"/>
      <c r="O476" s="26" t="str">
        <f t="shared" si="13"/>
        <v/>
      </c>
      <c r="P476" s="11"/>
    </row>
    <row r="477" spans="1:16" ht="15" customHeight="1" x14ac:dyDescent="0.25">
      <c r="A477" s="25"/>
      <c r="B477" s="25"/>
      <c r="C477" s="26" t="str">
        <f>IFERROR(IF(OR(A477="",B477=""),"",INDEX(Equipements!$H:$H,MATCH(A477,Equipements!$A:$A,0))&amp;"."&amp;B477),"")</f>
        <v/>
      </c>
      <c r="D477" s="11"/>
      <c r="E477" s="25"/>
      <c r="F477" s="25"/>
      <c r="G477" s="25"/>
      <c r="H477" s="11"/>
      <c r="I477" s="11"/>
      <c r="J477" s="26" t="str">
        <f t="shared" si="12"/>
        <v/>
      </c>
      <c r="K477" s="11"/>
      <c r="L477" s="11"/>
      <c r="M477" s="11"/>
      <c r="N477" s="11"/>
      <c r="O477" s="26" t="str">
        <f t="shared" si="13"/>
        <v/>
      </c>
      <c r="P477" s="11"/>
    </row>
    <row r="478" spans="1:16" ht="15" customHeight="1" x14ac:dyDescent="0.25">
      <c r="A478" s="25"/>
      <c r="B478" s="25"/>
      <c r="C478" s="26" t="str">
        <f>IFERROR(IF(OR(A478="",B478=""),"",INDEX(Equipements!$H:$H,MATCH(A478,Equipements!$A:$A,0))&amp;"."&amp;B478),"")</f>
        <v/>
      </c>
      <c r="D478" s="11"/>
      <c r="E478" s="25"/>
      <c r="F478" s="25"/>
      <c r="G478" s="25"/>
      <c r="H478" s="11"/>
      <c r="I478" s="11"/>
      <c r="J478" s="26" t="str">
        <f t="shared" si="12"/>
        <v/>
      </c>
      <c r="K478" s="11"/>
      <c r="L478" s="11"/>
      <c r="M478" s="11"/>
      <c r="N478" s="11"/>
      <c r="O478" s="26" t="str">
        <f t="shared" si="13"/>
        <v/>
      </c>
      <c r="P478" s="11"/>
    </row>
    <row r="479" spans="1:16" ht="15" customHeight="1" x14ac:dyDescent="0.25">
      <c r="A479" s="25"/>
      <c r="B479" s="25"/>
      <c r="C479" s="26" t="str">
        <f>IFERROR(IF(OR(A479="",B479=""),"",INDEX(Equipements!$H:$H,MATCH(A479,Equipements!$A:$A,0))&amp;"."&amp;B479),"")</f>
        <v/>
      </c>
      <c r="D479" s="11"/>
      <c r="E479" s="25"/>
      <c r="F479" s="25"/>
      <c r="G479" s="25"/>
      <c r="H479" s="11"/>
      <c r="I479" s="11"/>
      <c r="J479" s="26" t="str">
        <f t="shared" si="12"/>
        <v/>
      </c>
      <c r="K479" s="11"/>
      <c r="L479" s="11"/>
      <c r="M479" s="11"/>
      <c r="N479" s="11"/>
      <c r="O479" s="26" t="str">
        <f t="shared" si="13"/>
        <v/>
      </c>
      <c r="P479" s="11"/>
    </row>
    <row r="480" spans="1:16" ht="15" customHeight="1" x14ac:dyDescent="0.25">
      <c r="A480" s="25"/>
      <c r="B480" s="25"/>
      <c r="C480" s="26" t="str">
        <f>IFERROR(IF(OR(A480="",B480=""),"",INDEX(Equipements!$H:$H,MATCH(A480,Equipements!$A:$A,0))&amp;"."&amp;B480),"")</f>
        <v/>
      </c>
      <c r="D480" s="11"/>
      <c r="E480" s="25"/>
      <c r="F480" s="25"/>
      <c r="G480" s="25"/>
      <c r="H480" s="11"/>
      <c r="I480" s="11"/>
      <c r="J480" s="26" t="str">
        <f t="shared" si="12"/>
        <v/>
      </c>
      <c r="K480" s="11"/>
      <c r="L480" s="11"/>
      <c r="M480" s="11"/>
      <c r="N480" s="11"/>
      <c r="O480" s="26" t="str">
        <f t="shared" si="13"/>
        <v/>
      </c>
      <c r="P480" s="11"/>
    </row>
    <row r="481" spans="1:16" ht="15" customHeight="1" x14ac:dyDescent="0.25">
      <c r="A481" s="25"/>
      <c r="B481" s="25"/>
      <c r="C481" s="26" t="str">
        <f>IFERROR(IF(OR(A481="",B481=""),"",INDEX(Equipements!$H:$H,MATCH(A481,Equipements!$A:$A,0))&amp;"."&amp;B481),"")</f>
        <v/>
      </c>
      <c r="D481" s="11"/>
      <c r="E481" s="25"/>
      <c r="F481" s="25"/>
      <c r="G481" s="25"/>
      <c r="H481" s="11"/>
      <c r="I481" s="11"/>
      <c r="J481" s="26" t="str">
        <f t="shared" si="12"/>
        <v/>
      </c>
      <c r="K481" s="11"/>
      <c r="L481" s="11"/>
      <c r="M481" s="11"/>
      <c r="N481" s="11"/>
      <c r="O481" s="26" t="str">
        <f t="shared" si="13"/>
        <v/>
      </c>
      <c r="P481" s="11"/>
    </row>
    <row r="482" spans="1:16" ht="15" customHeight="1" x14ac:dyDescent="0.25">
      <c r="A482" s="25"/>
      <c r="B482" s="25"/>
      <c r="C482" s="26" t="str">
        <f>IFERROR(IF(OR(A482="",B482=""),"",INDEX(Equipements!$H:$H,MATCH(A482,Equipements!$A:$A,0))&amp;"."&amp;B482),"")</f>
        <v/>
      </c>
      <c r="D482" s="11"/>
      <c r="E482" s="25"/>
      <c r="F482" s="25"/>
      <c r="G482" s="25"/>
      <c r="H482" s="11"/>
      <c r="I482" s="11"/>
      <c r="J482" s="26" t="str">
        <f t="shared" si="12"/>
        <v/>
      </c>
      <c r="K482" s="11"/>
      <c r="L482" s="11"/>
      <c r="M482" s="11"/>
      <c r="N482" s="11"/>
      <c r="O482" s="26" t="str">
        <f t="shared" si="13"/>
        <v/>
      </c>
      <c r="P482" s="11"/>
    </row>
    <row r="483" spans="1:16" ht="15" customHeight="1" x14ac:dyDescent="0.25">
      <c r="A483" s="25"/>
      <c r="B483" s="25"/>
      <c r="C483" s="26" t="str">
        <f>IFERROR(IF(OR(A483="",B483=""),"",INDEX(Equipements!$H:$H,MATCH(A483,Equipements!$A:$A,0))&amp;"."&amp;B483),"")</f>
        <v/>
      </c>
      <c r="D483" s="11"/>
      <c r="E483" s="25"/>
      <c r="F483" s="25"/>
      <c r="G483" s="25"/>
      <c r="H483" s="11"/>
      <c r="I483" s="11"/>
      <c r="J483" s="26" t="str">
        <f t="shared" si="12"/>
        <v/>
      </c>
      <c r="K483" s="11"/>
      <c r="L483" s="11"/>
      <c r="M483" s="11"/>
      <c r="N483" s="11"/>
      <c r="O483" s="26" t="str">
        <f t="shared" si="13"/>
        <v/>
      </c>
      <c r="P483" s="11"/>
    </row>
    <row r="484" spans="1:16" ht="15" customHeight="1" x14ac:dyDescent="0.25">
      <c r="A484" s="25"/>
      <c r="B484" s="25"/>
      <c r="C484" s="26" t="str">
        <f>IFERROR(IF(OR(A484="",B484=""),"",INDEX(Equipements!$H:$H,MATCH(A484,Equipements!$A:$A,0))&amp;"."&amp;B484),"")</f>
        <v/>
      </c>
      <c r="D484" s="11"/>
      <c r="E484" s="25"/>
      <c r="F484" s="25"/>
      <c r="G484" s="25"/>
      <c r="H484" s="11"/>
      <c r="I484" s="11"/>
      <c r="J484" s="26" t="str">
        <f t="shared" si="12"/>
        <v/>
      </c>
      <c r="K484" s="11"/>
      <c r="L484" s="11"/>
      <c r="M484" s="11"/>
      <c r="N484" s="11"/>
      <c r="O484" s="26" t="str">
        <f t="shared" si="13"/>
        <v/>
      </c>
      <c r="P484" s="11"/>
    </row>
    <row r="485" spans="1:16" ht="15" customHeight="1" x14ac:dyDescent="0.25">
      <c r="A485" s="25"/>
      <c r="B485" s="25"/>
      <c r="C485" s="26" t="str">
        <f>IFERROR(IF(OR(A485="",B485=""),"",INDEX(Equipements!$H:$H,MATCH(A485,Equipements!$A:$A,0))&amp;"."&amp;B485),"")</f>
        <v/>
      </c>
      <c r="D485" s="11"/>
      <c r="E485" s="25"/>
      <c r="F485" s="25"/>
      <c r="G485" s="25"/>
      <c r="H485" s="11"/>
      <c r="I485" s="11"/>
      <c r="J485" s="26" t="str">
        <f t="shared" si="12"/>
        <v/>
      </c>
      <c r="K485" s="11"/>
      <c r="L485" s="11"/>
      <c r="M485" s="11"/>
      <c r="N485" s="11"/>
      <c r="O485" s="26" t="str">
        <f t="shared" si="13"/>
        <v/>
      </c>
      <c r="P485" s="11"/>
    </row>
    <row r="486" spans="1:16" ht="15" customHeight="1" x14ac:dyDescent="0.25">
      <c r="A486" s="25"/>
      <c r="B486" s="25"/>
      <c r="C486" s="26" t="str">
        <f>IFERROR(IF(OR(A486="",B486=""),"",INDEX(Equipements!$H:$H,MATCH(A486,Equipements!$A:$A,0))&amp;"."&amp;B486),"")</f>
        <v/>
      </c>
      <c r="D486" s="11"/>
      <c r="E486" s="25"/>
      <c r="F486" s="25"/>
      <c r="G486" s="25"/>
      <c r="H486" s="11"/>
      <c r="I486" s="11"/>
      <c r="J486" s="26" t="str">
        <f t="shared" si="12"/>
        <v/>
      </c>
      <c r="K486" s="11"/>
      <c r="L486" s="11"/>
      <c r="M486" s="11"/>
      <c r="N486" s="11"/>
      <c r="O486" s="26" t="str">
        <f t="shared" si="13"/>
        <v/>
      </c>
      <c r="P486" s="11"/>
    </row>
    <row r="487" spans="1:16" ht="15" customHeight="1" x14ac:dyDescent="0.25">
      <c r="A487" s="25"/>
      <c r="B487" s="25"/>
      <c r="C487" s="26" t="str">
        <f>IFERROR(IF(OR(A487="",B487=""),"",INDEX(Equipements!$H:$H,MATCH(A487,Equipements!$A:$A,0))&amp;"."&amp;B487),"")</f>
        <v/>
      </c>
      <c r="D487" s="11"/>
      <c r="E487" s="25"/>
      <c r="F487" s="25"/>
      <c r="G487" s="25"/>
      <c r="H487" s="11"/>
      <c r="I487" s="11"/>
      <c r="J487" s="26" t="str">
        <f t="shared" si="12"/>
        <v/>
      </c>
      <c r="K487" s="11"/>
      <c r="L487" s="11"/>
      <c r="M487" s="11"/>
      <c r="N487" s="11"/>
      <c r="O487" s="26" t="str">
        <f t="shared" si="13"/>
        <v/>
      </c>
      <c r="P487" s="11"/>
    </row>
    <row r="488" spans="1:16" ht="15" customHeight="1" x14ac:dyDescent="0.25">
      <c r="A488" s="25"/>
      <c r="B488" s="25"/>
      <c r="C488" s="26" t="str">
        <f>IFERROR(IF(OR(A488="",B488=""),"",INDEX(Equipements!$H:$H,MATCH(A488,Equipements!$A:$A,0))&amp;"."&amp;B488),"")</f>
        <v/>
      </c>
      <c r="D488" s="11"/>
      <c r="E488" s="25"/>
      <c r="F488" s="25"/>
      <c r="G488" s="25"/>
      <c r="H488" s="11"/>
      <c r="I488" s="11"/>
      <c r="J488" s="26" t="str">
        <f t="shared" si="12"/>
        <v/>
      </c>
      <c r="K488" s="11"/>
      <c r="L488" s="11"/>
      <c r="M488" s="11"/>
      <c r="N488" s="11"/>
      <c r="O488" s="26" t="str">
        <f t="shared" si="13"/>
        <v/>
      </c>
      <c r="P488" s="11"/>
    </row>
    <row r="489" spans="1:16" ht="15" customHeight="1" x14ac:dyDescent="0.25">
      <c r="A489" s="25"/>
      <c r="B489" s="25"/>
      <c r="C489" s="26" t="str">
        <f>IFERROR(IF(OR(A489="",B489=""),"",INDEX(Equipements!$H:$H,MATCH(A489,Equipements!$A:$A,0))&amp;"."&amp;B489),"")</f>
        <v/>
      </c>
      <c r="D489" s="11"/>
      <c r="E489" s="25"/>
      <c r="F489" s="25"/>
      <c r="G489" s="25"/>
      <c r="H489" s="11"/>
      <c r="I489" s="11"/>
      <c r="J489" s="26" t="str">
        <f t="shared" si="12"/>
        <v/>
      </c>
      <c r="K489" s="11"/>
      <c r="L489" s="11"/>
      <c r="M489" s="11"/>
      <c r="N489" s="11"/>
      <c r="O489" s="26" t="str">
        <f t="shared" si="13"/>
        <v/>
      </c>
      <c r="P489" s="11"/>
    </row>
    <row r="490" spans="1:16" ht="15" customHeight="1" x14ac:dyDescent="0.25">
      <c r="A490" s="25"/>
      <c r="B490" s="25"/>
      <c r="C490" s="26" t="str">
        <f>IFERROR(IF(OR(A490="",B490=""),"",INDEX(Equipements!$H:$H,MATCH(A490,Equipements!$A:$A,0))&amp;"."&amp;B490),"")</f>
        <v/>
      </c>
      <c r="D490" s="11"/>
      <c r="E490" s="25"/>
      <c r="F490" s="25"/>
      <c r="G490" s="25"/>
      <c r="H490" s="11"/>
      <c r="I490" s="11"/>
      <c r="J490" s="26" t="str">
        <f t="shared" si="12"/>
        <v/>
      </c>
      <c r="K490" s="11"/>
      <c r="L490" s="11"/>
      <c r="M490" s="11"/>
      <c r="N490" s="11"/>
      <c r="O490" s="26" t="str">
        <f t="shared" si="13"/>
        <v/>
      </c>
      <c r="P490" s="11"/>
    </row>
    <row r="491" spans="1:16" ht="15" customHeight="1" x14ac:dyDescent="0.25">
      <c r="A491" s="25"/>
      <c r="B491" s="25"/>
      <c r="C491" s="26" t="str">
        <f>IFERROR(IF(OR(A491="",B491=""),"",INDEX(Equipements!$H:$H,MATCH(A491,Equipements!$A:$A,0))&amp;"."&amp;B491),"")</f>
        <v/>
      </c>
      <c r="D491" s="11"/>
      <c r="E491" s="25"/>
      <c r="F491" s="25"/>
      <c r="G491" s="25"/>
      <c r="H491" s="11"/>
      <c r="I491" s="11"/>
      <c r="J491" s="26" t="str">
        <f t="shared" si="12"/>
        <v/>
      </c>
      <c r="K491" s="11"/>
      <c r="L491" s="11"/>
      <c r="M491" s="11"/>
      <c r="N491" s="11"/>
      <c r="O491" s="26" t="str">
        <f t="shared" si="13"/>
        <v/>
      </c>
      <c r="P491" s="11"/>
    </row>
    <row r="492" spans="1:16" ht="15" customHeight="1" x14ac:dyDescent="0.25">
      <c r="A492" s="25"/>
      <c r="B492" s="25"/>
      <c r="C492" s="26" t="str">
        <f>IFERROR(IF(OR(A492="",B492=""),"",INDEX(Equipements!$H:$H,MATCH(A492,Equipements!$A:$A,0))&amp;"."&amp;B492),"")</f>
        <v/>
      </c>
      <c r="D492" s="11"/>
      <c r="E492" s="25"/>
      <c r="F492" s="25"/>
      <c r="G492" s="25"/>
      <c r="H492" s="11"/>
      <c r="I492" s="11"/>
      <c r="J492" s="26" t="str">
        <f t="shared" si="12"/>
        <v/>
      </c>
      <c r="K492" s="11"/>
      <c r="L492" s="11"/>
      <c r="M492" s="11"/>
      <c r="N492" s="11"/>
      <c r="O492" s="26" t="str">
        <f t="shared" si="13"/>
        <v/>
      </c>
      <c r="P492" s="11"/>
    </row>
    <row r="493" spans="1:16" ht="15" customHeight="1" x14ac:dyDescent="0.25">
      <c r="A493" s="25"/>
      <c r="B493" s="25"/>
      <c r="C493" s="26" t="str">
        <f>IFERROR(IF(OR(A493="",B493=""),"",INDEX(Equipements!$H:$H,MATCH(A493,Equipements!$A:$A,0))&amp;"."&amp;B493),"")</f>
        <v/>
      </c>
      <c r="D493" s="11"/>
      <c r="E493" s="25"/>
      <c r="F493" s="25"/>
      <c r="G493" s="25"/>
      <c r="H493" s="11"/>
      <c r="I493" s="11"/>
      <c r="J493" s="26" t="str">
        <f t="shared" si="12"/>
        <v/>
      </c>
      <c r="K493" s="11"/>
      <c r="L493" s="11"/>
      <c r="M493" s="11"/>
      <c r="N493" s="11"/>
      <c r="O493" s="26" t="str">
        <f t="shared" si="13"/>
        <v/>
      </c>
      <c r="P493" s="11"/>
    </row>
    <row r="494" spans="1:16" ht="15" customHeight="1" x14ac:dyDescent="0.25">
      <c r="A494" s="25"/>
      <c r="B494" s="25"/>
      <c r="C494" s="26" t="str">
        <f>IFERROR(IF(OR(A494="",B494=""),"",INDEX(Equipements!$H:$H,MATCH(A494,Equipements!$A:$A,0))&amp;"."&amp;B494),"")</f>
        <v/>
      </c>
      <c r="D494" s="11"/>
      <c r="E494" s="25"/>
      <c r="F494" s="25"/>
      <c r="G494" s="25"/>
      <c r="H494" s="11"/>
      <c r="I494" s="11"/>
      <c r="J494" s="26" t="str">
        <f t="shared" si="12"/>
        <v/>
      </c>
      <c r="K494" s="11"/>
      <c r="L494" s="11"/>
      <c r="M494" s="11"/>
      <c r="N494" s="11"/>
      <c r="O494" s="26" t="str">
        <f t="shared" si="13"/>
        <v/>
      </c>
      <c r="P494" s="11"/>
    </row>
    <row r="495" spans="1:16" ht="15" customHeight="1" x14ac:dyDescent="0.25">
      <c r="A495" s="25"/>
      <c r="B495" s="25"/>
      <c r="C495" s="26" t="str">
        <f>IFERROR(IF(OR(A495="",B495=""),"",INDEX(Equipements!$H:$H,MATCH(A495,Equipements!$A:$A,0))&amp;"."&amp;B495),"")</f>
        <v/>
      </c>
      <c r="D495" s="11"/>
      <c r="E495" s="25"/>
      <c r="F495" s="25"/>
      <c r="G495" s="25"/>
      <c r="H495" s="11"/>
      <c r="I495" s="11"/>
      <c r="J495" s="26" t="str">
        <f t="shared" si="12"/>
        <v/>
      </c>
      <c r="K495" s="11"/>
      <c r="L495" s="11"/>
      <c r="M495" s="11"/>
      <c r="N495" s="11"/>
      <c r="O495" s="26" t="str">
        <f t="shared" si="13"/>
        <v/>
      </c>
      <c r="P495" s="11"/>
    </row>
    <row r="496" spans="1:16" ht="15" customHeight="1" x14ac:dyDescent="0.25">
      <c r="A496" s="25"/>
      <c r="B496" s="25"/>
      <c r="C496" s="26" t="str">
        <f>IFERROR(IF(OR(A496="",B496=""),"",INDEX(Equipements!$H:$H,MATCH(A496,Equipements!$A:$A,0))&amp;"."&amp;B496),"")</f>
        <v/>
      </c>
      <c r="D496" s="11"/>
      <c r="E496" s="25"/>
      <c r="F496" s="25"/>
      <c r="G496" s="25"/>
      <c r="H496" s="11"/>
      <c r="I496" s="11"/>
      <c r="J496" s="26" t="str">
        <f t="shared" si="12"/>
        <v/>
      </c>
      <c r="K496" s="11"/>
      <c r="L496" s="11"/>
      <c r="M496" s="11"/>
      <c r="N496" s="11"/>
      <c r="O496" s="26" t="str">
        <f t="shared" si="13"/>
        <v/>
      </c>
      <c r="P496" s="11"/>
    </row>
    <row r="497" spans="1:16" ht="15" customHeight="1" x14ac:dyDescent="0.25">
      <c r="A497" s="25"/>
      <c r="B497" s="25"/>
      <c r="C497" s="26" t="str">
        <f>IFERROR(IF(OR(A497="",B497=""),"",INDEX(Equipements!$H:$H,MATCH(A497,Equipements!$A:$A,0))&amp;"."&amp;B497),"")</f>
        <v/>
      </c>
      <c r="D497" s="11"/>
      <c r="E497" s="25"/>
      <c r="F497" s="25"/>
      <c r="G497" s="25"/>
      <c r="H497" s="11"/>
      <c r="I497" s="11"/>
      <c r="J497" s="26" t="str">
        <f t="shared" si="12"/>
        <v/>
      </c>
      <c r="K497" s="11"/>
      <c r="L497" s="11"/>
      <c r="M497" s="11"/>
      <c r="N497" s="11"/>
      <c r="O497" s="26" t="str">
        <f t="shared" si="13"/>
        <v/>
      </c>
      <c r="P497" s="11"/>
    </row>
    <row r="498" spans="1:16" ht="15" customHeight="1" x14ac:dyDescent="0.25">
      <c r="A498" s="25"/>
      <c r="B498" s="25"/>
      <c r="C498" s="26" t="str">
        <f>IFERROR(IF(OR(A498="",B498=""),"",INDEX(Equipements!$H:$H,MATCH(A498,Equipements!$A:$A,0))&amp;"."&amp;B498),"")</f>
        <v/>
      </c>
      <c r="D498" s="11"/>
      <c r="E498" s="25"/>
      <c r="F498" s="25"/>
      <c r="G498" s="25"/>
      <c r="H498" s="11"/>
      <c r="I498" s="11"/>
      <c r="J498" s="26" t="str">
        <f t="shared" si="12"/>
        <v/>
      </c>
      <c r="K498" s="11"/>
      <c r="L498" s="11"/>
      <c r="M498" s="11"/>
      <c r="N498" s="11"/>
      <c r="O498" s="26" t="str">
        <f t="shared" si="13"/>
        <v/>
      </c>
      <c r="P498" s="11"/>
    </row>
    <row r="499" spans="1:16" ht="15" customHeight="1" x14ac:dyDescent="0.25">
      <c r="A499" s="25"/>
      <c r="B499" s="25"/>
      <c r="C499" s="26" t="str">
        <f>IFERROR(IF(OR(A499="",B499=""),"",INDEX(Equipements!$H:$H,MATCH(A499,Equipements!$A:$A,0))&amp;"."&amp;B499),"")</f>
        <v/>
      </c>
      <c r="D499" s="11"/>
      <c r="E499" s="25"/>
      <c r="F499" s="25"/>
      <c r="G499" s="25"/>
      <c r="H499" s="11"/>
      <c r="I499" s="11"/>
      <c r="J499" s="26" t="str">
        <f t="shared" si="12"/>
        <v/>
      </c>
      <c r="K499" s="11"/>
      <c r="L499" s="11"/>
      <c r="M499" s="11"/>
      <c r="N499" s="11"/>
      <c r="O499" s="26" t="str">
        <f t="shared" si="13"/>
        <v/>
      </c>
      <c r="P499" s="11"/>
    </row>
    <row r="500" spans="1:16" ht="15" customHeight="1" x14ac:dyDescent="0.25">
      <c r="A500" s="25"/>
      <c r="B500" s="25"/>
      <c r="C500" s="26" t="str">
        <f>IFERROR(IF(OR(A500="",B500=""),"",INDEX(Equipements!$H:$H,MATCH(A500,Equipements!$A:$A,0))&amp;"."&amp;B500),"")</f>
        <v/>
      </c>
      <c r="D500" s="11"/>
      <c r="E500" s="25"/>
      <c r="F500" s="25"/>
      <c r="G500" s="25"/>
      <c r="H500" s="11"/>
      <c r="I500" s="11"/>
      <c r="J500" s="26" t="str">
        <f t="shared" si="12"/>
        <v/>
      </c>
      <c r="K500" s="11"/>
      <c r="L500" s="11"/>
      <c r="M500" s="11"/>
      <c r="N500" s="11"/>
      <c r="O500" s="26" t="str">
        <f t="shared" si="13"/>
        <v/>
      </c>
      <c r="P500" s="11"/>
    </row>
    <row r="501" spans="1:16" ht="15" customHeight="1" x14ac:dyDescent="0.25">
      <c r="A501" s="25"/>
      <c r="B501" s="25"/>
      <c r="C501" s="26" t="str">
        <f>IFERROR(IF(OR(A501="",B501=""),"",INDEX(Equipements!$H:$H,MATCH(A501,Equipements!$A:$A,0))&amp;"."&amp;B501),"")</f>
        <v/>
      </c>
      <c r="D501" s="11"/>
      <c r="E501" s="25"/>
      <c r="F501" s="25"/>
      <c r="G501" s="25"/>
      <c r="H501" s="11"/>
      <c r="I501" s="11"/>
      <c r="J501" s="26" t="str">
        <f t="shared" si="12"/>
        <v/>
      </c>
      <c r="K501" s="11"/>
      <c r="L501" s="11"/>
      <c r="M501" s="11"/>
      <c r="N501" s="11"/>
      <c r="O501" s="26" t="str">
        <f t="shared" si="13"/>
        <v/>
      </c>
      <c r="P501" s="11"/>
    </row>
    <row r="502" spans="1:16" ht="15" customHeight="1" x14ac:dyDescent="0.25">
      <c r="A502" s="25"/>
      <c r="B502" s="25"/>
      <c r="C502" s="26" t="str">
        <f>IFERROR(IF(OR(A502="",B502=""),"",INDEX(Equipements!$H:$H,MATCH(A502,Equipements!$A:$A,0))&amp;"."&amp;B502),"")</f>
        <v/>
      </c>
      <c r="D502" s="11"/>
      <c r="E502" s="25"/>
      <c r="F502" s="25"/>
      <c r="G502" s="25"/>
      <c r="H502" s="11"/>
      <c r="I502" s="11"/>
      <c r="J502" s="26" t="str">
        <f t="shared" si="12"/>
        <v/>
      </c>
      <c r="K502" s="11"/>
      <c r="L502" s="11"/>
      <c r="M502" s="11"/>
      <c r="N502" s="11"/>
      <c r="O502" s="26" t="str">
        <f t="shared" si="13"/>
        <v/>
      </c>
      <c r="P502" s="11"/>
    </row>
    <row r="503" spans="1:16" ht="15" customHeight="1" x14ac:dyDescent="0.25">
      <c r="A503" s="25"/>
      <c r="B503" s="25"/>
      <c r="C503" s="26" t="str">
        <f>IFERROR(IF(OR(A503="",B503=""),"",INDEX(Equipements!$H:$H,MATCH(A503,Equipements!$A:$A,0))&amp;"."&amp;B503),"")</f>
        <v/>
      </c>
      <c r="D503" s="11"/>
      <c r="E503" s="25"/>
      <c r="F503" s="25"/>
      <c r="G503" s="25"/>
      <c r="H503" s="11"/>
      <c r="I503" s="11"/>
      <c r="J503" s="26" t="str">
        <f t="shared" si="12"/>
        <v/>
      </c>
      <c r="K503" s="11"/>
      <c r="L503" s="11"/>
      <c r="M503" s="11"/>
      <c r="N503" s="11"/>
      <c r="O503" s="26" t="str">
        <f t="shared" si="13"/>
        <v/>
      </c>
      <c r="P503" s="11"/>
    </row>
    <row r="504" spans="1:16" ht="15" customHeight="1" x14ac:dyDescent="0.25">
      <c r="A504" s="25"/>
      <c r="B504" s="25"/>
      <c r="C504" s="26" t="str">
        <f>IFERROR(IF(OR(A504="",B504=""),"",INDEX(Equipements!$H:$H,MATCH(A504,Equipements!$A:$A,0))&amp;"."&amp;B504),"")</f>
        <v/>
      </c>
      <c r="D504" s="11"/>
      <c r="E504" s="25"/>
      <c r="F504" s="25"/>
      <c r="G504" s="25"/>
      <c r="H504" s="11"/>
      <c r="I504" s="11"/>
      <c r="J504" s="26" t="str">
        <f t="shared" si="12"/>
        <v/>
      </c>
      <c r="K504" s="11"/>
      <c r="L504" s="11"/>
      <c r="M504" s="11"/>
      <c r="N504" s="11"/>
      <c r="O504" s="26" t="str">
        <f t="shared" si="13"/>
        <v/>
      </c>
      <c r="P504" s="11"/>
    </row>
    <row r="505" spans="1:16" ht="15" customHeight="1" x14ac:dyDescent="0.25">
      <c r="A505" s="25"/>
      <c r="B505" s="25"/>
      <c r="C505" s="26" t="str">
        <f>IFERROR(IF(OR(A505="",B505=""),"",INDEX(Equipements!$H:$H,MATCH(A505,Equipements!$A:$A,0))&amp;"."&amp;B505),"")</f>
        <v/>
      </c>
      <c r="D505" s="11"/>
      <c r="E505" s="25"/>
      <c r="F505" s="25"/>
      <c r="G505" s="25"/>
      <c r="H505" s="11"/>
      <c r="I505" s="11"/>
      <c r="J505" s="26" t="str">
        <f t="shared" si="12"/>
        <v/>
      </c>
      <c r="K505" s="11"/>
      <c r="L505" s="11"/>
      <c r="M505" s="11"/>
      <c r="N505" s="11"/>
      <c r="O505" s="26" t="str">
        <f t="shared" si="13"/>
        <v/>
      </c>
      <c r="P505" s="11"/>
    </row>
    <row r="506" spans="1:16" ht="15" customHeight="1" x14ac:dyDescent="0.25">
      <c r="A506" s="25"/>
      <c r="B506" s="25"/>
      <c r="C506" s="26" t="str">
        <f>IFERROR(IF(OR(A506="",B506=""),"",INDEX(Equipements!$H:$H,MATCH(A506,Equipements!$A:$A,0))&amp;"."&amp;B506),"")</f>
        <v/>
      </c>
      <c r="D506" s="11"/>
      <c r="E506" s="25"/>
      <c r="F506" s="25"/>
      <c r="G506" s="25"/>
      <c r="H506" s="11"/>
      <c r="I506" s="11"/>
      <c r="J506" s="26" t="str">
        <f t="shared" si="12"/>
        <v/>
      </c>
      <c r="K506" s="11"/>
      <c r="L506" s="11"/>
      <c r="M506" s="11"/>
      <c r="N506" s="11"/>
      <c r="O506" s="26" t="str">
        <f t="shared" si="13"/>
        <v/>
      </c>
      <c r="P506" s="11"/>
    </row>
    <row r="507" spans="1:16" ht="15" customHeight="1" x14ac:dyDescent="0.25">
      <c r="A507" s="25"/>
      <c r="B507" s="25"/>
      <c r="C507" s="26" t="str">
        <f>IFERROR(IF(OR(A507="",B507=""),"",INDEX(Equipements!$H:$H,MATCH(A507,Equipements!$A:$A,0))&amp;"."&amp;B507),"")</f>
        <v/>
      </c>
      <c r="D507" s="11"/>
      <c r="E507" s="25"/>
      <c r="F507" s="25"/>
      <c r="G507" s="25"/>
      <c r="H507" s="11"/>
      <c r="I507" s="11"/>
      <c r="J507" s="26" t="str">
        <f t="shared" si="12"/>
        <v/>
      </c>
      <c r="K507" s="11"/>
      <c r="L507" s="11"/>
      <c r="M507" s="11"/>
      <c r="N507" s="11"/>
      <c r="O507" s="26" t="str">
        <f t="shared" si="13"/>
        <v/>
      </c>
      <c r="P507" s="11"/>
    </row>
    <row r="508" spans="1:16" ht="15" customHeight="1" x14ac:dyDescent="0.25">
      <c r="A508" s="25"/>
      <c r="B508" s="25"/>
      <c r="C508" s="26" t="str">
        <f>IFERROR(IF(OR(A508="",B508=""),"",INDEX(Equipements!$H:$H,MATCH(A508,Equipements!$A:$A,0))&amp;"."&amp;B508),"")</f>
        <v/>
      </c>
      <c r="D508" s="11"/>
      <c r="E508" s="25"/>
      <c r="F508" s="25"/>
      <c r="G508" s="25"/>
      <c r="H508" s="11"/>
      <c r="I508" s="11"/>
      <c r="J508" s="26" t="str">
        <f t="shared" si="12"/>
        <v/>
      </c>
      <c r="K508" s="11"/>
      <c r="L508" s="11"/>
      <c r="M508" s="11"/>
      <c r="N508" s="11"/>
      <c r="O508" s="26" t="str">
        <f t="shared" si="13"/>
        <v/>
      </c>
      <c r="P508" s="11"/>
    </row>
    <row r="509" spans="1:16" ht="15" customHeight="1" x14ac:dyDescent="0.25">
      <c r="A509" s="25"/>
      <c r="B509" s="25"/>
      <c r="C509" s="26" t="str">
        <f>IFERROR(IF(OR(A509="",B509=""),"",INDEX(Equipements!$H:$H,MATCH(A509,Equipements!$A:$A,0))&amp;"."&amp;B509),"")</f>
        <v/>
      </c>
      <c r="D509" s="11"/>
      <c r="E509" s="25"/>
      <c r="F509" s="25"/>
      <c r="G509" s="25"/>
      <c r="H509" s="11"/>
      <c r="I509" s="11"/>
      <c r="J509" s="26" t="str">
        <f t="shared" si="12"/>
        <v/>
      </c>
      <c r="K509" s="11"/>
      <c r="L509" s="11"/>
      <c r="M509" s="11"/>
      <c r="N509" s="11"/>
      <c r="O509" s="26" t="str">
        <f t="shared" si="13"/>
        <v/>
      </c>
      <c r="P509" s="11"/>
    </row>
    <row r="510" spans="1:16" ht="15" customHeight="1" x14ac:dyDescent="0.25">
      <c r="A510" s="25"/>
      <c r="B510" s="25"/>
      <c r="C510" s="26" t="str">
        <f>IFERROR(IF(OR(A510="",B510=""),"",INDEX(Equipements!$H:$H,MATCH(A510,Equipements!$A:$A,0))&amp;"."&amp;B510),"")</f>
        <v/>
      </c>
      <c r="D510" s="11"/>
      <c r="E510" s="25"/>
      <c r="F510" s="25"/>
      <c r="G510" s="25"/>
      <c r="H510" s="11"/>
      <c r="I510" s="11"/>
      <c r="J510" s="26" t="str">
        <f t="shared" si="12"/>
        <v/>
      </c>
      <c r="K510" s="11"/>
      <c r="L510" s="11"/>
      <c r="M510" s="11"/>
      <c r="N510" s="11"/>
      <c r="O510" s="26" t="str">
        <f t="shared" si="13"/>
        <v/>
      </c>
      <c r="P510" s="11"/>
    </row>
    <row r="511" spans="1:16" ht="15" customHeight="1" x14ac:dyDescent="0.25">
      <c r="A511" s="25"/>
      <c r="B511" s="25"/>
      <c r="C511" s="26" t="str">
        <f>IFERROR(IF(OR(A511="",B511=""),"",INDEX(Equipements!$H:$H,MATCH(A511,Equipements!$A:$A,0))&amp;"."&amp;B511),"")</f>
        <v/>
      </c>
      <c r="D511" s="11"/>
      <c r="E511" s="25"/>
      <c r="F511" s="25"/>
      <c r="G511" s="25"/>
      <c r="H511" s="11"/>
      <c r="I511" s="11"/>
      <c r="J511" s="26" t="str">
        <f t="shared" si="12"/>
        <v/>
      </c>
      <c r="K511" s="11"/>
      <c r="L511" s="11"/>
      <c r="M511" s="11"/>
      <c r="N511" s="11"/>
      <c r="O511" s="26" t="str">
        <f t="shared" si="13"/>
        <v/>
      </c>
      <c r="P511" s="11"/>
    </row>
    <row r="512" spans="1:16" ht="15" customHeight="1" x14ac:dyDescent="0.25">
      <c r="A512" s="25"/>
      <c r="B512" s="25"/>
      <c r="C512" s="26" t="str">
        <f>IFERROR(IF(OR(A512="",B512=""),"",INDEX(Equipements!$H:$H,MATCH(A512,Equipements!$A:$A,0))&amp;"."&amp;B512),"")</f>
        <v/>
      </c>
      <c r="D512" s="11"/>
      <c r="E512" s="25"/>
      <c r="F512" s="25"/>
      <c r="G512" s="25"/>
      <c r="H512" s="11"/>
      <c r="I512" s="11"/>
      <c r="J512" s="26" t="str">
        <f t="shared" si="12"/>
        <v/>
      </c>
      <c r="K512" s="11"/>
      <c r="L512" s="11"/>
      <c r="M512" s="11"/>
      <c r="N512" s="11"/>
      <c r="O512" s="26" t="str">
        <f t="shared" si="13"/>
        <v/>
      </c>
      <c r="P512" s="11"/>
    </row>
    <row r="513" spans="1:16" ht="15" customHeight="1" x14ac:dyDescent="0.25">
      <c r="A513" s="25"/>
      <c r="B513" s="25"/>
      <c r="C513" s="26" t="str">
        <f>IFERROR(IF(OR(A513="",B513=""),"",INDEX(Equipements!$H:$H,MATCH(A513,Equipements!$A:$A,0))&amp;"."&amp;B513),"")</f>
        <v/>
      </c>
      <c r="D513" s="11"/>
      <c r="E513" s="25"/>
      <c r="F513" s="25"/>
      <c r="G513" s="25"/>
      <c r="H513" s="11"/>
      <c r="I513" s="11"/>
      <c r="J513" s="26" t="str">
        <f t="shared" si="12"/>
        <v/>
      </c>
      <c r="K513" s="11"/>
      <c r="L513" s="11"/>
      <c r="M513" s="11"/>
      <c r="N513" s="11"/>
      <c r="O513" s="26" t="str">
        <f t="shared" si="13"/>
        <v/>
      </c>
      <c r="P513" s="11"/>
    </row>
    <row r="514" spans="1:16" ht="15" customHeight="1" x14ac:dyDescent="0.25">
      <c r="A514" s="25"/>
      <c r="B514" s="25"/>
      <c r="C514" s="26" t="str">
        <f>IFERROR(IF(OR(A514="",B514=""),"",INDEX(Equipements!$H:$H,MATCH(A514,Equipements!$A:$A,0))&amp;"."&amp;B514),"")</f>
        <v/>
      </c>
      <c r="D514" s="11"/>
      <c r="E514" s="25"/>
      <c r="F514" s="25"/>
      <c r="G514" s="25"/>
      <c r="H514" s="11"/>
      <c r="I514" s="11"/>
      <c r="J514" s="26" t="str">
        <f t="shared" si="12"/>
        <v/>
      </c>
      <c r="K514" s="11"/>
      <c r="L514" s="11"/>
      <c r="M514" s="11"/>
      <c r="N514" s="11"/>
      <c r="O514" s="26" t="str">
        <f t="shared" si="13"/>
        <v/>
      </c>
      <c r="P514" s="11"/>
    </row>
    <row r="515" spans="1:16" ht="15" customHeight="1" x14ac:dyDescent="0.25">
      <c r="A515" s="25"/>
      <c r="B515" s="25"/>
      <c r="C515" s="26" t="str">
        <f>IFERROR(IF(OR(A515="",B515=""),"",INDEX(Equipements!$H:$H,MATCH(A515,Equipements!$A:$A,0))&amp;"."&amp;B515),"")</f>
        <v/>
      </c>
      <c r="D515" s="11"/>
      <c r="E515" s="25"/>
      <c r="F515" s="25"/>
      <c r="G515" s="25"/>
      <c r="H515" s="11"/>
      <c r="I515" s="11"/>
      <c r="J515" s="26" t="str">
        <f t="shared" si="12"/>
        <v/>
      </c>
      <c r="K515" s="11"/>
      <c r="L515" s="11"/>
      <c r="M515" s="11"/>
      <c r="N515" s="11"/>
      <c r="O515" s="26" t="str">
        <f t="shared" si="13"/>
        <v/>
      </c>
      <c r="P515" s="11"/>
    </row>
    <row r="516" spans="1:16" ht="15" customHeight="1" x14ac:dyDescent="0.25">
      <c r="A516" s="25"/>
      <c r="B516" s="25"/>
      <c r="C516" s="26" t="str">
        <f>IFERROR(IF(OR(A516="",B516=""),"",INDEX(Equipements!$H:$H,MATCH(A516,Equipements!$A:$A,0))&amp;"."&amp;B516),"")</f>
        <v/>
      </c>
      <c r="D516" s="11"/>
      <c r="E516" s="25"/>
      <c r="F516" s="25"/>
      <c r="G516" s="25"/>
      <c r="H516" s="11"/>
      <c r="I516" s="11"/>
      <c r="J516" s="26" t="str">
        <f t="shared" si="12"/>
        <v/>
      </c>
      <c r="K516" s="11"/>
      <c r="L516" s="11"/>
      <c r="M516" s="11"/>
      <c r="N516" s="11"/>
      <c r="O516" s="26" t="str">
        <f t="shared" si="13"/>
        <v/>
      </c>
      <c r="P516" s="11"/>
    </row>
    <row r="517" spans="1:16" ht="15" customHeight="1" x14ac:dyDescent="0.25">
      <c r="A517" s="25"/>
      <c r="B517" s="25"/>
      <c r="C517" s="26" t="str">
        <f>IFERROR(IF(OR(A517="",B517=""),"",INDEX(Equipements!$H:$H,MATCH(A517,Equipements!$A:$A,0))&amp;"."&amp;B517),"")</f>
        <v/>
      </c>
      <c r="D517" s="11"/>
      <c r="E517" s="25"/>
      <c r="F517" s="25"/>
      <c r="G517" s="25"/>
      <c r="H517" s="11"/>
      <c r="I517" s="11"/>
      <c r="J517" s="26" t="str">
        <f t="shared" si="12"/>
        <v/>
      </c>
      <c r="K517" s="11"/>
      <c r="L517" s="11"/>
      <c r="M517" s="11"/>
      <c r="N517" s="11"/>
      <c r="O517" s="26" t="str">
        <f t="shared" si="13"/>
        <v/>
      </c>
      <c r="P517" s="11"/>
    </row>
    <row r="518" spans="1:16" ht="15" customHeight="1" x14ac:dyDescent="0.25">
      <c r="A518" s="25"/>
      <c r="B518" s="25"/>
      <c r="C518" s="26" t="str">
        <f>IFERROR(IF(OR(A518="",B518=""),"",INDEX(Equipements!$H:$H,MATCH(A518,Equipements!$A:$A,0))&amp;"."&amp;B518),"")</f>
        <v/>
      </c>
      <c r="D518" s="11"/>
      <c r="E518" s="25"/>
      <c r="F518" s="25"/>
      <c r="G518" s="25"/>
      <c r="H518" s="11"/>
      <c r="I518" s="11"/>
      <c r="J518" s="26" t="str">
        <f t="shared" si="12"/>
        <v/>
      </c>
      <c r="K518" s="11"/>
      <c r="L518" s="11"/>
      <c r="M518" s="11"/>
      <c r="N518" s="11"/>
      <c r="O518" s="26" t="str">
        <f t="shared" si="13"/>
        <v/>
      </c>
      <c r="P518" s="11"/>
    </row>
    <row r="519" spans="1:16" ht="15" customHeight="1" x14ac:dyDescent="0.25">
      <c r="A519" s="25"/>
      <c r="B519" s="25"/>
      <c r="C519" s="26" t="str">
        <f>IFERROR(IF(OR(A519="",B519=""),"",INDEX(Equipements!$H:$H,MATCH(A519,Equipements!$A:$A,0))&amp;"."&amp;B519),"")</f>
        <v/>
      </c>
      <c r="D519" s="11"/>
      <c r="E519" s="25"/>
      <c r="F519" s="25"/>
      <c r="G519" s="25"/>
      <c r="H519" s="11"/>
      <c r="I519" s="11"/>
      <c r="J519" s="26" t="str">
        <f t="shared" si="12"/>
        <v/>
      </c>
      <c r="K519" s="11"/>
      <c r="L519" s="11"/>
      <c r="M519" s="11"/>
      <c r="N519" s="11"/>
      <c r="O519" s="26" t="str">
        <f t="shared" si="13"/>
        <v/>
      </c>
      <c r="P519" s="11"/>
    </row>
    <row r="520" spans="1:16" ht="15" customHeight="1" x14ac:dyDescent="0.25">
      <c r="A520" s="25"/>
      <c r="B520" s="25"/>
      <c r="C520" s="26" t="str">
        <f>IFERROR(IF(OR(A520="",B520=""),"",INDEX(Equipements!$H:$H,MATCH(A520,Equipements!$A:$A,0))&amp;"."&amp;B520),"")</f>
        <v/>
      </c>
      <c r="D520" s="11"/>
      <c r="E520" s="25"/>
      <c r="F520" s="25"/>
      <c r="G520" s="25"/>
      <c r="H520" s="11"/>
      <c r="I520" s="11"/>
      <c r="J520" s="26" t="str">
        <f t="shared" si="12"/>
        <v/>
      </c>
      <c r="K520" s="11"/>
      <c r="L520" s="11"/>
      <c r="M520" s="11"/>
      <c r="N520" s="11"/>
      <c r="O520" s="26" t="str">
        <f t="shared" si="13"/>
        <v/>
      </c>
      <c r="P520" s="11"/>
    </row>
    <row r="521" spans="1:16" ht="15" customHeight="1" x14ac:dyDescent="0.25">
      <c r="A521" s="25"/>
      <c r="B521" s="25"/>
      <c r="C521" s="26" t="str">
        <f>IFERROR(IF(OR(A521="",B521=""),"",INDEX(Equipements!$H:$H,MATCH(A521,Equipements!$A:$A,0))&amp;"."&amp;B521),"")</f>
        <v/>
      </c>
      <c r="D521" s="11"/>
      <c r="E521" s="25"/>
      <c r="F521" s="25"/>
      <c r="G521" s="25"/>
      <c r="H521" s="11"/>
      <c r="I521" s="11"/>
      <c r="J521" s="26" t="str">
        <f t="shared" ref="J521:J584" si="14">IF(OR(G521="",H521=""),"","%"&amp;G521&amp;H521)</f>
        <v/>
      </c>
      <c r="K521" s="11"/>
      <c r="L521" s="11"/>
      <c r="M521" s="11"/>
      <c r="N521" s="11"/>
      <c r="O521" s="26" t="str">
        <f t="shared" ref="O521:O584" si="15">IF(H521="","",IF(I521="","mot entier","bit "&amp;I521))</f>
        <v/>
      </c>
      <c r="P521" s="11"/>
    </row>
    <row r="522" spans="1:16" ht="15" customHeight="1" x14ac:dyDescent="0.25">
      <c r="A522" s="25"/>
      <c r="B522" s="25"/>
      <c r="C522" s="26" t="str">
        <f>IFERROR(IF(OR(A522="",B522=""),"",INDEX(Equipements!$H:$H,MATCH(A522,Equipements!$A:$A,0))&amp;"."&amp;B522),"")</f>
        <v/>
      </c>
      <c r="D522" s="11"/>
      <c r="E522" s="25"/>
      <c r="F522" s="25"/>
      <c r="G522" s="25"/>
      <c r="H522" s="11"/>
      <c r="I522" s="11"/>
      <c r="J522" s="26" t="str">
        <f t="shared" si="14"/>
        <v/>
      </c>
      <c r="K522" s="11"/>
      <c r="L522" s="11"/>
      <c r="M522" s="11"/>
      <c r="N522" s="11"/>
      <c r="O522" s="26" t="str">
        <f t="shared" si="15"/>
        <v/>
      </c>
      <c r="P522" s="11"/>
    </row>
    <row r="523" spans="1:16" ht="15" customHeight="1" x14ac:dyDescent="0.25">
      <c r="A523" s="25"/>
      <c r="B523" s="25"/>
      <c r="C523" s="26" t="str">
        <f>IFERROR(IF(OR(A523="",B523=""),"",INDEX(Equipements!$H:$H,MATCH(A523,Equipements!$A:$A,0))&amp;"."&amp;B523),"")</f>
        <v/>
      </c>
      <c r="D523" s="11"/>
      <c r="E523" s="25"/>
      <c r="F523" s="25"/>
      <c r="G523" s="25"/>
      <c r="H523" s="11"/>
      <c r="I523" s="11"/>
      <c r="J523" s="26" t="str">
        <f t="shared" si="14"/>
        <v/>
      </c>
      <c r="K523" s="11"/>
      <c r="L523" s="11"/>
      <c r="M523" s="11"/>
      <c r="N523" s="11"/>
      <c r="O523" s="26" t="str">
        <f t="shared" si="15"/>
        <v/>
      </c>
      <c r="P523" s="11"/>
    </row>
    <row r="524" spans="1:16" ht="15" customHeight="1" x14ac:dyDescent="0.25">
      <c r="A524" s="25"/>
      <c r="B524" s="25"/>
      <c r="C524" s="26" t="str">
        <f>IFERROR(IF(OR(A524="",B524=""),"",INDEX(Equipements!$H:$H,MATCH(A524,Equipements!$A:$A,0))&amp;"."&amp;B524),"")</f>
        <v/>
      </c>
      <c r="D524" s="11"/>
      <c r="E524" s="25"/>
      <c r="F524" s="25"/>
      <c r="G524" s="25"/>
      <c r="H524" s="11"/>
      <c r="I524" s="11"/>
      <c r="J524" s="26" t="str">
        <f t="shared" si="14"/>
        <v/>
      </c>
      <c r="K524" s="11"/>
      <c r="L524" s="11"/>
      <c r="M524" s="11"/>
      <c r="N524" s="11"/>
      <c r="O524" s="26" t="str">
        <f t="shared" si="15"/>
        <v/>
      </c>
      <c r="P524" s="11"/>
    </row>
    <row r="525" spans="1:16" ht="15" customHeight="1" x14ac:dyDescent="0.25">
      <c r="A525" s="25"/>
      <c r="B525" s="25"/>
      <c r="C525" s="26" t="str">
        <f>IFERROR(IF(OR(A525="",B525=""),"",INDEX(Equipements!$H:$H,MATCH(A525,Equipements!$A:$A,0))&amp;"."&amp;B525),"")</f>
        <v/>
      </c>
      <c r="D525" s="11"/>
      <c r="E525" s="25"/>
      <c r="F525" s="25"/>
      <c r="G525" s="25"/>
      <c r="H525" s="11"/>
      <c r="I525" s="11"/>
      <c r="J525" s="26" t="str">
        <f t="shared" si="14"/>
        <v/>
      </c>
      <c r="K525" s="11"/>
      <c r="L525" s="11"/>
      <c r="M525" s="11"/>
      <c r="N525" s="11"/>
      <c r="O525" s="26" t="str">
        <f t="shared" si="15"/>
        <v/>
      </c>
      <c r="P525" s="11"/>
    </row>
    <row r="526" spans="1:16" ht="15" customHeight="1" x14ac:dyDescent="0.25">
      <c r="A526" s="25"/>
      <c r="B526" s="25"/>
      <c r="C526" s="26" t="str">
        <f>IFERROR(IF(OR(A526="",B526=""),"",INDEX(Equipements!$H:$H,MATCH(A526,Equipements!$A:$A,0))&amp;"."&amp;B526),"")</f>
        <v/>
      </c>
      <c r="D526" s="11"/>
      <c r="E526" s="25"/>
      <c r="F526" s="25"/>
      <c r="G526" s="25"/>
      <c r="H526" s="11"/>
      <c r="I526" s="11"/>
      <c r="J526" s="26" t="str">
        <f t="shared" si="14"/>
        <v/>
      </c>
      <c r="K526" s="11"/>
      <c r="L526" s="11"/>
      <c r="M526" s="11"/>
      <c r="N526" s="11"/>
      <c r="O526" s="26" t="str">
        <f t="shared" si="15"/>
        <v/>
      </c>
      <c r="P526" s="11"/>
    </row>
    <row r="527" spans="1:16" ht="15" customHeight="1" x14ac:dyDescent="0.25">
      <c r="A527" s="25"/>
      <c r="B527" s="25"/>
      <c r="C527" s="26" t="str">
        <f>IFERROR(IF(OR(A527="",B527=""),"",INDEX(Equipements!$H:$H,MATCH(A527,Equipements!$A:$A,0))&amp;"."&amp;B527),"")</f>
        <v/>
      </c>
      <c r="D527" s="11"/>
      <c r="E527" s="25"/>
      <c r="F527" s="25"/>
      <c r="G527" s="25"/>
      <c r="H527" s="11"/>
      <c r="I527" s="11"/>
      <c r="J527" s="26" t="str">
        <f t="shared" si="14"/>
        <v/>
      </c>
      <c r="K527" s="11"/>
      <c r="L527" s="11"/>
      <c r="M527" s="11"/>
      <c r="N527" s="11"/>
      <c r="O527" s="26" t="str">
        <f t="shared" si="15"/>
        <v/>
      </c>
      <c r="P527" s="11"/>
    </row>
    <row r="528" spans="1:16" ht="15" customHeight="1" x14ac:dyDescent="0.25">
      <c r="A528" s="25"/>
      <c r="B528" s="25"/>
      <c r="C528" s="26" t="str">
        <f>IFERROR(IF(OR(A528="",B528=""),"",INDEX(Equipements!$H:$H,MATCH(A528,Equipements!$A:$A,0))&amp;"."&amp;B528),"")</f>
        <v/>
      </c>
      <c r="D528" s="11"/>
      <c r="E528" s="25"/>
      <c r="F528" s="25"/>
      <c r="G528" s="25"/>
      <c r="H528" s="11"/>
      <c r="I528" s="11"/>
      <c r="J528" s="26" t="str">
        <f t="shared" si="14"/>
        <v/>
      </c>
      <c r="K528" s="11"/>
      <c r="L528" s="11"/>
      <c r="M528" s="11"/>
      <c r="N528" s="11"/>
      <c r="O528" s="26" t="str">
        <f t="shared" si="15"/>
        <v/>
      </c>
      <c r="P528" s="11"/>
    </row>
    <row r="529" spans="1:16" ht="15" customHeight="1" x14ac:dyDescent="0.25">
      <c r="A529" s="25"/>
      <c r="B529" s="25"/>
      <c r="C529" s="26" t="str">
        <f>IFERROR(IF(OR(A529="",B529=""),"",INDEX(Equipements!$H:$H,MATCH(A529,Equipements!$A:$A,0))&amp;"."&amp;B529),"")</f>
        <v/>
      </c>
      <c r="D529" s="11"/>
      <c r="E529" s="25"/>
      <c r="F529" s="25"/>
      <c r="G529" s="25"/>
      <c r="H529" s="11"/>
      <c r="I529" s="11"/>
      <c r="J529" s="26" t="str">
        <f t="shared" si="14"/>
        <v/>
      </c>
      <c r="K529" s="11"/>
      <c r="L529" s="11"/>
      <c r="M529" s="11"/>
      <c r="N529" s="11"/>
      <c r="O529" s="26" t="str">
        <f t="shared" si="15"/>
        <v/>
      </c>
      <c r="P529" s="11"/>
    </row>
    <row r="530" spans="1:16" ht="15" customHeight="1" x14ac:dyDescent="0.25">
      <c r="A530" s="25"/>
      <c r="B530" s="25"/>
      <c r="C530" s="26" t="str">
        <f>IFERROR(IF(OR(A530="",B530=""),"",INDEX(Equipements!$H:$H,MATCH(A530,Equipements!$A:$A,0))&amp;"."&amp;B530),"")</f>
        <v/>
      </c>
      <c r="D530" s="11"/>
      <c r="E530" s="25"/>
      <c r="F530" s="25"/>
      <c r="G530" s="25"/>
      <c r="H530" s="11"/>
      <c r="I530" s="11"/>
      <c r="J530" s="26" t="str">
        <f t="shared" si="14"/>
        <v/>
      </c>
      <c r="K530" s="11"/>
      <c r="L530" s="11"/>
      <c r="M530" s="11"/>
      <c r="N530" s="11"/>
      <c r="O530" s="26" t="str">
        <f t="shared" si="15"/>
        <v/>
      </c>
      <c r="P530" s="11"/>
    </row>
    <row r="531" spans="1:16" ht="15" customHeight="1" x14ac:dyDescent="0.25">
      <c r="A531" s="25"/>
      <c r="B531" s="25"/>
      <c r="C531" s="26" t="str">
        <f>IFERROR(IF(OR(A531="",B531=""),"",INDEX(Equipements!$H:$H,MATCH(A531,Equipements!$A:$A,0))&amp;"."&amp;B531),"")</f>
        <v/>
      </c>
      <c r="D531" s="11"/>
      <c r="E531" s="25"/>
      <c r="F531" s="25"/>
      <c r="G531" s="25"/>
      <c r="H531" s="11"/>
      <c r="I531" s="11"/>
      <c r="J531" s="26" t="str">
        <f t="shared" si="14"/>
        <v/>
      </c>
      <c r="K531" s="11"/>
      <c r="L531" s="11"/>
      <c r="M531" s="11"/>
      <c r="N531" s="11"/>
      <c r="O531" s="26" t="str">
        <f t="shared" si="15"/>
        <v/>
      </c>
      <c r="P531" s="11"/>
    </row>
    <row r="532" spans="1:16" ht="15" customHeight="1" x14ac:dyDescent="0.25">
      <c r="A532" s="25"/>
      <c r="B532" s="25"/>
      <c r="C532" s="26" t="str">
        <f>IFERROR(IF(OR(A532="",B532=""),"",INDEX(Equipements!$H:$H,MATCH(A532,Equipements!$A:$A,0))&amp;"."&amp;B532),"")</f>
        <v/>
      </c>
      <c r="D532" s="11"/>
      <c r="E532" s="25"/>
      <c r="F532" s="25"/>
      <c r="G532" s="25"/>
      <c r="H532" s="11"/>
      <c r="I532" s="11"/>
      <c r="J532" s="26" t="str">
        <f t="shared" si="14"/>
        <v/>
      </c>
      <c r="K532" s="11"/>
      <c r="L532" s="11"/>
      <c r="M532" s="11"/>
      <c r="N532" s="11"/>
      <c r="O532" s="26" t="str">
        <f t="shared" si="15"/>
        <v/>
      </c>
      <c r="P532" s="11"/>
    </row>
    <row r="533" spans="1:16" ht="15" customHeight="1" x14ac:dyDescent="0.25">
      <c r="A533" s="25"/>
      <c r="B533" s="25"/>
      <c r="C533" s="26" t="str">
        <f>IFERROR(IF(OR(A533="",B533=""),"",INDEX(Equipements!$H:$H,MATCH(A533,Equipements!$A:$A,0))&amp;"."&amp;B533),"")</f>
        <v/>
      </c>
      <c r="D533" s="11"/>
      <c r="E533" s="25"/>
      <c r="F533" s="25"/>
      <c r="G533" s="25"/>
      <c r="H533" s="11"/>
      <c r="I533" s="11"/>
      <c r="J533" s="26" t="str">
        <f t="shared" si="14"/>
        <v/>
      </c>
      <c r="K533" s="11"/>
      <c r="L533" s="11"/>
      <c r="M533" s="11"/>
      <c r="N533" s="11"/>
      <c r="O533" s="26" t="str">
        <f t="shared" si="15"/>
        <v/>
      </c>
      <c r="P533" s="11"/>
    </row>
    <row r="534" spans="1:16" ht="15" customHeight="1" x14ac:dyDescent="0.25">
      <c r="A534" s="25"/>
      <c r="B534" s="25"/>
      <c r="C534" s="26" t="str">
        <f>IFERROR(IF(OR(A534="",B534=""),"",INDEX(Equipements!$H:$H,MATCH(A534,Equipements!$A:$A,0))&amp;"."&amp;B534),"")</f>
        <v/>
      </c>
      <c r="D534" s="11"/>
      <c r="E534" s="25"/>
      <c r="F534" s="25"/>
      <c r="G534" s="25"/>
      <c r="H534" s="11"/>
      <c r="I534" s="11"/>
      <c r="J534" s="26" t="str">
        <f t="shared" si="14"/>
        <v/>
      </c>
      <c r="K534" s="11"/>
      <c r="L534" s="11"/>
      <c r="M534" s="11"/>
      <c r="N534" s="11"/>
      <c r="O534" s="26" t="str">
        <f t="shared" si="15"/>
        <v/>
      </c>
      <c r="P534" s="11"/>
    </row>
    <row r="535" spans="1:16" ht="15" customHeight="1" x14ac:dyDescent="0.25">
      <c r="A535" s="25"/>
      <c r="B535" s="25"/>
      <c r="C535" s="26" t="str">
        <f>IFERROR(IF(OR(A535="",B535=""),"",INDEX(Equipements!$H:$H,MATCH(A535,Equipements!$A:$A,0))&amp;"."&amp;B535),"")</f>
        <v/>
      </c>
      <c r="D535" s="11"/>
      <c r="E535" s="25"/>
      <c r="F535" s="25"/>
      <c r="G535" s="25"/>
      <c r="H535" s="11"/>
      <c r="I535" s="11"/>
      <c r="J535" s="26" t="str">
        <f t="shared" si="14"/>
        <v/>
      </c>
      <c r="K535" s="11"/>
      <c r="L535" s="11"/>
      <c r="M535" s="11"/>
      <c r="N535" s="11"/>
      <c r="O535" s="26" t="str">
        <f t="shared" si="15"/>
        <v/>
      </c>
      <c r="P535" s="11"/>
    </row>
    <row r="536" spans="1:16" ht="15" customHeight="1" x14ac:dyDescent="0.25">
      <c r="A536" s="25"/>
      <c r="B536" s="25"/>
      <c r="C536" s="26" t="str">
        <f>IFERROR(IF(OR(A536="",B536=""),"",INDEX(Equipements!$H:$H,MATCH(A536,Equipements!$A:$A,0))&amp;"."&amp;B536),"")</f>
        <v/>
      </c>
      <c r="D536" s="11"/>
      <c r="E536" s="25"/>
      <c r="F536" s="25"/>
      <c r="G536" s="25"/>
      <c r="H536" s="11"/>
      <c r="I536" s="11"/>
      <c r="J536" s="26" t="str">
        <f t="shared" si="14"/>
        <v/>
      </c>
      <c r="K536" s="11"/>
      <c r="L536" s="11"/>
      <c r="M536" s="11"/>
      <c r="N536" s="11"/>
      <c r="O536" s="26" t="str">
        <f t="shared" si="15"/>
        <v/>
      </c>
      <c r="P536" s="11"/>
    </row>
    <row r="537" spans="1:16" ht="15" customHeight="1" x14ac:dyDescent="0.25">
      <c r="A537" s="25"/>
      <c r="B537" s="25"/>
      <c r="C537" s="26" t="str">
        <f>IFERROR(IF(OR(A537="",B537=""),"",INDEX(Equipements!$H:$H,MATCH(A537,Equipements!$A:$A,0))&amp;"."&amp;B537),"")</f>
        <v/>
      </c>
      <c r="D537" s="11"/>
      <c r="E537" s="25"/>
      <c r="F537" s="25"/>
      <c r="G537" s="25"/>
      <c r="H537" s="11"/>
      <c r="I537" s="11"/>
      <c r="J537" s="26" t="str">
        <f t="shared" si="14"/>
        <v/>
      </c>
      <c r="K537" s="11"/>
      <c r="L537" s="11"/>
      <c r="M537" s="11"/>
      <c r="N537" s="11"/>
      <c r="O537" s="26" t="str">
        <f t="shared" si="15"/>
        <v/>
      </c>
      <c r="P537" s="11"/>
    </row>
    <row r="538" spans="1:16" ht="15" customHeight="1" x14ac:dyDescent="0.25">
      <c r="A538" s="25"/>
      <c r="B538" s="25"/>
      <c r="C538" s="26" t="str">
        <f>IFERROR(IF(OR(A538="",B538=""),"",INDEX(Equipements!$H:$H,MATCH(A538,Equipements!$A:$A,0))&amp;"."&amp;B538),"")</f>
        <v/>
      </c>
      <c r="D538" s="11"/>
      <c r="E538" s="25"/>
      <c r="F538" s="25"/>
      <c r="G538" s="25"/>
      <c r="H538" s="11"/>
      <c r="I538" s="11"/>
      <c r="J538" s="26" t="str">
        <f t="shared" si="14"/>
        <v/>
      </c>
      <c r="K538" s="11"/>
      <c r="L538" s="11"/>
      <c r="M538" s="11"/>
      <c r="N538" s="11"/>
      <c r="O538" s="26" t="str">
        <f t="shared" si="15"/>
        <v/>
      </c>
      <c r="P538" s="11"/>
    </row>
    <row r="539" spans="1:16" ht="15" customHeight="1" x14ac:dyDescent="0.25">
      <c r="A539" s="25"/>
      <c r="B539" s="25"/>
      <c r="C539" s="26" t="str">
        <f>IFERROR(IF(OR(A539="",B539=""),"",INDEX(Equipements!$H:$H,MATCH(A539,Equipements!$A:$A,0))&amp;"."&amp;B539),"")</f>
        <v/>
      </c>
      <c r="D539" s="11"/>
      <c r="E539" s="25"/>
      <c r="F539" s="25"/>
      <c r="G539" s="25"/>
      <c r="H539" s="11"/>
      <c r="I539" s="11"/>
      <c r="J539" s="26" t="str">
        <f t="shared" si="14"/>
        <v/>
      </c>
      <c r="K539" s="11"/>
      <c r="L539" s="11"/>
      <c r="M539" s="11"/>
      <c r="N539" s="11"/>
      <c r="O539" s="26" t="str">
        <f t="shared" si="15"/>
        <v/>
      </c>
      <c r="P539" s="11"/>
    </row>
    <row r="540" spans="1:16" ht="15" customHeight="1" x14ac:dyDescent="0.25">
      <c r="A540" s="25"/>
      <c r="B540" s="25"/>
      <c r="C540" s="26" t="str">
        <f>IFERROR(IF(OR(A540="",B540=""),"",INDEX(Equipements!$H:$H,MATCH(A540,Equipements!$A:$A,0))&amp;"."&amp;B540),"")</f>
        <v/>
      </c>
      <c r="D540" s="11"/>
      <c r="E540" s="25"/>
      <c r="F540" s="25"/>
      <c r="G540" s="25"/>
      <c r="H540" s="11"/>
      <c r="I540" s="11"/>
      <c r="J540" s="26" t="str">
        <f t="shared" si="14"/>
        <v/>
      </c>
      <c r="K540" s="11"/>
      <c r="L540" s="11"/>
      <c r="M540" s="11"/>
      <c r="N540" s="11"/>
      <c r="O540" s="26" t="str">
        <f t="shared" si="15"/>
        <v/>
      </c>
      <c r="P540" s="11"/>
    </row>
    <row r="541" spans="1:16" ht="15" customHeight="1" x14ac:dyDescent="0.25">
      <c r="A541" s="25"/>
      <c r="B541" s="25"/>
      <c r="C541" s="26" t="str">
        <f>IFERROR(IF(OR(A541="",B541=""),"",INDEX(Equipements!$H:$H,MATCH(A541,Equipements!$A:$A,0))&amp;"."&amp;B541),"")</f>
        <v/>
      </c>
      <c r="D541" s="11"/>
      <c r="E541" s="25"/>
      <c r="F541" s="25"/>
      <c r="G541" s="25"/>
      <c r="H541" s="11"/>
      <c r="I541" s="11"/>
      <c r="J541" s="26" t="str">
        <f t="shared" si="14"/>
        <v/>
      </c>
      <c r="K541" s="11"/>
      <c r="L541" s="11"/>
      <c r="M541" s="11"/>
      <c r="N541" s="11"/>
      <c r="O541" s="26" t="str">
        <f t="shared" si="15"/>
        <v/>
      </c>
      <c r="P541" s="11"/>
    </row>
    <row r="542" spans="1:16" ht="15" customHeight="1" x14ac:dyDescent="0.25">
      <c r="A542" s="25"/>
      <c r="B542" s="25"/>
      <c r="C542" s="26" t="str">
        <f>IFERROR(IF(OR(A542="",B542=""),"",INDEX(Equipements!$H:$H,MATCH(A542,Equipements!$A:$A,0))&amp;"."&amp;B542),"")</f>
        <v/>
      </c>
      <c r="D542" s="11"/>
      <c r="E542" s="25"/>
      <c r="F542" s="25"/>
      <c r="G542" s="25"/>
      <c r="H542" s="11"/>
      <c r="I542" s="11"/>
      <c r="J542" s="26" t="str">
        <f t="shared" si="14"/>
        <v/>
      </c>
      <c r="K542" s="11"/>
      <c r="L542" s="11"/>
      <c r="M542" s="11"/>
      <c r="N542" s="11"/>
      <c r="O542" s="26" t="str">
        <f t="shared" si="15"/>
        <v/>
      </c>
      <c r="P542" s="11"/>
    </row>
    <row r="543" spans="1:16" ht="15" customHeight="1" x14ac:dyDescent="0.25">
      <c r="A543" s="25"/>
      <c r="B543" s="25"/>
      <c r="C543" s="26" t="str">
        <f>IFERROR(IF(OR(A543="",B543=""),"",INDEX(Equipements!$H:$H,MATCH(A543,Equipements!$A:$A,0))&amp;"."&amp;B543),"")</f>
        <v/>
      </c>
      <c r="D543" s="11"/>
      <c r="E543" s="25"/>
      <c r="F543" s="25"/>
      <c r="G543" s="25"/>
      <c r="H543" s="11"/>
      <c r="I543" s="11"/>
      <c r="J543" s="26" t="str">
        <f t="shared" si="14"/>
        <v/>
      </c>
      <c r="K543" s="11"/>
      <c r="L543" s="11"/>
      <c r="M543" s="11"/>
      <c r="N543" s="11"/>
      <c r="O543" s="26" t="str">
        <f t="shared" si="15"/>
        <v/>
      </c>
      <c r="P543" s="11"/>
    </row>
    <row r="544" spans="1:16" ht="15" customHeight="1" x14ac:dyDescent="0.25">
      <c r="A544" s="25"/>
      <c r="B544" s="25"/>
      <c r="C544" s="26" t="str">
        <f>IFERROR(IF(OR(A544="",B544=""),"",INDEX(Equipements!$H:$H,MATCH(A544,Equipements!$A:$A,0))&amp;"."&amp;B544),"")</f>
        <v/>
      </c>
      <c r="D544" s="11"/>
      <c r="E544" s="25"/>
      <c r="F544" s="25"/>
      <c r="G544" s="25"/>
      <c r="H544" s="11"/>
      <c r="I544" s="11"/>
      <c r="J544" s="26" t="str">
        <f t="shared" si="14"/>
        <v/>
      </c>
      <c r="K544" s="11"/>
      <c r="L544" s="11"/>
      <c r="M544" s="11"/>
      <c r="N544" s="11"/>
      <c r="O544" s="26" t="str">
        <f t="shared" si="15"/>
        <v/>
      </c>
      <c r="P544" s="11"/>
    </row>
    <row r="545" spans="1:16" ht="15" customHeight="1" x14ac:dyDescent="0.25">
      <c r="A545" s="25"/>
      <c r="B545" s="25"/>
      <c r="C545" s="26" t="str">
        <f>IFERROR(IF(OR(A545="",B545=""),"",INDEX(Equipements!$H:$H,MATCH(A545,Equipements!$A:$A,0))&amp;"."&amp;B545),"")</f>
        <v/>
      </c>
      <c r="D545" s="11"/>
      <c r="E545" s="25"/>
      <c r="F545" s="25"/>
      <c r="G545" s="25"/>
      <c r="H545" s="11"/>
      <c r="I545" s="11"/>
      <c r="J545" s="26" t="str">
        <f t="shared" si="14"/>
        <v/>
      </c>
      <c r="K545" s="11"/>
      <c r="L545" s="11"/>
      <c r="M545" s="11"/>
      <c r="N545" s="11"/>
      <c r="O545" s="26" t="str">
        <f t="shared" si="15"/>
        <v/>
      </c>
      <c r="P545" s="11"/>
    </row>
    <row r="546" spans="1:16" ht="15" customHeight="1" x14ac:dyDescent="0.25">
      <c r="A546" s="25"/>
      <c r="B546" s="25"/>
      <c r="C546" s="26" t="str">
        <f>IFERROR(IF(OR(A546="",B546=""),"",INDEX(Equipements!$H:$H,MATCH(A546,Equipements!$A:$A,0))&amp;"."&amp;B546),"")</f>
        <v/>
      </c>
      <c r="D546" s="11"/>
      <c r="E546" s="25"/>
      <c r="F546" s="25"/>
      <c r="G546" s="25"/>
      <c r="H546" s="11"/>
      <c r="I546" s="11"/>
      <c r="J546" s="26" t="str">
        <f t="shared" si="14"/>
        <v/>
      </c>
      <c r="K546" s="11"/>
      <c r="L546" s="11"/>
      <c r="M546" s="11"/>
      <c r="N546" s="11"/>
      <c r="O546" s="26" t="str">
        <f t="shared" si="15"/>
        <v/>
      </c>
      <c r="P546" s="11"/>
    </row>
    <row r="547" spans="1:16" ht="15" customHeight="1" x14ac:dyDescent="0.25">
      <c r="A547" s="25"/>
      <c r="B547" s="25"/>
      <c r="C547" s="26" t="str">
        <f>IFERROR(IF(OR(A547="",B547=""),"",INDEX(Equipements!$H:$H,MATCH(A547,Equipements!$A:$A,0))&amp;"."&amp;B547),"")</f>
        <v/>
      </c>
      <c r="D547" s="11"/>
      <c r="E547" s="25"/>
      <c r="F547" s="25"/>
      <c r="G547" s="25"/>
      <c r="H547" s="11"/>
      <c r="I547" s="11"/>
      <c r="J547" s="26" t="str">
        <f t="shared" si="14"/>
        <v/>
      </c>
      <c r="K547" s="11"/>
      <c r="L547" s="11"/>
      <c r="M547" s="11"/>
      <c r="N547" s="11"/>
      <c r="O547" s="26" t="str">
        <f t="shared" si="15"/>
        <v/>
      </c>
      <c r="P547" s="11"/>
    </row>
    <row r="548" spans="1:16" ht="15" customHeight="1" x14ac:dyDescent="0.25">
      <c r="A548" s="25"/>
      <c r="B548" s="25"/>
      <c r="C548" s="26" t="str">
        <f>IFERROR(IF(OR(A548="",B548=""),"",INDEX(Equipements!$H:$H,MATCH(A548,Equipements!$A:$A,0))&amp;"."&amp;B548),"")</f>
        <v/>
      </c>
      <c r="D548" s="11"/>
      <c r="E548" s="25"/>
      <c r="F548" s="25"/>
      <c r="G548" s="25"/>
      <c r="H548" s="11"/>
      <c r="I548" s="11"/>
      <c r="J548" s="26" t="str">
        <f t="shared" si="14"/>
        <v/>
      </c>
      <c r="K548" s="11"/>
      <c r="L548" s="11"/>
      <c r="M548" s="11"/>
      <c r="N548" s="11"/>
      <c r="O548" s="26" t="str">
        <f t="shared" si="15"/>
        <v/>
      </c>
      <c r="P548" s="11"/>
    </row>
    <row r="549" spans="1:16" ht="15" customHeight="1" x14ac:dyDescent="0.25">
      <c r="A549" s="25"/>
      <c r="B549" s="25"/>
      <c r="C549" s="26" t="str">
        <f>IFERROR(IF(OR(A549="",B549=""),"",INDEX(Equipements!$H:$H,MATCH(A549,Equipements!$A:$A,0))&amp;"."&amp;B549),"")</f>
        <v/>
      </c>
      <c r="D549" s="11"/>
      <c r="E549" s="25"/>
      <c r="F549" s="25"/>
      <c r="G549" s="25"/>
      <c r="H549" s="11"/>
      <c r="I549" s="11"/>
      <c r="J549" s="26" t="str">
        <f t="shared" si="14"/>
        <v/>
      </c>
      <c r="K549" s="11"/>
      <c r="L549" s="11"/>
      <c r="M549" s="11"/>
      <c r="N549" s="11"/>
      <c r="O549" s="26" t="str">
        <f t="shared" si="15"/>
        <v/>
      </c>
      <c r="P549" s="11"/>
    </row>
    <row r="550" spans="1:16" ht="15" customHeight="1" x14ac:dyDescent="0.25">
      <c r="A550" s="25"/>
      <c r="B550" s="25"/>
      <c r="C550" s="26" t="str">
        <f>IFERROR(IF(OR(A550="",B550=""),"",INDEX(Equipements!$H:$H,MATCH(A550,Equipements!$A:$A,0))&amp;"."&amp;B550),"")</f>
        <v/>
      </c>
      <c r="D550" s="11"/>
      <c r="E550" s="25"/>
      <c r="F550" s="25"/>
      <c r="G550" s="25"/>
      <c r="H550" s="11"/>
      <c r="I550" s="11"/>
      <c r="J550" s="26" t="str">
        <f t="shared" si="14"/>
        <v/>
      </c>
      <c r="K550" s="11"/>
      <c r="L550" s="11"/>
      <c r="M550" s="11"/>
      <c r="N550" s="11"/>
      <c r="O550" s="26" t="str">
        <f t="shared" si="15"/>
        <v/>
      </c>
      <c r="P550" s="11"/>
    </row>
    <row r="551" spans="1:16" ht="15" customHeight="1" x14ac:dyDescent="0.25">
      <c r="A551" s="25"/>
      <c r="B551" s="25"/>
      <c r="C551" s="26" t="str">
        <f>IFERROR(IF(OR(A551="",B551=""),"",INDEX(Equipements!$H:$H,MATCH(A551,Equipements!$A:$A,0))&amp;"."&amp;B551),"")</f>
        <v/>
      </c>
      <c r="D551" s="11"/>
      <c r="E551" s="25"/>
      <c r="F551" s="25"/>
      <c r="G551" s="25"/>
      <c r="H551" s="11"/>
      <c r="I551" s="11"/>
      <c r="J551" s="26" t="str">
        <f t="shared" si="14"/>
        <v/>
      </c>
      <c r="K551" s="11"/>
      <c r="L551" s="11"/>
      <c r="M551" s="11"/>
      <c r="N551" s="11"/>
      <c r="O551" s="26" t="str">
        <f t="shared" si="15"/>
        <v/>
      </c>
      <c r="P551" s="11"/>
    </row>
    <row r="552" spans="1:16" ht="15" customHeight="1" x14ac:dyDescent="0.25">
      <c r="A552" s="25"/>
      <c r="B552" s="25"/>
      <c r="C552" s="26" t="str">
        <f>IFERROR(IF(OR(A552="",B552=""),"",INDEX(Equipements!$H:$H,MATCH(A552,Equipements!$A:$A,0))&amp;"."&amp;B552),"")</f>
        <v/>
      </c>
      <c r="D552" s="11"/>
      <c r="E552" s="25"/>
      <c r="F552" s="25"/>
      <c r="G552" s="25"/>
      <c r="H552" s="11"/>
      <c r="I552" s="11"/>
      <c r="J552" s="26" t="str">
        <f t="shared" si="14"/>
        <v/>
      </c>
      <c r="K552" s="11"/>
      <c r="L552" s="11"/>
      <c r="M552" s="11"/>
      <c r="N552" s="11"/>
      <c r="O552" s="26" t="str">
        <f t="shared" si="15"/>
        <v/>
      </c>
      <c r="P552" s="11"/>
    </row>
    <row r="553" spans="1:16" ht="15" customHeight="1" x14ac:dyDescent="0.25">
      <c r="A553" s="25"/>
      <c r="B553" s="25"/>
      <c r="C553" s="26" t="str">
        <f>IFERROR(IF(OR(A553="",B553=""),"",INDEX(Equipements!$H:$H,MATCH(A553,Equipements!$A:$A,0))&amp;"."&amp;B553),"")</f>
        <v/>
      </c>
      <c r="D553" s="11"/>
      <c r="E553" s="25"/>
      <c r="F553" s="25"/>
      <c r="G553" s="25"/>
      <c r="H553" s="11"/>
      <c r="I553" s="11"/>
      <c r="J553" s="26" t="str">
        <f t="shared" si="14"/>
        <v/>
      </c>
      <c r="K553" s="11"/>
      <c r="L553" s="11"/>
      <c r="M553" s="11"/>
      <c r="N553" s="11"/>
      <c r="O553" s="26" t="str">
        <f t="shared" si="15"/>
        <v/>
      </c>
      <c r="P553" s="11"/>
    </row>
    <row r="554" spans="1:16" ht="15" customHeight="1" x14ac:dyDescent="0.25">
      <c r="A554" s="25"/>
      <c r="B554" s="25"/>
      <c r="C554" s="26" t="str">
        <f>IFERROR(IF(OR(A554="",B554=""),"",INDEX(Equipements!$H:$H,MATCH(A554,Equipements!$A:$A,0))&amp;"."&amp;B554),"")</f>
        <v/>
      </c>
      <c r="D554" s="11"/>
      <c r="E554" s="25"/>
      <c r="F554" s="25"/>
      <c r="G554" s="25"/>
      <c r="H554" s="11"/>
      <c r="I554" s="11"/>
      <c r="J554" s="26" t="str">
        <f t="shared" si="14"/>
        <v/>
      </c>
      <c r="K554" s="11"/>
      <c r="L554" s="11"/>
      <c r="M554" s="11"/>
      <c r="N554" s="11"/>
      <c r="O554" s="26" t="str">
        <f t="shared" si="15"/>
        <v/>
      </c>
      <c r="P554" s="11"/>
    </row>
    <row r="555" spans="1:16" ht="15" customHeight="1" x14ac:dyDescent="0.25">
      <c r="A555" s="25"/>
      <c r="B555" s="25"/>
      <c r="C555" s="26" t="str">
        <f>IFERROR(IF(OR(A555="",B555=""),"",INDEX(Equipements!$H:$H,MATCH(A555,Equipements!$A:$A,0))&amp;"."&amp;B555),"")</f>
        <v/>
      </c>
      <c r="D555" s="11"/>
      <c r="E555" s="25"/>
      <c r="F555" s="25"/>
      <c r="G555" s="25"/>
      <c r="H555" s="11"/>
      <c r="I555" s="11"/>
      <c r="J555" s="26" t="str">
        <f t="shared" si="14"/>
        <v/>
      </c>
      <c r="K555" s="11"/>
      <c r="L555" s="11"/>
      <c r="M555" s="11"/>
      <c r="N555" s="11"/>
      <c r="O555" s="26" t="str">
        <f t="shared" si="15"/>
        <v/>
      </c>
      <c r="P555" s="11"/>
    </row>
    <row r="556" spans="1:16" ht="15" customHeight="1" x14ac:dyDescent="0.25">
      <c r="A556" s="25"/>
      <c r="B556" s="25"/>
      <c r="C556" s="26" t="str">
        <f>IFERROR(IF(OR(A556="",B556=""),"",INDEX(Equipements!$H:$H,MATCH(A556,Equipements!$A:$A,0))&amp;"."&amp;B556),"")</f>
        <v/>
      </c>
      <c r="D556" s="11"/>
      <c r="E556" s="25"/>
      <c r="F556" s="25"/>
      <c r="G556" s="25"/>
      <c r="H556" s="11"/>
      <c r="I556" s="11"/>
      <c r="J556" s="26" t="str">
        <f t="shared" si="14"/>
        <v/>
      </c>
      <c r="K556" s="11"/>
      <c r="L556" s="11"/>
      <c r="M556" s="11"/>
      <c r="N556" s="11"/>
      <c r="O556" s="26" t="str">
        <f t="shared" si="15"/>
        <v/>
      </c>
      <c r="P556" s="11"/>
    </row>
    <row r="557" spans="1:16" ht="15" customHeight="1" x14ac:dyDescent="0.25">
      <c r="A557" s="25"/>
      <c r="B557" s="25"/>
      <c r="C557" s="26" t="str">
        <f>IFERROR(IF(OR(A557="",B557=""),"",INDEX(Equipements!$H:$H,MATCH(A557,Equipements!$A:$A,0))&amp;"."&amp;B557),"")</f>
        <v/>
      </c>
      <c r="D557" s="11"/>
      <c r="E557" s="25"/>
      <c r="F557" s="25"/>
      <c r="G557" s="25"/>
      <c r="H557" s="11"/>
      <c r="I557" s="11"/>
      <c r="J557" s="26" t="str">
        <f t="shared" si="14"/>
        <v/>
      </c>
      <c r="K557" s="11"/>
      <c r="L557" s="11"/>
      <c r="M557" s="11"/>
      <c r="N557" s="11"/>
      <c r="O557" s="26" t="str">
        <f t="shared" si="15"/>
        <v/>
      </c>
      <c r="P557" s="11"/>
    </row>
    <row r="558" spans="1:16" ht="15" customHeight="1" x14ac:dyDescent="0.25">
      <c r="A558" s="25"/>
      <c r="B558" s="25"/>
      <c r="C558" s="26" t="str">
        <f>IFERROR(IF(OR(A558="",B558=""),"",INDEX(Equipements!$H:$H,MATCH(A558,Equipements!$A:$A,0))&amp;"."&amp;B558),"")</f>
        <v/>
      </c>
      <c r="D558" s="11"/>
      <c r="E558" s="25"/>
      <c r="F558" s="25"/>
      <c r="G558" s="25"/>
      <c r="H558" s="11"/>
      <c r="I558" s="11"/>
      <c r="J558" s="26" t="str">
        <f t="shared" si="14"/>
        <v/>
      </c>
      <c r="K558" s="11"/>
      <c r="L558" s="11"/>
      <c r="M558" s="11"/>
      <c r="N558" s="11"/>
      <c r="O558" s="26" t="str">
        <f t="shared" si="15"/>
        <v/>
      </c>
      <c r="P558" s="11"/>
    </row>
    <row r="559" spans="1:16" ht="15" customHeight="1" x14ac:dyDescent="0.25">
      <c r="A559" s="25"/>
      <c r="B559" s="25"/>
      <c r="C559" s="26" t="str">
        <f>IFERROR(IF(OR(A559="",B559=""),"",INDEX(Equipements!$H:$H,MATCH(A559,Equipements!$A:$A,0))&amp;"."&amp;B559),"")</f>
        <v/>
      </c>
      <c r="D559" s="11"/>
      <c r="E559" s="25"/>
      <c r="F559" s="25"/>
      <c r="G559" s="25"/>
      <c r="H559" s="11"/>
      <c r="I559" s="11"/>
      <c r="J559" s="26" t="str">
        <f t="shared" si="14"/>
        <v/>
      </c>
      <c r="K559" s="11"/>
      <c r="L559" s="11"/>
      <c r="M559" s="11"/>
      <c r="N559" s="11"/>
      <c r="O559" s="26" t="str">
        <f t="shared" si="15"/>
        <v/>
      </c>
      <c r="P559" s="11"/>
    </row>
    <row r="560" spans="1:16" ht="15" customHeight="1" x14ac:dyDescent="0.25">
      <c r="A560" s="25"/>
      <c r="B560" s="25"/>
      <c r="C560" s="26" t="str">
        <f>IFERROR(IF(OR(A560="",B560=""),"",INDEX(Equipements!$H:$H,MATCH(A560,Equipements!$A:$A,0))&amp;"."&amp;B560),"")</f>
        <v/>
      </c>
      <c r="D560" s="11"/>
      <c r="E560" s="25"/>
      <c r="F560" s="25"/>
      <c r="G560" s="25"/>
      <c r="H560" s="11"/>
      <c r="I560" s="11"/>
      <c r="J560" s="26" t="str">
        <f t="shared" si="14"/>
        <v/>
      </c>
      <c r="K560" s="11"/>
      <c r="L560" s="11"/>
      <c r="M560" s="11"/>
      <c r="N560" s="11"/>
      <c r="O560" s="26" t="str">
        <f t="shared" si="15"/>
        <v/>
      </c>
      <c r="P560" s="11"/>
    </row>
    <row r="561" spans="1:16" ht="15" customHeight="1" x14ac:dyDescent="0.25">
      <c r="A561" s="25"/>
      <c r="B561" s="25"/>
      <c r="C561" s="26" t="str">
        <f>IFERROR(IF(OR(A561="",B561=""),"",INDEX(Equipements!$H:$H,MATCH(A561,Equipements!$A:$A,0))&amp;"."&amp;B561),"")</f>
        <v/>
      </c>
      <c r="D561" s="11"/>
      <c r="E561" s="25"/>
      <c r="F561" s="25"/>
      <c r="G561" s="25"/>
      <c r="H561" s="11"/>
      <c r="I561" s="11"/>
      <c r="J561" s="26" t="str">
        <f t="shared" si="14"/>
        <v/>
      </c>
      <c r="K561" s="11"/>
      <c r="L561" s="11"/>
      <c r="M561" s="11"/>
      <c r="N561" s="11"/>
      <c r="O561" s="26" t="str">
        <f t="shared" si="15"/>
        <v/>
      </c>
      <c r="P561" s="11"/>
    </row>
    <row r="562" spans="1:16" ht="15" customHeight="1" x14ac:dyDescent="0.25">
      <c r="A562" s="25"/>
      <c r="B562" s="25"/>
      <c r="C562" s="26" t="str">
        <f>IFERROR(IF(OR(A562="",B562=""),"",INDEX(Equipements!$H:$H,MATCH(A562,Equipements!$A:$A,0))&amp;"."&amp;B562),"")</f>
        <v/>
      </c>
      <c r="D562" s="11"/>
      <c r="E562" s="25"/>
      <c r="F562" s="25"/>
      <c r="G562" s="25"/>
      <c r="H562" s="11"/>
      <c r="I562" s="11"/>
      <c r="J562" s="26" t="str">
        <f t="shared" si="14"/>
        <v/>
      </c>
      <c r="K562" s="11"/>
      <c r="L562" s="11"/>
      <c r="M562" s="11"/>
      <c r="N562" s="11"/>
      <c r="O562" s="26" t="str">
        <f t="shared" si="15"/>
        <v/>
      </c>
      <c r="P562" s="11"/>
    </row>
    <row r="563" spans="1:16" ht="15" customHeight="1" x14ac:dyDescent="0.25">
      <c r="A563" s="25"/>
      <c r="B563" s="25"/>
      <c r="C563" s="26" t="str">
        <f>IFERROR(IF(OR(A563="",B563=""),"",INDEX(Equipements!$H:$H,MATCH(A563,Equipements!$A:$A,0))&amp;"."&amp;B563),"")</f>
        <v/>
      </c>
      <c r="D563" s="11"/>
      <c r="E563" s="25"/>
      <c r="F563" s="25"/>
      <c r="G563" s="25"/>
      <c r="H563" s="11"/>
      <c r="I563" s="11"/>
      <c r="J563" s="26" t="str">
        <f t="shared" si="14"/>
        <v/>
      </c>
      <c r="K563" s="11"/>
      <c r="L563" s="11"/>
      <c r="M563" s="11"/>
      <c r="N563" s="11"/>
      <c r="O563" s="26" t="str">
        <f t="shared" si="15"/>
        <v/>
      </c>
      <c r="P563" s="11"/>
    </row>
    <row r="564" spans="1:16" ht="15" customHeight="1" x14ac:dyDescent="0.25">
      <c r="A564" s="25"/>
      <c r="B564" s="25"/>
      <c r="C564" s="26" t="str">
        <f>IFERROR(IF(OR(A564="",B564=""),"",INDEX(Equipements!$H:$H,MATCH(A564,Equipements!$A:$A,0))&amp;"."&amp;B564),"")</f>
        <v/>
      </c>
      <c r="D564" s="11"/>
      <c r="E564" s="25"/>
      <c r="F564" s="25"/>
      <c r="G564" s="25"/>
      <c r="H564" s="11"/>
      <c r="I564" s="11"/>
      <c r="J564" s="26" t="str">
        <f t="shared" si="14"/>
        <v/>
      </c>
      <c r="K564" s="11"/>
      <c r="L564" s="11"/>
      <c r="M564" s="11"/>
      <c r="N564" s="11"/>
      <c r="O564" s="26" t="str">
        <f t="shared" si="15"/>
        <v/>
      </c>
      <c r="P564" s="11"/>
    </row>
    <row r="565" spans="1:16" ht="15" customHeight="1" x14ac:dyDescent="0.25">
      <c r="A565" s="25"/>
      <c r="B565" s="25"/>
      <c r="C565" s="26" t="str">
        <f>IFERROR(IF(OR(A565="",B565=""),"",INDEX(Equipements!$H:$H,MATCH(A565,Equipements!$A:$A,0))&amp;"."&amp;B565),"")</f>
        <v/>
      </c>
      <c r="D565" s="11"/>
      <c r="E565" s="25"/>
      <c r="F565" s="25"/>
      <c r="G565" s="25"/>
      <c r="H565" s="11"/>
      <c r="I565" s="11"/>
      <c r="J565" s="26" t="str">
        <f t="shared" si="14"/>
        <v/>
      </c>
      <c r="K565" s="11"/>
      <c r="L565" s="11"/>
      <c r="M565" s="11"/>
      <c r="N565" s="11"/>
      <c r="O565" s="26" t="str">
        <f t="shared" si="15"/>
        <v/>
      </c>
      <c r="P565" s="11"/>
    </row>
    <row r="566" spans="1:16" ht="15" customHeight="1" x14ac:dyDescent="0.25">
      <c r="A566" s="25"/>
      <c r="B566" s="25"/>
      <c r="C566" s="26" t="str">
        <f>IFERROR(IF(OR(A566="",B566=""),"",INDEX(Equipements!$H:$H,MATCH(A566,Equipements!$A:$A,0))&amp;"."&amp;B566),"")</f>
        <v/>
      </c>
      <c r="D566" s="11"/>
      <c r="E566" s="25"/>
      <c r="F566" s="25"/>
      <c r="G566" s="25"/>
      <c r="H566" s="11"/>
      <c r="I566" s="11"/>
      <c r="J566" s="26" t="str">
        <f t="shared" si="14"/>
        <v/>
      </c>
      <c r="K566" s="11"/>
      <c r="L566" s="11"/>
      <c r="M566" s="11"/>
      <c r="N566" s="11"/>
      <c r="O566" s="26" t="str">
        <f t="shared" si="15"/>
        <v/>
      </c>
      <c r="P566" s="11"/>
    </row>
    <row r="567" spans="1:16" ht="15" customHeight="1" x14ac:dyDescent="0.25">
      <c r="A567" s="25"/>
      <c r="B567" s="25"/>
      <c r="C567" s="26" t="str">
        <f>IFERROR(IF(OR(A567="",B567=""),"",INDEX(Equipements!$H:$H,MATCH(A567,Equipements!$A:$A,0))&amp;"."&amp;B567),"")</f>
        <v/>
      </c>
      <c r="D567" s="11"/>
      <c r="E567" s="25"/>
      <c r="F567" s="25"/>
      <c r="G567" s="25"/>
      <c r="H567" s="11"/>
      <c r="I567" s="11"/>
      <c r="J567" s="26" t="str">
        <f t="shared" si="14"/>
        <v/>
      </c>
      <c r="K567" s="11"/>
      <c r="L567" s="11"/>
      <c r="M567" s="11"/>
      <c r="N567" s="11"/>
      <c r="O567" s="26" t="str">
        <f t="shared" si="15"/>
        <v/>
      </c>
      <c r="P567" s="11"/>
    </row>
    <row r="568" spans="1:16" ht="15" customHeight="1" x14ac:dyDescent="0.25">
      <c r="A568" s="25"/>
      <c r="B568" s="25"/>
      <c r="C568" s="26" t="str">
        <f>IFERROR(IF(OR(A568="",B568=""),"",INDEX(Equipements!$H:$H,MATCH(A568,Equipements!$A:$A,0))&amp;"."&amp;B568),"")</f>
        <v/>
      </c>
      <c r="D568" s="11"/>
      <c r="E568" s="25"/>
      <c r="F568" s="25"/>
      <c r="G568" s="25"/>
      <c r="H568" s="11"/>
      <c r="I568" s="11"/>
      <c r="J568" s="26" t="str">
        <f t="shared" si="14"/>
        <v/>
      </c>
      <c r="K568" s="11"/>
      <c r="L568" s="11"/>
      <c r="M568" s="11"/>
      <c r="N568" s="11"/>
      <c r="O568" s="26" t="str">
        <f t="shared" si="15"/>
        <v/>
      </c>
      <c r="P568" s="11"/>
    </row>
    <row r="569" spans="1:16" ht="15" customHeight="1" x14ac:dyDescent="0.25">
      <c r="A569" s="25"/>
      <c r="B569" s="25"/>
      <c r="C569" s="26" t="str">
        <f>IFERROR(IF(OR(A569="",B569=""),"",INDEX(Equipements!$H:$H,MATCH(A569,Equipements!$A:$A,0))&amp;"."&amp;B569),"")</f>
        <v/>
      </c>
      <c r="D569" s="11"/>
      <c r="E569" s="25"/>
      <c r="F569" s="25"/>
      <c r="G569" s="25"/>
      <c r="H569" s="11"/>
      <c r="I569" s="11"/>
      <c r="J569" s="26" t="str">
        <f t="shared" si="14"/>
        <v/>
      </c>
      <c r="K569" s="11"/>
      <c r="L569" s="11"/>
      <c r="M569" s="11"/>
      <c r="N569" s="11"/>
      <c r="O569" s="26" t="str">
        <f t="shared" si="15"/>
        <v/>
      </c>
      <c r="P569" s="11"/>
    </row>
    <row r="570" spans="1:16" ht="15" customHeight="1" x14ac:dyDescent="0.25">
      <c r="A570" s="25"/>
      <c r="B570" s="25"/>
      <c r="C570" s="26" t="str">
        <f>IFERROR(IF(OR(A570="",B570=""),"",INDEX(Equipements!$H:$H,MATCH(A570,Equipements!$A:$A,0))&amp;"."&amp;B570),"")</f>
        <v/>
      </c>
      <c r="D570" s="11"/>
      <c r="E570" s="25"/>
      <c r="F570" s="25"/>
      <c r="G570" s="25"/>
      <c r="H570" s="11"/>
      <c r="I570" s="11"/>
      <c r="J570" s="26" t="str">
        <f t="shared" si="14"/>
        <v/>
      </c>
      <c r="K570" s="11"/>
      <c r="L570" s="11"/>
      <c r="M570" s="11"/>
      <c r="N570" s="11"/>
      <c r="O570" s="26" t="str">
        <f t="shared" si="15"/>
        <v/>
      </c>
      <c r="P570" s="11"/>
    </row>
    <row r="571" spans="1:16" ht="15" customHeight="1" x14ac:dyDescent="0.25">
      <c r="A571" s="25"/>
      <c r="B571" s="25"/>
      <c r="C571" s="26" t="str">
        <f>IFERROR(IF(OR(A571="",B571=""),"",INDEX(Equipements!$H:$H,MATCH(A571,Equipements!$A:$A,0))&amp;"."&amp;B571),"")</f>
        <v/>
      </c>
      <c r="D571" s="11"/>
      <c r="E571" s="25"/>
      <c r="F571" s="25"/>
      <c r="G571" s="25"/>
      <c r="H571" s="11"/>
      <c r="I571" s="11"/>
      <c r="J571" s="26" t="str">
        <f t="shared" si="14"/>
        <v/>
      </c>
      <c r="K571" s="11"/>
      <c r="L571" s="11"/>
      <c r="M571" s="11"/>
      <c r="N571" s="11"/>
      <c r="O571" s="26" t="str">
        <f t="shared" si="15"/>
        <v/>
      </c>
      <c r="P571" s="11"/>
    </row>
    <row r="572" spans="1:16" ht="15" customHeight="1" x14ac:dyDescent="0.25">
      <c r="A572" s="25"/>
      <c r="B572" s="25"/>
      <c r="C572" s="26" t="str">
        <f>IFERROR(IF(OR(A572="",B572=""),"",INDEX(Equipements!$H:$H,MATCH(A572,Equipements!$A:$A,0))&amp;"."&amp;B572),"")</f>
        <v/>
      </c>
      <c r="D572" s="11"/>
      <c r="E572" s="25"/>
      <c r="F572" s="25"/>
      <c r="G572" s="25"/>
      <c r="H572" s="11"/>
      <c r="I572" s="11"/>
      <c r="J572" s="26" t="str">
        <f t="shared" si="14"/>
        <v/>
      </c>
      <c r="K572" s="11"/>
      <c r="L572" s="11"/>
      <c r="M572" s="11"/>
      <c r="N572" s="11"/>
      <c r="O572" s="26" t="str">
        <f t="shared" si="15"/>
        <v/>
      </c>
      <c r="P572" s="11"/>
    </row>
    <row r="573" spans="1:16" ht="15" customHeight="1" x14ac:dyDescent="0.25">
      <c r="A573" s="25"/>
      <c r="B573" s="25"/>
      <c r="C573" s="26" t="str">
        <f>IFERROR(IF(OR(A573="",B573=""),"",INDEX(Equipements!$H:$H,MATCH(A573,Equipements!$A:$A,0))&amp;"."&amp;B573),"")</f>
        <v/>
      </c>
      <c r="D573" s="11"/>
      <c r="E573" s="25"/>
      <c r="F573" s="25"/>
      <c r="G573" s="25"/>
      <c r="H573" s="11"/>
      <c r="I573" s="11"/>
      <c r="J573" s="26" t="str">
        <f t="shared" si="14"/>
        <v/>
      </c>
      <c r="K573" s="11"/>
      <c r="L573" s="11"/>
      <c r="M573" s="11"/>
      <c r="N573" s="11"/>
      <c r="O573" s="26" t="str">
        <f t="shared" si="15"/>
        <v/>
      </c>
      <c r="P573" s="11"/>
    </row>
    <row r="574" spans="1:16" ht="15" customHeight="1" x14ac:dyDescent="0.25">
      <c r="A574" s="25"/>
      <c r="B574" s="25"/>
      <c r="C574" s="26" t="str">
        <f>IFERROR(IF(OR(A574="",B574=""),"",INDEX(Equipements!$H:$H,MATCH(A574,Equipements!$A:$A,0))&amp;"."&amp;B574),"")</f>
        <v/>
      </c>
      <c r="D574" s="11"/>
      <c r="E574" s="25"/>
      <c r="F574" s="25"/>
      <c r="G574" s="25"/>
      <c r="H574" s="11"/>
      <c r="I574" s="11"/>
      <c r="J574" s="26" t="str">
        <f t="shared" si="14"/>
        <v/>
      </c>
      <c r="K574" s="11"/>
      <c r="L574" s="11"/>
      <c r="M574" s="11"/>
      <c r="N574" s="11"/>
      <c r="O574" s="26" t="str">
        <f t="shared" si="15"/>
        <v/>
      </c>
      <c r="P574" s="11"/>
    </row>
    <row r="575" spans="1:16" ht="15" customHeight="1" x14ac:dyDescent="0.25">
      <c r="A575" s="25"/>
      <c r="B575" s="25"/>
      <c r="C575" s="26" t="str">
        <f>IFERROR(IF(OR(A575="",B575=""),"",INDEX(Equipements!$H:$H,MATCH(A575,Equipements!$A:$A,0))&amp;"."&amp;B575),"")</f>
        <v/>
      </c>
      <c r="D575" s="11"/>
      <c r="E575" s="25"/>
      <c r="F575" s="25"/>
      <c r="G575" s="25"/>
      <c r="H575" s="11"/>
      <c r="I575" s="11"/>
      <c r="J575" s="26" t="str">
        <f t="shared" si="14"/>
        <v/>
      </c>
      <c r="K575" s="11"/>
      <c r="L575" s="11"/>
      <c r="M575" s="11"/>
      <c r="N575" s="11"/>
      <c r="O575" s="26" t="str">
        <f t="shared" si="15"/>
        <v/>
      </c>
      <c r="P575" s="11"/>
    </row>
    <row r="576" spans="1:16" ht="15" customHeight="1" x14ac:dyDescent="0.25">
      <c r="A576" s="25"/>
      <c r="B576" s="25"/>
      <c r="C576" s="26" t="str">
        <f>IFERROR(IF(OR(A576="",B576=""),"",INDEX(Equipements!$H:$H,MATCH(A576,Equipements!$A:$A,0))&amp;"."&amp;B576),"")</f>
        <v/>
      </c>
      <c r="D576" s="11"/>
      <c r="E576" s="25"/>
      <c r="F576" s="25"/>
      <c r="G576" s="25"/>
      <c r="H576" s="11"/>
      <c r="I576" s="11"/>
      <c r="J576" s="26" t="str">
        <f t="shared" si="14"/>
        <v/>
      </c>
      <c r="K576" s="11"/>
      <c r="L576" s="11"/>
      <c r="M576" s="11"/>
      <c r="N576" s="11"/>
      <c r="O576" s="26" t="str">
        <f t="shared" si="15"/>
        <v/>
      </c>
      <c r="P576" s="11"/>
    </row>
    <row r="577" spans="1:16" ht="15" customHeight="1" x14ac:dyDescent="0.25">
      <c r="A577" s="25"/>
      <c r="B577" s="25"/>
      <c r="C577" s="26" t="str">
        <f>IFERROR(IF(OR(A577="",B577=""),"",INDEX(Equipements!$H:$H,MATCH(A577,Equipements!$A:$A,0))&amp;"."&amp;B577),"")</f>
        <v/>
      </c>
      <c r="D577" s="11"/>
      <c r="E577" s="25"/>
      <c r="F577" s="25"/>
      <c r="G577" s="25"/>
      <c r="H577" s="11"/>
      <c r="I577" s="11"/>
      <c r="J577" s="26" t="str">
        <f t="shared" si="14"/>
        <v/>
      </c>
      <c r="K577" s="11"/>
      <c r="L577" s="11"/>
      <c r="M577" s="11"/>
      <c r="N577" s="11"/>
      <c r="O577" s="26" t="str">
        <f t="shared" si="15"/>
        <v/>
      </c>
      <c r="P577" s="11"/>
    </row>
    <row r="578" spans="1:16" ht="15" customHeight="1" x14ac:dyDescent="0.25">
      <c r="A578" s="25"/>
      <c r="B578" s="25"/>
      <c r="C578" s="26" t="str">
        <f>IFERROR(IF(OR(A578="",B578=""),"",INDEX(Equipements!$H:$H,MATCH(A578,Equipements!$A:$A,0))&amp;"."&amp;B578),"")</f>
        <v/>
      </c>
      <c r="D578" s="11"/>
      <c r="E578" s="25"/>
      <c r="F578" s="25"/>
      <c r="G578" s="25"/>
      <c r="H578" s="11"/>
      <c r="I578" s="11"/>
      <c r="J578" s="26" t="str">
        <f t="shared" si="14"/>
        <v/>
      </c>
      <c r="K578" s="11"/>
      <c r="L578" s="11"/>
      <c r="M578" s="11"/>
      <c r="N578" s="11"/>
      <c r="O578" s="26" t="str">
        <f t="shared" si="15"/>
        <v/>
      </c>
      <c r="P578" s="11"/>
    </row>
    <row r="579" spans="1:16" ht="15" customHeight="1" x14ac:dyDescent="0.25">
      <c r="A579" s="25"/>
      <c r="B579" s="25"/>
      <c r="C579" s="26" t="str">
        <f>IFERROR(IF(OR(A579="",B579=""),"",INDEX(Equipements!$H:$H,MATCH(A579,Equipements!$A:$A,0))&amp;"."&amp;B579),"")</f>
        <v/>
      </c>
      <c r="D579" s="11"/>
      <c r="E579" s="25"/>
      <c r="F579" s="25"/>
      <c r="G579" s="25"/>
      <c r="H579" s="11"/>
      <c r="I579" s="11"/>
      <c r="J579" s="26" t="str">
        <f t="shared" si="14"/>
        <v/>
      </c>
      <c r="K579" s="11"/>
      <c r="L579" s="11"/>
      <c r="M579" s="11"/>
      <c r="N579" s="11"/>
      <c r="O579" s="26" t="str">
        <f t="shared" si="15"/>
        <v/>
      </c>
      <c r="P579" s="11"/>
    </row>
    <row r="580" spans="1:16" ht="15" customHeight="1" x14ac:dyDescent="0.25">
      <c r="A580" s="25"/>
      <c r="B580" s="25"/>
      <c r="C580" s="26" t="str">
        <f>IFERROR(IF(OR(A580="",B580=""),"",INDEX(Equipements!$H:$H,MATCH(A580,Equipements!$A:$A,0))&amp;"."&amp;B580),"")</f>
        <v/>
      </c>
      <c r="D580" s="11"/>
      <c r="E580" s="25"/>
      <c r="F580" s="25"/>
      <c r="G580" s="25"/>
      <c r="H580" s="11"/>
      <c r="I580" s="11"/>
      <c r="J580" s="26" t="str">
        <f t="shared" si="14"/>
        <v/>
      </c>
      <c r="K580" s="11"/>
      <c r="L580" s="11"/>
      <c r="M580" s="11"/>
      <c r="N580" s="11"/>
      <c r="O580" s="26" t="str">
        <f t="shared" si="15"/>
        <v/>
      </c>
      <c r="P580" s="11"/>
    </row>
    <row r="581" spans="1:16" ht="15" customHeight="1" x14ac:dyDescent="0.25">
      <c r="A581" s="25"/>
      <c r="B581" s="25"/>
      <c r="C581" s="26" t="str">
        <f>IFERROR(IF(OR(A581="",B581=""),"",INDEX(Equipements!$H:$H,MATCH(A581,Equipements!$A:$A,0))&amp;"."&amp;B581),"")</f>
        <v/>
      </c>
      <c r="D581" s="11"/>
      <c r="E581" s="25"/>
      <c r="F581" s="25"/>
      <c r="G581" s="25"/>
      <c r="H581" s="11"/>
      <c r="I581" s="11"/>
      <c r="J581" s="26" t="str">
        <f t="shared" si="14"/>
        <v/>
      </c>
      <c r="K581" s="11"/>
      <c r="L581" s="11"/>
      <c r="M581" s="11"/>
      <c r="N581" s="11"/>
      <c r="O581" s="26" t="str">
        <f t="shared" si="15"/>
        <v/>
      </c>
      <c r="P581" s="11"/>
    </row>
    <row r="582" spans="1:16" ht="15" customHeight="1" x14ac:dyDescent="0.25">
      <c r="A582" s="25"/>
      <c r="B582" s="25"/>
      <c r="C582" s="26" t="str">
        <f>IFERROR(IF(OR(A582="",B582=""),"",INDEX(Equipements!$H:$H,MATCH(A582,Equipements!$A:$A,0))&amp;"."&amp;B582),"")</f>
        <v/>
      </c>
      <c r="D582" s="11"/>
      <c r="E582" s="25"/>
      <c r="F582" s="25"/>
      <c r="G582" s="25"/>
      <c r="H582" s="11"/>
      <c r="I582" s="11"/>
      <c r="J582" s="26" t="str">
        <f t="shared" si="14"/>
        <v/>
      </c>
      <c r="K582" s="11"/>
      <c r="L582" s="11"/>
      <c r="M582" s="11"/>
      <c r="N582" s="11"/>
      <c r="O582" s="26" t="str">
        <f t="shared" si="15"/>
        <v/>
      </c>
      <c r="P582" s="11"/>
    </row>
    <row r="583" spans="1:16" ht="15" customHeight="1" x14ac:dyDescent="0.25">
      <c r="A583" s="25"/>
      <c r="B583" s="25"/>
      <c r="C583" s="26" t="str">
        <f>IFERROR(IF(OR(A583="",B583=""),"",INDEX(Equipements!$H:$H,MATCH(A583,Equipements!$A:$A,0))&amp;"."&amp;B583),"")</f>
        <v/>
      </c>
      <c r="D583" s="11"/>
      <c r="E583" s="25"/>
      <c r="F583" s="25"/>
      <c r="G583" s="25"/>
      <c r="H583" s="11"/>
      <c r="I583" s="11"/>
      <c r="J583" s="26" t="str">
        <f t="shared" si="14"/>
        <v/>
      </c>
      <c r="K583" s="11"/>
      <c r="L583" s="11"/>
      <c r="M583" s="11"/>
      <c r="N583" s="11"/>
      <c r="O583" s="26" t="str">
        <f t="shared" si="15"/>
        <v/>
      </c>
      <c r="P583" s="11"/>
    </row>
    <row r="584" spans="1:16" ht="15" customHeight="1" x14ac:dyDescent="0.25">
      <c r="A584" s="25"/>
      <c r="B584" s="25"/>
      <c r="C584" s="26" t="str">
        <f>IFERROR(IF(OR(A584="",B584=""),"",INDEX(Equipements!$H:$H,MATCH(A584,Equipements!$A:$A,0))&amp;"."&amp;B584),"")</f>
        <v/>
      </c>
      <c r="D584" s="11"/>
      <c r="E584" s="25"/>
      <c r="F584" s="25"/>
      <c r="G584" s="25"/>
      <c r="H584" s="11"/>
      <c r="I584" s="11"/>
      <c r="J584" s="26" t="str">
        <f t="shared" si="14"/>
        <v/>
      </c>
      <c r="K584" s="11"/>
      <c r="L584" s="11"/>
      <c r="M584" s="11"/>
      <c r="N584" s="11"/>
      <c r="O584" s="26" t="str">
        <f t="shared" si="15"/>
        <v/>
      </c>
      <c r="P584" s="11"/>
    </row>
    <row r="585" spans="1:16" ht="15" customHeight="1" x14ac:dyDescent="0.25">
      <c r="A585" s="25"/>
      <c r="B585" s="25"/>
      <c r="C585" s="26" t="str">
        <f>IFERROR(IF(OR(A585="",B585=""),"",INDEX(Equipements!$H:$H,MATCH(A585,Equipements!$A:$A,0))&amp;"."&amp;B585),"")</f>
        <v/>
      </c>
      <c r="D585" s="11"/>
      <c r="E585" s="25"/>
      <c r="F585" s="25"/>
      <c r="G585" s="25"/>
      <c r="H585" s="11"/>
      <c r="I585" s="11"/>
      <c r="J585" s="26" t="str">
        <f t="shared" ref="J585:J648" si="16">IF(OR(G585="",H585=""),"","%"&amp;G585&amp;H585)</f>
        <v/>
      </c>
      <c r="K585" s="11"/>
      <c r="L585" s="11"/>
      <c r="M585" s="11"/>
      <c r="N585" s="11"/>
      <c r="O585" s="26" t="str">
        <f t="shared" ref="O585:O648" si="17">IF(H585="","",IF(I585="","mot entier","bit "&amp;I585))</f>
        <v/>
      </c>
      <c r="P585" s="11"/>
    </row>
    <row r="586" spans="1:16" ht="15" customHeight="1" x14ac:dyDescent="0.25">
      <c r="A586" s="25"/>
      <c r="B586" s="25"/>
      <c r="C586" s="26" t="str">
        <f>IFERROR(IF(OR(A586="",B586=""),"",INDEX(Equipements!$H:$H,MATCH(A586,Equipements!$A:$A,0))&amp;"."&amp;B586),"")</f>
        <v/>
      </c>
      <c r="D586" s="11"/>
      <c r="E586" s="25"/>
      <c r="F586" s="25"/>
      <c r="G586" s="25"/>
      <c r="H586" s="11"/>
      <c r="I586" s="11"/>
      <c r="J586" s="26" t="str">
        <f t="shared" si="16"/>
        <v/>
      </c>
      <c r="K586" s="11"/>
      <c r="L586" s="11"/>
      <c r="M586" s="11"/>
      <c r="N586" s="11"/>
      <c r="O586" s="26" t="str">
        <f t="shared" si="17"/>
        <v/>
      </c>
      <c r="P586" s="11"/>
    </row>
    <row r="587" spans="1:16" ht="15" customHeight="1" x14ac:dyDescent="0.25">
      <c r="A587" s="25"/>
      <c r="B587" s="25"/>
      <c r="C587" s="26" t="str">
        <f>IFERROR(IF(OR(A587="",B587=""),"",INDEX(Equipements!$H:$H,MATCH(A587,Equipements!$A:$A,0))&amp;"."&amp;B587),"")</f>
        <v/>
      </c>
      <c r="D587" s="11"/>
      <c r="E587" s="25"/>
      <c r="F587" s="25"/>
      <c r="G587" s="25"/>
      <c r="H587" s="11"/>
      <c r="I587" s="11"/>
      <c r="J587" s="26" t="str">
        <f t="shared" si="16"/>
        <v/>
      </c>
      <c r="K587" s="11"/>
      <c r="L587" s="11"/>
      <c r="M587" s="11"/>
      <c r="N587" s="11"/>
      <c r="O587" s="26" t="str">
        <f t="shared" si="17"/>
        <v/>
      </c>
      <c r="P587" s="11"/>
    </row>
    <row r="588" spans="1:16" ht="15" customHeight="1" x14ac:dyDescent="0.25">
      <c r="A588" s="25"/>
      <c r="B588" s="25"/>
      <c r="C588" s="26" t="str">
        <f>IFERROR(IF(OR(A588="",B588=""),"",INDEX(Equipements!$H:$H,MATCH(A588,Equipements!$A:$A,0))&amp;"."&amp;B588),"")</f>
        <v/>
      </c>
      <c r="D588" s="11"/>
      <c r="E588" s="25"/>
      <c r="F588" s="25"/>
      <c r="G588" s="25"/>
      <c r="H588" s="11"/>
      <c r="I588" s="11"/>
      <c r="J588" s="26" t="str">
        <f t="shared" si="16"/>
        <v/>
      </c>
      <c r="K588" s="11"/>
      <c r="L588" s="11"/>
      <c r="M588" s="11"/>
      <c r="N588" s="11"/>
      <c r="O588" s="26" t="str">
        <f t="shared" si="17"/>
        <v/>
      </c>
      <c r="P588" s="11"/>
    </row>
    <row r="589" spans="1:16" ht="15" customHeight="1" x14ac:dyDescent="0.25">
      <c r="A589" s="25"/>
      <c r="B589" s="25"/>
      <c r="C589" s="26" t="str">
        <f>IFERROR(IF(OR(A589="",B589=""),"",INDEX(Equipements!$H:$H,MATCH(A589,Equipements!$A:$A,0))&amp;"."&amp;B589),"")</f>
        <v/>
      </c>
      <c r="D589" s="11"/>
      <c r="E589" s="25"/>
      <c r="F589" s="25"/>
      <c r="G589" s="25"/>
      <c r="H589" s="11"/>
      <c r="I589" s="11"/>
      <c r="J589" s="26" t="str">
        <f t="shared" si="16"/>
        <v/>
      </c>
      <c r="K589" s="11"/>
      <c r="L589" s="11"/>
      <c r="M589" s="11"/>
      <c r="N589" s="11"/>
      <c r="O589" s="26" t="str">
        <f t="shared" si="17"/>
        <v/>
      </c>
      <c r="P589" s="11"/>
    </row>
    <row r="590" spans="1:16" ht="15" customHeight="1" x14ac:dyDescent="0.25">
      <c r="A590" s="25"/>
      <c r="B590" s="25"/>
      <c r="C590" s="26" t="str">
        <f>IFERROR(IF(OR(A590="",B590=""),"",INDEX(Equipements!$H:$H,MATCH(A590,Equipements!$A:$A,0))&amp;"."&amp;B590),"")</f>
        <v/>
      </c>
      <c r="D590" s="11"/>
      <c r="E590" s="25"/>
      <c r="F590" s="25"/>
      <c r="G590" s="25"/>
      <c r="H590" s="11"/>
      <c r="I590" s="11"/>
      <c r="J590" s="26" t="str">
        <f t="shared" si="16"/>
        <v/>
      </c>
      <c r="K590" s="11"/>
      <c r="L590" s="11"/>
      <c r="M590" s="11"/>
      <c r="N590" s="11"/>
      <c r="O590" s="26" t="str">
        <f t="shared" si="17"/>
        <v/>
      </c>
      <c r="P590" s="11"/>
    </row>
    <row r="591" spans="1:16" ht="15" customHeight="1" x14ac:dyDescent="0.25">
      <c r="A591" s="25"/>
      <c r="B591" s="25"/>
      <c r="C591" s="26" t="str">
        <f>IFERROR(IF(OR(A591="",B591=""),"",INDEX(Equipements!$H:$H,MATCH(A591,Equipements!$A:$A,0))&amp;"."&amp;B591),"")</f>
        <v/>
      </c>
      <c r="D591" s="11"/>
      <c r="E591" s="25"/>
      <c r="F591" s="25"/>
      <c r="G591" s="25"/>
      <c r="H591" s="11"/>
      <c r="I591" s="11"/>
      <c r="J591" s="26" t="str">
        <f t="shared" si="16"/>
        <v/>
      </c>
      <c r="K591" s="11"/>
      <c r="L591" s="11"/>
      <c r="M591" s="11"/>
      <c r="N591" s="11"/>
      <c r="O591" s="26" t="str">
        <f t="shared" si="17"/>
        <v/>
      </c>
      <c r="P591" s="11"/>
    </row>
    <row r="592" spans="1:16" ht="15" customHeight="1" x14ac:dyDescent="0.25">
      <c r="A592" s="25"/>
      <c r="B592" s="25"/>
      <c r="C592" s="26" t="str">
        <f>IFERROR(IF(OR(A592="",B592=""),"",INDEX(Equipements!$H:$H,MATCH(A592,Equipements!$A:$A,0))&amp;"."&amp;B592),"")</f>
        <v/>
      </c>
      <c r="D592" s="11"/>
      <c r="E592" s="25"/>
      <c r="F592" s="25"/>
      <c r="G592" s="25"/>
      <c r="H592" s="11"/>
      <c r="I592" s="11"/>
      <c r="J592" s="26" t="str">
        <f t="shared" si="16"/>
        <v/>
      </c>
      <c r="K592" s="11"/>
      <c r="L592" s="11"/>
      <c r="M592" s="11"/>
      <c r="N592" s="11"/>
      <c r="O592" s="26" t="str">
        <f t="shared" si="17"/>
        <v/>
      </c>
      <c r="P592" s="11"/>
    </row>
    <row r="593" spans="1:16" ht="15" customHeight="1" x14ac:dyDescent="0.25">
      <c r="A593" s="25"/>
      <c r="B593" s="25"/>
      <c r="C593" s="26" t="str">
        <f>IFERROR(IF(OR(A593="",B593=""),"",INDEX(Equipements!$H:$H,MATCH(A593,Equipements!$A:$A,0))&amp;"."&amp;B593),"")</f>
        <v/>
      </c>
      <c r="D593" s="11"/>
      <c r="E593" s="25"/>
      <c r="F593" s="25"/>
      <c r="G593" s="25"/>
      <c r="H593" s="11"/>
      <c r="I593" s="11"/>
      <c r="J593" s="26" t="str">
        <f t="shared" si="16"/>
        <v/>
      </c>
      <c r="K593" s="11"/>
      <c r="L593" s="11"/>
      <c r="M593" s="11"/>
      <c r="N593" s="11"/>
      <c r="O593" s="26" t="str">
        <f t="shared" si="17"/>
        <v/>
      </c>
      <c r="P593" s="11"/>
    </row>
    <row r="594" spans="1:16" ht="15" customHeight="1" x14ac:dyDescent="0.25">
      <c r="A594" s="25"/>
      <c r="B594" s="25"/>
      <c r="C594" s="26" t="str">
        <f>IFERROR(IF(OR(A594="",B594=""),"",INDEX(Equipements!$H:$H,MATCH(A594,Equipements!$A:$A,0))&amp;"."&amp;B594),"")</f>
        <v/>
      </c>
      <c r="D594" s="11"/>
      <c r="E594" s="25"/>
      <c r="F594" s="25"/>
      <c r="G594" s="25"/>
      <c r="H594" s="11"/>
      <c r="I594" s="11"/>
      <c r="J594" s="26" t="str">
        <f t="shared" si="16"/>
        <v/>
      </c>
      <c r="K594" s="11"/>
      <c r="L594" s="11"/>
      <c r="M594" s="11"/>
      <c r="N594" s="11"/>
      <c r="O594" s="26" t="str">
        <f t="shared" si="17"/>
        <v/>
      </c>
      <c r="P594" s="11"/>
    </row>
    <row r="595" spans="1:16" ht="15" customHeight="1" x14ac:dyDescent="0.25">
      <c r="A595" s="25"/>
      <c r="B595" s="25"/>
      <c r="C595" s="26" t="str">
        <f>IFERROR(IF(OR(A595="",B595=""),"",INDEX(Equipements!$H:$H,MATCH(A595,Equipements!$A:$A,0))&amp;"."&amp;B595),"")</f>
        <v/>
      </c>
      <c r="D595" s="11"/>
      <c r="E595" s="25"/>
      <c r="F595" s="25"/>
      <c r="G595" s="25"/>
      <c r="H595" s="11"/>
      <c r="I595" s="11"/>
      <c r="J595" s="26" t="str">
        <f t="shared" si="16"/>
        <v/>
      </c>
      <c r="K595" s="11"/>
      <c r="L595" s="11"/>
      <c r="M595" s="11"/>
      <c r="N595" s="11"/>
      <c r="O595" s="26" t="str">
        <f t="shared" si="17"/>
        <v/>
      </c>
      <c r="P595" s="11"/>
    </row>
    <row r="596" spans="1:16" ht="15" customHeight="1" x14ac:dyDescent="0.25">
      <c r="A596" s="25"/>
      <c r="B596" s="25"/>
      <c r="C596" s="26" t="str">
        <f>IFERROR(IF(OR(A596="",B596=""),"",INDEX(Equipements!$H:$H,MATCH(A596,Equipements!$A:$A,0))&amp;"."&amp;B596),"")</f>
        <v/>
      </c>
      <c r="D596" s="11"/>
      <c r="E596" s="25"/>
      <c r="F596" s="25"/>
      <c r="G596" s="25"/>
      <c r="H596" s="11"/>
      <c r="I596" s="11"/>
      <c r="J596" s="26" t="str">
        <f t="shared" si="16"/>
        <v/>
      </c>
      <c r="K596" s="11"/>
      <c r="L596" s="11"/>
      <c r="M596" s="11"/>
      <c r="N596" s="11"/>
      <c r="O596" s="26" t="str">
        <f t="shared" si="17"/>
        <v/>
      </c>
      <c r="P596" s="11"/>
    </row>
    <row r="597" spans="1:16" ht="15" customHeight="1" x14ac:dyDescent="0.25">
      <c r="A597" s="25"/>
      <c r="B597" s="25"/>
      <c r="C597" s="26" t="str">
        <f>IFERROR(IF(OR(A597="",B597=""),"",INDEX(Equipements!$H:$H,MATCH(A597,Equipements!$A:$A,0))&amp;"."&amp;B597),"")</f>
        <v/>
      </c>
      <c r="D597" s="11"/>
      <c r="E597" s="25"/>
      <c r="F597" s="25"/>
      <c r="G597" s="25"/>
      <c r="H597" s="11"/>
      <c r="I597" s="11"/>
      <c r="J597" s="26" t="str">
        <f t="shared" si="16"/>
        <v/>
      </c>
      <c r="K597" s="11"/>
      <c r="L597" s="11"/>
      <c r="M597" s="11"/>
      <c r="N597" s="11"/>
      <c r="O597" s="26" t="str">
        <f t="shared" si="17"/>
        <v/>
      </c>
      <c r="P597" s="11"/>
    </row>
    <row r="598" spans="1:16" ht="15" customHeight="1" x14ac:dyDescent="0.25">
      <c r="A598" s="25"/>
      <c r="B598" s="25"/>
      <c r="C598" s="26" t="str">
        <f>IFERROR(IF(OR(A598="",B598=""),"",INDEX(Equipements!$H:$H,MATCH(A598,Equipements!$A:$A,0))&amp;"."&amp;B598),"")</f>
        <v/>
      </c>
      <c r="D598" s="11"/>
      <c r="E598" s="25"/>
      <c r="F598" s="25"/>
      <c r="G598" s="25"/>
      <c r="H598" s="11"/>
      <c r="I598" s="11"/>
      <c r="J598" s="26" t="str">
        <f t="shared" si="16"/>
        <v/>
      </c>
      <c r="K598" s="11"/>
      <c r="L598" s="11"/>
      <c r="M598" s="11"/>
      <c r="N598" s="11"/>
      <c r="O598" s="26" t="str">
        <f t="shared" si="17"/>
        <v/>
      </c>
      <c r="P598" s="11"/>
    </row>
    <row r="599" spans="1:16" ht="15" customHeight="1" x14ac:dyDescent="0.25">
      <c r="A599" s="25"/>
      <c r="B599" s="25"/>
      <c r="C599" s="26" t="str">
        <f>IFERROR(IF(OR(A599="",B599=""),"",INDEX(Equipements!$H:$H,MATCH(A599,Equipements!$A:$A,0))&amp;"."&amp;B599),"")</f>
        <v/>
      </c>
      <c r="D599" s="11"/>
      <c r="E599" s="25"/>
      <c r="F599" s="25"/>
      <c r="G599" s="25"/>
      <c r="H599" s="11"/>
      <c r="I599" s="11"/>
      <c r="J599" s="26" t="str">
        <f t="shared" si="16"/>
        <v/>
      </c>
      <c r="K599" s="11"/>
      <c r="L599" s="11"/>
      <c r="M599" s="11"/>
      <c r="N599" s="11"/>
      <c r="O599" s="26" t="str">
        <f t="shared" si="17"/>
        <v/>
      </c>
      <c r="P599" s="11"/>
    </row>
    <row r="600" spans="1:16" ht="15" customHeight="1" x14ac:dyDescent="0.25">
      <c r="A600" s="25"/>
      <c r="B600" s="25"/>
      <c r="C600" s="26" t="str">
        <f>IFERROR(IF(OR(A600="",B600=""),"",INDEX(Equipements!$H:$H,MATCH(A600,Equipements!$A:$A,0))&amp;"."&amp;B600),"")</f>
        <v/>
      </c>
      <c r="D600" s="11"/>
      <c r="E600" s="25"/>
      <c r="F600" s="25"/>
      <c r="G600" s="25"/>
      <c r="H600" s="11"/>
      <c r="I600" s="11"/>
      <c r="J600" s="26" t="str">
        <f t="shared" si="16"/>
        <v/>
      </c>
      <c r="K600" s="11"/>
      <c r="L600" s="11"/>
      <c r="M600" s="11"/>
      <c r="N600" s="11"/>
      <c r="O600" s="26" t="str">
        <f t="shared" si="17"/>
        <v/>
      </c>
      <c r="P600" s="11"/>
    </row>
    <row r="601" spans="1:16" ht="15" customHeight="1" x14ac:dyDescent="0.25">
      <c r="A601" s="25"/>
      <c r="B601" s="25"/>
      <c r="C601" s="26" t="str">
        <f>IFERROR(IF(OR(A601="",B601=""),"",INDEX(Equipements!$H:$H,MATCH(A601,Equipements!$A:$A,0))&amp;"."&amp;B601),"")</f>
        <v/>
      </c>
      <c r="D601" s="11"/>
      <c r="E601" s="25"/>
      <c r="F601" s="25"/>
      <c r="G601" s="25"/>
      <c r="H601" s="11"/>
      <c r="I601" s="11"/>
      <c r="J601" s="26" t="str">
        <f t="shared" si="16"/>
        <v/>
      </c>
      <c r="K601" s="11"/>
      <c r="L601" s="11"/>
      <c r="M601" s="11"/>
      <c r="N601" s="11"/>
      <c r="O601" s="26" t="str">
        <f t="shared" si="17"/>
        <v/>
      </c>
      <c r="P601" s="11"/>
    </row>
    <row r="602" spans="1:16" ht="15" customHeight="1" x14ac:dyDescent="0.25">
      <c r="A602" s="25"/>
      <c r="B602" s="25"/>
      <c r="C602" s="26" t="str">
        <f>IFERROR(IF(OR(A602="",B602=""),"",INDEX(Equipements!$H:$H,MATCH(A602,Equipements!$A:$A,0))&amp;"."&amp;B602),"")</f>
        <v/>
      </c>
      <c r="D602" s="11"/>
      <c r="E602" s="25"/>
      <c r="F602" s="25"/>
      <c r="G602" s="25"/>
      <c r="H602" s="11"/>
      <c r="I602" s="11"/>
      <c r="J602" s="26" t="str">
        <f t="shared" si="16"/>
        <v/>
      </c>
      <c r="K602" s="11"/>
      <c r="L602" s="11"/>
      <c r="M602" s="11"/>
      <c r="N602" s="11"/>
      <c r="O602" s="26" t="str">
        <f t="shared" si="17"/>
        <v/>
      </c>
      <c r="P602" s="11"/>
    </row>
    <row r="603" spans="1:16" ht="15" customHeight="1" x14ac:dyDescent="0.25">
      <c r="A603" s="25"/>
      <c r="B603" s="25"/>
      <c r="C603" s="26" t="str">
        <f>IFERROR(IF(OR(A603="",B603=""),"",INDEX(Equipements!$H:$H,MATCH(A603,Equipements!$A:$A,0))&amp;"."&amp;B603),"")</f>
        <v/>
      </c>
      <c r="D603" s="11"/>
      <c r="E603" s="25"/>
      <c r="F603" s="25"/>
      <c r="G603" s="25"/>
      <c r="H603" s="11"/>
      <c r="I603" s="11"/>
      <c r="J603" s="26" t="str">
        <f t="shared" si="16"/>
        <v/>
      </c>
      <c r="K603" s="11"/>
      <c r="L603" s="11"/>
      <c r="M603" s="11"/>
      <c r="N603" s="11"/>
      <c r="O603" s="26" t="str">
        <f t="shared" si="17"/>
        <v/>
      </c>
      <c r="P603" s="11"/>
    </row>
    <row r="604" spans="1:16" ht="15" customHeight="1" x14ac:dyDescent="0.25">
      <c r="A604" s="25"/>
      <c r="B604" s="25"/>
      <c r="C604" s="26" t="str">
        <f>IFERROR(IF(OR(A604="",B604=""),"",INDEX(Equipements!$H:$H,MATCH(A604,Equipements!$A:$A,0))&amp;"."&amp;B604),"")</f>
        <v/>
      </c>
      <c r="D604" s="11"/>
      <c r="E604" s="25"/>
      <c r="F604" s="25"/>
      <c r="G604" s="25"/>
      <c r="H604" s="11"/>
      <c r="I604" s="11"/>
      <c r="J604" s="26" t="str">
        <f t="shared" si="16"/>
        <v/>
      </c>
      <c r="K604" s="11"/>
      <c r="L604" s="11"/>
      <c r="M604" s="11"/>
      <c r="N604" s="11"/>
      <c r="O604" s="26" t="str">
        <f t="shared" si="17"/>
        <v/>
      </c>
      <c r="P604" s="11"/>
    </row>
    <row r="605" spans="1:16" ht="15" customHeight="1" x14ac:dyDescent="0.25">
      <c r="A605" s="25"/>
      <c r="B605" s="25"/>
      <c r="C605" s="26" t="str">
        <f>IFERROR(IF(OR(A605="",B605=""),"",INDEX(Equipements!$H:$H,MATCH(A605,Equipements!$A:$A,0))&amp;"."&amp;B605),"")</f>
        <v/>
      </c>
      <c r="D605" s="11"/>
      <c r="E605" s="25"/>
      <c r="F605" s="25"/>
      <c r="G605" s="25"/>
      <c r="H605" s="11"/>
      <c r="I605" s="11"/>
      <c r="J605" s="26" t="str">
        <f t="shared" si="16"/>
        <v/>
      </c>
      <c r="K605" s="11"/>
      <c r="L605" s="11"/>
      <c r="M605" s="11"/>
      <c r="N605" s="11"/>
      <c r="O605" s="26" t="str">
        <f t="shared" si="17"/>
        <v/>
      </c>
      <c r="P605" s="11"/>
    </row>
    <row r="606" spans="1:16" ht="15" customHeight="1" x14ac:dyDescent="0.25">
      <c r="A606" s="25"/>
      <c r="B606" s="25"/>
      <c r="C606" s="26" t="str">
        <f>IFERROR(IF(OR(A606="",B606=""),"",INDEX(Equipements!$H:$H,MATCH(A606,Equipements!$A:$A,0))&amp;"."&amp;B606),"")</f>
        <v/>
      </c>
      <c r="D606" s="11"/>
      <c r="E606" s="25"/>
      <c r="F606" s="25"/>
      <c r="G606" s="25"/>
      <c r="H606" s="11"/>
      <c r="I606" s="11"/>
      <c r="J606" s="26" t="str">
        <f t="shared" si="16"/>
        <v/>
      </c>
      <c r="K606" s="11"/>
      <c r="L606" s="11"/>
      <c r="M606" s="11"/>
      <c r="N606" s="11"/>
      <c r="O606" s="26" t="str">
        <f t="shared" si="17"/>
        <v/>
      </c>
      <c r="P606" s="11"/>
    </row>
    <row r="607" spans="1:16" ht="15" customHeight="1" x14ac:dyDescent="0.25">
      <c r="A607" s="25"/>
      <c r="B607" s="25"/>
      <c r="C607" s="26" t="str">
        <f>IFERROR(IF(OR(A607="",B607=""),"",INDEX(Equipements!$H:$H,MATCH(A607,Equipements!$A:$A,0))&amp;"."&amp;B607),"")</f>
        <v/>
      </c>
      <c r="D607" s="11"/>
      <c r="E607" s="25"/>
      <c r="F607" s="25"/>
      <c r="G607" s="25"/>
      <c r="H607" s="11"/>
      <c r="I607" s="11"/>
      <c r="J607" s="26" t="str">
        <f t="shared" si="16"/>
        <v/>
      </c>
      <c r="K607" s="11"/>
      <c r="L607" s="11"/>
      <c r="M607" s="11"/>
      <c r="N607" s="11"/>
      <c r="O607" s="26" t="str">
        <f t="shared" si="17"/>
        <v/>
      </c>
      <c r="P607" s="11"/>
    </row>
    <row r="608" spans="1:16" ht="15" customHeight="1" x14ac:dyDescent="0.25">
      <c r="A608" s="25"/>
      <c r="B608" s="25"/>
      <c r="C608" s="26" t="str">
        <f>IFERROR(IF(OR(A608="",B608=""),"",INDEX(Equipements!$H:$H,MATCH(A608,Equipements!$A:$A,0))&amp;"."&amp;B608),"")</f>
        <v/>
      </c>
      <c r="D608" s="11"/>
      <c r="E608" s="25"/>
      <c r="F608" s="25"/>
      <c r="G608" s="25"/>
      <c r="H608" s="11"/>
      <c r="I608" s="11"/>
      <c r="J608" s="26" t="str">
        <f t="shared" si="16"/>
        <v/>
      </c>
      <c r="K608" s="11"/>
      <c r="L608" s="11"/>
      <c r="M608" s="11"/>
      <c r="N608" s="11"/>
      <c r="O608" s="26" t="str">
        <f t="shared" si="17"/>
        <v/>
      </c>
      <c r="P608" s="11"/>
    </row>
    <row r="609" spans="1:16" ht="15" customHeight="1" x14ac:dyDescent="0.25">
      <c r="A609" s="25"/>
      <c r="B609" s="25"/>
      <c r="C609" s="26" t="str">
        <f>IFERROR(IF(OR(A609="",B609=""),"",INDEX(Equipements!$H:$H,MATCH(A609,Equipements!$A:$A,0))&amp;"."&amp;B609),"")</f>
        <v/>
      </c>
      <c r="D609" s="11"/>
      <c r="E609" s="25"/>
      <c r="F609" s="25"/>
      <c r="G609" s="25"/>
      <c r="H609" s="11"/>
      <c r="I609" s="11"/>
      <c r="J609" s="26" t="str">
        <f t="shared" si="16"/>
        <v/>
      </c>
      <c r="K609" s="11"/>
      <c r="L609" s="11"/>
      <c r="M609" s="11"/>
      <c r="N609" s="11"/>
      <c r="O609" s="26" t="str">
        <f t="shared" si="17"/>
        <v/>
      </c>
      <c r="P609" s="11"/>
    </row>
    <row r="610" spans="1:16" ht="15" customHeight="1" x14ac:dyDescent="0.25">
      <c r="A610" s="25"/>
      <c r="B610" s="25"/>
      <c r="C610" s="26" t="str">
        <f>IFERROR(IF(OR(A610="",B610=""),"",INDEX(Equipements!$H:$H,MATCH(A610,Equipements!$A:$A,0))&amp;"."&amp;B610),"")</f>
        <v/>
      </c>
      <c r="D610" s="11"/>
      <c r="E610" s="25"/>
      <c r="F610" s="25"/>
      <c r="G610" s="25"/>
      <c r="H610" s="11"/>
      <c r="I610" s="11"/>
      <c r="J610" s="26" t="str">
        <f t="shared" si="16"/>
        <v/>
      </c>
      <c r="K610" s="11"/>
      <c r="L610" s="11"/>
      <c r="M610" s="11"/>
      <c r="N610" s="11"/>
      <c r="O610" s="26" t="str">
        <f t="shared" si="17"/>
        <v/>
      </c>
      <c r="P610" s="11"/>
    </row>
    <row r="611" spans="1:16" ht="15" customHeight="1" x14ac:dyDescent="0.25">
      <c r="A611" s="25"/>
      <c r="B611" s="25"/>
      <c r="C611" s="26" t="str">
        <f>IFERROR(IF(OR(A611="",B611=""),"",INDEX(Equipements!$H:$H,MATCH(A611,Equipements!$A:$A,0))&amp;"."&amp;B611),"")</f>
        <v/>
      </c>
      <c r="D611" s="11"/>
      <c r="E611" s="25"/>
      <c r="F611" s="25"/>
      <c r="G611" s="25"/>
      <c r="H611" s="11"/>
      <c r="I611" s="11"/>
      <c r="J611" s="26" t="str">
        <f t="shared" si="16"/>
        <v/>
      </c>
      <c r="K611" s="11"/>
      <c r="L611" s="11"/>
      <c r="M611" s="11"/>
      <c r="N611" s="11"/>
      <c r="O611" s="26" t="str">
        <f t="shared" si="17"/>
        <v/>
      </c>
      <c r="P611" s="11"/>
    </row>
    <row r="612" spans="1:16" ht="15" customHeight="1" x14ac:dyDescent="0.25">
      <c r="A612" s="25"/>
      <c r="B612" s="25"/>
      <c r="C612" s="26" t="str">
        <f>IFERROR(IF(OR(A612="",B612=""),"",INDEX(Equipements!$H:$H,MATCH(A612,Equipements!$A:$A,0))&amp;"."&amp;B612),"")</f>
        <v/>
      </c>
      <c r="D612" s="11"/>
      <c r="E612" s="25"/>
      <c r="F612" s="25"/>
      <c r="G612" s="25"/>
      <c r="H612" s="11"/>
      <c r="I612" s="11"/>
      <c r="J612" s="26" t="str">
        <f t="shared" si="16"/>
        <v/>
      </c>
      <c r="K612" s="11"/>
      <c r="L612" s="11"/>
      <c r="M612" s="11"/>
      <c r="N612" s="11"/>
      <c r="O612" s="26" t="str">
        <f t="shared" si="17"/>
        <v/>
      </c>
      <c r="P612" s="11"/>
    </row>
    <row r="613" spans="1:16" ht="15" customHeight="1" x14ac:dyDescent="0.25">
      <c r="A613" s="25"/>
      <c r="B613" s="25"/>
      <c r="C613" s="26" t="str">
        <f>IFERROR(IF(OR(A613="",B613=""),"",INDEX(Equipements!$H:$H,MATCH(A613,Equipements!$A:$A,0))&amp;"."&amp;B613),"")</f>
        <v/>
      </c>
      <c r="D613" s="11"/>
      <c r="E613" s="25"/>
      <c r="F613" s="25"/>
      <c r="G613" s="25"/>
      <c r="H613" s="11"/>
      <c r="I613" s="11"/>
      <c r="J613" s="26" t="str">
        <f t="shared" si="16"/>
        <v/>
      </c>
      <c r="K613" s="11"/>
      <c r="L613" s="11"/>
      <c r="M613" s="11"/>
      <c r="N613" s="11"/>
      <c r="O613" s="26" t="str">
        <f t="shared" si="17"/>
        <v/>
      </c>
      <c r="P613" s="11"/>
    </row>
    <row r="614" spans="1:16" ht="15" customHeight="1" x14ac:dyDescent="0.25">
      <c r="A614" s="25"/>
      <c r="B614" s="25"/>
      <c r="C614" s="26" t="str">
        <f>IFERROR(IF(OR(A614="",B614=""),"",INDEX(Equipements!$H:$H,MATCH(A614,Equipements!$A:$A,0))&amp;"."&amp;B614),"")</f>
        <v/>
      </c>
      <c r="D614" s="11"/>
      <c r="E614" s="25"/>
      <c r="F614" s="25"/>
      <c r="G614" s="25"/>
      <c r="H614" s="11"/>
      <c r="I614" s="11"/>
      <c r="J614" s="26" t="str">
        <f t="shared" si="16"/>
        <v/>
      </c>
      <c r="K614" s="11"/>
      <c r="L614" s="11"/>
      <c r="M614" s="11"/>
      <c r="N614" s="11"/>
      <c r="O614" s="26" t="str">
        <f t="shared" si="17"/>
        <v/>
      </c>
      <c r="P614" s="11"/>
    </row>
    <row r="615" spans="1:16" ht="15" customHeight="1" x14ac:dyDescent="0.25">
      <c r="A615" s="25"/>
      <c r="B615" s="25"/>
      <c r="C615" s="26" t="str">
        <f>IFERROR(IF(OR(A615="",B615=""),"",INDEX(Equipements!$H:$H,MATCH(A615,Equipements!$A:$A,0))&amp;"."&amp;B615),"")</f>
        <v/>
      </c>
      <c r="D615" s="11"/>
      <c r="E615" s="25"/>
      <c r="F615" s="25"/>
      <c r="G615" s="25"/>
      <c r="H615" s="11"/>
      <c r="I615" s="11"/>
      <c r="J615" s="26" t="str">
        <f t="shared" si="16"/>
        <v/>
      </c>
      <c r="K615" s="11"/>
      <c r="L615" s="11"/>
      <c r="M615" s="11"/>
      <c r="N615" s="11"/>
      <c r="O615" s="26" t="str">
        <f t="shared" si="17"/>
        <v/>
      </c>
      <c r="P615" s="11"/>
    </row>
    <row r="616" spans="1:16" ht="15" customHeight="1" x14ac:dyDescent="0.25">
      <c r="A616" s="25"/>
      <c r="B616" s="25"/>
      <c r="C616" s="26" t="str">
        <f>IFERROR(IF(OR(A616="",B616=""),"",INDEX(Equipements!$H:$H,MATCH(A616,Equipements!$A:$A,0))&amp;"."&amp;B616),"")</f>
        <v/>
      </c>
      <c r="D616" s="11"/>
      <c r="E616" s="25"/>
      <c r="F616" s="25"/>
      <c r="G616" s="25"/>
      <c r="H616" s="11"/>
      <c r="I616" s="11"/>
      <c r="J616" s="26" t="str">
        <f t="shared" si="16"/>
        <v/>
      </c>
      <c r="K616" s="11"/>
      <c r="L616" s="11"/>
      <c r="M616" s="11"/>
      <c r="N616" s="11"/>
      <c r="O616" s="26" t="str">
        <f t="shared" si="17"/>
        <v/>
      </c>
      <c r="P616" s="11"/>
    </row>
    <row r="617" spans="1:16" ht="15" customHeight="1" x14ac:dyDescent="0.25">
      <c r="A617" s="25"/>
      <c r="B617" s="25"/>
      <c r="C617" s="26" t="str">
        <f>IFERROR(IF(OR(A617="",B617=""),"",INDEX(Equipements!$H:$H,MATCH(A617,Equipements!$A:$A,0))&amp;"."&amp;B617),"")</f>
        <v/>
      </c>
      <c r="D617" s="11"/>
      <c r="E617" s="25"/>
      <c r="F617" s="25"/>
      <c r="G617" s="25"/>
      <c r="H617" s="11"/>
      <c r="I617" s="11"/>
      <c r="J617" s="26" t="str">
        <f t="shared" si="16"/>
        <v/>
      </c>
      <c r="K617" s="11"/>
      <c r="L617" s="11"/>
      <c r="M617" s="11"/>
      <c r="N617" s="11"/>
      <c r="O617" s="26" t="str">
        <f t="shared" si="17"/>
        <v/>
      </c>
      <c r="P617" s="11"/>
    </row>
    <row r="618" spans="1:16" ht="15" customHeight="1" x14ac:dyDescent="0.25">
      <c r="A618" s="25"/>
      <c r="B618" s="25"/>
      <c r="C618" s="26" t="str">
        <f>IFERROR(IF(OR(A618="",B618=""),"",INDEX(Equipements!$H:$H,MATCH(A618,Equipements!$A:$A,0))&amp;"."&amp;B618),"")</f>
        <v/>
      </c>
      <c r="D618" s="11"/>
      <c r="E618" s="25"/>
      <c r="F618" s="25"/>
      <c r="G618" s="25"/>
      <c r="H618" s="11"/>
      <c r="I618" s="11"/>
      <c r="J618" s="26" t="str">
        <f t="shared" si="16"/>
        <v/>
      </c>
      <c r="K618" s="11"/>
      <c r="L618" s="11"/>
      <c r="M618" s="11"/>
      <c r="N618" s="11"/>
      <c r="O618" s="26" t="str">
        <f t="shared" si="17"/>
        <v/>
      </c>
      <c r="P618" s="11"/>
    </row>
    <row r="619" spans="1:16" ht="15" customHeight="1" x14ac:dyDescent="0.25">
      <c r="A619" s="25"/>
      <c r="B619" s="25"/>
      <c r="C619" s="26" t="str">
        <f>IFERROR(IF(OR(A619="",B619=""),"",INDEX(Equipements!$H:$H,MATCH(A619,Equipements!$A:$A,0))&amp;"."&amp;B619),"")</f>
        <v/>
      </c>
      <c r="D619" s="11"/>
      <c r="E619" s="25"/>
      <c r="F619" s="25"/>
      <c r="G619" s="25"/>
      <c r="H619" s="11"/>
      <c r="I619" s="11"/>
      <c r="J619" s="26" t="str">
        <f t="shared" si="16"/>
        <v/>
      </c>
      <c r="K619" s="11"/>
      <c r="L619" s="11"/>
      <c r="M619" s="11"/>
      <c r="N619" s="11"/>
      <c r="O619" s="26" t="str">
        <f t="shared" si="17"/>
        <v/>
      </c>
      <c r="P619" s="11"/>
    </row>
    <row r="620" spans="1:16" ht="15" customHeight="1" x14ac:dyDescent="0.25">
      <c r="A620" s="25"/>
      <c r="B620" s="25"/>
      <c r="C620" s="26" t="str">
        <f>IFERROR(IF(OR(A620="",B620=""),"",INDEX(Equipements!$H:$H,MATCH(A620,Equipements!$A:$A,0))&amp;"."&amp;B620),"")</f>
        <v/>
      </c>
      <c r="D620" s="11"/>
      <c r="E620" s="25"/>
      <c r="F620" s="25"/>
      <c r="G620" s="25"/>
      <c r="H620" s="11"/>
      <c r="I620" s="11"/>
      <c r="J620" s="26" t="str">
        <f t="shared" si="16"/>
        <v/>
      </c>
      <c r="K620" s="11"/>
      <c r="L620" s="11"/>
      <c r="M620" s="11"/>
      <c r="N620" s="11"/>
      <c r="O620" s="26" t="str">
        <f t="shared" si="17"/>
        <v/>
      </c>
      <c r="P620" s="11"/>
    </row>
    <row r="621" spans="1:16" ht="15" customHeight="1" x14ac:dyDescent="0.25">
      <c r="A621" s="25"/>
      <c r="B621" s="25"/>
      <c r="C621" s="26" t="str">
        <f>IFERROR(IF(OR(A621="",B621=""),"",INDEX(Equipements!$H:$H,MATCH(A621,Equipements!$A:$A,0))&amp;"."&amp;B621),"")</f>
        <v/>
      </c>
      <c r="D621" s="11"/>
      <c r="E621" s="25"/>
      <c r="F621" s="25"/>
      <c r="G621" s="25"/>
      <c r="H621" s="11"/>
      <c r="I621" s="11"/>
      <c r="J621" s="26" t="str">
        <f t="shared" si="16"/>
        <v/>
      </c>
      <c r="K621" s="11"/>
      <c r="L621" s="11"/>
      <c r="M621" s="11"/>
      <c r="N621" s="11"/>
      <c r="O621" s="26" t="str">
        <f t="shared" si="17"/>
        <v/>
      </c>
      <c r="P621" s="11"/>
    </row>
    <row r="622" spans="1:16" ht="15" customHeight="1" x14ac:dyDescent="0.25">
      <c r="A622" s="25"/>
      <c r="B622" s="25"/>
      <c r="C622" s="26" t="str">
        <f>IFERROR(IF(OR(A622="",B622=""),"",INDEX(Equipements!$H:$H,MATCH(A622,Equipements!$A:$A,0))&amp;"."&amp;B622),"")</f>
        <v/>
      </c>
      <c r="D622" s="11"/>
      <c r="E622" s="25"/>
      <c r="F622" s="25"/>
      <c r="G622" s="25"/>
      <c r="H622" s="11"/>
      <c r="I622" s="11"/>
      <c r="J622" s="26" t="str">
        <f t="shared" si="16"/>
        <v/>
      </c>
      <c r="K622" s="11"/>
      <c r="L622" s="11"/>
      <c r="M622" s="11"/>
      <c r="N622" s="11"/>
      <c r="O622" s="26" t="str">
        <f t="shared" si="17"/>
        <v/>
      </c>
      <c r="P622" s="11"/>
    </row>
    <row r="623" spans="1:16" ht="15" customHeight="1" x14ac:dyDescent="0.25">
      <c r="A623" s="25"/>
      <c r="B623" s="25"/>
      <c r="C623" s="26" t="str">
        <f>IFERROR(IF(OR(A623="",B623=""),"",INDEX(Equipements!$H:$H,MATCH(A623,Equipements!$A:$A,0))&amp;"."&amp;B623),"")</f>
        <v/>
      </c>
      <c r="D623" s="11"/>
      <c r="E623" s="25"/>
      <c r="F623" s="25"/>
      <c r="G623" s="25"/>
      <c r="H623" s="11"/>
      <c r="I623" s="11"/>
      <c r="J623" s="26" t="str">
        <f t="shared" si="16"/>
        <v/>
      </c>
      <c r="K623" s="11"/>
      <c r="L623" s="11"/>
      <c r="M623" s="11"/>
      <c r="N623" s="11"/>
      <c r="O623" s="26" t="str">
        <f t="shared" si="17"/>
        <v/>
      </c>
      <c r="P623" s="11"/>
    </row>
    <row r="624" spans="1:16" ht="15" customHeight="1" x14ac:dyDescent="0.25">
      <c r="A624" s="25"/>
      <c r="B624" s="25"/>
      <c r="C624" s="26" t="str">
        <f>IFERROR(IF(OR(A624="",B624=""),"",INDEX(Equipements!$H:$H,MATCH(A624,Equipements!$A:$A,0))&amp;"."&amp;B624),"")</f>
        <v/>
      </c>
      <c r="D624" s="11"/>
      <c r="E624" s="25"/>
      <c r="F624" s="25"/>
      <c r="G624" s="25"/>
      <c r="H624" s="11"/>
      <c r="I624" s="11"/>
      <c r="J624" s="26" t="str">
        <f t="shared" si="16"/>
        <v/>
      </c>
      <c r="K624" s="11"/>
      <c r="L624" s="11"/>
      <c r="M624" s="11"/>
      <c r="N624" s="11"/>
      <c r="O624" s="26" t="str">
        <f t="shared" si="17"/>
        <v/>
      </c>
      <c r="P624" s="11"/>
    </row>
    <row r="625" spans="1:16" ht="15" customHeight="1" x14ac:dyDescent="0.25">
      <c r="A625" s="25"/>
      <c r="B625" s="25"/>
      <c r="C625" s="26" t="str">
        <f>IFERROR(IF(OR(A625="",B625=""),"",INDEX(Equipements!$H:$H,MATCH(A625,Equipements!$A:$A,0))&amp;"."&amp;B625),"")</f>
        <v/>
      </c>
      <c r="D625" s="11"/>
      <c r="E625" s="25"/>
      <c r="F625" s="25"/>
      <c r="G625" s="25"/>
      <c r="H625" s="11"/>
      <c r="I625" s="11"/>
      <c r="J625" s="26" t="str">
        <f t="shared" si="16"/>
        <v/>
      </c>
      <c r="K625" s="11"/>
      <c r="L625" s="11"/>
      <c r="M625" s="11"/>
      <c r="N625" s="11"/>
      <c r="O625" s="26" t="str">
        <f t="shared" si="17"/>
        <v/>
      </c>
      <c r="P625" s="11"/>
    </row>
    <row r="626" spans="1:16" ht="15" customHeight="1" x14ac:dyDescent="0.25">
      <c r="A626" s="25"/>
      <c r="B626" s="25"/>
      <c r="C626" s="26" t="str">
        <f>IFERROR(IF(OR(A626="",B626=""),"",INDEX(Equipements!$H:$H,MATCH(A626,Equipements!$A:$A,0))&amp;"."&amp;B626),"")</f>
        <v/>
      </c>
      <c r="D626" s="11"/>
      <c r="E626" s="25"/>
      <c r="F626" s="25"/>
      <c r="G626" s="25"/>
      <c r="H626" s="11"/>
      <c r="I626" s="11"/>
      <c r="J626" s="26" t="str">
        <f t="shared" si="16"/>
        <v/>
      </c>
      <c r="K626" s="11"/>
      <c r="L626" s="11"/>
      <c r="M626" s="11"/>
      <c r="N626" s="11"/>
      <c r="O626" s="26" t="str">
        <f t="shared" si="17"/>
        <v/>
      </c>
      <c r="P626" s="11"/>
    </row>
    <row r="627" spans="1:16" ht="15" customHeight="1" x14ac:dyDescent="0.25">
      <c r="A627" s="25"/>
      <c r="B627" s="25"/>
      <c r="C627" s="26" t="str">
        <f>IFERROR(IF(OR(A627="",B627=""),"",INDEX(Equipements!$H:$H,MATCH(A627,Equipements!$A:$A,0))&amp;"."&amp;B627),"")</f>
        <v/>
      </c>
      <c r="D627" s="11"/>
      <c r="E627" s="25"/>
      <c r="F627" s="25"/>
      <c r="G627" s="25"/>
      <c r="H627" s="11"/>
      <c r="I627" s="11"/>
      <c r="J627" s="26" t="str">
        <f t="shared" si="16"/>
        <v/>
      </c>
      <c r="K627" s="11"/>
      <c r="L627" s="11"/>
      <c r="M627" s="11"/>
      <c r="N627" s="11"/>
      <c r="O627" s="26" t="str">
        <f t="shared" si="17"/>
        <v/>
      </c>
      <c r="P627" s="11"/>
    </row>
    <row r="628" spans="1:16" ht="15" customHeight="1" x14ac:dyDescent="0.25">
      <c r="A628" s="25"/>
      <c r="B628" s="25"/>
      <c r="C628" s="26" t="str">
        <f>IFERROR(IF(OR(A628="",B628=""),"",INDEX(Equipements!$H:$H,MATCH(A628,Equipements!$A:$A,0))&amp;"."&amp;B628),"")</f>
        <v/>
      </c>
      <c r="D628" s="11"/>
      <c r="E628" s="25"/>
      <c r="F628" s="25"/>
      <c r="G628" s="25"/>
      <c r="H628" s="11"/>
      <c r="I628" s="11"/>
      <c r="J628" s="26" t="str">
        <f t="shared" si="16"/>
        <v/>
      </c>
      <c r="K628" s="11"/>
      <c r="L628" s="11"/>
      <c r="M628" s="11"/>
      <c r="N628" s="11"/>
      <c r="O628" s="26" t="str">
        <f t="shared" si="17"/>
        <v/>
      </c>
      <c r="P628" s="11"/>
    </row>
    <row r="629" spans="1:16" ht="15" customHeight="1" x14ac:dyDescent="0.25">
      <c r="A629" s="25"/>
      <c r="B629" s="25"/>
      <c r="C629" s="26" t="str">
        <f>IFERROR(IF(OR(A629="",B629=""),"",INDEX(Equipements!$H:$H,MATCH(A629,Equipements!$A:$A,0))&amp;"."&amp;B629),"")</f>
        <v/>
      </c>
      <c r="D629" s="11"/>
      <c r="E629" s="25"/>
      <c r="F629" s="25"/>
      <c r="G629" s="25"/>
      <c r="H629" s="11"/>
      <c r="I629" s="11"/>
      <c r="J629" s="26" t="str">
        <f t="shared" si="16"/>
        <v/>
      </c>
      <c r="K629" s="11"/>
      <c r="L629" s="11"/>
      <c r="M629" s="11"/>
      <c r="N629" s="11"/>
      <c r="O629" s="26" t="str">
        <f t="shared" si="17"/>
        <v/>
      </c>
      <c r="P629" s="11"/>
    </row>
    <row r="630" spans="1:16" ht="15" customHeight="1" x14ac:dyDescent="0.25">
      <c r="A630" s="25"/>
      <c r="B630" s="25"/>
      <c r="C630" s="26" t="str">
        <f>IFERROR(IF(OR(A630="",B630=""),"",INDEX(Equipements!$H:$H,MATCH(A630,Equipements!$A:$A,0))&amp;"."&amp;B630),"")</f>
        <v/>
      </c>
      <c r="D630" s="11"/>
      <c r="E630" s="25"/>
      <c r="F630" s="25"/>
      <c r="G630" s="25"/>
      <c r="H630" s="11"/>
      <c r="I630" s="11"/>
      <c r="J630" s="26" t="str">
        <f t="shared" si="16"/>
        <v/>
      </c>
      <c r="K630" s="11"/>
      <c r="L630" s="11"/>
      <c r="M630" s="11"/>
      <c r="N630" s="11"/>
      <c r="O630" s="26" t="str">
        <f t="shared" si="17"/>
        <v/>
      </c>
      <c r="P630" s="11"/>
    </row>
    <row r="631" spans="1:16" ht="15" customHeight="1" x14ac:dyDescent="0.25">
      <c r="A631" s="25"/>
      <c r="B631" s="25"/>
      <c r="C631" s="26" t="str">
        <f>IFERROR(IF(OR(A631="",B631=""),"",INDEX(Equipements!$H:$H,MATCH(A631,Equipements!$A:$A,0))&amp;"."&amp;B631),"")</f>
        <v/>
      </c>
      <c r="D631" s="11"/>
      <c r="E631" s="25"/>
      <c r="F631" s="25"/>
      <c r="G631" s="25"/>
      <c r="H631" s="11"/>
      <c r="I631" s="11"/>
      <c r="J631" s="26" t="str">
        <f t="shared" si="16"/>
        <v/>
      </c>
      <c r="K631" s="11"/>
      <c r="L631" s="11"/>
      <c r="M631" s="11"/>
      <c r="N631" s="11"/>
      <c r="O631" s="26" t="str">
        <f t="shared" si="17"/>
        <v/>
      </c>
      <c r="P631" s="11"/>
    </row>
    <row r="632" spans="1:16" ht="15" customHeight="1" x14ac:dyDescent="0.25">
      <c r="A632" s="25"/>
      <c r="B632" s="25"/>
      <c r="C632" s="26" t="str">
        <f>IFERROR(IF(OR(A632="",B632=""),"",INDEX(Equipements!$H:$H,MATCH(A632,Equipements!$A:$A,0))&amp;"."&amp;B632),"")</f>
        <v/>
      </c>
      <c r="D632" s="11"/>
      <c r="E632" s="25"/>
      <c r="F632" s="25"/>
      <c r="G632" s="25"/>
      <c r="H632" s="11"/>
      <c r="I632" s="11"/>
      <c r="J632" s="26" t="str">
        <f t="shared" si="16"/>
        <v/>
      </c>
      <c r="K632" s="11"/>
      <c r="L632" s="11"/>
      <c r="M632" s="11"/>
      <c r="N632" s="11"/>
      <c r="O632" s="26" t="str">
        <f t="shared" si="17"/>
        <v/>
      </c>
      <c r="P632" s="11"/>
    </row>
    <row r="633" spans="1:16" ht="15" customHeight="1" x14ac:dyDescent="0.25">
      <c r="A633" s="25"/>
      <c r="B633" s="25"/>
      <c r="C633" s="26" t="str">
        <f>IFERROR(IF(OR(A633="",B633=""),"",INDEX(Equipements!$H:$H,MATCH(A633,Equipements!$A:$A,0))&amp;"."&amp;B633),"")</f>
        <v/>
      </c>
      <c r="D633" s="11"/>
      <c r="E633" s="25"/>
      <c r="F633" s="25"/>
      <c r="G633" s="25"/>
      <c r="H633" s="11"/>
      <c r="I633" s="11"/>
      <c r="J633" s="26" t="str">
        <f t="shared" si="16"/>
        <v/>
      </c>
      <c r="K633" s="11"/>
      <c r="L633" s="11"/>
      <c r="M633" s="11"/>
      <c r="N633" s="11"/>
      <c r="O633" s="26" t="str">
        <f t="shared" si="17"/>
        <v/>
      </c>
      <c r="P633" s="11"/>
    </row>
    <row r="634" spans="1:16" ht="15" customHeight="1" x14ac:dyDescent="0.25">
      <c r="A634" s="25"/>
      <c r="B634" s="25"/>
      <c r="C634" s="26" t="str">
        <f>IFERROR(IF(OR(A634="",B634=""),"",INDEX(Equipements!$H:$H,MATCH(A634,Equipements!$A:$A,0))&amp;"."&amp;B634),"")</f>
        <v/>
      </c>
      <c r="D634" s="11"/>
      <c r="E634" s="25"/>
      <c r="F634" s="25"/>
      <c r="G634" s="25"/>
      <c r="H634" s="11"/>
      <c r="I634" s="11"/>
      <c r="J634" s="26" t="str">
        <f t="shared" si="16"/>
        <v/>
      </c>
      <c r="K634" s="11"/>
      <c r="L634" s="11"/>
      <c r="M634" s="11"/>
      <c r="N634" s="11"/>
      <c r="O634" s="26" t="str">
        <f t="shared" si="17"/>
        <v/>
      </c>
      <c r="P634" s="11"/>
    </row>
    <row r="635" spans="1:16" ht="15" customHeight="1" x14ac:dyDescent="0.25">
      <c r="A635" s="25"/>
      <c r="B635" s="25"/>
      <c r="C635" s="26" t="str">
        <f>IFERROR(IF(OR(A635="",B635=""),"",INDEX(Equipements!$H:$H,MATCH(A635,Equipements!$A:$A,0))&amp;"."&amp;B635),"")</f>
        <v/>
      </c>
      <c r="D635" s="11"/>
      <c r="E635" s="25"/>
      <c r="F635" s="25"/>
      <c r="G635" s="25"/>
      <c r="H635" s="11"/>
      <c r="I635" s="11"/>
      <c r="J635" s="26" t="str">
        <f t="shared" si="16"/>
        <v/>
      </c>
      <c r="K635" s="11"/>
      <c r="L635" s="11"/>
      <c r="M635" s="11"/>
      <c r="N635" s="11"/>
      <c r="O635" s="26" t="str">
        <f t="shared" si="17"/>
        <v/>
      </c>
      <c r="P635" s="11"/>
    </row>
    <row r="636" spans="1:16" ht="15" customHeight="1" x14ac:dyDescent="0.25">
      <c r="A636" s="25"/>
      <c r="B636" s="25"/>
      <c r="C636" s="26" t="str">
        <f>IFERROR(IF(OR(A636="",B636=""),"",INDEX(Equipements!$H:$H,MATCH(A636,Equipements!$A:$A,0))&amp;"."&amp;B636),"")</f>
        <v/>
      </c>
      <c r="D636" s="11"/>
      <c r="E636" s="25"/>
      <c r="F636" s="25"/>
      <c r="G636" s="25"/>
      <c r="H636" s="11"/>
      <c r="I636" s="11"/>
      <c r="J636" s="26" t="str">
        <f t="shared" si="16"/>
        <v/>
      </c>
      <c r="K636" s="11"/>
      <c r="L636" s="11"/>
      <c r="M636" s="11"/>
      <c r="N636" s="11"/>
      <c r="O636" s="26" t="str">
        <f t="shared" si="17"/>
        <v/>
      </c>
      <c r="P636" s="11"/>
    </row>
    <row r="637" spans="1:16" ht="15" customHeight="1" x14ac:dyDescent="0.25">
      <c r="A637" s="25"/>
      <c r="B637" s="25"/>
      <c r="C637" s="26" t="str">
        <f>IFERROR(IF(OR(A637="",B637=""),"",INDEX(Equipements!$H:$H,MATCH(A637,Equipements!$A:$A,0))&amp;"."&amp;B637),"")</f>
        <v/>
      </c>
      <c r="D637" s="11"/>
      <c r="E637" s="25"/>
      <c r="F637" s="25"/>
      <c r="G637" s="25"/>
      <c r="H637" s="11"/>
      <c r="I637" s="11"/>
      <c r="J637" s="26" t="str">
        <f t="shared" si="16"/>
        <v/>
      </c>
      <c r="K637" s="11"/>
      <c r="L637" s="11"/>
      <c r="M637" s="11"/>
      <c r="N637" s="11"/>
      <c r="O637" s="26" t="str">
        <f t="shared" si="17"/>
        <v/>
      </c>
      <c r="P637" s="11"/>
    </row>
    <row r="638" spans="1:16" ht="15" customHeight="1" x14ac:dyDescent="0.25">
      <c r="A638" s="25"/>
      <c r="B638" s="25"/>
      <c r="C638" s="26" t="str">
        <f>IFERROR(IF(OR(A638="",B638=""),"",INDEX(Equipements!$H:$H,MATCH(A638,Equipements!$A:$A,0))&amp;"."&amp;B638),"")</f>
        <v/>
      </c>
      <c r="D638" s="11"/>
      <c r="E638" s="25"/>
      <c r="F638" s="25"/>
      <c r="G638" s="25"/>
      <c r="H638" s="11"/>
      <c r="I638" s="11"/>
      <c r="J638" s="26" t="str">
        <f t="shared" si="16"/>
        <v/>
      </c>
      <c r="K638" s="11"/>
      <c r="L638" s="11"/>
      <c r="M638" s="11"/>
      <c r="N638" s="11"/>
      <c r="O638" s="26" t="str">
        <f t="shared" si="17"/>
        <v/>
      </c>
      <c r="P638" s="11"/>
    </row>
    <row r="639" spans="1:16" ht="15" customHeight="1" x14ac:dyDescent="0.25">
      <c r="A639" s="25"/>
      <c r="B639" s="25"/>
      <c r="C639" s="26" t="str">
        <f>IFERROR(IF(OR(A639="",B639=""),"",INDEX(Equipements!$H:$H,MATCH(A639,Equipements!$A:$A,0))&amp;"."&amp;B639),"")</f>
        <v/>
      </c>
      <c r="D639" s="11"/>
      <c r="E639" s="25"/>
      <c r="F639" s="25"/>
      <c r="G639" s="25"/>
      <c r="H639" s="11"/>
      <c r="I639" s="11"/>
      <c r="J639" s="26" t="str">
        <f t="shared" si="16"/>
        <v/>
      </c>
      <c r="K639" s="11"/>
      <c r="L639" s="11"/>
      <c r="M639" s="11"/>
      <c r="N639" s="11"/>
      <c r="O639" s="26" t="str">
        <f t="shared" si="17"/>
        <v/>
      </c>
      <c r="P639" s="11"/>
    </row>
    <row r="640" spans="1:16" ht="15" customHeight="1" x14ac:dyDescent="0.25">
      <c r="A640" s="25"/>
      <c r="B640" s="25"/>
      <c r="C640" s="26" t="str">
        <f>IFERROR(IF(OR(A640="",B640=""),"",INDEX(Equipements!$H:$H,MATCH(A640,Equipements!$A:$A,0))&amp;"."&amp;B640),"")</f>
        <v/>
      </c>
      <c r="D640" s="11"/>
      <c r="E640" s="25"/>
      <c r="F640" s="25"/>
      <c r="G640" s="25"/>
      <c r="H640" s="11"/>
      <c r="I640" s="11"/>
      <c r="J640" s="26" t="str">
        <f t="shared" si="16"/>
        <v/>
      </c>
      <c r="K640" s="11"/>
      <c r="L640" s="11"/>
      <c r="M640" s="11"/>
      <c r="N640" s="11"/>
      <c r="O640" s="26" t="str">
        <f t="shared" si="17"/>
        <v/>
      </c>
      <c r="P640" s="11"/>
    </row>
    <row r="641" spans="1:16" ht="15" customHeight="1" x14ac:dyDescent="0.25">
      <c r="A641" s="25"/>
      <c r="B641" s="25"/>
      <c r="C641" s="26" t="str">
        <f>IFERROR(IF(OR(A641="",B641=""),"",INDEX(Equipements!$H:$H,MATCH(A641,Equipements!$A:$A,0))&amp;"."&amp;B641),"")</f>
        <v/>
      </c>
      <c r="D641" s="11"/>
      <c r="E641" s="25"/>
      <c r="F641" s="25"/>
      <c r="G641" s="25"/>
      <c r="H641" s="11"/>
      <c r="I641" s="11"/>
      <c r="J641" s="26" t="str">
        <f t="shared" si="16"/>
        <v/>
      </c>
      <c r="K641" s="11"/>
      <c r="L641" s="11"/>
      <c r="M641" s="11"/>
      <c r="N641" s="11"/>
      <c r="O641" s="26" t="str">
        <f t="shared" si="17"/>
        <v/>
      </c>
      <c r="P641" s="11"/>
    </row>
    <row r="642" spans="1:16" ht="15" customHeight="1" x14ac:dyDescent="0.25">
      <c r="A642" s="25"/>
      <c r="B642" s="25"/>
      <c r="C642" s="26" t="str">
        <f>IFERROR(IF(OR(A642="",B642=""),"",INDEX(Equipements!$H:$H,MATCH(A642,Equipements!$A:$A,0))&amp;"."&amp;B642),"")</f>
        <v/>
      </c>
      <c r="D642" s="11"/>
      <c r="E642" s="25"/>
      <c r="F642" s="25"/>
      <c r="G642" s="25"/>
      <c r="H642" s="11"/>
      <c r="I642" s="11"/>
      <c r="J642" s="26" t="str">
        <f t="shared" si="16"/>
        <v/>
      </c>
      <c r="K642" s="11"/>
      <c r="L642" s="11"/>
      <c r="M642" s="11"/>
      <c r="N642" s="11"/>
      <c r="O642" s="26" t="str">
        <f t="shared" si="17"/>
        <v/>
      </c>
      <c r="P642" s="11"/>
    </row>
    <row r="643" spans="1:16" ht="15" customHeight="1" x14ac:dyDescent="0.25">
      <c r="A643" s="25"/>
      <c r="B643" s="25"/>
      <c r="C643" s="26" t="str">
        <f>IFERROR(IF(OR(A643="",B643=""),"",INDEX(Equipements!$H:$H,MATCH(A643,Equipements!$A:$A,0))&amp;"."&amp;B643),"")</f>
        <v/>
      </c>
      <c r="D643" s="11"/>
      <c r="E643" s="25"/>
      <c r="F643" s="25"/>
      <c r="G643" s="25"/>
      <c r="H643" s="11"/>
      <c r="I643" s="11"/>
      <c r="J643" s="26" t="str">
        <f t="shared" si="16"/>
        <v/>
      </c>
      <c r="K643" s="11"/>
      <c r="L643" s="11"/>
      <c r="M643" s="11"/>
      <c r="N643" s="11"/>
      <c r="O643" s="26" t="str">
        <f t="shared" si="17"/>
        <v/>
      </c>
      <c r="P643" s="11"/>
    </row>
    <row r="644" spans="1:16" ht="15" customHeight="1" x14ac:dyDescent="0.25">
      <c r="A644" s="25"/>
      <c r="B644" s="25"/>
      <c r="C644" s="26" t="str">
        <f>IFERROR(IF(OR(A644="",B644=""),"",INDEX(Equipements!$H:$H,MATCH(A644,Equipements!$A:$A,0))&amp;"."&amp;B644),"")</f>
        <v/>
      </c>
      <c r="D644" s="11"/>
      <c r="E644" s="25"/>
      <c r="F644" s="25"/>
      <c r="G644" s="25"/>
      <c r="H644" s="11"/>
      <c r="I644" s="11"/>
      <c r="J644" s="26" t="str">
        <f t="shared" si="16"/>
        <v/>
      </c>
      <c r="K644" s="11"/>
      <c r="L644" s="11"/>
      <c r="M644" s="11"/>
      <c r="N644" s="11"/>
      <c r="O644" s="26" t="str">
        <f t="shared" si="17"/>
        <v/>
      </c>
      <c r="P644" s="11"/>
    </row>
    <row r="645" spans="1:16" ht="15" customHeight="1" x14ac:dyDescent="0.25">
      <c r="A645" s="25"/>
      <c r="B645" s="25"/>
      <c r="C645" s="26" t="str">
        <f>IFERROR(IF(OR(A645="",B645=""),"",INDEX(Equipements!$H:$H,MATCH(A645,Equipements!$A:$A,0))&amp;"."&amp;B645),"")</f>
        <v/>
      </c>
      <c r="D645" s="11"/>
      <c r="E645" s="25"/>
      <c r="F645" s="25"/>
      <c r="G645" s="25"/>
      <c r="H645" s="11"/>
      <c r="I645" s="11"/>
      <c r="J645" s="26" t="str">
        <f t="shared" si="16"/>
        <v/>
      </c>
      <c r="K645" s="11"/>
      <c r="L645" s="11"/>
      <c r="M645" s="11"/>
      <c r="N645" s="11"/>
      <c r="O645" s="26" t="str">
        <f t="shared" si="17"/>
        <v/>
      </c>
      <c r="P645" s="11"/>
    </row>
    <row r="646" spans="1:16" ht="15" customHeight="1" x14ac:dyDescent="0.25">
      <c r="A646" s="25"/>
      <c r="B646" s="25"/>
      <c r="C646" s="26" t="str">
        <f>IFERROR(IF(OR(A646="",B646=""),"",INDEX(Equipements!$H:$H,MATCH(A646,Equipements!$A:$A,0))&amp;"."&amp;B646),"")</f>
        <v/>
      </c>
      <c r="D646" s="11"/>
      <c r="E646" s="25"/>
      <c r="F646" s="25"/>
      <c r="G646" s="25"/>
      <c r="H646" s="11"/>
      <c r="I646" s="11"/>
      <c r="J646" s="26" t="str">
        <f t="shared" si="16"/>
        <v/>
      </c>
      <c r="K646" s="11"/>
      <c r="L646" s="11"/>
      <c r="M646" s="11"/>
      <c r="N646" s="11"/>
      <c r="O646" s="26" t="str">
        <f t="shared" si="17"/>
        <v/>
      </c>
      <c r="P646" s="11"/>
    </row>
    <row r="647" spans="1:16" ht="15" customHeight="1" x14ac:dyDescent="0.25">
      <c r="A647" s="25"/>
      <c r="B647" s="25"/>
      <c r="C647" s="26" t="str">
        <f>IFERROR(IF(OR(A647="",B647=""),"",INDEX(Equipements!$H:$H,MATCH(A647,Equipements!$A:$A,0))&amp;"."&amp;B647),"")</f>
        <v/>
      </c>
      <c r="D647" s="11"/>
      <c r="E647" s="25"/>
      <c r="F647" s="25"/>
      <c r="G647" s="25"/>
      <c r="H647" s="11"/>
      <c r="I647" s="11"/>
      <c r="J647" s="26" t="str">
        <f t="shared" si="16"/>
        <v/>
      </c>
      <c r="K647" s="11"/>
      <c r="L647" s="11"/>
      <c r="M647" s="11"/>
      <c r="N647" s="11"/>
      <c r="O647" s="26" t="str">
        <f t="shared" si="17"/>
        <v/>
      </c>
      <c r="P647" s="11"/>
    </row>
    <row r="648" spans="1:16" ht="15" customHeight="1" x14ac:dyDescent="0.25">
      <c r="A648" s="25"/>
      <c r="B648" s="25"/>
      <c r="C648" s="26" t="str">
        <f>IFERROR(IF(OR(A648="",B648=""),"",INDEX(Equipements!$H:$H,MATCH(A648,Equipements!$A:$A,0))&amp;"."&amp;B648),"")</f>
        <v/>
      </c>
      <c r="D648" s="11"/>
      <c r="E648" s="25"/>
      <c r="F648" s="25"/>
      <c r="G648" s="25"/>
      <c r="H648" s="11"/>
      <c r="I648" s="11"/>
      <c r="J648" s="26" t="str">
        <f t="shared" si="16"/>
        <v/>
      </c>
      <c r="K648" s="11"/>
      <c r="L648" s="11"/>
      <c r="M648" s="11"/>
      <c r="N648" s="11"/>
      <c r="O648" s="26" t="str">
        <f t="shared" si="17"/>
        <v/>
      </c>
      <c r="P648" s="11"/>
    </row>
    <row r="649" spans="1:16" ht="15" customHeight="1" x14ac:dyDescent="0.25">
      <c r="A649" s="25"/>
      <c r="B649" s="25"/>
      <c r="C649" s="26" t="str">
        <f>IFERROR(IF(OR(A649="",B649=""),"",INDEX(Equipements!$H:$H,MATCH(A649,Equipements!$A:$A,0))&amp;"."&amp;B649),"")</f>
        <v/>
      </c>
      <c r="D649" s="11"/>
      <c r="E649" s="25"/>
      <c r="F649" s="25"/>
      <c r="G649" s="25"/>
      <c r="H649" s="11"/>
      <c r="I649" s="11"/>
      <c r="J649" s="26" t="str">
        <f t="shared" ref="J649:J712" si="18">IF(OR(G649="",H649=""),"","%"&amp;G649&amp;H649)</f>
        <v/>
      </c>
      <c r="K649" s="11"/>
      <c r="L649" s="11"/>
      <c r="M649" s="11"/>
      <c r="N649" s="11"/>
      <c r="O649" s="26" t="str">
        <f t="shared" ref="O649:O712" si="19">IF(H649="","",IF(I649="","mot entier","bit "&amp;I649))</f>
        <v/>
      </c>
      <c r="P649" s="11"/>
    </row>
    <row r="650" spans="1:16" ht="15" customHeight="1" x14ac:dyDescent="0.25">
      <c r="A650" s="25"/>
      <c r="B650" s="25"/>
      <c r="C650" s="26" t="str">
        <f>IFERROR(IF(OR(A650="",B650=""),"",INDEX(Equipements!$H:$H,MATCH(A650,Equipements!$A:$A,0))&amp;"."&amp;B650),"")</f>
        <v/>
      </c>
      <c r="D650" s="11"/>
      <c r="E650" s="25"/>
      <c r="F650" s="25"/>
      <c r="G650" s="25"/>
      <c r="H650" s="11"/>
      <c r="I650" s="11"/>
      <c r="J650" s="26" t="str">
        <f t="shared" si="18"/>
        <v/>
      </c>
      <c r="K650" s="11"/>
      <c r="L650" s="11"/>
      <c r="M650" s="11"/>
      <c r="N650" s="11"/>
      <c r="O650" s="26" t="str">
        <f t="shared" si="19"/>
        <v/>
      </c>
      <c r="P650" s="11"/>
    </row>
    <row r="651" spans="1:16" ht="15" customHeight="1" x14ac:dyDescent="0.25">
      <c r="A651" s="25"/>
      <c r="B651" s="25"/>
      <c r="C651" s="26" t="str">
        <f>IFERROR(IF(OR(A651="",B651=""),"",INDEX(Equipements!$H:$H,MATCH(A651,Equipements!$A:$A,0))&amp;"."&amp;B651),"")</f>
        <v/>
      </c>
      <c r="D651" s="11"/>
      <c r="E651" s="25"/>
      <c r="F651" s="25"/>
      <c r="G651" s="25"/>
      <c r="H651" s="11"/>
      <c r="I651" s="11"/>
      <c r="J651" s="26" t="str">
        <f t="shared" si="18"/>
        <v/>
      </c>
      <c r="K651" s="11"/>
      <c r="L651" s="11"/>
      <c r="M651" s="11"/>
      <c r="N651" s="11"/>
      <c r="O651" s="26" t="str">
        <f t="shared" si="19"/>
        <v/>
      </c>
      <c r="P651" s="11"/>
    </row>
    <row r="652" spans="1:16" ht="15" customHeight="1" x14ac:dyDescent="0.25">
      <c r="A652" s="25"/>
      <c r="B652" s="25"/>
      <c r="C652" s="26" t="str">
        <f>IFERROR(IF(OR(A652="",B652=""),"",INDEX(Equipements!$H:$H,MATCH(A652,Equipements!$A:$A,0))&amp;"."&amp;B652),"")</f>
        <v/>
      </c>
      <c r="D652" s="11"/>
      <c r="E652" s="25"/>
      <c r="F652" s="25"/>
      <c r="G652" s="25"/>
      <c r="H652" s="11"/>
      <c r="I652" s="11"/>
      <c r="J652" s="26" t="str">
        <f t="shared" si="18"/>
        <v/>
      </c>
      <c r="K652" s="11"/>
      <c r="L652" s="11"/>
      <c r="M652" s="11"/>
      <c r="N652" s="11"/>
      <c r="O652" s="26" t="str">
        <f t="shared" si="19"/>
        <v/>
      </c>
      <c r="P652" s="11"/>
    </row>
    <row r="653" spans="1:16" ht="15" customHeight="1" x14ac:dyDescent="0.25">
      <c r="A653" s="25"/>
      <c r="B653" s="25"/>
      <c r="C653" s="26" t="str">
        <f>IFERROR(IF(OR(A653="",B653=""),"",INDEX(Equipements!$H:$H,MATCH(A653,Equipements!$A:$A,0))&amp;"."&amp;B653),"")</f>
        <v/>
      </c>
      <c r="D653" s="11"/>
      <c r="E653" s="25"/>
      <c r="F653" s="25"/>
      <c r="G653" s="25"/>
      <c r="H653" s="11"/>
      <c r="I653" s="11"/>
      <c r="J653" s="26" t="str">
        <f t="shared" si="18"/>
        <v/>
      </c>
      <c r="K653" s="11"/>
      <c r="L653" s="11"/>
      <c r="M653" s="11"/>
      <c r="N653" s="11"/>
      <c r="O653" s="26" t="str">
        <f t="shared" si="19"/>
        <v/>
      </c>
      <c r="P653" s="11"/>
    </row>
    <row r="654" spans="1:16" ht="15" customHeight="1" x14ac:dyDescent="0.25">
      <c r="A654" s="25"/>
      <c r="B654" s="25"/>
      <c r="C654" s="26" t="str">
        <f>IFERROR(IF(OR(A654="",B654=""),"",INDEX(Equipements!$H:$H,MATCH(A654,Equipements!$A:$A,0))&amp;"."&amp;B654),"")</f>
        <v/>
      </c>
      <c r="D654" s="11"/>
      <c r="E654" s="25"/>
      <c r="F654" s="25"/>
      <c r="G654" s="25"/>
      <c r="H654" s="11"/>
      <c r="I654" s="11"/>
      <c r="J654" s="26" t="str">
        <f t="shared" si="18"/>
        <v/>
      </c>
      <c r="K654" s="11"/>
      <c r="L654" s="11"/>
      <c r="M654" s="11"/>
      <c r="N654" s="11"/>
      <c r="O654" s="26" t="str">
        <f t="shared" si="19"/>
        <v/>
      </c>
      <c r="P654" s="11"/>
    </row>
    <row r="655" spans="1:16" ht="15" customHeight="1" x14ac:dyDescent="0.25">
      <c r="A655" s="25"/>
      <c r="B655" s="25"/>
      <c r="C655" s="26" t="str">
        <f>IFERROR(IF(OR(A655="",B655=""),"",INDEX(Equipements!$H:$H,MATCH(A655,Equipements!$A:$A,0))&amp;"."&amp;B655),"")</f>
        <v/>
      </c>
      <c r="D655" s="11"/>
      <c r="E655" s="25"/>
      <c r="F655" s="25"/>
      <c r="G655" s="25"/>
      <c r="H655" s="11"/>
      <c r="I655" s="11"/>
      <c r="J655" s="26" t="str">
        <f t="shared" si="18"/>
        <v/>
      </c>
      <c r="K655" s="11"/>
      <c r="L655" s="11"/>
      <c r="M655" s="11"/>
      <c r="N655" s="11"/>
      <c r="O655" s="26" t="str">
        <f t="shared" si="19"/>
        <v/>
      </c>
      <c r="P655" s="11"/>
    </row>
    <row r="656" spans="1:16" ht="15" customHeight="1" x14ac:dyDescent="0.25">
      <c r="A656" s="25"/>
      <c r="B656" s="25"/>
      <c r="C656" s="26" t="str">
        <f>IFERROR(IF(OR(A656="",B656=""),"",INDEX(Equipements!$H:$H,MATCH(A656,Equipements!$A:$A,0))&amp;"."&amp;B656),"")</f>
        <v/>
      </c>
      <c r="D656" s="11"/>
      <c r="E656" s="25"/>
      <c r="F656" s="25"/>
      <c r="G656" s="25"/>
      <c r="H656" s="11"/>
      <c r="I656" s="11"/>
      <c r="J656" s="26" t="str">
        <f t="shared" si="18"/>
        <v/>
      </c>
      <c r="K656" s="11"/>
      <c r="L656" s="11"/>
      <c r="M656" s="11"/>
      <c r="N656" s="11"/>
      <c r="O656" s="26" t="str">
        <f t="shared" si="19"/>
        <v/>
      </c>
      <c r="P656" s="11"/>
    </row>
    <row r="657" spans="1:16" ht="15" customHeight="1" x14ac:dyDescent="0.25">
      <c r="A657" s="25"/>
      <c r="B657" s="25"/>
      <c r="C657" s="26" t="str">
        <f>IFERROR(IF(OR(A657="",B657=""),"",INDEX(Equipements!$H:$H,MATCH(A657,Equipements!$A:$A,0))&amp;"."&amp;B657),"")</f>
        <v/>
      </c>
      <c r="D657" s="11"/>
      <c r="E657" s="25"/>
      <c r="F657" s="25"/>
      <c r="G657" s="25"/>
      <c r="H657" s="11"/>
      <c r="I657" s="11"/>
      <c r="J657" s="26" t="str">
        <f t="shared" si="18"/>
        <v/>
      </c>
      <c r="K657" s="11"/>
      <c r="L657" s="11"/>
      <c r="M657" s="11"/>
      <c r="N657" s="11"/>
      <c r="O657" s="26" t="str">
        <f t="shared" si="19"/>
        <v/>
      </c>
      <c r="P657" s="11"/>
    </row>
    <row r="658" spans="1:16" ht="15" customHeight="1" x14ac:dyDescent="0.25">
      <c r="A658" s="25"/>
      <c r="B658" s="25"/>
      <c r="C658" s="26" t="str">
        <f>IFERROR(IF(OR(A658="",B658=""),"",INDEX(Equipements!$H:$H,MATCH(A658,Equipements!$A:$A,0))&amp;"."&amp;B658),"")</f>
        <v/>
      </c>
      <c r="D658" s="11"/>
      <c r="E658" s="25"/>
      <c r="F658" s="25"/>
      <c r="G658" s="25"/>
      <c r="H658" s="11"/>
      <c r="I658" s="11"/>
      <c r="J658" s="26" t="str">
        <f t="shared" si="18"/>
        <v/>
      </c>
      <c r="K658" s="11"/>
      <c r="L658" s="11"/>
      <c r="M658" s="11"/>
      <c r="N658" s="11"/>
      <c r="O658" s="26" t="str">
        <f t="shared" si="19"/>
        <v/>
      </c>
      <c r="P658" s="11"/>
    </row>
    <row r="659" spans="1:16" ht="15" customHeight="1" x14ac:dyDescent="0.25">
      <c r="A659" s="25"/>
      <c r="B659" s="25"/>
      <c r="C659" s="26" t="str">
        <f>IFERROR(IF(OR(A659="",B659=""),"",INDEX(Equipements!$H:$H,MATCH(A659,Equipements!$A:$A,0))&amp;"."&amp;B659),"")</f>
        <v/>
      </c>
      <c r="D659" s="11"/>
      <c r="E659" s="25"/>
      <c r="F659" s="25"/>
      <c r="G659" s="25"/>
      <c r="H659" s="11"/>
      <c r="I659" s="11"/>
      <c r="J659" s="26" t="str">
        <f t="shared" si="18"/>
        <v/>
      </c>
      <c r="K659" s="11"/>
      <c r="L659" s="11"/>
      <c r="M659" s="11"/>
      <c r="N659" s="11"/>
      <c r="O659" s="26" t="str">
        <f t="shared" si="19"/>
        <v/>
      </c>
      <c r="P659" s="11"/>
    </row>
    <row r="660" spans="1:16" ht="15" customHeight="1" x14ac:dyDescent="0.25">
      <c r="A660" s="25"/>
      <c r="B660" s="25"/>
      <c r="C660" s="26" t="str">
        <f>IFERROR(IF(OR(A660="",B660=""),"",INDEX(Equipements!$H:$H,MATCH(A660,Equipements!$A:$A,0))&amp;"."&amp;B660),"")</f>
        <v/>
      </c>
      <c r="D660" s="11"/>
      <c r="E660" s="25"/>
      <c r="F660" s="25"/>
      <c r="G660" s="25"/>
      <c r="H660" s="11"/>
      <c r="I660" s="11"/>
      <c r="J660" s="26" t="str">
        <f t="shared" si="18"/>
        <v/>
      </c>
      <c r="K660" s="11"/>
      <c r="L660" s="11"/>
      <c r="M660" s="11"/>
      <c r="N660" s="11"/>
      <c r="O660" s="26" t="str">
        <f t="shared" si="19"/>
        <v/>
      </c>
      <c r="P660" s="11"/>
    </row>
    <row r="661" spans="1:16" ht="15" customHeight="1" x14ac:dyDescent="0.25">
      <c r="A661" s="25"/>
      <c r="B661" s="25"/>
      <c r="C661" s="26" t="str">
        <f>IFERROR(IF(OR(A661="",B661=""),"",INDEX(Equipements!$H:$H,MATCH(A661,Equipements!$A:$A,0))&amp;"."&amp;B661),"")</f>
        <v/>
      </c>
      <c r="D661" s="11"/>
      <c r="E661" s="25"/>
      <c r="F661" s="25"/>
      <c r="G661" s="25"/>
      <c r="H661" s="11"/>
      <c r="I661" s="11"/>
      <c r="J661" s="26" t="str">
        <f t="shared" si="18"/>
        <v/>
      </c>
      <c r="K661" s="11"/>
      <c r="L661" s="11"/>
      <c r="M661" s="11"/>
      <c r="N661" s="11"/>
      <c r="O661" s="26" t="str">
        <f t="shared" si="19"/>
        <v/>
      </c>
      <c r="P661" s="11"/>
    </row>
    <row r="662" spans="1:16" ht="15" customHeight="1" x14ac:dyDescent="0.25">
      <c r="A662" s="25"/>
      <c r="B662" s="25"/>
      <c r="C662" s="26" t="str">
        <f>IFERROR(IF(OR(A662="",B662=""),"",INDEX(Equipements!$H:$H,MATCH(A662,Equipements!$A:$A,0))&amp;"."&amp;B662),"")</f>
        <v/>
      </c>
      <c r="D662" s="11"/>
      <c r="E662" s="25"/>
      <c r="F662" s="25"/>
      <c r="G662" s="25"/>
      <c r="H662" s="11"/>
      <c r="I662" s="11"/>
      <c r="J662" s="26" t="str">
        <f t="shared" si="18"/>
        <v/>
      </c>
      <c r="K662" s="11"/>
      <c r="L662" s="11"/>
      <c r="M662" s="11"/>
      <c r="N662" s="11"/>
      <c r="O662" s="26" t="str">
        <f t="shared" si="19"/>
        <v/>
      </c>
      <c r="P662" s="11"/>
    </row>
    <row r="663" spans="1:16" ht="15" customHeight="1" x14ac:dyDescent="0.25">
      <c r="A663" s="25"/>
      <c r="B663" s="25"/>
      <c r="C663" s="26" t="str">
        <f>IFERROR(IF(OR(A663="",B663=""),"",INDEX(Equipements!$H:$H,MATCH(A663,Equipements!$A:$A,0))&amp;"."&amp;B663),"")</f>
        <v/>
      </c>
      <c r="D663" s="11"/>
      <c r="E663" s="25"/>
      <c r="F663" s="25"/>
      <c r="G663" s="25"/>
      <c r="H663" s="11"/>
      <c r="I663" s="11"/>
      <c r="J663" s="26" t="str">
        <f t="shared" si="18"/>
        <v/>
      </c>
      <c r="K663" s="11"/>
      <c r="L663" s="11"/>
      <c r="M663" s="11"/>
      <c r="N663" s="11"/>
      <c r="O663" s="26" t="str">
        <f t="shared" si="19"/>
        <v/>
      </c>
      <c r="P663" s="11"/>
    </row>
    <row r="664" spans="1:16" ht="15" customHeight="1" x14ac:dyDescent="0.25">
      <c r="A664" s="25"/>
      <c r="B664" s="25"/>
      <c r="C664" s="26" t="str">
        <f>IFERROR(IF(OR(A664="",B664=""),"",INDEX(Equipements!$H:$H,MATCH(A664,Equipements!$A:$A,0))&amp;"."&amp;B664),"")</f>
        <v/>
      </c>
      <c r="D664" s="11"/>
      <c r="E664" s="25"/>
      <c r="F664" s="25"/>
      <c r="G664" s="25"/>
      <c r="H664" s="11"/>
      <c r="I664" s="11"/>
      <c r="J664" s="26" t="str">
        <f t="shared" si="18"/>
        <v/>
      </c>
      <c r="K664" s="11"/>
      <c r="L664" s="11"/>
      <c r="M664" s="11"/>
      <c r="N664" s="11"/>
      <c r="O664" s="26" t="str">
        <f t="shared" si="19"/>
        <v/>
      </c>
      <c r="P664" s="11"/>
    </row>
    <row r="665" spans="1:16" ht="15" customHeight="1" x14ac:dyDescent="0.25">
      <c r="A665" s="25"/>
      <c r="B665" s="25"/>
      <c r="C665" s="26" t="str">
        <f>IFERROR(IF(OR(A665="",B665=""),"",INDEX(Equipements!$H:$H,MATCH(A665,Equipements!$A:$A,0))&amp;"."&amp;B665),"")</f>
        <v/>
      </c>
      <c r="D665" s="11"/>
      <c r="E665" s="25"/>
      <c r="F665" s="25"/>
      <c r="G665" s="25"/>
      <c r="H665" s="11"/>
      <c r="I665" s="11"/>
      <c r="J665" s="26" t="str">
        <f t="shared" si="18"/>
        <v/>
      </c>
      <c r="K665" s="11"/>
      <c r="L665" s="11"/>
      <c r="M665" s="11"/>
      <c r="N665" s="11"/>
      <c r="O665" s="26" t="str">
        <f t="shared" si="19"/>
        <v/>
      </c>
      <c r="P665" s="11"/>
    </row>
    <row r="666" spans="1:16" ht="15" customHeight="1" x14ac:dyDescent="0.25">
      <c r="A666" s="25"/>
      <c r="B666" s="25"/>
      <c r="C666" s="26" t="str">
        <f>IFERROR(IF(OR(A666="",B666=""),"",INDEX(Equipements!$H:$H,MATCH(A666,Equipements!$A:$A,0))&amp;"."&amp;B666),"")</f>
        <v/>
      </c>
      <c r="D666" s="11"/>
      <c r="E666" s="25"/>
      <c r="F666" s="25"/>
      <c r="G666" s="25"/>
      <c r="H666" s="11"/>
      <c r="I666" s="11"/>
      <c r="J666" s="26" t="str">
        <f t="shared" si="18"/>
        <v/>
      </c>
      <c r="K666" s="11"/>
      <c r="L666" s="11"/>
      <c r="M666" s="11"/>
      <c r="N666" s="11"/>
      <c r="O666" s="26" t="str">
        <f t="shared" si="19"/>
        <v/>
      </c>
      <c r="P666" s="11"/>
    </row>
    <row r="667" spans="1:16" ht="15" customHeight="1" x14ac:dyDescent="0.25">
      <c r="A667" s="25"/>
      <c r="B667" s="25"/>
      <c r="C667" s="26" t="str">
        <f>IFERROR(IF(OR(A667="",B667=""),"",INDEX(Equipements!$H:$H,MATCH(A667,Equipements!$A:$A,0))&amp;"."&amp;B667),"")</f>
        <v/>
      </c>
      <c r="D667" s="11"/>
      <c r="E667" s="25"/>
      <c r="F667" s="25"/>
      <c r="G667" s="25"/>
      <c r="H667" s="11"/>
      <c r="I667" s="11"/>
      <c r="J667" s="26" t="str">
        <f t="shared" si="18"/>
        <v/>
      </c>
      <c r="K667" s="11"/>
      <c r="L667" s="11"/>
      <c r="M667" s="11"/>
      <c r="N667" s="11"/>
      <c r="O667" s="26" t="str">
        <f t="shared" si="19"/>
        <v/>
      </c>
      <c r="P667" s="11"/>
    </row>
    <row r="668" spans="1:16" ht="15" customHeight="1" x14ac:dyDescent="0.25">
      <c r="A668" s="25"/>
      <c r="B668" s="25"/>
      <c r="C668" s="26" t="str">
        <f>IFERROR(IF(OR(A668="",B668=""),"",INDEX(Equipements!$H:$H,MATCH(A668,Equipements!$A:$A,0))&amp;"."&amp;B668),"")</f>
        <v/>
      </c>
      <c r="D668" s="11"/>
      <c r="E668" s="25"/>
      <c r="F668" s="25"/>
      <c r="G668" s="25"/>
      <c r="H668" s="11"/>
      <c r="I668" s="11"/>
      <c r="J668" s="26" t="str">
        <f t="shared" si="18"/>
        <v/>
      </c>
      <c r="K668" s="11"/>
      <c r="L668" s="11"/>
      <c r="M668" s="11"/>
      <c r="N668" s="11"/>
      <c r="O668" s="26" t="str">
        <f t="shared" si="19"/>
        <v/>
      </c>
      <c r="P668" s="11"/>
    </row>
    <row r="669" spans="1:16" ht="15" customHeight="1" x14ac:dyDescent="0.25">
      <c r="A669" s="25"/>
      <c r="B669" s="25"/>
      <c r="C669" s="26" t="str">
        <f>IFERROR(IF(OR(A669="",B669=""),"",INDEX(Equipements!$H:$H,MATCH(A669,Equipements!$A:$A,0))&amp;"."&amp;B669),"")</f>
        <v/>
      </c>
      <c r="D669" s="11"/>
      <c r="E669" s="25"/>
      <c r="F669" s="25"/>
      <c r="G669" s="25"/>
      <c r="H669" s="11"/>
      <c r="I669" s="11"/>
      <c r="J669" s="26" t="str">
        <f t="shared" si="18"/>
        <v/>
      </c>
      <c r="K669" s="11"/>
      <c r="L669" s="11"/>
      <c r="M669" s="11"/>
      <c r="N669" s="11"/>
      <c r="O669" s="26" t="str">
        <f t="shared" si="19"/>
        <v/>
      </c>
      <c r="P669" s="11"/>
    </row>
    <row r="670" spans="1:16" ht="15" customHeight="1" x14ac:dyDescent="0.25">
      <c r="A670" s="25"/>
      <c r="B670" s="25"/>
      <c r="C670" s="26" t="str">
        <f>IFERROR(IF(OR(A670="",B670=""),"",INDEX(Equipements!$H:$H,MATCH(A670,Equipements!$A:$A,0))&amp;"."&amp;B670),"")</f>
        <v/>
      </c>
      <c r="D670" s="11"/>
      <c r="E670" s="25"/>
      <c r="F670" s="25"/>
      <c r="G670" s="25"/>
      <c r="H670" s="11"/>
      <c r="I670" s="11"/>
      <c r="J670" s="26" t="str">
        <f t="shared" si="18"/>
        <v/>
      </c>
      <c r="K670" s="11"/>
      <c r="L670" s="11"/>
      <c r="M670" s="11"/>
      <c r="N670" s="11"/>
      <c r="O670" s="26" t="str">
        <f t="shared" si="19"/>
        <v/>
      </c>
      <c r="P670" s="11"/>
    </row>
    <row r="671" spans="1:16" ht="15" customHeight="1" x14ac:dyDescent="0.25">
      <c r="A671" s="25"/>
      <c r="B671" s="25"/>
      <c r="C671" s="26" t="str">
        <f>IFERROR(IF(OR(A671="",B671=""),"",INDEX(Equipements!$H:$H,MATCH(A671,Equipements!$A:$A,0))&amp;"."&amp;B671),"")</f>
        <v/>
      </c>
      <c r="D671" s="11"/>
      <c r="E671" s="25"/>
      <c r="F671" s="25"/>
      <c r="G671" s="25"/>
      <c r="H671" s="11"/>
      <c r="I671" s="11"/>
      <c r="J671" s="26" t="str">
        <f t="shared" si="18"/>
        <v/>
      </c>
      <c r="K671" s="11"/>
      <c r="L671" s="11"/>
      <c r="M671" s="11"/>
      <c r="N671" s="11"/>
      <c r="O671" s="26" t="str">
        <f t="shared" si="19"/>
        <v/>
      </c>
      <c r="P671" s="11"/>
    </row>
    <row r="672" spans="1:16" ht="15" customHeight="1" x14ac:dyDescent="0.25">
      <c r="A672" s="25"/>
      <c r="B672" s="25"/>
      <c r="C672" s="26" t="str">
        <f>IFERROR(IF(OR(A672="",B672=""),"",INDEX(Equipements!$H:$H,MATCH(A672,Equipements!$A:$A,0))&amp;"."&amp;B672),"")</f>
        <v/>
      </c>
      <c r="D672" s="11"/>
      <c r="E672" s="25"/>
      <c r="F672" s="25"/>
      <c r="G672" s="25"/>
      <c r="H672" s="11"/>
      <c r="I672" s="11"/>
      <c r="J672" s="26" t="str">
        <f t="shared" si="18"/>
        <v/>
      </c>
      <c r="K672" s="11"/>
      <c r="L672" s="11"/>
      <c r="M672" s="11"/>
      <c r="N672" s="11"/>
      <c r="O672" s="26" t="str">
        <f t="shared" si="19"/>
        <v/>
      </c>
      <c r="P672" s="11"/>
    </row>
    <row r="673" spans="1:16" ht="15" customHeight="1" x14ac:dyDescent="0.25">
      <c r="A673" s="25"/>
      <c r="B673" s="25"/>
      <c r="C673" s="26" t="str">
        <f>IFERROR(IF(OR(A673="",B673=""),"",INDEX(Equipements!$H:$H,MATCH(A673,Equipements!$A:$A,0))&amp;"."&amp;B673),"")</f>
        <v/>
      </c>
      <c r="D673" s="11"/>
      <c r="E673" s="25"/>
      <c r="F673" s="25"/>
      <c r="G673" s="25"/>
      <c r="H673" s="11"/>
      <c r="I673" s="11"/>
      <c r="J673" s="26" t="str">
        <f t="shared" si="18"/>
        <v/>
      </c>
      <c r="K673" s="11"/>
      <c r="L673" s="11"/>
      <c r="M673" s="11"/>
      <c r="N673" s="11"/>
      <c r="O673" s="26" t="str">
        <f t="shared" si="19"/>
        <v/>
      </c>
      <c r="P673" s="11"/>
    </row>
    <row r="674" spans="1:16" ht="15" customHeight="1" x14ac:dyDescent="0.25">
      <c r="A674" s="25"/>
      <c r="B674" s="25"/>
      <c r="C674" s="26" t="str">
        <f>IFERROR(IF(OR(A674="",B674=""),"",INDEX(Equipements!$H:$H,MATCH(A674,Equipements!$A:$A,0))&amp;"."&amp;B674),"")</f>
        <v/>
      </c>
      <c r="D674" s="11"/>
      <c r="E674" s="25"/>
      <c r="F674" s="25"/>
      <c r="G674" s="25"/>
      <c r="H674" s="11"/>
      <c r="I674" s="11"/>
      <c r="J674" s="26" t="str">
        <f t="shared" si="18"/>
        <v/>
      </c>
      <c r="K674" s="11"/>
      <c r="L674" s="11"/>
      <c r="M674" s="11"/>
      <c r="N674" s="11"/>
      <c r="O674" s="26" t="str">
        <f t="shared" si="19"/>
        <v/>
      </c>
      <c r="P674" s="11"/>
    </row>
    <row r="675" spans="1:16" ht="15" customHeight="1" x14ac:dyDescent="0.25">
      <c r="A675" s="25"/>
      <c r="B675" s="25"/>
      <c r="C675" s="26" t="str">
        <f>IFERROR(IF(OR(A675="",B675=""),"",INDEX(Equipements!$H:$H,MATCH(A675,Equipements!$A:$A,0))&amp;"."&amp;B675),"")</f>
        <v/>
      </c>
      <c r="D675" s="11"/>
      <c r="E675" s="25"/>
      <c r="F675" s="25"/>
      <c r="G675" s="25"/>
      <c r="H675" s="11"/>
      <c r="I675" s="11"/>
      <c r="J675" s="26" t="str">
        <f t="shared" si="18"/>
        <v/>
      </c>
      <c r="K675" s="11"/>
      <c r="L675" s="11"/>
      <c r="M675" s="11"/>
      <c r="N675" s="11"/>
      <c r="O675" s="26" t="str">
        <f t="shared" si="19"/>
        <v/>
      </c>
      <c r="P675" s="11"/>
    </row>
    <row r="676" spans="1:16" ht="15" customHeight="1" x14ac:dyDescent="0.25">
      <c r="A676" s="25"/>
      <c r="B676" s="25"/>
      <c r="C676" s="26" t="str">
        <f>IFERROR(IF(OR(A676="",B676=""),"",INDEX(Equipements!$H:$H,MATCH(A676,Equipements!$A:$A,0))&amp;"."&amp;B676),"")</f>
        <v/>
      </c>
      <c r="D676" s="11"/>
      <c r="E676" s="25"/>
      <c r="F676" s="25"/>
      <c r="G676" s="25"/>
      <c r="H676" s="11"/>
      <c r="I676" s="11"/>
      <c r="J676" s="26" t="str">
        <f t="shared" si="18"/>
        <v/>
      </c>
      <c r="K676" s="11"/>
      <c r="L676" s="11"/>
      <c r="M676" s="11"/>
      <c r="N676" s="11"/>
      <c r="O676" s="26" t="str">
        <f t="shared" si="19"/>
        <v/>
      </c>
      <c r="P676" s="11"/>
    </row>
    <row r="677" spans="1:16" ht="15" customHeight="1" x14ac:dyDescent="0.25">
      <c r="A677" s="25"/>
      <c r="B677" s="25"/>
      <c r="C677" s="26" t="str">
        <f>IFERROR(IF(OR(A677="",B677=""),"",INDEX(Equipements!$H:$H,MATCH(A677,Equipements!$A:$A,0))&amp;"."&amp;B677),"")</f>
        <v/>
      </c>
      <c r="D677" s="11"/>
      <c r="E677" s="25"/>
      <c r="F677" s="25"/>
      <c r="G677" s="25"/>
      <c r="H677" s="11"/>
      <c r="I677" s="11"/>
      <c r="J677" s="26" t="str">
        <f t="shared" si="18"/>
        <v/>
      </c>
      <c r="K677" s="11"/>
      <c r="L677" s="11"/>
      <c r="M677" s="11"/>
      <c r="N677" s="11"/>
      <c r="O677" s="26" t="str">
        <f t="shared" si="19"/>
        <v/>
      </c>
      <c r="P677" s="11"/>
    </row>
    <row r="678" spans="1:16" ht="15" customHeight="1" x14ac:dyDescent="0.25">
      <c r="A678" s="25"/>
      <c r="B678" s="25"/>
      <c r="C678" s="26" t="str">
        <f>IFERROR(IF(OR(A678="",B678=""),"",INDEX(Equipements!$H:$H,MATCH(A678,Equipements!$A:$A,0))&amp;"."&amp;B678),"")</f>
        <v/>
      </c>
      <c r="D678" s="11"/>
      <c r="E678" s="25"/>
      <c r="F678" s="25"/>
      <c r="G678" s="25"/>
      <c r="H678" s="11"/>
      <c r="I678" s="11"/>
      <c r="J678" s="26" t="str">
        <f t="shared" si="18"/>
        <v/>
      </c>
      <c r="K678" s="11"/>
      <c r="L678" s="11"/>
      <c r="M678" s="11"/>
      <c r="N678" s="11"/>
      <c r="O678" s="26" t="str">
        <f t="shared" si="19"/>
        <v/>
      </c>
      <c r="P678" s="11"/>
    </row>
    <row r="679" spans="1:16" ht="15" customHeight="1" x14ac:dyDescent="0.25">
      <c r="A679" s="25"/>
      <c r="B679" s="25"/>
      <c r="C679" s="26" t="str">
        <f>IFERROR(IF(OR(A679="",B679=""),"",INDEX(Equipements!$H:$H,MATCH(A679,Equipements!$A:$A,0))&amp;"."&amp;B679),"")</f>
        <v/>
      </c>
      <c r="D679" s="11"/>
      <c r="E679" s="25"/>
      <c r="F679" s="25"/>
      <c r="G679" s="25"/>
      <c r="H679" s="11"/>
      <c r="I679" s="11"/>
      <c r="J679" s="26" t="str">
        <f t="shared" si="18"/>
        <v/>
      </c>
      <c r="K679" s="11"/>
      <c r="L679" s="11"/>
      <c r="M679" s="11"/>
      <c r="N679" s="11"/>
      <c r="O679" s="26" t="str">
        <f t="shared" si="19"/>
        <v/>
      </c>
      <c r="P679" s="11"/>
    </row>
    <row r="680" spans="1:16" ht="15" customHeight="1" x14ac:dyDescent="0.25">
      <c r="A680" s="25"/>
      <c r="B680" s="25"/>
      <c r="C680" s="26" t="str">
        <f>IFERROR(IF(OR(A680="",B680=""),"",INDEX(Equipements!$H:$H,MATCH(A680,Equipements!$A:$A,0))&amp;"."&amp;B680),"")</f>
        <v/>
      </c>
      <c r="D680" s="11"/>
      <c r="E680" s="25"/>
      <c r="F680" s="25"/>
      <c r="G680" s="25"/>
      <c r="H680" s="11"/>
      <c r="I680" s="11"/>
      <c r="J680" s="26" t="str">
        <f t="shared" si="18"/>
        <v/>
      </c>
      <c r="K680" s="11"/>
      <c r="L680" s="11"/>
      <c r="M680" s="11"/>
      <c r="N680" s="11"/>
      <c r="O680" s="26" t="str">
        <f t="shared" si="19"/>
        <v/>
      </c>
      <c r="P680" s="11"/>
    </row>
    <row r="681" spans="1:16" ht="15" customHeight="1" x14ac:dyDescent="0.25">
      <c r="A681" s="25"/>
      <c r="B681" s="25"/>
      <c r="C681" s="26" t="str">
        <f>IFERROR(IF(OR(A681="",B681=""),"",INDEX(Equipements!$H:$H,MATCH(A681,Equipements!$A:$A,0))&amp;"."&amp;B681),"")</f>
        <v/>
      </c>
      <c r="D681" s="11"/>
      <c r="E681" s="25"/>
      <c r="F681" s="25"/>
      <c r="G681" s="25"/>
      <c r="H681" s="11"/>
      <c r="I681" s="11"/>
      <c r="J681" s="26" t="str">
        <f t="shared" si="18"/>
        <v/>
      </c>
      <c r="K681" s="11"/>
      <c r="L681" s="11"/>
      <c r="M681" s="11"/>
      <c r="N681" s="11"/>
      <c r="O681" s="26" t="str">
        <f t="shared" si="19"/>
        <v/>
      </c>
      <c r="P681" s="11"/>
    </row>
    <row r="682" spans="1:16" ht="15" customHeight="1" x14ac:dyDescent="0.25">
      <c r="A682" s="25"/>
      <c r="B682" s="25"/>
      <c r="C682" s="26" t="str">
        <f>IFERROR(IF(OR(A682="",B682=""),"",INDEX(Equipements!$H:$H,MATCH(A682,Equipements!$A:$A,0))&amp;"."&amp;B682),"")</f>
        <v/>
      </c>
      <c r="D682" s="11"/>
      <c r="E682" s="25"/>
      <c r="F682" s="25"/>
      <c r="G682" s="25"/>
      <c r="H682" s="11"/>
      <c r="I682" s="11"/>
      <c r="J682" s="26" t="str">
        <f t="shared" si="18"/>
        <v/>
      </c>
      <c r="K682" s="11"/>
      <c r="L682" s="11"/>
      <c r="M682" s="11"/>
      <c r="N682" s="11"/>
      <c r="O682" s="26" t="str">
        <f t="shared" si="19"/>
        <v/>
      </c>
      <c r="P682" s="11"/>
    </row>
    <row r="683" spans="1:16" ht="15" customHeight="1" x14ac:dyDescent="0.25">
      <c r="A683" s="25"/>
      <c r="B683" s="25"/>
      <c r="C683" s="26" t="str">
        <f>IFERROR(IF(OR(A683="",B683=""),"",INDEX(Equipements!$H:$H,MATCH(A683,Equipements!$A:$A,0))&amp;"."&amp;B683),"")</f>
        <v/>
      </c>
      <c r="D683" s="11"/>
      <c r="E683" s="25"/>
      <c r="F683" s="25"/>
      <c r="G683" s="25"/>
      <c r="H683" s="11"/>
      <c r="I683" s="11"/>
      <c r="J683" s="26" t="str">
        <f t="shared" si="18"/>
        <v/>
      </c>
      <c r="K683" s="11"/>
      <c r="L683" s="11"/>
      <c r="M683" s="11"/>
      <c r="N683" s="11"/>
      <c r="O683" s="26" t="str">
        <f t="shared" si="19"/>
        <v/>
      </c>
      <c r="P683" s="11"/>
    </row>
    <row r="684" spans="1:16" ht="15" customHeight="1" x14ac:dyDescent="0.25">
      <c r="A684" s="25"/>
      <c r="B684" s="25"/>
      <c r="C684" s="26" t="str">
        <f>IFERROR(IF(OR(A684="",B684=""),"",INDEX(Equipements!$H:$H,MATCH(A684,Equipements!$A:$A,0))&amp;"."&amp;B684),"")</f>
        <v/>
      </c>
      <c r="D684" s="11"/>
      <c r="E684" s="25"/>
      <c r="F684" s="25"/>
      <c r="G684" s="25"/>
      <c r="H684" s="11"/>
      <c r="I684" s="11"/>
      <c r="J684" s="26" t="str">
        <f t="shared" si="18"/>
        <v/>
      </c>
      <c r="K684" s="11"/>
      <c r="L684" s="11"/>
      <c r="M684" s="11"/>
      <c r="N684" s="11"/>
      <c r="O684" s="26" t="str">
        <f t="shared" si="19"/>
        <v/>
      </c>
      <c r="P684" s="11"/>
    </row>
    <row r="685" spans="1:16" ht="15" customHeight="1" x14ac:dyDescent="0.25">
      <c r="A685" s="25"/>
      <c r="B685" s="25"/>
      <c r="C685" s="26" t="str">
        <f>IFERROR(IF(OR(A685="",B685=""),"",INDEX(Equipements!$H:$H,MATCH(A685,Equipements!$A:$A,0))&amp;"."&amp;B685),"")</f>
        <v/>
      </c>
      <c r="D685" s="11"/>
      <c r="E685" s="25"/>
      <c r="F685" s="25"/>
      <c r="G685" s="25"/>
      <c r="H685" s="11"/>
      <c r="I685" s="11"/>
      <c r="J685" s="26" t="str">
        <f t="shared" si="18"/>
        <v/>
      </c>
      <c r="K685" s="11"/>
      <c r="L685" s="11"/>
      <c r="M685" s="11"/>
      <c r="N685" s="11"/>
      <c r="O685" s="26" t="str">
        <f t="shared" si="19"/>
        <v/>
      </c>
      <c r="P685" s="11"/>
    </row>
    <row r="686" spans="1:16" ht="15" customHeight="1" x14ac:dyDescent="0.25">
      <c r="A686" s="25"/>
      <c r="B686" s="25"/>
      <c r="C686" s="26" t="str">
        <f>IFERROR(IF(OR(A686="",B686=""),"",INDEX(Equipements!$H:$H,MATCH(A686,Equipements!$A:$A,0))&amp;"."&amp;B686),"")</f>
        <v/>
      </c>
      <c r="D686" s="11"/>
      <c r="E686" s="25"/>
      <c r="F686" s="25"/>
      <c r="G686" s="25"/>
      <c r="H686" s="11"/>
      <c r="I686" s="11"/>
      <c r="J686" s="26" t="str">
        <f t="shared" si="18"/>
        <v/>
      </c>
      <c r="K686" s="11"/>
      <c r="L686" s="11"/>
      <c r="M686" s="11"/>
      <c r="N686" s="11"/>
      <c r="O686" s="26" t="str">
        <f t="shared" si="19"/>
        <v/>
      </c>
      <c r="P686" s="11"/>
    </row>
    <row r="687" spans="1:16" ht="15" customHeight="1" x14ac:dyDescent="0.25">
      <c r="A687" s="25"/>
      <c r="B687" s="25"/>
      <c r="C687" s="26" t="str">
        <f>IFERROR(IF(OR(A687="",B687=""),"",INDEX(Equipements!$H:$H,MATCH(A687,Equipements!$A:$A,0))&amp;"."&amp;B687),"")</f>
        <v/>
      </c>
      <c r="D687" s="11"/>
      <c r="E687" s="25"/>
      <c r="F687" s="25"/>
      <c r="G687" s="25"/>
      <c r="H687" s="11"/>
      <c r="I687" s="11"/>
      <c r="J687" s="26" t="str">
        <f t="shared" si="18"/>
        <v/>
      </c>
      <c r="K687" s="11"/>
      <c r="L687" s="11"/>
      <c r="M687" s="11"/>
      <c r="N687" s="11"/>
      <c r="O687" s="26" t="str">
        <f t="shared" si="19"/>
        <v/>
      </c>
      <c r="P687" s="11"/>
    </row>
    <row r="688" spans="1:16" ht="15" customHeight="1" x14ac:dyDescent="0.25">
      <c r="A688" s="25"/>
      <c r="B688" s="25"/>
      <c r="C688" s="26" t="str">
        <f>IFERROR(IF(OR(A688="",B688=""),"",INDEX(Equipements!$H:$H,MATCH(A688,Equipements!$A:$A,0))&amp;"."&amp;B688),"")</f>
        <v/>
      </c>
      <c r="D688" s="11"/>
      <c r="E688" s="25"/>
      <c r="F688" s="25"/>
      <c r="G688" s="25"/>
      <c r="H688" s="11"/>
      <c r="I688" s="11"/>
      <c r="J688" s="26" t="str">
        <f t="shared" si="18"/>
        <v/>
      </c>
      <c r="K688" s="11"/>
      <c r="L688" s="11"/>
      <c r="M688" s="11"/>
      <c r="N688" s="11"/>
      <c r="O688" s="26" t="str">
        <f t="shared" si="19"/>
        <v/>
      </c>
      <c r="P688" s="11"/>
    </row>
    <row r="689" spans="1:16" ht="15" customHeight="1" x14ac:dyDescent="0.25">
      <c r="A689" s="25"/>
      <c r="B689" s="25"/>
      <c r="C689" s="26" t="str">
        <f>IFERROR(IF(OR(A689="",B689=""),"",INDEX(Equipements!$H:$H,MATCH(A689,Equipements!$A:$A,0))&amp;"."&amp;B689),"")</f>
        <v/>
      </c>
      <c r="D689" s="11"/>
      <c r="E689" s="25"/>
      <c r="F689" s="25"/>
      <c r="G689" s="25"/>
      <c r="H689" s="11"/>
      <c r="I689" s="11"/>
      <c r="J689" s="26" t="str">
        <f t="shared" si="18"/>
        <v/>
      </c>
      <c r="K689" s="11"/>
      <c r="L689" s="11"/>
      <c r="M689" s="11"/>
      <c r="N689" s="11"/>
      <c r="O689" s="26" t="str">
        <f t="shared" si="19"/>
        <v/>
      </c>
      <c r="P689" s="11"/>
    </row>
    <row r="690" spans="1:16" ht="15" customHeight="1" x14ac:dyDescent="0.25">
      <c r="A690" s="25"/>
      <c r="B690" s="25"/>
      <c r="C690" s="26" t="str">
        <f>IFERROR(IF(OR(A690="",B690=""),"",INDEX(Equipements!$H:$H,MATCH(A690,Equipements!$A:$A,0))&amp;"."&amp;B690),"")</f>
        <v/>
      </c>
      <c r="D690" s="11"/>
      <c r="E690" s="25"/>
      <c r="F690" s="25"/>
      <c r="G690" s="25"/>
      <c r="H690" s="11"/>
      <c r="I690" s="11"/>
      <c r="J690" s="26" t="str">
        <f t="shared" si="18"/>
        <v/>
      </c>
      <c r="K690" s="11"/>
      <c r="L690" s="11"/>
      <c r="M690" s="11"/>
      <c r="N690" s="11"/>
      <c r="O690" s="26" t="str">
        <f t="shared" si="19"/>
        <v/>
      </c>
      <c r="P690" s="11"/>
    </row>
    <row r="691" spans="1:16" ht="15" customHeight="1" x14ac:dyDescent="0.25">
      <c r="A691" s="25"/>
      <c r="B691" s="25"/>
      <c r="C691" s="26" t="str">
        <f>IFERROR(IF(OR(A691="",B691=""),"",INDEX(Equipements!$H:$H,MATCH(A691,Equipements!$A:$A,0))&amp;"."&amp;B691),"")</f>
        <v/>
      </c>
      <c r="D691" s="11"/>
      <c r="E691" s="25"/>
      <c r="F691" s="25"/>
      <c r="G691" s="25"/>
      <c r="H691" s="11"/>
      <c r="I691" s="11"/>
      <c r="J691" s="26" t="str">
        <f t="shared" si="18"/>
        <v/>
      </c>
      <c r="K691" s="11"/>
      <c r="L691" s="11"/>
      <c r="M691" s="11"/>
      <c r="N691" s="11"/>
      <c r="O691" s="26" t="str">
        <f t="shared" si="19"/>
        <v/>
      </c>
      <c r="P691" s="11"/>
    </row>
    <row r="692" spans="1:16" ht="15" customHeight="1" x14ac:dyDescent="0.25">
      <c r="A692" s="25"/>
      <c r="B692" s="25"/>
      <c r="C692" s="26" t="str">
        <f>IFERROR(IF(OR(A692="",B692=""),"",INDEX(Equipements!$H:$H,MATCH(A692,Equipements!$A:$A,0))&amp;"."&amp;B692),"")</f>
        <v/>
      </c>
      <c r="D692" s="11"/>
      <c r="E692" s="25"/>
      <c r="F692" s="25"/>
      <c r="G692" s="25"/>
      <c r="H692" s="11"/>
      <c r="I692" s="11"/>
      <c r="J692" s="26" t="str">
        <f t="shared" si="18"/>
        <v/>
      </c>
      <c r="K692" s="11"/>
      <c r="L692" s="11"/>
      <c r="M692" s="11"/>
      <c r="N692" s="11"/>
      <c r="O692" s="26" t="str">
        <f t="shared" si="19"/>
        <v/>
      </c>
      <c r="P692" s="11"/>
    </row>
    <row r="693" spans="1:16" ht="15" customHeight="1" x14ac:dyDescent="0.25">
      <c r="A693" s="25"/>
      <c r="B693" s="25"/>
      <c r="C693" s="26" t="str">
        <f>IFERROR(IF(OR(A693="",B693=""),"",INDEX(Equipements!$H:$H,MATCH(A693,Equipements!$A:$A,0))&amp;"."&amp;B693),"")</f>
        <v/>
      </c>
      <c r="D693" s="11"/>
      <c r="E693" s="25"/>
      <c r="F693" s="25"/>
      <c r="G693" s="25"/>
      <c r="H693" s="11"/>
      <c r="I693" s="11"/>
      <c r="J693" s="26" t="str">
        <f t="shared" si="18"/>
        <v/>
      </c>
      <c r="K693" s="11"/>
      <c r="L693" s="11"/>
      <c r="M693" s="11"/>
      <c r="N693" s="11"/>
      <c r="O693" s="26" t="str">
        <f t="shared" si="19"/>
        <v/>
      </c>
      <c r="P693" s="11"/>
    </row>
    <row r="694" spans="1:16" ht="15" customHeight="1" x14ac:dyDescent="0.25">
      <c r="A694" s="25"/>
      <c r="B694" s="25"/>
      <c r="C694" s="26" t="str">
        <f>IFERROR(IF(OR(A694="",B694=""),"",INDEX(Equipements!$H:$H,MATCH(A694,Equipements!$A:$A,0))&amp;"."&amp;B694),"")</f>
        <v/>
      </c>
      <c r="D694" s="11"/>
      <c r="E694" s="25"/>
      <c r="F694" s="25"/>
      <c r="G694" s="25"/>
      <c r="H694" s="11"/>
      <c r="I694" s="11"/>
      <c r="J694" s="26" t="str">
        <f t="shared" si="18"/>
        <v/>
      </c>
      <c r="K694" s="11"/>
      <c r="L694" s="11"/>
      <c r="M694" s="11"/>
      <c r="N694" s="11"/>
      <c r="O694" s="26" t="str">
        <f t="shared" si="19"/>
        <v/>
      </c>
      <c r="P694" s="11"/>
    </row>
    <row r="695" spans="1:16" ht="15" customHeight="1" x14ac:dyDescent="0.25">
      <c r="A695" s="25"/>
      <c r="B695" s="25"/>
      <c r="C695" s="26" t="str">
        <f>IFERROR(IF(OR(A695="",B695=""),"",INDEX(Equipements!$H:$H,MATCH(A695,Equipements!$A:$A,0))&amp;"."&amp;B695),"")</f>
        <v/>
      </c>
      <c r="D695" s="11"/>
      <c r="E695" s="25"/>
      <c r="F695" s="25"/>
      <c r="G695" s="25"/>
      <c r="H695" s="11"/>
      <c r="I695" s="11"/>
      <c r="J695" s="26" t="str">
        <f t="shared" si="18"/>
        <v/>
      </c>
      <c r="K695" s="11"/>
      <c r="L695" s="11"/>
      <c r="M695" s="11"/>
      <c r="N695" s="11"/>
      <c r="O695" s="26" t="str">
        <f t="shared" si="19"/>
        <v/>
      </c>
      <c r="P695" s="11"/>
    </row>
    <row r="696" spans="1:16" ht="15" customHeight="1" x14ac:dyDescent="0.25">
      <c r="A696" s="25"/>
      <c r="B696" s="25"/>
      <c r="C696" s="26" t="str">
        <f>IFERROR(IF(OR(A696="",B696=""),"",INDEX(Equipements!$H:$H,MATCH(A696,Equipements!$A:$A,0))&amp;"."&amp;B696),"")</f>
        <v/>
      </c>
      <c r="D696" s="11"/>
      <c r="E696" s="25"/>
      <c r="F696" s="25"/>
      <c r="G696" s="25"/>
      <c r="H696" s="11"/>
      <c r="I696" s="11"/>
      <c r="J696" s="26" t="str">
        <f t="shared" si="18"/>
        <v/>
      </c>
      <c r="K696" s="11"/>
      <c r="L696" s="11"/>
      <c r="M696" s="11"/>
      <c r="N696" s="11"/>
      <c r="O696" s="26" t="str">
        <f t="shared" si="19"/>
        <v/>
      </c>
      <c r="P696" s="11"/>
    </row>
    <row r="697" spans="1:16" ht="15" customHeight="1" x14ac:dyDescent="0.25">
      <c r="A697" s="25"/>
      <c r="B697" s="25"/>
      <c r="C697" s="26" t="str">
        <f>IFERROR(IF(OR(A697="",B697=""),"",INDEX(Equipements!$H:$H,MATCH(A697,Equipements!$A:$A,0))&amp;"."&amp;B697),"")</f>
        <v/>
      </c>
      <c r="D697" s="11"/>
      <c r="E697" s="25"/>
      <c r="F697" s="25"/>
      <c r="G697" s="25"/>
      <c r="H697" s="11"/>
      <c r="I697" s="11"/>
      <c r="J697" s="26" t="str">
        <f t="shared" si="18"/>
        <v/>
      </c>
      <c r="K697" s="11"/>
      <c r="L697" s="11"/>
      <c r="M697" s="11"/>
      <c r="N697" s="11"/>
      <c r="O697" s="26" t="str">
        <f t="shared" si="19"/>
        <v/>
      </c>
      <c r="P697" s="11"/>
    </row>
    <row r="698" spans="1:16" ht="15" customHeight="1" x14ac:dyDescent="0.25">
      <c r="A698" s="25"/>
      <c r="B698" s="25"/>
      <c r="C698" s="26" t="str">
        <f>IFERROR(IF(OR(A698="",B698=""),"",INDEX(Equipements!$H:$H,MATCH(A698,Equipements!$A:$A,0))&amp;"."&amp;B698),"")</f>
        <v/>
      </c>
      <c r="D698" s="11"/>
      <c r="E698" s="25"/>
      <c r="F698" s="25"/>
      <c r="G698" s="25"/>
      <c r="H698" s="11"/>
      <c r="I698" s="11"/>
      <c r="J698" s="26" t="str">
        <f t="shared" si="18"/>
        <v/>
      </c>
      <c r="K698" s="11"/>
      <c r="L698" s="11"/>
      <c r="M698" s="11"/>
      <c r="N698" s="11"/>
      <c r="O698" s="26" t="str">
        <f t="shared" si="19"/>
        <v/>
      </c>
      <c r="P698" s="11"/>
    </row>
    <row r="699" spans="1:16" ht="15" customHeight="1" x14ac:dyDescent="0.25">
      <c r="A699" s="25"/>
      <c r="B699" s="25"/>
      <c r="C699" s="26" t="str">
        <f>IFERROR(IF(OR(A699="",B699=""),"",INDEX(Equipements!$H:$H,MATCH(A699,Equipements!$A:$A,0))&amp;"."&amp;B699),"")</f>
        <v/>
      </c>
      <c r="D699" s="11"/>
      <c r="E699" s="25"/>
      <c r="F699" s="25"/>
      <c r="G699" s="25"/>
      <c r="H699" s="11"/>
      <c r="I699" s="11"/>
      <c r="J699" s="26" t="str">
        <f t="shared" si="18"/>
        <v/>
      </c>
      <c r="K699" s="11"/>
      <c r="L699" s="11"/>
      <c r="M699" s="11"/>
      <c r="N699" s="11"/>
      <c r="O699" s="26" t="str">
        <f t="shared" si="19"/>
        <v/>
      </c>
      <c r="P699" s="11"/>
    </row>
    <row r="700" spans="1:16" ht="15" customHeight="1" x14ac:dyDescent="0.25">
      <c r="A700" s="25"/>
      <c r="B700" s="25"/>
      <c r="C700" s="26" t="str">
        <f>IFERROR(IF(OR(A700="",B700=""),"",INDEX(Equipements!$H:$H,MATCH(A700,Equipements!$A:$A,0))&amp;"."&amp;B700),"")</f>
        <v/>
      </c>
      <c r="D700" s="11"/>
      <c r="E700" s="25"/>
      <c r="F700" s="25"/>
      <c r="G700" s="25"/>
      <c r="H700" s="11"/>
      <c r="I700" s="11"/>
      <c r="J700" s="26" t="str">
        <f t="shared" si="18"/>
        <v/>
      </c>
      <c r="K700" s="11"/>
      <c r="L700" s="11"/>
      <c r="M700" s="11"/>
      <c r="N700" s="11"/>
      <c r="O700" s="26" t="str">
        <f t="shared" si="19"/>
        <v/>
      </c>
      <c r="P700" s="11"/>
    </row>
    <row r="701" spans="1:16" ht="15" customHeight="1" x14ac:dyDescent="0.25">
      <c r="A701" s="25"/>
      <c r="B701" s="25"/>
      <c r="C701" s="26" t="str">
        <f>IFERROR(IF(OR(A701="",B701=""),"",INDEX(Equipements!$H:$H,MATCH(A701,Equipements!$A:$A,0))&amp;"."&amp;B701),"")</f>
        <v/>
      </c>
      <c r="D701" s="11"/>
      <c r="E701" s="25"/>
      <c r="F701" s="25"/>
      <c r="G701" s="25"/>
      <c r="H701" s="11"/>
      <c r="I701" s="11"/>
      <c r="J701" s="26" t="str">
        <f t="shared" si="18"/>
        <v/>
      </c>
      <c r="K701" s="11"/>
      <c r="L701" s="11"/>
      <c r="M701" s="11"/>
      <c r="N701" s="11"/>
      <c r="O701" s="26" t="str">
        <f t="shared" si="19"/>
        <v/>
      </c>
      <c r="P701" s="11"/>
    </row>
    <row r="702" spans="1:16" ht="15" customHeight="1" x14ac:dyDescent="0.25">
      <c r="A702" s="25"/>
      <c r="B702" s="25"/>
      <c r="C702" s="26" t="str">
        <f>IFERROR(IF(OR(A702="",B702=""),"",INDEX(Equipements!$H:$H,MATCH(A702,Equipements!$A:$A,0))&amp;"."&amp;B702),"")</f>
        <v/>
      </c>
      <c r="D702" s="11"/>
      <c r="E702" s="25"/>
      <c r="F702" s="25"/>
      <c r="G702" s="25"/>
      <c r="H702" s="11"/>
      <c r="I702" s="11"/>
      <c r="J702" s="26" t="str">
        <f t="shared" si="18"/>
        <v/>
      </c>
      <c r="K702" s="11"/>
      <c r="L702" s="11"/>
      <c r="M702" s="11"/>
      <c r="N702" s="11"/>
      <c r="O702" s="26" t="str">
        <f t="shared" si="19"/>
        <v/>
      </c>
      <c r="P702" s="11"/>
    </row>
    <row r="703" spans="1:16" ht="15" customHeight="1" x14ac:dyDescent="0.25">
      <c r="A703" s="25"/>
      <c r="B703" s="25"/>
      <c r="C703" s="26" t="str">
        <f>IFERROR(IF(OR(A703="",B703=""),"",INDEX(Equipements!$H:$H,MATCH(A703,Equipements!$A:$A,0))&amp;"."&amp;B703),"")</f>
        <v/>
      </c>
      <c r="D703" s="11"/>
      <c r="E703" s="25"/>
      <c r="F703" s="25"/>
      <c r="G703" s="25"/>
      <c r="H703" s="11"/>
      <c r="I703" s="11"/>
      <c r="J703" s="26" t="str">
        <f t="shared" si="18"/>
        <v/>
      </c>
      <c r="K703" s="11"/>
      <c r="L703" s="11"/>
      <c r="M703" s="11"/>
      <c r="N703" s="11"/>
      <c r="O703" s="26" t="str">
        <f t="shared" si="19"/>
        <v/>
      </c>
      <c r="P703" s="11"/>
    </row>
    <row r="704" spans="1:16" ht="15" customHeight="1" x14ac:dyDescent="0.25">
      <c r="A704" s="25"/>
      <c r="B704" s="25"/>
      <c r="C704" s="26" t="str">
        <f>IFERROR(IF(OR(A704="",B704=""),"",INDEX(Equipements!$H:$H,MATCH(A704,Equipements!$A:$A,0))&amp;"."&amp;B704),"")</f>
        <v/>
      </c>
      <c r="D704" s="11"/>
      <c r="E704" s="25"/>
      <c r="F704" s="25"/>
      <c r="G704" s="25"/>
      <c r="H704" s="11"/>
      <c r="I704" s="11"/>
      <c r="J704" s="26" t="str">
        <f t="shared" si="18"/>
        <v/>
      </c>
      <c r="K704" s="11"/>
      <c r="L704" s="11"/>
      <c r="M704" s="11"/>
      <c r="N704" s="11"/>
      <c r="O704" s="26" t="str">
        <f t="shared" si="19"/>
        <v/>
      </c>
      <c r="P704" s="11"/>
    </row>
    <row r="705" spans="1:16" ht="15" customHeight="1" x14ac:dyDescent="0.25">
      <c r="A705" s="25"/>
      <c r="B705" s="25"/>
      <c r="C705" s="26" t="str">
        <f>IFERROR(IF(OR(A705="",B705=""),"",INDEX(Equipements!$H:$H,MATCH(A705,Equipements!$A:$A,0))&amp;"."&amp;B705),"")</f>
        <v/>
      </c>
      <c r="D705" s="11"/>
      <c r="E705" s="25"/>
      <c r="F705" s="25"/>
      <c r="G705" s="25"/>
      <c r="H705" s="11"/>
      <c r="I705" s="11"/>
      <c r="J705" s="26" t="str">
        <f t="shared" si="18"/>
        <v/>
      </c>
      <c r="K705" s="11"/>
      <c r="L705" s="11"/>
      <c r="M705" s="11"/>
      <c r="N705" s="11"/>
      <c r="O705" s="26" t="str">
        <f t="shared" si="19"/>
        <v/>
      </c>
      <c r="P705" s="11"/>
    </row>
    <row r="706" spans="1:16" ht="15" customHeight="1" x14ac:dyDescent="0.25">
      <c r="A706" s="25"/>
      <c r="B706" s="25"/>
      <c r="C706" s="26" t="str">
        <f>IFERROR(IF(OR(A706="",B706=""),"",INDEX(Equipements!$H:$H,MATCH(A706,Equipements!$A:$A,0))&amp;"."&amp;B706),"")</f>
        <v/>
      </c>
      <c r="D706" s="11"/>
      <c r="E706" s="25"/>
      <c r="F706" s="25"/>
      <c r="G706" s="25"/>
      <c r="H706" s="11"/>
      <c r="I706" s="11"/>
      <c r="J706" s="26" t="str">
        <f t="shared" si="18"/>
        <v/>
      </c>
      <c r="K706" s="11"/>
      <c r="L706" s="11"/>
      <c r="M706" s="11"/>
      <c r="N706" s="11"/>
      <c r="O706" s="26" t="str">
        <f t="shared" si="19"/>
        <v/>
      </c>
      <c r="P706" s="11"/>
    </row>
    <row r="707" spans="1:16" ht="15" customHeight="1" x14ac:dyDescent="0.25">
      <c r="A707" s="25"/>
      <c r="B707" s="25"/>
      <c r="C707" s="26" t="str">
        <f>IFERROR(IF(OR(A707="",B707=""),"",INDEX(Equipements!$H:$H,MATCH(A707,Equipements!$A:$A,0))&amp;"."&amp;B707),"")</f>
        <v/>
      </c>
      <c r="D707" s="11"/>
      <c r="E707" s="25"/>
      <c r="F707" s="25"/>
      <c r="G707" s="25"/>
      <c r="H707" s="11"/>
      <c r="I707" s="11"/>
      <c r="J707" s="26" t="str">
        <f t="shared" si="18"/>
        <v/>
      </c>
      <c r="K707" s="11"/>
      <c r="L707" s="11"/>
      <c r="M707" s="11"/>
      <c r="N707" s="11"/>
      <c r="O707" s="26" t="str">
        <f t="shared" si="19"/>
        <v/>
      </c>
      <c r="P707" s="11"/>
    </row>
    <row r="708" spans="1:16" ht="15" customHeight="1" x14ac:dyDescent="0.25">
      <c r="A708" s="25"/>
      <c r="B708" s="25"/>
      <c r="C708" s="26" t="str">
        <f>IFERROR(IF(OR(A708="",B708=""),"",INDEX(Equipements!$H:$H,MATCH(A708,Equipements!$A:$A,0))&amp;"."&amp;B708),"")</f>
        <v/>
      </c>
      <c r="D708" s="11"/>
      <c r="E708" s="25"/>
      <c r="F708" s="25"/>
      <c r="G708" s="25"/>
      <c r="H708" s="11"/>
      <c r="I708" s="11"/>
      <c r="J708" s="26" t="str">
        <f t="shared" si="18"/>
        <v/>
      </c>
      <c r="K708" s="11"/>
      <c r="L708" s="11"/>
      <c r="M708" s="11"/>
      <c r="N708" s="11"/>
      <c r="O708" s="26" t="str">
        <f t="shared" si="19"/>
        <v/>
      </c>
      <c r="P708" s="11"/>
    </row>
    <row r="709" spans="1:16" ht="15" customHeight="1" x14ac:dyDescent="0.25">
      <c r="A709" s="25"/>
      <c r="B709" s="25"/>
      <c r="C709" s="26" t="str">
        <f>IFERROR(IF(OR(A709="",B709=""),"",INDEX(Equipements!$H:$H,MATCH(A709,Equipements!$A:$A,0))&amp;"."&amp;B709),"")</f>
        <v/>
      </c>
      <c r="D709" s="11"/>
      <c r="E709" s="25"/>
      <c r="F709" s="25"/>
      <c r="G709" s="25"/>
      <c r="H709" s="11"/>
      <c r="I709" s="11"/>
      <c r="J709" s="26" t="str">
        <f t="shared" si="18"/>
        <v/>
      </c>
      <c r="K709" s="11"/>
      <c r="L709" s="11"/>
      <c r="M709" s="11"/>
      <c r="N709" s="11"/>
      <c r="O709" s="26" t="str">
        <f t="shared" si="19"/>
        <v/>
      </c>
      <c r="P709" s="11"/>
    </row>
    <row r="710" spans="1:16" ht="15" customHeight="1" x14ac:dyDescent="0.25">
      <c r="A710" s="25"/>
      <c r="B710" s="25"/>
      <c r="C710" s="26" t="str">
        <f>IFERROR(IF(OR(A710="",B710=""),"",INDEX(Equipements!$H:$H,MATCH(A710,Equipements!$A:$A,0))&amp;"."&amp;B710),"")</f>
        <v/>
      </c>
      <c r="D710" s="11"/>
      <c r="E710" s="25"/>
      <c r="F710" s="25"/>
      <c r="G710" s="25"/>
      <c r="H710" s="11"/>
      <c r="I710" s="11"/>
      <c r="J710" s="26" t="str">
        <f t="shared" si="18"/>
        <v/>
      </c>
      <c r="K710" s="11"/>
      <c r="L710" s="11"/>
      <c r="M710" s="11"/>
      <c r="N710" s="11"/>
      <c r="O710" s="26" t="str">
        <f t="shared" si="19"/>
        <v/>
      </c>
      <c r="P710" s="11"/>
    </row>
    <row r="711" spans="1:16" ht="15" customHeight="1" x14ac:dyDescent="0.25">
      <c r="A711" s="25"/>
      <c r="B711" s="25"/>
      <c r="C711" s="26" t="str">
        <f>IFERROR(IF(OR(A711="",B711=""),"",INDEX(Equipements!$H:$H,MATCH(A711,Equipements!$A:$A,0))&amp;"."&amp;B711),"")</f>
        <v/>
      </c>
      <c r="D711" s="11"/>
      <c r="E711" s="25"/>
      <c r="F711" s="25"/>
      <c r="G711" s="25"/>
      <c r="H711" s="11"/>
      <c r="I711" s="11"/>
      <c r="J711" s="26" t="str">
        <f t="shared" si="18"/>
        <v/>
      </c>
      <c r="K711" s="11"/>
      <c r="L711" s="11"/>
      <c r="M711" s="11"/>
      <c r="N711" s="11"/>
      <c r="O711" s="26" t="str">
        <f t="shared" si="19"/>
        <v/>
      </c>
      <c r="P711" s="11"/>
    </row>
    <row r="712" spans="1:16" ht="15" customHeight="1" x14ac:dyDescent="0.25">
      <c r="A712" s="25"/>
      <c r="B712" s="25"/>
      <c r="C712" s="26" t="str">
        <f>IFERROR(IF(OR(A712="",B712=""),"",INDEX(Equipements!$H:$H,MATCH(A712,Equipements!$A:$A,0))&amp;"."&amp;B712),"")</f>
        <v/>
      </c>
      <c r="D712" s="11"/>
      <c r="E712" s="25"/>
      <c r="F712" s="25"/>
      <c r="G712" s="25"/>
      <c r="H712" s="11"/>
      <c r="I712" s="11"/>
      <c r="J712" s="26" t="str">
        <f t="shared" si="18"/>
        <v/>
      </c>
      <c r="K712" s="11"/>
      <c r="L712" s="11"/>
      <c r="M712" s="11"/>
      <c r="N712" s="11"/>
      <c r="O712" s="26" t="str">
        <f t="shared" si="19"/>
        <v/>
      </c>
      <c r="P712" s="11"/>
    </row>
    <row r="713" spans="1:16" ht="15" customHeight="1" x14ac:dyDescent="0.25">
      <c r="A713" s="25"/>
      <c r="B713" s="25"/>
      <c r="C713" s="26" t="str">
        <f>IFERROR(IF(OR(A713="",B713=""),"",INDEX(Equipements!$H:$H,MATCH(A713,Equipements!$A:$A,0))&amp;"."&amp;B713),"")</f>
        <v/>
      </c>
      <c r="D713" s="11"/>
      <c r="E713" s="25"/>
      <c r="F713" s="25"/>
      <c r="G713" s="25"/>
      <c r="H713" s="11"/>
      <c r="I713" s="11"/>
      <c r="J713" s="26" t="str">
        <f t="shared" ref="J713:J776" si="20">IF(OR(G713="",H713=""),"","%"&amp;G713&amp;H713)</f>
        <v/>
      </c>
      <c r="K713" s="11"/>
      <c r="L713" s="11"/>
      <c r="M713" s="11"/>
      <c r="N713" s="11"/>
      <c r="O713" s="26" t="str">
        <f t="shared" ref="O713:O776" si="21">IF(H713="","",IF(I713="","mot entier","bit "&amp;I713))</f>
        <v/>
      </c>
      <c r="P713" s="11"/>
    </row>
    <row r="714" spans="1:16" ht="15" customHeight="1" x14ac:dyDescent="0.25">
      <c r="A714" s="25"/>
      <c r="B714" s="25"/>
      <c r="C714" s="26" t="str">
        <f>IFERROR(IF(OR(A714="",B714=""),"",INDEX(Equipements!$H:$H,MATCH(A714,Equipements!$A:$A,0))&amp;"."&amp;B714),"")</f>
        <v/>
      </c>
      <c r="D714" s="11"/>
      <c r="E714" s="25"/>
      <c r="F714" s="25"/>
      <c r="G714" s="25"/>
      <c r="H714" s="11"/>
      <c r="I714" s="11"/>
      <c r="J714" s="26" t="str">
        <f t="shared" si="20"/>
        <v/>
      </c>
      <c r="K714" s="11"/>
      <c r="L714" s="11"/>
      <c r="M714" s="11"/>
      <c r="N714" s="11"/>
      <c r="O714" s="26" t="str">
        <f t="shared" si="21"/>
        <v/>
      </c>
      <c r="P714" s="11"/>
    </row>
    <row r="715" spans="1:16" ht="15" customHeight="1" x14ac:dyDescent="0.25">
      <c r="A715" s="25"/>
      <c r="B715" s="25"/>
      <c r="C715" s="26" t="str">
        <f>IFERROR(IF(OR(A715="",B715=""),"",INDEX(Equipements!$H:$H,MATCH(A715,Equipements!$A:$A,0))&amp;"."&amp;B715),"")</f>
        <v/>
      </c>
      <c r="D715" s="11"/>
      <c r="E715" s="25"/>
      <c r="F715" s="25"/>
      <c r="G715" s="25"/>
      <c r="H715" s="11"/>
      <c r="I715" s="11"/>
      <c r="J715" s="26" t="str">
        <f t="shared" si="20"/>
        <v/>
      </c>
      <c r="K715" s="11"/>
      <c r="L715" s="11"/>
      <c r="M715" s="11"/>
      <c r="N715" s="11"/>
      <c r="O715" s="26" t="str">
        <f t="shared" si="21"/>
        <v/>
      </c>
      <c r="P715" s="11"/>
    </row>
    <row r="716" spans="1:16" ht="15" customHeight="1" x14ac:dyDescent="0.25">
      <c r="A716" s="25"/>
      <c r="B716" s="25"/>
      <c r="C716" s="26" t="str">
        <f>IFERROR(IF(OR(A716="",B716=""),"",INDEX(Equipements!$H:$H,MATCH(A716,Equipements!$A:$A,0))&amp;"."&amp;B716),"")</f>
        <v/>
      </c>
      <c r="D716" s="11"/>
      <c r="E716" s="25"/>
      <c r="F716" s="25"/>
      <c r="G716" s="25"/>
      <c r="H716" s="11"/>
      <c r="I716" s="11"/>
      <c r="J716" s="26" t="str">
        <f t="shared" si="20"/>
        <v/>
      </c>
      <c r="K716" s="11"/>
      <c r="L716" s="11"/>
      <c r="M716" s="11"/>
      <c r="N716" s="11"/>
      <c r="O716" s="26" t="str">
        <f t="shared" si="21"/>
        <v/>
      </c>
      <c r="P716" s="11"/>
    </row>
    <row r="717" spans="1:16" ht="15" customHeight="1" x14ac:dyDescent="0.25">
      <c r="A717" s="25"/>
      <c r="B717" s="25"/>
      <c r="C717" s="26" t="str">
        <f>IFERROR(IF(OR(A717="",B717=""),"",INDEX(Equipements!$H:$H,MATCH(A717,Equipements!$A:$A,0))&amp;"."&amp;B717),"")</f>
        <v/>
      </c>
      <c r="D717" s="11"/>
      <c r="E717" s="25"/>
      <c r="F717" s="25"/>
      <c r="G717" s="25"/>
      <c r="H717" s="11"/>
      <c r="I717" s="11"/>
      <c r="J717" s="26" t="str">
        <f t="shared" si="20"/>
        <v/>
      </c>
      <c r="K717" s="11"/>
      <c r="L717" s="11"/>
      <c r="M717" s="11"/>
      <c r="N717" s="11"/>
      <c r="O717" s="26" t="str">
        <f t="shared" si="21"/>
        <v/>
      </c>
      <c r="P717" s="11"/>
    </row>
    <row r="718" spans="1:16" ht="15" customHeight="1" x14ac:dyDescent="0.25">
      <c r="A718" s="25"/>
      <c r="B718" s="25"/>
      <c r="C718" s="26" t="str">
        <f>IFERROR(IF(OR(A718="",B718=""),"",INDEX(Equipements!$H:$H,MATCH(A718,Equipements!$A:$A,0))&amp;"."&amp;B718),"")</f>
        <v/>
      </c>
      <c r="D718" s="11"/>
      <c r="E718" s="25"/>
      <c r="F718" s="25"/>
      <c r="G718" s="25"/>
      <c r="H718" s="11"/>
      <c r="I718" s="11"/>
      <c r="J718" s="26" t="str">
        <f t="shared" si="20"/>
        <v/>
      </c>
      <c r="K718" s="11"/>
      <c r="L718" s="11"/>
      <c r="M718" s="11"/>
      <c r="N718" s="11"/>
      <c r="O718" s="26" t="str">
        <f t="shared" si="21"/>
        <v/>
      </c>
      <c r="P718" s="11"/>
    </row>
    <row r="719" spans="1:16" ht="15" customHeight="1" x14ac:dyDescent="0.25">
      <c r="A719" s="25"/>
      <c r="B719" s="25"/>
      <c r="C719" s="26" t="str">
        <f>IFERROR(IF(OR(A719="",B719=""),"",INDEX(Equipements!$H:$H,MATCH(A719,Equipements!$A:$A,0))&amp;"."&amp;B719),"")</f>
        <v/>
      </c>
      <c r="D719" s="11"/>
      <c r="E719" s="25"/>
      <c r="F719" s="25"/>
      <c r="G719" s="25"/>
      <c r="H719" s="11"/>
      <c r="I719" s="11"/>
      <c r="J719" s="26" t="str">
        <f t="shared" si="20"/>
        <v/>
      </c>
      <c r="K719" s="11"/>
      <c r="L719" s="11"/>
      <c r="M719" s="11"/>
      <c r="N719" s="11"/>
      <c r="O719" s="26" t="str">
        <f t="shared" si="21"/>
        <v/>
      </c>
      <c r="P719" s="11"/>
    </row>
    <row r="720" spans="1:16" ht="15" customHeight="1" x14ac:dyDescent="0.25">
      <c r="A720" s="25"/>
      <c r="B720" s="25"/>
      <c r="C720" s="26" t="str">
        <f>IFERROR(IF(OR(A720="",B720=""),"",INDEX(Equipements!$H:$H,MATCH(A720,Equipements!$A:$A,0))&amp;"."&amp;B720),"")</f>
        <v/>
      </c>
      <c r="D720" s="11"/>
      <c r="E720" s="25"/>
      <c r="F720" s="25"/>
      <c r="G720" s="25"/>
      <c r="H720" s="11"/>
      <c r="I720" s="11"/>
      <c r="J720" s="26" t="str">
        <f t="shared" si="20"/>
        <v/>
      </c>
      <c r="K720" s="11"/>
      <c r="L720" s="11"/>
      <c r="M720" s="11"/>
      <c r="N720" s="11"/>
      <c r="O720" s="26" t="str">
        <f t="shared" si="21"/>
        <v/>
      </c>
      <c r="P720" s="11"/>
    </row>
    <row r="721" spans="1:16" ht="15" customHeight="1" x14ac:dyDescent="0.25">
      <c r="A721" s="25"/>
      <c r="B721" s="25"/>
      <c r="C721" s="26" t="str">
        <f>IFERROR(IF(OR(A721="",B721=""),"",INDEX(Equipements!$H:$H,MATCH(A721,Equipements!$A:$A,0))&amp;"."&amp;B721),"")</f>
        <v/>
      </c>
      <c r="D721" s="11"/>
      <c r="E721" s="25"/>
      <c r="F721" s="25"/>
      <c r="G721" s="25"/>
      <c r="H721" s="11"/>
      <c r="I721" s="11"/>
      <c r="J721" s="26" t="str">
        <f t="shared" si="20"/>
        <v/>
      </c>
      <c r="K721" s="11"/>
      <c r="L721" s="11"/>
      <c r="M721" s="11"/>
      <c r="N721" s="11"/>
      <c r="O721" s="26" t="str">
        <f t="shared" si="21"/>
        <v/>
      </c>
      <c r="P721" s="11"/>
    </row>
    <row r="722" spans="1:16" ht="15" customHeight="1" x14ac:dyDescent="0.25">
      <c r="A722" s="25"/>
      <c r="B722" s="25"/>
      <c r="C722" s="26" t="str">
        <f>IFERROR(IF(OR(A722="",B722=""),"",INDEX(Equipements!$H:$H,MATCH(A722,Equipements!$A:$A,0))&amp;"."&amp;B722),"")</f>
        <v/>
      </c>
      <c r="D722" s="11"/>
      <c r="E722" s="25"/>
      <c r="F722" s="25"/>
      <c r="G722" s="25"/>
      <c r="H722" s="11"/>
      <c r="I722" s="11"/>
      <c r="J722" s="26" t="str">
        <f t="shared" si="20"/>
        <v/>
      </c>
      <c r="K722" s="11"/>
      <c r="L722" s="11"/>
      <c r="M722" s="11"/>
      <c r="N722" s="11"/>
      <c r="O722" s="26" t="str">
        <f t="shared" si="21"/>
        <v/>
      </c>
      <c r="P722" s="11"/>
    </row>
    <row r="723" spans="1:16" ht="15" customHeight="1" x14ac:dyDescent="0.25">
      <c r="A723" s="25"/>
      <c r="B723" s="25"/>
      <c r="C723" s="26" t="str">
        <f>IFERROR(IF(OR(A723="",B723=""),"",INDEX(Equipements!$H:$H,MATCH(A723,Equipements!$A:$A,0))&amp;"."&amp;B723),"")</f>
        <v/>
      </c>
      <c r="D723" s="11"/>
      <c r="E723" s="25"/>
      <c r="F723" s="25"/>
      <c r="G723" s="25"/>
      <c r="H723" s="11"/>
      <c r="I723" s="11"/>
      <c r="J723" s="26" t="str">
        <f t="shared" si="20"/>
        <v/>
      </c>
      <c r="K723" s="11"/>
      <c r="L723" s="11"/>
      <c r="M723" s="11"/>
      <c r="N723" s="11"/>
      <c r="O723" s="26" t="str">
        <f t="shared" si="21"/>
        <v/>
      </c>
      <c r="P723" s="11"/>
    </row>
    <row r="724" spans="1:16" ht="15" customHeight="1" x14ac:dyDescent="0.25">
      <c r="A724" s="25"/>
      <c r="B724" s="25"/>
      <c r="C724" s="26" t="str">
        <f>IFERROR(IF(OR(A724="",B724=""),"",INDEX(Equipements!$H:$H,MATCH(A724,Equipements!$A:$A,0))&amp;"."&amp;B724),"")</f>
        <v/>
      </c>
      <c r="D724" s="11"/>
      <c r="E724" s="25"/>
      <c r="F724" s="25"/>
      <c r="G724" s="25"/>
      <c r="H724" s="11"/>
      <c r="I724" s="11"/>
      <c r="J724" s="26" t="str">
        <f t="shared" si="20"/>
        <v/>
      </c>
      <c r="K724" s="11"/>
      <c r="L724" s="11"/>
      <c r="M724" s="11"/>
      <c r="N724" s="11"/>
      <c r="O724" s="26" t="str">
        <f t="shared" si="21"/>
        <v/>
      </c>
      <c r="P724" s="11"/>
    </row>
    <row r="725" spans="1:16" ht="15" customHeight="1" x14ac:dyDescent="0.25">
      <c r="A725" s="25"/>
      <c r="B725" s="25"/>
      <c r="C725" s="26" t="str">
        <f>IFERROR(IF(OR(A725="",B725=""),"",INDEX(Equipements!$H:$H,MATCH(A725,Equipements!$A:$A,0))&amp;"."&amp;B725),"")</f>
        <v/>
      </c>
      <c r="D725" s="11"/>
      <c r="E725" s="25"/>
      <c r="F725" s="25"/>
      <c r="G725" s="25"/>
      <c r="H725" s="11"/>
      <c r="I725" s="11"/>
      <c r="J725" s="26" t="str">
        <f t="shared" si="20"/>
        <v/>
      </c>
      <c r="K725" s="11"/>
      <c r="L725" s="11"/>
      <c r="M725" s="11"/>
      <c r="N725" s="11"/>
      <c r="O725" s="26" t="str">
        <f t="shared" si="21"/>
        <v/>
      </c>
      <c r="P725" s="11"/>
    </row>
    <row r="726" spans="1:16" ht="15" customHeight="1" x14ac:dyDescent="0.25">
      <c r="A726" s="25"/>
      <c r="B726" s="25"/>
      <c r="C726" s="26" t="str">
        <f>IFERROR(IF(OR(A726="",B726=""),"",INDEX(Equipements!$H:$H,MATCH(A726,Equipements!$A:$A,0))&amp;"."&amp;B726),"")</f>
        <v/>
      </c>
      <c r="D726" s="11"/>
      <c r="E726" s="25"/>
      <c r="F726" s="25"/>
      <c r="G726" s="25"/>
      <c r="H726" s="11"/>
      <c r="I726" s="11"/>
      <c r="J726" s="26" t="str">
        <f t="shared" si="20"/>
        <v/>
      </c>
      <c r="K726" s="11"/>
      <c r="L726" s="11"/>
      <c r="M726" s="11"/>
      <c r="N726" s="11"/>
      <c r="O726" s="26" t="str">
        <f t="shared" si="21"/>
        <v/>
      </c>
      <c r="P726" s="11"/>
    </row>
    <row r="727" spans="1:16" ht="15" customHeight="1" x14ac:dyDescent="0.25">
      <c r="A727" s="25"/>
      <c r="B727" s="25"/>
      <c r="C727" s="26" t="str">
        <f>IFERROR(IF(OR(A727="",B727=""),"",INDEX(Equipements!$H:$H,MATCH(A727,Equipements!$A:$A,0))&amp;"."&amp;B727),"")</f>
        <v/>
      </c>
      <c r="D727" s="11"/>
      <c r="E727" s="25"/>
      <c r="F727" s="25"/>
      <c r="G727" s="25"/>
      <c r="H727" s="11"/>
      <c r="I727" s="11"/>
      <c r="J727" s="26" t="str">
        <f t="shared" si="20"/>
        <v/>
      </c>
      <c r="K727" s="11"/>
      <c r="L727" s="11"/>
      <c r="M727" s="11"/>
      <c r="N727" s="11"/>
      <c r="O727" s="26" t="str">
        <f t="shared" si="21"/>
        <v/>
      </c>
      <c r="P727" s="11"/>
    </row>
    <row r="728" spans="1:16" ht="15" customHeight="1" x14ac:dyDescent="0.25">
      <c r="A728" s="25"/>
      <c r="B728" s="25"/>
      <c r="C728" s="26" t="str">
        <f>IFERROR(IF(OR(A728="",B728=""),"",INDEX(Equipements!$H:$H,MATCH(A728,Equipements!$A:$A,0))&amp;"."&amp;B728),"")</f>
        <v/>
      </c>
      <c r="D728" s="11"/>
      <c r="E728" s="25"/>
      <c r="F728" s="25"/>
      <c r="G728" s="25"/>
      <c r="H728" s="11"/>
      <c r="I728" s="11"/>
      <c r="J728" s="26" t="str">
        <f t="shared" si="20"/>
        <v/>
      </c>
      <c r="K728" s="11"/>
      <c r="L728" s="11"/>
      <c r="M728" s="11"/>
      <c r="N728" s="11"/>
      <c r="O728" s="26" t="str">
        <f t="shared" si="21"/>
        <v/>
      </c>
      <c r="P728" s="11"/>
    </row>
    <row r="729" spans="1:16" ht="15" customHeight="1" x14ac:dyDescent="0.25">
      <c r="A729" s="25"/>
      <c r="B729" s="25"/>
      <c r="C729" s="26" t="str">
        <f>IFERROR(IF(OR(A729="",B729=""),"",INDEX(Equipements!$H:$H,MATCH(A729,Equipements!$A:$A,0))&amp;"."&amp;B729),"")</f>
        <v/>
      </c>
      <c r="D729" s="11"/>
      <c r="E729" s="25"/>
      <c r="F729" s="25"/>
      <c r="G729" s="25"/>
      <c r="H729" s="11"/>
      <c r="I729" s="11"/>
      <c r="J729" s="26" t="str">
        <f t="shared" si="20"/>
        <v/>
      </c>
      <c r="K729" s="11"/>
      <c r="L729" s="11"/>
      <c r="M729" s="11"/>
      <c r="N729" s="11"/>
      <c r="O729" s="26" t="str">
        <f t="shared" si="21"/>
        <v/>
      </c>
      <c r="P729" s="11"/>
    </row>
    <row r="730" spans="1:16" ht="15" customHeight="1" x14ac:dyDescent="0.25">
      <c r="A730" s="25"/>
      <c r="B730" s="25"/>
      <c r="C730" s="26" t="str">
        <f>IFERROR(IF(OR(A730="",B730=""),"",INDEX(Equipements!$H:$H,MATCH(A730,Equipements!$A:$A,0))&amp;"."&amp;B730),"")</f>
        <v/>
      </c>
      <c r="D730" s="11"/>
      <c r="E730" s="25"/>
      <c r="F730" s="25"/>
      <c r="G730" s="25"/>
      <c r="H730" s="11"/>
      <c r="I730" s="11"/>
      <c r="J730" s="26" t="str">
        <f t="shared" si="20"/>
        <v/>
      </c>
      <c r="K730" s="11"/>
      <c r="L730" s="11"/>
      <c r="M730" s="11"/>
      <c r="N730" s="11"/>
      <c r="O730" s="26" t="str">
        <f t="shared" si="21"/>
        <v/>
      </c>
      <c r="P730" s="11"/>
    </row>
    <row r="731" spans="1:16" ht="15" customHeight="1" x14ac:dyDescent="0.25">
      <c r="A731" s="25"/>
      <c r="B731" s="25"/>
      <c r="C731" s="26" t="str">
        <f>IFERROR(IF(OR(A731="",B731=""),"",INDEX(Equipements!$H:$H,MATCH(A731,Equipements!$A:$A,0))&amp;"."&amp;B731),"")</f>
        <v/>
      </c>
      <c r="D731" s="11"/>
      <c r="E731" s="25"/>
      <c r="F731" s="25"/>
      <c r="G731" s="25"/>
      <c r="H731" s="11"/>
      <c r="I731" s="11"/>
      <c r="J731" s="26" t="str">
        <f t="shared" si="20"/>
        <v/>
      </c>
      <c r="K731" s="11"/>
      <c r="L731" s="11"/>
      <c r="M731" s="11"/>
      <c r="N731" s="11"/>
      <c r="O731" s="26" t="str">
        <f t="shared" si="21"/>
        <v/>
      </c>
      <c r="P731" s="11"/>
    </row>
    <row r="732" spans="1:16" ht="15" customHeight="1" x14ac:dyDescent="0.25">
      <c r="A732" s="25"/>
      <c r="B732" s="25"/>
      <c r="C732" s="26" t="str">
        <f>IFERROR(IF(OR(A732="",B732=""),"",INDEX(Equipements!$H:$H,MATCH(A732,Equipements!$A:$A,0))&amp;"."&amp;B732),"")</f>
        <v/>
      </c>
      <c r="D732" s="11"/>
      <c r="E732" s="25"/>
      <c r="F732" s="25"/>
      <c r="G732" s="25"/>
      <c r="H732" s="11"/>
      <c r="I732" s="11"/>
      <c r="J732" s="26" t="str">
        <f t="shared" si="20"/>
        <v/>
      </c>
      <c r="K732" s="11"/>
      <c r="L732" s="11"/>
      <c r="M732" s="11"/>
      <c r="N732" s="11"/>
      <c r="O732" s="26" t="str">
        <f t="shared" si="21"/>
        <v/>
      </c>
      <c r="P732" s="11"/>
    </row>
    <row r="733" spans="1:16" ht="15" customHeight="1" x14ac:dyDescent="0.25">
      <c r="A733" s="25"/>
      <c r="B733" s="25"/>
      <c r="C733" s="26" t="str">
        <f>IFERROR(IF(OR(A733="",B733=""),"",INDEX(Equipements!$H:$H,MATCH(A733,Equipements!$A:$A,0))&amp;"."&amp;B733),"")</f>
        <v/>
      </c>
      <c r="D733" s="11"/>
      <c r="E733" s="25"/>
      <c r="F733" s="25"/>
      <c r="G733" s="25"/>
      <c r="H733" s="11"/>
      <c r="I733" s="11"/>
      <c r="J733" s="26" t="str">
        <f t="shared" si="20"/>
        <v/>
      </c>
      <c r="K733" s="11"/>
      <c r="L733" s="11"/>
      <c r="M733" s="11"/>
      <c r="N733" s="11"/>
      <c r="O733" s="26" t="str">
        <f t="shared" si="21"/>
        <v/>
      </c>
      <c r="P733" s="11"/>
    </row>
    <row r="734" spans="1:16" ht="15" customHeight="1" x14ac:dyDescent="0.25">
      <c r="A734" s="25"/>
      <c r="B734" s="25"/>
      <c r="C734" s="26" t="str">
        <f>IFERROR(IF(OR(A734="",B734=""),"",INDEX(Equipements!$H:$H,MATCH(A734,Equipements!$A:$A,0))&amp;"."&amp;B734),"")</f>
        <v/>
      </c>
      <c r="D734" s="11"/>
      <c r="E734" s="25"/>
      <c r="F734" s="25"/>
      <c r="G734" s="25"/>
      <c r="H734" s="11"/>
      <c r="I734" s="11"/>
      <c r="J734" s="26" t="str">
        <f t="shared" si="20"/>
        <v/>
      </c>
      <c r="K734" s="11"/>
      <c r="L734" s="11"/>
      <c r="M734" s="11"/>
      <c r="N734" s="11"/>
      <c r="O734" s="26" t="str">
        <f t="shared" si="21"/>
        <v/>
      </c>
      <c r="P734" s="11"/>
    </row>
    <row r="735" spans="1:16" ht="15" customHeight="1" x14ac:dyDescent="0.25">
      <c r="A735" s="25"/>
      <c r="B735" s="25"/>
      <c r="C735" s="26" t="str">
        <f>IFERROR(IF(OR(A735="",B735=""),"",INDEX(Equipements!$H:$H,MATCH(A735,Equipements!$A:$A,0))&amp;"."&amp;B735),"")</f>
        <v/>
      </c>
      <c r="D735" s="11"/>
      <c r="E735" s="25"/>
      <c r="F735" s="25"/>
      <c r="G735" s="25"/>
      <c r="H735" s="11"/>
      <c r="I735" s="11"/>
      <c r="J735" s="26" t="str">
        <f t="shared" si="20"/>
        <v/>
      </c>
      <c r="K735" s="11"/>
      <c r="L735" s="11"/>
      <c r="M735" s="11"/>
      <c r="N735" s="11"/>
      <c r="O735" s="26" t="str">
        <f t="shared" si="21"/>
        <v/>
      </c>
      <c r="P735" s="11"/>
    </row>
    <row r="736" spans="1:16" ht="15" customHeight="1" x14ac:dyDescent="0.25">
      <c r="A736" s="25"/>
      <c r="B736" s="25"/>
      <c r="C736" s="26" t="str">
        <f>IFERROR(IF(OR(A736="",B736=""),"",INDEX(Equipements!$H:$H,MATCH(A736,Equipements!$A:$A,0))&amp;"."&amp;B736),"")</f>
        <v/>
      </c>
      <c r="D736" s="11"/>
      <c r="E736" s="25"/>
      <c r="F736" s="25"/>
      <c r="G736" s="25"/>
      <c r="H736" s="11"/>
      <c r="I736" s="11"/>
      <c r="J736" s="26" t="str">
        <f t="shared" si="20"/>
        <v/>
      </c>
      <c r="K736" s="11"/>
      <c r="L736" s="11"/>
      <c r="M736" s="11"/>
      <c r="N736" s="11"/>
      <c r="O736" s="26" t="str">
        <f t="shared" si="21"/>
        <v/>
      </c>
      <c r="P736" s="11"/>
    </row>
    <row r="737" spans="1:16" ht="15" customHeight="1" x14ac:dyDescent="0.25">
      <c r="A737" s="25"/>
      <c r="B737" s="25"/>
      <c r="C737" s="26" t="str">
        <f>IFERROR(IF(OR(A737="",B737=""),"",INDEX(Equipements!$H:$H,MATCH(A737,Equipements!$A:$A,0))&amp;"."&amp;B737),"")</f>
        <v/>
      </c>
      <c r="D737" s="11"/>
      <c r="E737" s="25"/>
      <c r="F737" s="25"/>
      <c r="G737" s="25"/>
      <c r="H737" s="11"/>
      <c r="I737" s="11"/>
      <c r="J737" s="26" t="str">
        <f t="shared" si="20"/>
        <v/>
      </c>
      <c r="K737" s="11"/>
      <c r="L737" s="11"/>
      <c r="M737" s="11"/>
      <c r="N737" s="11"/>
      <c r="O737" s="26" t="str">
        <f t="shared" si="21"/>
        <v/>
      </c>
      <c r="P737" s="11"/>
    </row>
    <row r="738" spans="1:16" ht="15" customHeight="1" x14ac:dyDescent="0.25">
      <c r="A738" s="25"/>
      <c r="B738" s="25"/>
      <c r="C738" s="26" t="str">
        <f>IFERROR(IF(OR(A738="",B738=""),"",INDEX(Equipements!$H:$H,MATCH(A738,Equipements!$A:$A,0))&amp;"."&amp;B738),"")</f>
        <v/>
      </c>
      <c r="D738" s="11"/>
      <c r="E738" s="25"/>
      <c r="F738" s="25"/>
      <c r="G738" s="25"/>
      <c r="H738" s="11"/>
      <c r="I738" s="11"/>
      <c r="J738" s="26" t="str">
        <f t="shared" si="20"/>
        <v/>
      </c>
      <c r="K738" s="11"/>
      <c r="L738" s="11"/>
      <c r="M738" s="11"/>
      <c r="N738" s="11"/>
      <c r="O738" s="26" t="str">
        <f t="shared" si="21"/>
        <v/>
      </c>
      <c r="P738" s="11"/>
    </row>
    <row r="739" spans="1:16" ht="15" customHeight="1" x14ac:dyDescent="0.25">
      <c r="A739" s="25"/>
      <c r="B739" s="25"/>
      <c r="C739" s="26" t="str">
        <f>IFERROR(IF(OR(A739="",B739=""),"",INDEX(Equipements!$H:$H,MATCH(A739,Equipements!$A:$A,0))&amp;"."&amp;B739),"")</f>
        <v/>
      </c>
      <c r="D739" s="11"/>
      <c r="E739" s="25"/>
      <c r="F739" s="25"/>
      <c r="G739" s="25"/>
      <c r="H739" s="11"/>
      <c r="I739" s="11"/>
      <c r="J739" s="26" t="str">
        <f t="shared" si="20"/>
        <v/>
      </c>
      <c r="K739" s="11"/>
      <c r="L739" s="11"/>
      <c r="M739" s="11"/>
      <c r="N739" s="11"/>
      <c r="O739" s="26" t="str">
        <f t="shared" si="21"/>
        <v/>
      </c>
      <c r="P739" s="11"/>
    </row>
    <row r="740" spans="1:16" ht="15" customHeight="1" x14ac:dyDescent="0.25">
      <c r="A740" s="25"/>
      <c r="B740" s="25"/>
      <c r="C740" s="26" t="str">
        <f>IFERROR(IF(OR(A740="",B740=""),"",INDEX(Equipements!$H:$H,MATCH(A740,Equipements!$A:$A,0))&amp;"."&amp;B740),"")</f>
        <v/>
      </c>
      <c r="D740" s="11"/>
      <c r="E740" s="25"/>
      <c r="F740" s="25"/>
      <c r="G740" s="25"/>
      <c r="H740" s="11"/>
      <c r="I740" s="11"/>
      <c r="J740" s="26" t="str">
        <f t="shared" si="20"/>
        <v/>
      </c>
      <c r="K740" s="11"/>
      <c r="L740" s="11"/>
      <c r="M740" s="11"/>
      <c r="N740" s="11"/>
      <c r="O740" s="26" t="str">
        <f t="shared" si="21"/>
        <v/>
      </c>
      <c r="P740" s="11"/>
    </row>
    <row r="741" spans="1:16" ht="15" customHeight="1" x14ac:dyDescent="0.25">
      <c r="A741" s="25"/>
      <c r="B741" s="25"/>
      <c r="C741" s="26" t="str">
        <f>IFERROR(IF(OR(A741="",B741=""),"",INDEX(Equipements!$H:$H,MATCH(A741,Equipements!$A:$A,0))&amp;"."&amp;B741),"")</f>
        <v/>
      </c>
      <c r="D741" s="11"/>
      <c r="E741" s="25"/>
      <c r="F741" s="25"/>
      <c r="G741" s="25"/>
      <c r="H741" s="11"/>
      <c r="I741" s="11"/>
      <c r="J741" s="26" t="str">
        <f t="shared" si="20"/>
        <v/>
      </c>
      <c r="K741" s="11"/>
      <c r="L741" s="11"/>
      <c r="M741" s="11"/>
      <c r="N741" s="11"/>
      <c r="O741" s="26" t="str">
        <f t="shared" si="21"/>
        <v/>
      </c>
      <c r="P741" s="11"/>
    </row>
    <row r="742" spans="1:16" ht="15" customHeight="1" x14ac:dyDescent="0.25">
      <c r="A742" s="25"/>
      <c r="B742" s="25"/>
      <c r="C742" s="26" t="str">
        <f>IFERROR(IF(OR(A742="",B742=""),"",INDEX(Equipements!$H:$H,MATCH(A742,Equipements!$A:$A,0))&amp;"."&amp;B742),"")</f>
        <v/>
      </c>
      <c r="D742" s="11"/>
      <c r="E742" s="25"/>
      <c r="F742" s="25"/>
      <c r="G742" s="25"/>
      <c r="H742" s="11"/>
      <c r="I742" s="11"/>
      <c r="J742" s="26" t="str">
        <f t="shared" si="20"/>
        <v/>
      </c>
      <c r="K742" s="11"/>
      <c r="L742" s="11"/>
      <c r="M742" s="11"/>
      <c r="N742" s="11"/>
      <c r="O742" s="26" t="str">
        <f t="shared" si="21"/>
        <v/>
      </c>
      <c r="P742" s="11"/>
    </row>
    <row r="743" spans="1:16" ht="15" customHeight="1" x14ac:dyDescent="0.25">
      <c r="A743" s="25"/>
      <c r="B743" s="25"/>
      <c r="C743" s="26" t="str">
        <f>IFERROR(IF(OR(A743="",B743=""),"",INDEX(Equipements!$H:$H,MATCH(A743,Equipements!$A:$A,0))&amp;"."&amp;B743),"")</f>
        <v/>
      </c>
      <c r="D743" s="11"/>
      <c r="E743" s="25"/>
      <c r="F743" s="25"/>
      <c r="G743" s="25"/>
      <c r="H743" s="11"/>
      <c r="I743" s="11"/>
      <c r="J743" s="26" t="str">
        <f t="shared" si="20"/>
        <v/>
      </c>
      <c r="K743" s="11"/>
      <c r="L743" s="11"/>
      <c r="M743" s="11"/>
      <c r="N743" s="11"/>
      <c r="O743" s="26" t="str">
        <f t="shared" si="21"/>
        <v/>
      </c>
      <c r="P743" s="11"/>
    </row>
    <row r="744" spans="1:16" ht="15" customHeight="1" x14ac:dyDescent="0.25">
      <c r="A744" s="25"/>
      <c r="B744" s="25"/>
      <c r="C744" s="26" t="str">
        <f>IFERROR(IF(OR(A744="",B744=""),"",INDEX(Equipements!$H:$H,MATCH(A744,Equipements!$A:$A,0))&amp;"."&amp;B744),"")</f>
        <v/>
      </c>
      <c r="D744" s="11"/>
      <c r="E744" s="25"/>
      <c r="F744" s="25"/>
      <c r="G744" s="25"/>
      <c r="H744" s="11"/>
      <c r="I744" s="11"/>
      <c r="J744" s="26" t="str">
        <f t="shared" si="20"/>
        <v/>
      </c>
      <c r="K744" s="11"/>
      <c r="L744" s="11"/>
      <c r="M744" s="11"/>
      <c r="N744" s="11"/>
      <c r="O744" s="26" t="str">
        <f t="shared" si="21"/>
        <v/>
      </c>
      <c r="P744" s="11"/>
    </row>
    <row r="745" spans="1:16" ht="15" customHeight="1" x14ac:dyDescent="0.25">
      <c r="A745" s="25"/>
      <c r="B745" s="25"/>
      <c r="C745" s="26" t="str">
        <f>IFERROR(IF(OR(A745="",B745=""),"",INDEX(Equipements!$H:$H,MATCH(A745,Equipements!$A:$A,0))&amp;"."&amp;B745),"")</f>
        <v/>
      </c>
      <c r="D745" s="11"/>
      <c r="E745" s="25"/>
      <c r="F745" s="25"/>
      <c r="G745" s="25"/>
      <c r="H745" s="11"/>
      <c r="I745" s="11"/>
      <c r="J745" s="26" t="str">
        <f t="shared" si="20"/>
        <v/>
      </c>
      <c r="K745" s="11"/>
      <c r="L745" s="11"/>
      <c r="M745" s="11"/>
      <c r="N745" s="11"/>
      <c r="O745" s="26" t="str">
        <f t="shared" si="21"/>
        <v/>
      </c>
      <c r="P745" s="11"/>
    </row>
    <row r="746" spans="1:16" ht="15" customHeight="1" x14ac:dyDescent="0.25">
      <c r="A746" s="25"/>
      <c r="B746" s="25"/>
      <c r="C746" s="26" t="str">
        <f>IFERROR(IF(OR(A746="",B746=""),"",INDEX(Equipements!$H:$H,MATCH(A746,Equipements!$A:$A,0))&amp;"."&amp;B746),"")</f>
        <v/>
      </c>
      <c r="D746" s="11"/>
      <c r="E746" s="25"/>
      <c r="F746" s="25"/>
      <c r="G746" s="25"/>
      <c r="H746" s="11"/>
      <c r="I746" s="11"/>
      <c r="J746" s="26" t="str">
        <f t="shared" si="20"/>
        <v/>
      </c>
      <c r="K746" s="11"/>
      <c r="L746" s="11"/>
      <c r="M746" s="11"/>
      <c r="N746" s="11"/>
      <c r="O746" s="26" t="str">
        <f t="shared" si="21"/>
        <v/>
      </c>
      <c r="P746" s="11"/>
    </row>
    <row r="747" spans="1:16" ht="15" customHeight="1" x14ac:dyDescent="0.25">
      <c r="A747" s="25"/>
      <c r="B747" s="25"/>
      <c r="C747" s="26" t="str">
        <f>IFERROR(IF(OR(A747="",B747=""),"",INDEX(Equipements!$H:$H,MATCH(A747,Equipements!$A:$A,0))&amp;"."&amp;B747),"")</f>
        <v/>
      </c>
      <c r="D747" s="11"/>
      <c r="E747" s="25"/>
      <c r="F747" s="25"/>
      <c r="G747" s="25"/>
      <c r="H747" s="11"/>
      <c r="I747" s="11"/>
      <c r="J747" s="26" t="str">
        <f t="shared" si="20"/>
        <v/>
      </c>
      <c r="K747" s="11"/>
      <c r="L747" s="11"/>
      <c r="M747" s="11"/>
      <c r="N747" s="11"/>
      <c r="O747" s="26" t="str">
        <f t="shared" si="21"/>
        <v/>
      </c>
      <c r="P747" s="11"/>
    </row>
    <row r="748" spans="1:16" ht="15" customHeight="1" x14ac:dyDescent="0.25">
      <c r="A748" s="25"/>
      <c r="B748" s="25"/>
      <c r="C748" s="26" t="str">
        <f>IFERROR(IF(OR(A748="",B748=""),"",INDEX(Equipements!$H:$H,MATCH(A748,Equipements!$A:$A,0))&amp;"."&amp;B748),"")</f>
        <v/>
      </c>
      <c r="D748" s="11"/>
      <c r="E748" s="25"/>
      <c r="F748" s="25"/>
      <c r="G748" s="25"/>
      <c r="H748" s="11"/>
      <c r="I748" s="11"/>
      <c r="J748" s="26" t="str">
        <f t="shared" si="20"/>
        <v/>
      </c>
      <c r="K748" s="11"/>
      <c r="L748" s="11"/>
      <c r="M748" s="11"/>
      <c r="N748" s="11"/>
      <c r="O748" s="26" t="str">
        <f t="shared" si="21"/>
        <v/>
      </c>
      <c r="P748" s="11"/>
    </row>
    <row r="749" spans="1:16" ht="15" customHeight="1" x14ac:dyDescent="0.25">
      <c r="A749" s="25"/>
      <c r="B749" s="25"/>
      <c r="C749" s="26" t="str">
        <f>IFERROR(IF(OR(A749="",B749=""),"",INDEX(Equipements!$H:$H,MATCH(A749,Equipements!$A:$A,0))&amp;"."&amp;B749),"")</f>
        <v/>
      </c>
      <c r="D749" s="11"/>
      <c r="E749" s="25"/>
      <c r="F749" s="25"/>
      <c r="G749" s="25"/>
      <c r="H749" s="11"/>
      <c r="I749" s="11"/>
      <c r="J749" s="26" t="str">
        <f t="shared" si="20"/>
        <v/>
      </c>
      <c r="K749" s="11"/>
      <c r="L749" s="11"/>
      <c r="M749" s="11"/>
      <c r="N749" s="11"/>
      <c r="O749" s="26" t="str">
        <f t="shared" si="21"/>
        <v/>
      </c>
      <c r="P749" s="11"/>
    </row>
    <row r="750" spans="1:16" ht="15" customHeight="1" x14ac:dyDescent="0.25">
      <c r="A750" s="25"/>
      <c r="B750" s="25"/>
      <c r="C750" s="26" t="str">
        <f>IFERROR(IF(OR(A750="",B750=""),"",INDEX(Equipements!$H:$H,MATCH(A750,Equipements!$A:$A,0))&amp;"."&amp;B750),"")</f>
        <v/>
      </c>
      <c r="D750" s="11"/>
      <c r="E750" s="25"/>
      <c r="F750" s="25"/>
      <c r="G750" s="25"/>
      <c r="H750" s="11"/>
      <c r="I750" s="11"/>
      <c r="J750" s="26" t="str">
        <f t="shared" si="20"/>
        <v/>
      </c>
      <c r="K750" s="11"/>
      <c r="L750" s="11"/>
      <c r="M750" s="11"/>
      <c r="N750" s="11"/>
      <c r="O750" s="26" t="str">
        <f t="shared" si="21"/>
        <v/>
      </c>
      <c r="P750" s="11"/>
    </row>
    <row r="751" spans="1:16" ht="15" customHeight="1" x14ac:dyDescent="0.25">
      <c r="A751" s="25"/>
      <c r="B751" s="25"/>
      <c r="C751" s="26" t="str">
        <f>IFERROR(IF(OR(A751="",B751=""),"",INDEX(Equipements!$H:$H,MATCH(A751,Equipements!$A:$A,0))&amp;"."&amp;B751),"")</f>
        <v/>
      </c>
      <c r="D751" s="11"/>
      <c r="E751" s="25"/>
      <c r="F751" s="25"/>
      <c r="G751" s="25"/>
      <c r="H751" s="11"/>
      <c r="I751" s="11"/>
      <c r="J751" s="26" t="str">
        <f t="shared" si="20"/>
        <v/>
      </c>
      <c r="K751" s="11"/>
      <c r="L751" s="11"/>
      <c r="M751" s="11"/>
      <c r="N751" s="11"/>
      <c r="O751" s="26" t="str">
        <f t="shared" si="21"/>
        <v/>
      </c>
      <c r="P751" s="11"/>
    </row>
    <row r="752" spans="1:16" ht="15" customHeight="1" x14ac:dyDescent="0.25">
      <c r="A752" s="25"/>
      <c r="B752" s="25"/>
      <c r="C752" s="26" t="str">
        <f>IFERROR(IF(OR(A752="",B752=""),"",INDEX(Equipements!$H:$H,MATCH(A752,Equipements!$A:$A,0))&amp;"."&amp;B752),"")</f>
        <v/>
      </c>
      <c r="D752" s="11"/>
      <c r="E752" s="25"/>
      <c r="F752" s="25"/>
      <c r="G752" s="25"/>
      <c r="H752" s="11"/>
      <c r="I752" s="11"/>
      <c r="J752" s="26" t="str">
        <f t="shared" si="20"/>
        <v/>
      </c>
      <c r="K752" s="11"/>
      <c r="L752" s="11"/>
      <c r="M752" s="11"/>
      <c r="N752" s="11"/>
      <c r="O752" s="26" t="str">
        <f t="shared" si="21"/>
        <v/>
      </c>
      <c r="P752" s="11"/>
    </row>
    <row r="753" spans="1:16" ht="15" customHeight="1" x14ac:dyDescent="0.25">
      <c r="A753" s="25"/>
      <c r="B753" s="25"/>
      <c r="C753" s="26" t="str">
        <f>IFERROR(IF(OR(A753="",B753=""),"",INDEX(Equipements!$H:$H,MATCH(A753,Equipements!$A:$A,0))&amp;"."&amp;B753),"")</f>
        <v/>
      </c>
      <c r="D753" s="11"/>
      <c r="E753" s="25"/>
      <c r="F753" s="25"/>
      <c r="G753" s="25"/>
      <c r="H753" s="11"/>
      <c r="I753" s="11"/>
      <c r="J753" s="26" t="str">
        <f t="shared" si="20"/>
        <v/>
      </c>
      <c r="K753" s="11"/>
      <c r="L753" s="11"/>
      <c r="M753" s="11"/>
      <c r="N753" s="11"/>
      <c r="O753" s="26" t="str">
        <f t="shared" si="21"/>
        <v/>
      </c>
      <c r="P753" s="11"/>
    </row>
    <row r="754" spans="1:16" ht="15" customHeight="1" x14ac:dyDescent="0.25">
      <c r="A754" s="25"/>
      <c r="B754" s="25"/>
      <c r="C754" s="26" t="str">
        <f>IFERROR(IF(OR(A754="",B754=""),"",INDEX(Equipements!$H:$H,MATCH(A754,Equipements!$A:$A,0))&amp;"."&amp;B754),"")</f>
        <v/>
      </c>
      <c r="D754" s="11"/>
      <c r="E754" s="25"/>
      <c r="F754" s="25"/>
      <c r="G754" s="25"/>
      <c r="H754" s="11"/>
      <c r="I754" s="11"/>
      <c r="J754" s="26" t="str">
        <f t="shared" si="20"/>
        <v/>
      </c>
      <c r="K754" s="11"/>
      <c r="L754" s="11"/>
      <c r="M754" s="11"/>
      <c r="N754" s="11"/>
      <c r="O754" s="26" t="str">
        <f t="shared" si="21"/>
        <v/>
      </c>
      <c r="P754" s="11"/>
    </row>
    <row r="755" spans="1:16" ht="15" customHeight="1" x14ac:dyDescent="0.25">
      <c r="A755" s="25"/>
      <c r="B755" s="25"/>
      <c r="C755" s="26" t="str">
        <f>IFERROR(IF(OR(A755="",B755=""),"",INDEX(Equipements!$H:$H,MATCH(A755,Equipements!$A:$A,0))&amp;"."&amp;B755),"")</f>
        <v/>
      </c>
      <c r="D755" s="11"/>
      <c r="E755" s="25"/>
      <c r="F755" s="25"/>
      <c r="G755" s="25"/>
      <c r="H755" s="11"/>
      <c r="I755" s="11"/>
      <c r="J755" s="26" t="str">
        <f t="shared" si="20"/>
        <v/>
      </c>
      <c r="K755" s="11"/>
      <c r="L755" s="11"/>
      <c r="M755" s="11"/>
      <c r="N755" s="11"/>
      <c r="O755" s="26" t="str">
        <f t="shared" si="21"/>
        <v/>
      </c>
      <c r="P755" s="11"/>
    </row>
    <row r="756" spans="1:16" ht="15" customHeight="1" x14ac:dyDescent="0.25">
      <c r="A756" s="25"/>
      <c r="B756" s="25"/>
      <c r="C756" s="26" t="str">
        <f>IFERROR(IF(OR(A756="",B756=""),"",INDEX(Equipements!$H:$H,MATCH(A756,Equipements!$A:$A,0))&amp;"."&amp;B756),"")</f>
        <v/>
      </c>
      <c r="D756" s="11"/>
      <c r="E756" s="25"/>
      <c r="F756" s="25"/>
      <c r="G756" s="25"/>
      <c r="H756" s="11"/>
      <c r="I756" s="11"/>
      <c r="J756" s="26" t="str">
        <f t="shared" si="20"/>
        <v/>
      </c>
      <c r="K756" s="11"/>
      <c r="L756" s="11"/>
      <c r="M756" s="11"/>
      <c r="N756" s="11"/>
      <c r="O756" s="26" t="str">
        <f t="shared" si="21"/>
        <v/>
      </c>
      <c r="P756" s="11"/>
    </row>
    <row r="757" spans="1:16" ht="15" customHeight="1" x14ac:dyDescent="0.25">
      <c r="A757" s="25"/>
      <c r="B757" s="25"/>
      <c r="C757" s="26" t="str">
        <f>IFERROR(IF(OR(A757="",B757=""),"",INDEX(Equipements!$H:$H,MATCH(A757,Equipements!$A:$A,0))&amp;"."&amp;B757),"")</f>
        <v/>
      </c>
      <c r="D757" s="11"/>
      <c r="E757" s="25"/>
      <c r="F757" s="25"/>
      <c r="G757" s="25"/>
      <c r="H757" s="11"/>
      <c r="I757" s="11"/>
      <c r="J757" s="26" t="str">
        <f t="shared" si="20"/>
        <v/>
      </c>
      <c r="K757" s="11"/>
      <c r="L757" s="11"/>
      <c r="M757" s="11"/>
      <c r="N757" s="11"/>
      <c r="O757" s="26" t="str">
        <f t="shared" si="21"/>
        <v/>
      </c>
      <c r="P757" s="11"/>
    </row>
    <row r="758" spans="1:16" ht="15" customHeight="1" x14ac:dyDescent="0.25">
      <c r="A758" s="25"/>
      <c r="B758" s="25"/>
      <c r="C758" s="26" t="str">
        <f>IFERROR(IF(OR(A758="",B758=""),"",INDEX(Equipements!$H:$H,MATCH(A758,Equipements!$A:$A,0))&amp;"."&amp;B758),"")</f>
        <v/>
      </c>
      <c r="D758" s="11"/>
      <c r="E758" s="25"/>
      <c r="F758" s="25"/>
      <c r="G758" s="25"/>
      <c r="H758" s="11"/>
      <c r="I758" s="11"/>
      <c r="J758" s="26" t="str">
        <f t="shared" si="20"/>
        <v/>
      </c>
      <c r="K758" s="11"/>
      <c r="L758" s="11"/>
      <c r="M758" s="11"/>
      <c r="N758" s="11"/>
      <c r="O758" s="26" t="str">
        <f t="shared" si="21"/>
        <v/>
      </c>
      <c r="P758" s="11"/>
    </row>
    <row r="759" spans="1:16" ht="15" customHeight="1" x14ac:dyDescent="0.25">
      <c r="A759" s="25"/>
      <c r="B759" s="25"/>
      <c r="C759" s="26" t="str">
        <f>IFERROR(IF(OR(A759="",B759=""),"",INDEX(Equipements!$H:$H,MATCH(A759,Equipements!$A:$A,0))&amp;"."&amp;B759),"")</f>
        <v/>
      </c>
      <c r="D759" s="11"/>
      <c r="E759" s="25"/>
      <c r="F759" s="25"/>
      <c r="G759" s="25"/>
      <c r="H759" s="11"/>
      <c r="I759" s="11"/>
      <c r="J759" s="26" t="str">
        <f t="shared" si="20"/>
        <v/>
      </c>
      <c r="K759" s="11"/>
      <c r="L759" s="11"/>
      <c r="M759" s="11"/>
      <c r="N759" s="11"/>
      <c r="O759" s="26" t="str">
        <f t="shared" si="21"/>
        <v/>
      </c>
      <c r="P759" s="11"/>
    </row>
    <row r="760" spans="1:16" ht="15" customHeight="1" x14ac:dyDescent="0.25">
      <c r="A760" s="25"/>
      <c r="B760" s="25"/>
      <c r="C760" s="26" t="str">
        <f>IFERROR(IF(OR(A760="",B760=""),"",INDEX(Equipements!$H:$H,MATCH(A760,Equipements!$A:$A,0))&amp;"."&amp;B760),"")</f>
        <v/>
      </c>
      <c r="D760" s="11"/>
      <c r="E760" s="25"/>
      <c r="F760" s="25"/>
      <c r="G760" s="25"/>
      <c r="H760" s="11"/>
      <c r="I760" s="11"/>
      <c r="J760" s="26" t="str">
        <f t="shared" si="20"/>
        <v/>
      </c>
      <c r="K760" s="11"/>
      <c r="L760" s="11"/>
      <c r="M760" s="11"/>
      <c r="N760" s="11"/>
      <c r="O760" s="26" t="str">
        <f t="shared" si="21"/>
        <v/>
      </c>
      <c r="P760" s="11"/>
    </row>
    <row r="761" spans="1:16" ht="15" customHeight="1" x14ac:dyDescent="0.25">
      <c r="A761" s="25"/>
      <c r="B761" s="25"/>
      <c r="C761" s="26" t="str">
        <f>IFERROR(IF(OR(A761="",B761=""),"",INDEX(Equipements!$H:$H,MATCH(A761,Equipements!$A:$A,0))&amp;"."&amp;B761),"")</f>
        <v/>
      </c>
      <c r="D761" s="11"/>
      <c r="E761" s="25"/>
      <c r="F761" s="25"/>
      <c r="G761" s="25"/>
      <c r="H761" s="11"/>
      <c r="I761" s="11"/>
      <c r="J761" s="26" t="str">
        <f t="shared" si="20"/>
        <v/>
      </c>
      <c r="K761" s="11"/>
      <c r="L761" s="11"/>
      <c r="M761" s="11"/>
      <c r="N761" s="11"/>
      <c r="O761" s="26" t="str">
        <f t="shared" si="21"/>
        <v/>
      </c>
      <c r="P761" s="11"/>
    </row>
    <row r="762" spans="1:16" ht="15" customHeight="1" x14ac:dyDescent="0.25">
      <c r="A762" s="25"/>
      <c r="B762" s="25"/>
      <c r="C762" s="26" t="str">
        <f>IFERROR(IF(OR(A762="",B762=""),"",INDEX(Equipements!$H:$H,MATCH(A762,Equipements!$A:$A,0))&amp;"."&amp;B762),"")</f>
        <v/>
      </c>
      <c r="D762" s="11"/>
      <c r="E762" s="25"/>
      <c r="F762" s="25"/>
      <c r="G762" s="25"/>
      <c r="H762" s="11"/>
      <c r="I762" s="11"/>
      <c r="J762" s="26" t="str">
        <f t="shared" si="20"/>
        <v/>
      </c>
      <c r="K762" s="11"/>
      <c r="L762" s="11"/>
      <c r="M762" s="11"/>
      <c r="N762" s="11"/>
      <c r="O762" s="26" t="str">
        <f t="shared" si="21"/>
        <v/>
      </c>
      <c r="P762" s="11"/>
    </row>
    <row r="763" spans="1:16" ht="15" customHeight="1" x14ac:dyDescent="0.25">
      <c r="A763" s="25"/>
      <c r="B763" s="25"/>
      <c r="C763" s="26" t="str">
        <f>IFERROR(IF(OR(A763="",B763=""),"",INDEX(Equipements!$H:$H,MATCH(A763,Equipements!$A:$A,0))&amp;"."&amp;B763),"")</f>
        <v/>
      </c>
      <c r="D763" s="11"/>
      <c r="E763" s="25"/>
      <c r="F763" s="25"/>
      <c r="G763" s="25"/>
      <c r="H763" s="11"/>
      <c r="I763" s="11"/>
      <c r="J763" s="26" t="str">
        <f t="shared" si="20"/>
        <v/>
      </c>
      <c r="K763" s="11"/>
      <c r="L763" s="11"/>
      <c r="M763" s="11"/>
      <c r="N763" s="11"/>
      <c r="O763" s="26" t="str">
        <f t="shared" si="21"/>
        <v/>
      </c>
      <c r="P763" s="11"/>
    </row>
    <row r="764" spans="1:16" ht="15" customHeight="1" x14ac:dyDescent="0.25">
      <c r="A764" s="25"/>
      <c r="B764" s="25"/>
      <c r="C764" s="26" t="str">
        <f>IFERROR(IF(OR(A764="",B764=""),"",INDEX(Equipements!$H:$H,MATCH(A764,Equipements!$A:$A,0))&amp;"."&amp;B764),"")</f>
        <v/>
      </c>
      <c r="D764" s="11"/>
      <c r="E764" s="25"/>
      <c r="F764" s="25"/>
      <c r="G764" s="25"/>
      <c r="H764" s="11"/>
      <c r="I764" s="11"/>
      <c r="J764" s="26" t="str">
        <f t="shared" si="20"/>
        <v/>
      </c>
      <c r="K764" s="11"/>
      <c r="L764" s="11"/>
      <c r="M764" s="11"/>
      <c r="N764" s="11"/>
      <c r="O764" s="26" t="str">
        <f t="shared" si="21"/>
        <v/>
      </c>
      <c r="P764" s="11"/>
    </row>
    <row r="765" spans="1:16" ht="15" customHeight="1" x14ac:dyDescent="0.25">
      <c r="A765" s="25"/>
      <c r="B765" s="25"/>
      <c r="C765" s="26" t="str">
        <f>IFERROR(IF(OR(A765="",B765=""),"",INDEX(Equipements!$H:$H,MATCH(A765,Equipements!$A:$A,0))&amp;"."&amp;B765),"")</f>
        <v/>
      </c>
      <c r="D765" s="11"/>
      <c r="E765" s="25"/>
      <c r="F765" s="25"/>
      <c r="G765" s="25"/>
      <c r="H765" s="11"/>
      <c r="I765" s="11"/>
      <c r="J765" s="26" t="str">
        <f t="shared" si="20"/>
        <v/>
      </c>
      <c r="K765" s="11"/>
      <c r="L765" s="11"/>
      <c r="M765" s="11"/>
      <c r="N765" s="11"/>
      <c r="O765" s="26" t="str">
        <f t="shared" si="21"/>
        <v/>
      </c>
      <c r="P765" s="11"/>
    </row>
    <row r="766" spans="1:16" ht="15" customHeight="1" x14ac:dyDescent="0.25">
      <c r="A766" s="25"/>
      <c r="B766" s="25"/>
      <c r="C766" s="26" t="str">
        <f>IFERROR(IF(OR(A766="",B766=""),"",INDEX(Equipements!$H:$H,MATCH(A766,Equipements!$A:$A,0))&amp;"."&amp;B766),"")</f>
        <v/>
      </c>
      <c r="D766" s="11"/>
      <c r="E766" s="25"/>
      <c r="F766" s="25"/>
      <c r="G766" s="25"/>
      <c r="H766" s="11"/>
      <c r="I766" s="11"/>
      <c r="J766" s="26" t="str">
        <f t="shared" si="20"/>
        <v/>
      </c>
      <c r="K766" s="11"/>
      <c r="L766" s="11"/>
      <c r="M766" s="11"/>
      <c r="N766" s="11"/>
      <c r="O766" s="26" t="str">
        <f t="shared" si="21"/>
        <v/>
      </c>
      <c r="P766" s="11"/>
    </row>
    <row r="767" spans="1:16" ht="15" customHeight="1" x14ac:dyDescent="0.25">
      <c r="A767" s="25"/>
      <c r="B767" s="25"/>
      <c r="C767" s="26" t="str">
        <f>IFERROR(IF(OR(A767="",B767=""),"",INDEX(Equipements!$H:$H,MATCH(A767,Equipements!$A:$A,0))&amp;"."&amp;B767),"")</f>
        <v/>
      </c>
      <c r="D767" s="11"/>
      <c r="E767" s="25"/>
      <c r="F767" s="25"/>
      <c r="G767" s="25"/>
      <c r="H767" s="11"/>
      <c r="I767" s="11"/>
      <c r="J767" s="26" t="str">
        <f t="shared" si="20"/>
        <v/>
      </c>
      <c r="K767" s="11"/>
      <c r="L767" s="11"/>
      <c r="M767" s="11"/>
      <c r="N767" s="11"/>
      <c r="O767" s="26" t="str">
        <f t="shared" si="21"/>
        <v/>
      </c>
      <c r="P767" s="11"/>
    </row>
    <row r="768" spans="1:16" ht="15" customHeight="1" x14ac:dyDescent="0.25">
      <c r="A768" s="25"/>
      <c r="B768" s="25"/>
      <c r="C768" s="26" t="str">
        <f>IFERROR(IF(OR(A768="",B768=""),"",INDEX(Equipements!$H:$H,MATCH(A768,Equipements!$A:$A,0))&amp;"."&amp;B768),"")</f>
        <v/>
      </c>
      <c r="D768" s="11"/>
      <c r="E768" s="25"/>
      <c r="F768" s="25"/>
      <c r="G768" s="25"/>
      <c r="H768" s="11"/>
      <c r="I768" s="11"/>
      <c r="J768" s="26" t="str">
        <f t="shared" si="20"/>
        <v/>
      </c>
      <c r="K768" s="11"/>
      <c r="L768" s="11"/>
      <c r="M768" s="11"/>
      <c r="N768" s="11"/>
      <c r="O768" s="26" t="str">
        <f t="shared" si="21"/>
        <v/>
      </c>
      <c r="P768" s="11"/>
    </row>
    <row r="769" spans="1:16" ht="15" customHeight="1" x14ac:dyDescent="0.25">
      <c r="A769" s="25"/>
      <c r="B769" s="25"/>
      <c r="C769" s="26" t="str">
        <f>IFERROR(IF(OR(A769="",B769=""),"",INDEX(Equipements!$H:$H,MATCH(A769,Equipements!$A:$A,0))&amp;"."&amp;B769),"")</f>
        <v/>
      </c>
      <c r="D769" s="11"/>
      <c r="E769" s="25"/>
      <c r="F769" s="25"/>
      <c r="G769" s="25"/>
      <c r="H769" s="11"/>
      <c r="I769" s="11"/>
      <c r="J769" s="26" t="str">
        <f t="shared" si="20"/>
        <v/>
      </c>
      <c r="K769" s="11"/>
      <c r="L769" s="11"/>
      <c r="M769" s="11"/>
      <c r="N769" s="11"/>
      <c r="O769" s="26" t="str">
        <f t="shared" si="21"/>
        <v/>
      </c>
      <c r="P769" s="11"/>
    </row>
    <row r="770" spans="1:16" ht="15" customHeight="1" x14ac:dyDescent="0.25">
      <c r="A770" s="25"/>
      <c r="B770" s="25"/>
      <c r="C770" s="26" t="str">
        <f>IFERROR(IF(OR(A770="",B770=""),"",INDEX(Equipements!$H:$H,MATCH(A770,Equipements!$A:$A,0))&amp;"."&amp;B770),"")</f>
        <v/>
      </c>
      <c r="D770" s="11"/>
      <c r="E770" s="25"/>
      <c r="F770" s="25"/>
      <c r="G770" s="25"/>
      <c r="H770" s="11"/>
      <c r="I770" s="11"/>
      <c r="J770" s="26" t="str">
        <f t="shared" si="20"/>
        <v/>
      </c>
      <c r="K770" s="11"/>
      <c r="L770" s="11"/>
      <c r="M770" s="11"/>
      <c r="N770" s="11"/>
      <c r="O770" s="26" t="str">
        <f t="shared" si="21"/>
        <v/>
      </c>
      <c r="P770" s="11"/>
    </row>
    <row r="771" spans="1:16" ht="15" customHeight="1" x14ac:dyDescent="0.25">
      <c r="A771" s="25"/>
      <c r="B771" s="25"/>
      <c r="C771" s="26" t="str">
        <f>IFERROR(IF(OR(A771="",B771=""),"",INDEX(Equipements!$H:$H,MATCH(A771,Equipements!$A:$A,0))&amp;"."&amp;B771),"")</f>
        <v/>
      </c>
      <c r="D771" s="11"/>
      <c r="E771" s="25"/>
      <c r="F771" s="25"/>
      <c r="G771" s="25"/>
      <c r="H771" s="11"/>
      <c r="I771" s="11"/>
      <c r="J771" s="26" t="str">
        <f t="shared" si="20"/>
        <v/>
      </c>
      <c r="K771" s="11"/>
      <c r="L771" s="11"/>
      <c r="M771" s="11"/>
      <c r="N771" s="11"/>
      <c r="O771" s="26" t="str">
        <f t="shared" si="21"/>
        <v/>
      </c>
      <c r="P771" s="11"/>
    </row>
    <row r="772" spans="1:16" ht="15" customHeight="1" x14ac:dyDescent="0.25">
      <c r="A772" s="25"/>
      <c r="B772" s="25"/>
      <c r="C772" s="26" t="str">
        <f>IFERROR(IF(OR(A772="",B772=""),"",INDEX(Equipements!$H:$H,MATCH(A772,Equipements!$A:$A,0))&amp;"."&amp;B772),"")</f>
        <v/>
      </c>
      <c r="D772" s="11"/>
      <c r="E772" s="25"/>
      <c r="F772" s="25"/>
      <c r="G772" s="25"/>
      <c r="H772" s="11"/>
      <c r="I772" s="11"/>
      <c r="J772" s="26" t="str">
        <f t="shared" si="20"/>
        <v/>
      </c>
      <c r="K772" s="11"/>
      <c r="L772" s="11"/>
      <c r="M772" s="11"/>
      <c r="N772" s="11"/>
      <c r="O772" s="26" t="str">
        <f t="shared" si="21"/>
        <v/>
      </c>
      <c r="P772" s="11"/>
    </row>
    <row r="773" spans="1:16" ht="15" customHeight="1" x14ac:dyDescent="0.25">
      <c r="A773" s="25"/>
      <c r="B773" s="25"/>
      <c r="C773" s="26" t="str">
        <f>IFERROR(IF(OR(A773="",B773=""),"",INDEX(Equipements!$H:$H,MATCH(A773,Equipements!$A:$A,0))&amp;"."&amp;B773),"")</f>
        <v/>
      </c>
      <c r="D773" s="11"/>
      <c r="E773" s="25"/>
      <c r="F773" s="25"/>
      <c r="G773" s="25"/>
      <c r="H773" s="11"/>
      <c r="I773" s="11"/>
      <c r="J773" s="26" t="str">
        <f t="shared" si="20"/>
        <v/>
      </c>
      <c r="K773" s="11"/>
      <c r="L773" s="11"/>
      <c r="M773" s="11"/>
      <c r="N773" s="11"/>
      <c r="O773" s="26" t="str">
        <f t="shared" si="21"/>
        <v/>
      </c>
      <c r="P773" s="11"/>
    </row>
    <row r="774" spans="1:16" ht="15" customHeight="1" x14ac:dyDescent="0.25">
      <c r="A774" s="25"/>
      <c r="B774" s="25"/>
      <c r="C774" s="26" t="str">
        <f>IFERROR(IF(OR(A774="",B774=""),"",INDEX(Equipements!$H:$H,MATCH(A774,Equipements!$A:$A,0))&amp;"."&amp;B774),"")</f>
        <v/>
      </c>
      <c r="D774" s="11"/>
      <c r="E774" s="25"/>
      <c r="F774" s="25"/>
      <c r="G774" s="25"/>
      <c r="H774" s="11"/>
      <c r="I774" s="11"/>
      <c r="J774" s="26" t="str">
        <f t="shared" si="20"/>
        <v/>
      </c>
      <c r="K774" s="11"/>
      <c r="L774" s="11"/>
      <c r="M774" s="11"/>
      <c r="N774" s="11"/>
      <c r="O774" s="26" t="str">
        <f t="shared" si="21"/>
        <v/>
      </c>
      <c r="P774" s="11"/>
    </row>
    <row r="775" spans="1:16" ht="15" customHeight="1" x14ac:dyDescent="0.25">
      <c r="A775" s="25"/>
      <c r="B775" s="25"/>
      <c r="C775" s="26" t="str">
        <f>IFERROR(IF(OR(A775="",B775=""),"",INDEX(Equipements!$H:$H,MATCH(A775,Equipements!$A:$A,0))&amp;"."&amp;B775),"")</f>
        <v/>
      </c>
      <c r="D775" s="11"/>
      <c r="E775" s="25"/>
      <c r="F775" s="25"/>
      <c r="G775" s="25"/>
      <c r="H775" s="11"/>
      <c r="I775" s="11"/>
      <c r="J775" s="26" t="str">
        <f t="shared" si="20"/>
        <v/>
      </c>
      <c r="K775" s="11"/>
      <c r="L775" s="11"/>
      <c r="M775" s="11"/>
      <c r="N775" s="11"/>
      <c r="O775" s="26" t="str">
        <f t="shared" si="21"/>
        <v/>
      </c>
      <c r="P775" s="11"/>
    </row>
    <row r="776" spans="1:16" ht="15" customHeight="1" x14ac:dyDescent="0.25">
      <c r="A776" s="25"/>
      <c r="B776" s="25"/>
      <c r="C776" s="26" t="str">
        <f>IFERROR(IF(OR(A776="",B776=""),"",INDEX(Equipements!$H:$H,MATCH(A776,Equipements!$A:$A,0))&amp;"."&amp;B776),"")</f>
        <v/>
      </c>
      <c r="D776" s="11"/>
      <c r="E776" s="25"/>
      <c r="F776" s="25"/>
      <c r="G776" s="25"/>
      <c r="H776" s="11"/>
      <c r="I776" s="11"/>
      <c r="J776" s="26" t="str">
        <f t="shared" si="20"/>
        <v/>
      </c>
      <c r="K776" s="11"/>
      <c r="L776" s="11"/>
      <c r="M776" s="11"/>
      <c r="N776" s="11"/>
      <c r="O776" s="26" t="str">
        <f t="shared" si="21"/>
        <v/>
      </c>
      <c r="P776" s="11"/>
    </row>
    <row r="777" spans="1:16" ht="15" customHeight="1" x14ac:dyDescent="0.25">
      <c r="A777" s="25"/>
      <c r="B777" s="25"/>
      <c r="C777" s="26" t="str">
        <f>IFERROR(IF(OR(A777="",B777=""),"",INDEX(Equipements!$H:$H,MATCH(A777,Equipements!$A:$A,0))&amp;"."&amp;B777),"")</f>
        <v/>
      </c>
      <c r="D777" s="11"/>
      <c r="E777" s="25"/>
      <c r="F777" s="25"/>
      <c r="G777" s="25"/>
      <c r="H777" s="11"/>
      <c r="I777" s="11"/>
      <c r="J777" s="26" t="str">
        <f t="shared" ref="J777:J808" si="22">IF(OR(G777="",H777=""),"","%"&amp;G777&amp;H777)</f>
        <v/>
      </c>
      <c r="K777" s="11"/>
      <c r="L777" s="11"/>
      <c r="M777" s="11"/>
      <c r="N777" s="11"/>
      <c r="O777" s="26" t="str">
        <f t="shared" ref="O777:O808" si="23">IF(H777="","",IF(I777="","mot entier","bit "&amp;I777))</f>
        <v/>
      </c>
      <c r="P777" s="11"/>
    </row>
    <row r="778" spans="1:16" ht="15" customHeight="1" x14ac:dyDescent="0.25">
      <c r="A778" s="25"/>
      <c r="B778" s="25"/>
      <c r="C778" s="26" t="str">
        <f>IFERROR(IF(OR(A778="",B778=""),"",INDEX(Equipements!$H:$H,MATCH(A778,Equipements!$A:$A,0))&amp;"."&amp;B778),"")</f>
        <v/>
      </c>
      <c r="D778" s="11"/>
      <c r="E778" s="25"/>
      <c r="F778" s="25"/>
      <c r="G778" s="25"/>
      <c r="H778" s="11"/>
      <c r="I778" s="11"/>
      <c r="J778" s="26" t="str">
        <f t="shared" si="22"/>
        <v/>
      </c>
      <c r="K778" s="11"/>
      <c r="L778" s="11"/>
      <c r="M778" s="11"/>
      <c r="N778" s="11"/>
      <c r="O778" s="26" t="str">
        <f t="shared" si="23"/>
        <v/>
      </c>
      <c r="P778" s="11"/>
    </row>
    <row r="779" spans="1:16" ht="15" customHeight="1" x14ac:dyDescent="0.25">
      <c r="A779" s="25"/>
      <c r="B779" s="25"/>
      <c r="C779" s="26" t="str">
        <f>IFERROR(IF(OR(A779="",B779=""),"",INDEX(Equipements!$H:$H,MATCH(A779,Equipements!$A:$A,0))&amp;"."&amp;B779),"")</f>
        <v/>
      </c>
      <c r="D779" s="11"/>
      <c r="E779" s="25"/>
      <c r="F779" s="25"/>
      <c r="G779" s="25"/>
      <c r="H779" s="11"/>
      <c r="I779" s="11"/>
      <c r="J779" s="26" t="str">
        <f t="shared" si="22"/>
        <v/>
      </c>
      <c r="K779" s="11"/>
      <c r="L779" s="11"/>
      <c r="M779" s="11"/>
      <c r="N779" s="11"/>
      <c r="O779" s="26" t="str">
        <f t="shared" si="23"/>
        <v/>
      </c>
      <c r="P779" s="11"/>
    </row>
    <row r="780" spans="1:16" ht="15" customHeight="1" x14ac:dyDescent="0.25">
      <c r="A780" s="25"/>
      <c r="B780" s="25"/>
      <c r="C780" s="26" t="str">
        <f>IFERROR(IF(OR(A780="",B780=""),"",INDEX(Equipements!$H:$H,MATCH(A780,Equipements!$A:$A,0))&amp;"."&amp;B780),"")</f>
        <v/>
      </c>
      <c r="D780" s="11"/>
      <c r="E780" s="25"/>
      <c r="F780" s="25"/>
      <c r="G780" s="25"/>
      <c r="H780" s="11"/>
      <c r="I780" s="11"/>
      <c r="J780" s="26" t="str">
        <f t="shared" si="22"/>
        <v/>
      </c>
      <c r="K780" s="11"/>
      <c r="L780" s="11"/>
      <c r="M780" s="11"/>
      <c r="N780" s="11"/>
      <c r="O780" s="26" t="str">
        <f t="shared" si="23"/>
        <v/>
      </c>
      <c r="P780" s="11"/>
    </row>
    <row r="781" spans="1:16" ht="15" customHeight="1" x14ac:dyDescent="0.25">
      <c r="A781" s="25"/>
      <c r="B781" s="25"/>
      <c r="C781" s="26" t="str">
        <f>IFERROR(IF(OR(A781="",B781=""),"",INDEX(Equipements!$H:$H,MATCH(A781,Equipements!$A:$A,0))&amp;"."&amp;B781),"")</f>
        <v/>
      </c>
      <c r="D781" s="11"/>
      <c r="E781" s="25"/>
      <c r="F781" s="25"/>
      <c r="G781" s="25"/>
      <c r="H781" s="11"/>
      <c r="I781" s="11"/>
      <c r="J781" s="26" t="str">
        <f t="shared" si="22"/>
        <v/>
      </c>
      <c r="K781" s="11"/>
      <c r="L781" s="11"/>
      <c r="M781" s="11"/>
      <c r="N781" s="11"/>
      <c r="O781" s="26" t="str">
        <f t="shared" si="23"/>
        <v/>
      </c>
      <c r="P781" s="11"/>
    </row>
    <row r="782" spans="1:16" ht="15" customHeight="1" x14ac:dyDescent="0.25">
      <c r="A782" s="25"/>
      <c r="B782" s="25"/>
      <c r="C782" s="26" t="str">
        <f>IFERROR(IF(OR(A782="",B782=""),"",INDEX(Equipements!$H:$H,MATCH(A782,Equipements!$A:$A,0))&amp;"."&amp;B782),"")</f>
        <v/>
      </c>
      <c r="D782" s="11"/>
      <c r="E782" s="25"/>
      <c r="F782" s="25"/>
      <c r="G782" s="25"/>
      <c r="H782" s="11"/>
      <c r="I782" s="11"/>
      <c r="J782" s="26" t="str">
        <f t="shared" si="22"/>
        <v/>
      </c>
      <c r="K782" s="11"/>
      <c r="L782" s="11"/>
      <c r="M782" s="11"/>
      <c r="N782" s="11"/>
      <c r="O782" s="26" t="str">
        <f t="shared" si="23"/>
        <v/>
      </c>
      <c r="P782" s="11"/>
    </row>
    <row r="783" spans="1:16" ht="15" customHeight="1" x14ac:dyDescent="0.25">
      <c r="A783" s="25"/>
      <c r="B783" s="25"/>
      <c r="C783" s="26" t="str">
        <f>IFERROR(IF(OR(A783="",B783=""),"",INDEX(Equipements!$H:$H,MATCH(A783,Equipements!$A:$A,0))&amp;"."&amp;B783),"")</f>
        <v/>
      </c>
      <c r="D783" s="11"/>
      <c r="E783" s="25"/>
      <c r="F783" s="25"/>
      <c r="G783" s="25"/>
      <c r="H783" s="11"/>
      <c r="I783" s="11"/>
      <c r="J783" s="26" t="str">
        <f t="shared" si="22"/>
        <v/>
      </c>
      <c r="K783" s="11"/>
      <c r="L783" s="11"/>
      <c r="M783" s="11"/>
      <c r="N783" s="11"/>
      <c r="O783" s="26" t="str">
        <f t="shared" si="23"/>
        <v/>
      </c>
      <c r="P783" s="11"/>
    </row>
    <row r="784" spans="1:16" ht="15" customHeight="1" x14ac:dyDescent="0.25">
      <c r="A784" s="25"/>
      <c r="B784" s="25"/>
      <c r="C784" s="26" t="str">
        <f>IFERROR(IF(OR(A784="",B784=""),"",INDEX(Equipements!$H:$H,MATCH(A784,Equipements!$A:$A,0))&amp;"."&amp;B784),"")</f>
        <v/>
      </c>
      <c r="D784" s="11"/>
      <c r="E784" s="25"/>
      <c r="F784" s="25"/>
      <c r="G784" s="25"/>
      <c r="H784" s="11"/>
      <c r="I784" s="11"/>
      <c r="J784" s="26" t="str">
        <f t="shared" si="22"/>
        <v/>
      </c>
      <c r="K784" s="11"/>
      <c r="L784" s="11"/>
      <c r="M784" s="11"/>
      <c r="N784" s="11"/>
      <c r="O784" s="26" t="str">
        <f t="shared" si="23"/>
        <v/>
      </c>
      <c r="P784" s="11"/>
    </row>
    <row r="785" spans="1:16" ht="15" customHeight="1" x14ac:dyDescent="0.25">
      <c r="A785" s="25"/>
      <c r="B785" s="25"/>
      <c r="C785" s="26" t="str">
        <f>IFERROR(IF(OR(A785="",B785=""),"",INDEX(Equipements!$H:$H,MATCH(A785,Equipements!$A:$A,0))&amp;"."&amp;B785),"")</f>
        <v/>
      </c>
      <c r="D785" s="11"/>
      <c r="E785" s="25"/>
      <c r="F785" s="25"/>
      <c r="G785" s="25"/>
      <c r="H785" s="11"/>
      <c r="I785" s="11"/>
      <c r="J785" s="26" t="str">
        <f t="shared" si="22"/>
        <v/>
      </c>
      <c r="K785" s="11"/>
      <c r="L785" s="11"/>
      <c r="M785" s="11"/>
      <c r="N785" s="11"/>
      <c r="O785" s="26" t="str">
        <f t="shared" si="23"/>
        <v/>
      </c>
      <c r="P785" s="11"/>
    </row>
    <row r="786" spans="1:16" ht="15" customHeight="1" x14ac:dyDescent="0.25">
      <c r="A786" s="25"/>
      <c r="B786" s="25"/>
      <c r="C786" s="26" t="str">
        <f>IFERROR(IF(OR(A786="",B786=""),"",INDEX(Equipements!$H:$H,MATCH(A786,Equipements!$A:$A,0))&amp;"."&amp;B786),"")</f>
        <v/>
      </c>
      <c r="D786" s="11"/>
      <c r="E786" s="25"/>
      <c r="F786" s="25"/>
      <c r="G786" s="25"/>
      <c r="H786" s="11"/>
      <c r="I786" s="11"/>
      <c r="J786" s="26" t="str">
        <f t="shared" si="22"/>
        <v/>
      </c>
      <c r="K786" s="11"/>
      <c r="L786" s="11"/>
      <c r="M786" s="11"/>
      <c r="N786" s="11"/>
      <c r="O786" s="26" t="str">
        <f t="shared" si="23"/>
        <v/>
      </c>
      <c r="P786" s="11"/>
    </row>
    <row r="787" spans="1:16" ht="15" customHeight="1" x14ac:dyDescent="0.25">
      <c r="A787" s="25"/>
      <c r="B787" s="25"/>
      <c r="C787" s="26" t="str">
        <f>IFERROR(IF(OR(A787="",B787=""),"",INDEX(Equipements!$H:$H,MATCH(A787,Equipements!$A:$A,0))&amp;"."&amp;B787),"")</f>
        <v/>
      </c>
      <c r="D787" s="11"/>
      <c r="E787" s="25"/>
      <c r="F787" s="25"/>
      <c r="G787" s="25"/>
      <c r="H787" s="11"/>
      <c r="I787" s="11"/>
      <c r="J787" s="26" t="str">
        <f t="shared" si="22"/>
        <v/>
      </c>
      <c r="K787" s="11"/>
      <c r="L787" s="11"/>
      <c r="M787" s="11"/>
      <c r="N787" s="11"/>
      <c r="O787" s="26" t="str">
        <f t="shared" si="23"/>
        <v/>
      </c>
      <c r="P787" s="11"/>
    </row>
    <row r="788" spans="1:16" ht="15" customHeight="1" x14ac:dyDescent="0.25">
      <c r="A788" s="25"/>
      <c r="B788" s="25"/>
      <c r="C788" s="26" t="str">
        <f>IFERROR(IF(OR(A788="",B788=""),"",INDEX(Equipements!$H:$H,MATCH(A788,Equipements!$A:$A,0))&amp;"."&amp;B788),"")</f>
        <v/>
      </c>
      <c r="D788" s="11"/>
      <c r="E788" s="25"/>
      <c r="F788" s="25"/>
      <c r="G788" s="25"/>
      <c r="H788" s="11"/>
      <c r="I788" s="11"/>
      <c r="J788" s="26" t="str">
        <f t="shared" si="22"/>
        <v/>
      </c>
      <c r="K788" s="11"/>
      <c r="L788" s="11"/>
      <c r="M788" s="11"/>
      <c r="N788" s="11"/>
      <c r="O788" s="26" t="str">
        <f t="shared" si="23"/>
        <v/>
      </c>
      <c r="P788" s="11"/>
    </row>
    <row r="789" spans="1:16" ht="15" customHeight="1" x14ac:dyDescent="0.25">
      <c r="A789" s="25"/>
      <c r="B789" s="25"/>
      <c r="C789" s="26" t="str">
        <f>IFERROR(IF(OR(A789="",B789=""),"",INDEX(Equipements!$H:$H,MATCH(A789,Equipements!$A:$A,0))&amp;"."&amp;B789),"")</f>
        <v/>
      </c>
      <c r="D789" s="11"/>
      <c r="E789" s="25"/>
      <c r="F789" s="25"/>
      <c r="G789" s="25"/>
      <c r="H789" s="11"/>
      <c r="I789" s="11"/>
      <c r="J789" s="26" t="str">
        <f t="shared" si="22"/>
        <v/>
      </c>
      <c r="K789" s="11"/>
      <c r="L789" s="11"/>
      <c r="M789" s="11"/>
      <c r="N789" s="11"/>
      <c r="O789" s="26" t="str">
        <f t="shared" si="23"/>
        <v/>
      </c>
      <c r="P789" s="11"/>
    </row>
    <row r="790" spans="1:16" ht="15" customHeight="1" x14ac:dyDescent="0.25">
      <c r="A790" s="25"/>
      <c r="B790" s="25"/>
      <c r="C790" s="26" t="str">
        <f>IFERROR(IF(OR(A790="",B790=""),"",INDEX(Equipements!$H:$H,MATCH(A790,Equipements!$A:$A,0))&amp;"."&amp;B790),"")</f>
        <v/>
      </c>
      <c r="D790" s="11"/>
      <c r="E790" s="25"/>
      <c r="F790" s="25"/>
      <c r="G790" s="25"/>
      <c r="H790" s="11"/>
      <c r="I790" s="11"/>
      <c r="J790" s="26" t="str">
        <f t="shared" si="22"/>
        <v/>
      </c>
      <c r="K790" s="11"/>
      <c r="L790" s="11"/>
      <c r="M790" s="11"/>
      <c r="N790" s="11"/>
      <c r="O790" s="26" t="str">
        <f t="shared" si="23"/>
        <v/>
      </c>
      <c r="P790" s="11"/>
    </row>
    <row r="791" spans="1:16" ht="15" customHeight="1" x14ac:dyDescent="0.25">
      <c r="A791" s="25"/>
      <c r="B791" s="25"/>
      <c r="C791" s="26" t="str">
        <f>IFERROR(IF(OR(A791="",B791=""),"",INDEX(Equipements!$H:$H,MATCH(A791,Equipements!$A:$A,0))&amp;"."&amp;B791),"")</f>
        <v/>
      </c>
      <c r="D791" s="11"/>
      <c r="E791" s="25"/>
      <c r="F791" s="25"/>
      <c r="G791" s="25"/>
      <c r="H791" s="11"/>
      <c r="I791" s="11"/>
      <c r="J791" s="26" t="str">
        <f t="shared" si="22"/>
        <v/>
      </c>
      <c r="K791" s="11"/>
      <c r="L791" s="11"/>
      <c r="M791" s="11"/>
      <c r="N791" s="11"/>
      <c r="O791" s="26" t="str">
        <f t="shared" si="23"/>
        <v/>
      </c>
      <c r="P791" s="11"/>
    </row>
    <row r="792" spans="1:16" ht="15" customHeight="1" x14ac:dyDescent="0.25">
      <c r="A792" s="25"/>
      <c r="B792" s="25"/>
      <c r="C792" s="26" t="str">
        <f>IFERROR(IF(OR(A792="",B792=""),"",INDEX(Equipements!$H:$H,MATCH(A792,Equipements!$A:$A,0))&amp;"."&amp;B792),"")</f>
        <v/>
      </c>
      <c r="D792" s="11"/>
      <c r="E792" s="25"/>
      <c r="F792" s="25"/>
      <c r="G792" s="25"/>
      <c r="H792" s="11"/>
      <c r="I792" s="11"/>
      <c r="J792" s="26" t="str">
        <f t="shared" si="22"/>
        <v/>
      </c>
      <c r="K792" s="11"/>
      <c r="L792" s="11"/>
      <c r="M792" s="11"/>
      <c r="N792" s="11"/>
      <c r="O792" s="26" t="str">
        <f t="shared" si="23"/>
        <v/>
      </c>
      <c r="P792" s="11"/>
    </row>
    <row r="793" spans="1:16" ht="15" customHeight="1" x14ac:dyDescent="0.25">
      <c r="A793" s="25"/>
      <c r="B793" s="25"/>
      <c r="C793" s="26" t="str">
        <f>IFERROR(IF(OR(A793="",B793=""),"",INDEX(Equipements!$H:$H,MATCH(A793,Equipements!$A:$A,0))&amp;"."&amp;B793),"")</f>
        <v/>
      </c>
      <c r="D793" s="11"/>
      <c r="E793" s="25"/>
      <c r="F793" s="25"/>
      <c r="G793" s="25"/>
      <c r="H793" s="11"/>
      <c r="I793" s="11"/>
      <c r="J793" s="26" t="str">
        <f t="shared" si="22"/>
        <v/>
      </c>
      <c r="K793" s="11"/>
      <c r="L793" s="11"/>
      <c r="M793" s="11"/>
      <c r="N793" s="11"/>
      <c r="O793" s="26" t="str">
        <f t="shared" si="23"/>
        <v/>
      </c>
      <c r="P793" s="11"/>
    </row>
    <row r="794" spans="1:16" ht="15" customHeight="1" x14ac:dyDescent="0.25">
      <c r="A794" s="25"/>
      <c r="B794" s="25"/>
      <c r="C794" s="26" t="str">
        <f>IFERROR(IF(OR(A794="",B794=""),"",INDEX(Equipements!$H:$H,MATCH(A794,Equipements!$A:$A,0))&amp;"."&amp;B794),"")</f>
        <v/>
      </c>
      <c r="D794" s="11"/>
      <c r="E794" s="25"/>
      <c r="F794" s="25"/>
      <c r="G794" s="25"/>
      <c r="H794" s="11"/>
      <c r="I794" s="11"/>
      <c r="J794" s="26" t="str">
        <f t="shared" si="22"/>
        <v/>
      </c>
      <c r="K794" s="11"/>
      <c r="L794" s="11"/>
      <c r="M794" s="11"/>
      <c r="N794" s="11"/>
      <c r="O794" s="26" t="str">
        <f t="shared" si="23"/>
        <v/>
      </c>
      <c r="P794" s="11"/>
    </row>
    <row r="795" spans="1:16" ht="15" customHeight="1" x14ac:dyDescent="0.25">
      <c r="A795" s="25"/>
      <c r="B795" s="25"/>
      <c r="C795" s="26" t="str">
        <f>IFERROR(IF(OR(A795="",B795=""),"",INDEX(Equipements!$H:$H,MATCH(A795,Equipements!$A:$A,0))&amp;"."&amp;B795),"")</f>
        <v/>
      </c>
      <c r="D795" s="11"/>
      <c r="E795" s="25"/>
      <c r="F795" s="25"/>
      <c r="G795" s="25"/>
      <c r="H795" s="11"/>
      <c r="I795" s="11"/>
      <c r="J795" s="26" t="str">
        <f t="shared" si="22"/>
        <v/>
      </c>
      <c r="K795" s="11"/>
      <c r="L795" s="11"/>
      <c r="M795" s="11"/>
      <c r="N795" s="11"/>
      <c r="O795" s="26" t="str">
        <f t="shared" si="23"/>
        <v/>
      </c>
      <c r="P795" s="11"/>
    </row>
    <row r="796" spans="1:16" ht="15" customHeight="1" x14ac:dyDescent="0.25">
      <c r="A796" s="25"/>
      <c r="B796" s="25"/>
      <c r="C796" s="26" t="str">
        <f>IFERROR(IF(OR(A796="",B796=""),"",INDEX(Equipements!$H:$H,MATCH(A796,Equipements!$A:$A,0))&amp;"."&amp;B796),"")</f>
        <v/>
      </c>
      <c r="D796" s="11"/>
      <c r="E796" s="25"/>
      <c r="F796" s="25"/>
      <c r="G796" s="25"/>
      <c r="H796" s="11"/>
      <c r="I796" s="11"/>
      <c r="J796" s="26" t="str">
        <f t="shared" si="22"/>
        <v/>
      </c>
      <c r="K796" s="11"/>
      <c r="L796" s="11"/>
      <c r="M796" s="11"/>
      <c r="N796" s="11"/>
      <c r="O796" s="26" t="str">
        <f t="shared" si="23"/>
        <v/>
      </c>
      <c r="P796" s="11"/>
    </row>
    <row r="797" spans="1:16" ht="15" customHeight="1" x14ac:dyDescent="0.25">
      <c r="A797" s="25"/>
      <c r="B797" s="25"/>
      <c r="C797" s="26" t="str">
        <f>IFERROR(IF(OR(A797="",B797=""),"",INDEX(Equipements!$H:$H,MATCH(A797,Equipements!$A:$A,0))&amp;"."&amp;B797),"")</f>
        <v/>
      </c>
      <c r="D797" s="11"/>
      <c r="E797" s="25"/>
      <c r="F797" s="25"/>
      <c r="G797" s="25"/>
      <c r="H797" s="11"/>
      <c r="I797" s="11"/>
      <c r="J797" s="26" t="str">
        <f t="shared" si="22"/>
        <v/>
      </c>
      <c r="K797" s="11"/>
      <c r="L797" s="11"/>
      <c r="M797" s="11"/>
      <c r="N797" s="11"/>
      <c r="O797" s="26" t="str">
        <f t="shared" si="23"/>
        <v/>
      </c>
      <c r="P797" s="11"/>
    </row>
    <row r="798" spans="1:16" ht="15" customHeight="1" x14ac:dyDescent="0.25">
      <c r="A798" s="25"/>
      <c r="B798" s="25"/>
      <c r="C798" s="26" t="str">
        <f>IFERROR(IF(OR(A798="",B798=""),"",INDEX(Equipements!$H:$H,MATCH(A798,Equipements!$A:$A,0))&amp;"."&amp;B798),"")</f>
        <v/>
      </c>
      <c r="D798" s="11"/>
      <c r="E798" s="25"/>
      <c r="F798" s="25"/>
      <c r="G798" s="25"/>
      <c r="H798" s="11"/>
      <c r="I798" s="11"/>
      <c r="J798" s="26" t="str">
        <f t="shared" si="22"/>
        <v/>
      </c>
      <c r="K798" s="11"/>
      <c r="L798" s="11"/>
      <c r="M798" s="11"/>
      <c r="N798" s="11"/>
      <c r="O798" s="26" t="str">
        <f t="shared" si="23"/>
        <v/>
      </c>
      <c r="P798" s="11"/>
    </row>
    <row r="799" spans="1:16" ht="15" customHeight="1" x14ac:dyDescent="0.25">
      <c r="A799" s="25"/>
      <c r="B799" s="25"/>
      <c r="C799" s="26" t="str">
        <f>IFERROR(IF(OR(A799="",B799=""),"",INDEX(Equipements!$H:$H,MATCH(A799,Equipements!$A:$A,0))&amp;"."&amp;B799),"")</f>
        <v/>
      </c>
      <c r="D799" s="11"/>
      <c r="E799" s="25"/>
      <c r="F799" s="25"/>
      <c r="G799" s="25"/>
      <c r="H799" s="11"/>
      <c r="I799" s="11"/>
      <c r="J799" s="26" t="str">
        <f t="shared" si="22"/>
        <v/>
      </c>
      <c r="K799" s="11"/>
      <c r="L799" s="11"/>
      <c r="M799" s="11"/>
      <c r="N799" s="11"/>
      <c r="O799" s="26" t="str">
        <f t="shared" si="23"/>
        <v/>
      </c>
      <c r="P799" s="11"/>
    </row>
    <row r="800" spans="1:16" ht="15" customHeight="1" x14ac:dyDescent="0.25">
      <c r="A800" s="25"/>
      <c r="B800" s="25"/>
      <c r="C800" s="26" t="str">
        <f>IFERROR(IF(OR(A800="",B800=""),"",INDEX(Equipements!$H:$H,MATCH(A800,Equipements!$A:$A,0))&amp;"."&amp;B800),"")</f>
        <v/>
      </c>
      <c r="D800" s="11"/>
      <c r="E800" s="25"/>
      <c r="F800" s="25"/>
      <c r="G800" s="25"/>
      <c r="H800" s="11"/>
      <c r="I800" s="11"/>
      <c r="J800" s="26" t="str">
        <f t="shared" si="22"/>
        <v/>
      </c>
      <c r="K800" s="11"/>
      <c r="L800" s="11"/>
      <c r="M800" s="11"/>
      <c r="N800" s="11"/>
      <c r="O800" s="26" t="str">
        <f t="shared" si="23"/>
        <v/>
      </c>
      <c r="P800" s="11"/>
    </row>
    <row r="801" spans="1:70" ht="15" customHeight="1" x14ac:dyDescent="0.25">
      <c r="A801" s="25"/>
      <c r="B801" s="25"/>
      <c r="C801" s="26" t="str">
        <f>IFERROR(IF(OR(A801="",B801=""),"",INDEX(Equipements!$H:$H,MATCH(A801,Equipements!$A:$A,0))&amp;"."&amp;B801),"")</f>
        <v/>
      </c>
      <c r="D801" s="11"/>
      <c r="E801" s="25"/>
      <c r="F801" s="25"/>
      <c r="G801" s="25"/>
      <c r="H801" s="11"/>
      <c r="I801" s="11"/>
      <c r="J801" s="26" t="str">
        <f t="shared" si="22"/>
        <v/>
      </c>
      <c r="K801" s="11"/>
      <c r="L801" s="11"/>
      <c r="M801" s="11"/>
      <c r="N801" s="11"/>
      <c r="O801" s="26" t="str">
        <f t="shared" si="23"/>
        <v/>
      </c>
      <c r="P801" s="11"/>
    </row>
    <row r="802" spans="1:70" ht="15" customHeight="1" x14ac:dyDescent="0.25">
      <c r="A802" s="25"/>
      <c r="B802" s="25"/>
      <c r="C802" s="26" t="str">
        <f>IFERROR(IF(OR(A802="",B802=""),"",INDEX(Equipements!$H:$H,MATCH(A802,Equipements!$A:$A,0))&amp;"."&amp;B802),"")</f>
        <v/>
      </c>
      <c r="D802" s="11"/>
      <c r="E802" s="25"/>
      <c r="F802" s="25"/>
      <c r="G802" s="25"/>
      <c r="H802" s="11"/>
      <c r="I802" s="11"/>
      <c r="J802" s="26" t="str">
        <f t="shared" si="22"/>
        <v/>
      </c>
      <c r="K802" s="11"/>
      <c r="L802" s="11"/>
      <c r="M802" s="11"/>
      <c r="N802" s="11"/>
      <c r="O802" s="26" t="str">
        <f t="shared" si="23"/>
        <v/>
      </c>
      <c r="P802" s="11"/>
    </row>
    <row r="803" spans="1:70" ht="15" customHeight="1" x14ac:dyDescent="0.25">
      <c r="A803" s="25"/>
      <c r="B803" s="25"/>
      <c r="C803" s="26" t="str">
        <f>IFERROR(IF(OR(A803="",B803=""),"",INDEX(Equipements!$H:$H,MATCH(A803,Equipements!$A:$A,0))&amp;"."&amp;B803),"")</f>
        <v/>
      </c>
      <c r="D803" s="11"/>
      <c r="E803" s="25"/>
      <c r="F803" s="25"/>
      <c r="G803" s="25"/>
      <c r="H803" s="11"/>
      <c r="I803" s="11"/>
      <c r="J803" s="26" t="str">
        <f t="shared" si="22"/>
        <v/>
      </c>
      <c r="K803" s="11"/>
      <c r="L803" s="11"/>
      <c r="M803" s="11"/>
      <c r="N803" s="11"/>
      <c r="O803" s="26" t="str">
        <f t="shared" si="23"/>
        <v/>
      </c>
      <c r="P803" s="11"/>
    </row>
    <row r="804" spans="1:70" ht="15" customHeight="1" x14ac:dyDescent="0.25">
      <c r="A804" s="25"/>
      <c r="B804" s="25"/>
      <c r="C804" s="26" t="str">
        <f>IFERROR(IF(OR(A804="",B804=""),"",INDEX(Equipements!$H:$H,MATCH(A804,Equipements!$A:$A,0))&amp;"."&amp;B804),"")</f>
        <v/>
      </c>
      <c r="D804" s="11"/>
      <c r="E804" s="25"/>
      <c r="F804" s="25"/>
      <c r="G804" s="25"/>
      <c r="H804" s="11"/>
      <c r="I804" s="11"/>
      <c r="J804" s="26" t="str">
        <f t="shared" si="22"/>
        <v/>
      </c>
      <c r="K804" s="11"/>
      <c r="L804" s="11"/>
      <c r="M804" s="11"/>
      <c r="N804" s="11"/>
      <c r="O804" s="26" t="str">
        <f t="shared" si="23"/>
        <v/>
      </c>
      <c r="P804" s="11"/>
    </row>
    <row r="805" spans="1:70" ht="15" customHeight="1" x14ac:dyDescent="0.25">
      <c r="A805" s="25"/>
      <c r="B805" s="25"/>
      <c r="C805" s="26" t="str">
        <f>IFERROR(IF(OR(A805="",B805=""),"",INDEX(Equipements!$H:$H,MATCH(A805,Equipements!$A:$A,0))&amp;"."&amp;B805),"")</f>
        <v/>
      </c>
      <c r="D805" s="11"/>
      <c r="E805" s="25"/>
      <c r="F805" s="25"/>
      <c r="G805" s="25"/>
      <c r="H805" s="11"/>
      <c r="I805" s="11"/>
      <c r="J805" s="26" t="str">
        <f t="shared" si="22"/>
        <v/>
      </c>
      <c r="K805" s="11"/>
      <c r="L805" s="11"/>
      <c r="M805" s="11"/>
      <c r="N805" s="11"/>
      <c r="O805" s="26" t="str">
        <f t="shared" si="23"/>
        <v/>
      </c>
      <c r="P805" s="11"/>
    </row>
    <row r="806" spans="1:70" ht="15" customHeight="1" x14ac:dyDescent="0.25">
      <c r="A806" s="25"/>
      <c r="B806" s="25"/>
      <c r="C806" s="26" t="str">
        <f>IFERROR(IF(OR(A806="",B806=""),"",INDEX(Equipements!$H:$H,MATCH(A806,Equipements!$A:$A,0))&amp;"."&amp;B806),"")</f>
        <v/>
      </c>
      <c r="D806" s="11"/>
      <c r="E806" s="25"/>
      <c r="F806" s="25"/>
      <c r="G806" s="25"/>
      <c r="H806" s="11"/>
      <c r="I806" s="11"/>
      <c r="J806" s="26" t="str">
        <f t="shared" si="22"/>
        <v/>
      </c>
      <c r="K806" s="11"/>
      <c r="L806" s="11"/>
      <c r="M806" s="11"/>
      <c r="N806" s="11"/>
      <c r="O806" s="26" t="str">
        <f t="shared" si="23"/>
        <v/>
      </c>
      <c r="P806" s="11"/>
    </row>
    <row r="807" spans="1:70" ht="15" customHeight="1" x14ac:dyDescent="0.25">
      <c r="A807" s="25"/>
      <c r="B807" s="25"/>
      <c r="C807" s="26" t="str">
        <f>IFERROR(IF(OR(A807="",B807=""),"",INDEX(Equipements!$H:$H,MATCH(A807,Equipements!$A:$A,0))&amp;"."&amp;B807),"")</f>
        <v/>
      </c>
      <c r="D807" s="11"/>
      <c r="E807" s="25"/>
      <c r="F807" s="25"/>
      <c r="G807" s="25"/>
      <c r="H807" s="11"/>
      <c r="I807" s="11"/>
      <c r="J807" s="26" t="str">
        <f t="shared" si="22"/>
        <v/>
      </c>
      <c r="K807" s="11"/>
      <c r="L807" s="11"/>
      <c r="M807" s="11"/>
      <c r="N807" s="11"/>
      <c r="O807" s="26" t="str">
        <f t="shared" si="23"/>
        <v/>
      </c>
      <c r="P807" s="11"/>
    </row>
    <row r="808" spans="1:70" ht="15" customHeight="1" x14ac:dyDescent="0.25">
      <c r="A808" s="25"/>
      <c r="B808" s="25"/>
      <c r="C808" s="26" t="str">
        <f>IFERROR(IF(OR(A808="",B808=""),"",INDEX(Equipements!$H:$H,MATCH(A808,Equipements!$A:$A,0))&amp;"."&amp;B808),"")</f>
        <v/>
      </c>
      <c r="D808" s="11"/>
      <c r="E808" s="25"/>
      <c r="F808" s="25"/>
      <c r="G808" s="25"/>
      <c r="H808" s="11"/>
      <c r="I808" s="11"/>
      <c r="J808" s="26" t="str">
        <f t="shared" si="22"/>
        <v/>
      </c>
      <c r="K808" s="11"/>
      <c r="L808" s="11"/>
      <c r="M808" s="11"/>
      <c r="N808" s="11"/>
      <c r="O808" s="26" t="str">
        <f t="shared" si="23"/>
        <v/>
      </c>
      <c r="P808" s="11"/>
    </row>
    <row r="810" spans="1:70" x14ac:dyDescent="0.25">
      <c r="BR810" s="17" t="s">
        <v>271</v>
      </c>
    </row>
  </sheetData>
  <autoFilter ref="A7:P7" xr:uid="{00000000-0009-0000-0000-000007000000}"/>
  <mergeCells count="6">
    <mergeCell ref="A1:P1"/>
    <mergeCell ref="A2:P2"/>
    <mergeCell ref="A6:C6"/>
    <mergeCell ref="D6:F6"/>
    <mergeCell ref="G6:J6"/>
    <mergeCell ref="K6:N6"/>
  </mergeCells>
  <dataValidations count="5">
    <dataValidation type="list" allowBlank="1" sqref="A9:A808" xr:uid="{00000000-0002-0000-0700-000000000000}">
      <formula1>EqNoms</formula1>
      <formula2>0</formula2>
    </dataValidation>
    <dataValidation type="list" allowBlank="1" sqref="B9:B808" xr:uid="{00000000-0002-0000-0700-000001000000}">
      <formula1>CatParams</formula1>
      <formula2>0</formula2>
    </dataValidation>
    <dataValidation type="list" allowBlank="1" sqref="E9:E808" xr:uid="{00000000-0002-0000-0700-000002000000}">
      <formula1>"R,W,RW"</formula1>
      <formula2>0</formula2>
    </dataValidation>
    <dataValidation type="list" allowBlank="1" sqref="F9:F808" xr:uid="{00000000-0002-0000-0700-000003000000}">
      <formula1>"TM,TA,TC"</formula1>
      <formula2>0</formula2>
    </dataValidation>
    <dataValidation type="list" allowBlank="1" sqref="G9:G808" xr:uid="{00000000-0002-0000-0700-000004000000}">
      <formula1>"MW,MX"</formula1>
      <formula2>0</formula2>
    </dataValidation>
  </dataValidation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Reports&amp;C&amp;7 &amp;D&amp;R&amp;7 page 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pageSetUpPr fitToPage="1"/>
  </sheetPr>
  <dimension ref="A1:BR60"/>
  <sheetViews>
    <sheetView zoomScaleNormal="100" workbookViewId="0">
      <pane ySplit="8" topLeftCell="A9" activePane="bottomLeft" state="frozen"/>
      <selection pane="bottomLeft" sqref="A1:H1"/>
    </sheetView>
  </sheetViews>
  <sheetFormatPr baseColWidth="10" defaultColWidth="8.7109375" defaultRowHeight="15" x14ac:dyDescent="0.25"/>
  <cols>
    <col min="1" max="2" width="12.42578125" customWidth="1"/>
    <col min="3" max="3" width="6" customWidth="1"/>
    <col min="4" max="4" width="46" customWidth="1"/>
  </cols>
  <sheetData>
    <row r="1" spans="1:8" ht="25.5" customHeight="1" x14ac:dyDescent="0.25">
      <c r="A1" s="9" t="s">
        <v>272</v>
      </c>
      <c r="B1" s="9"/>
      <c r="C1" s="9"/>
      <c r="D1" s="9"/>
      <c r="E1" s="9"/>
      <c r="F1" s="9"/>
      <c r="G1" s="9"/>
      <c r="H1" s="9"/>
    </row>
    <row r="2" spans="1:8" ht="15.75" customHeight="1" x14ac:dyDescent="0.25">
      <c r="A2" s="8" t="s">
        <v>273</v>
      </c>
      <c r="B2" s="8"/>
      <c r="C2" s="8"/>
      <c r="D2" s="8"/>
      <c r="E2" s="8"/>
      <c r="F2" s="8"/>
      <c r="G2" s="8"/>
      <c r="H2" s="8"/>
    </row>
    <row r="3" spans="1:8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8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8" ht="15" customHeight="1" x14ac:dyDescent="0.25">
      <c r="A6" s="5" t="s">
        <v>6</v>
      </c>
      <c r="B6" s="5"/>
      <c r="C6" s="5"/>
      <c r="D6" s="5"/>
    </row>
    <row r="7" spans="1:8" ht="30" customHeight="1" x14ac:dyDescent="0.25">
      <c r="A7" s="23" t="s">
        <v>6</v>
      </c>
      <c r="B7" s="23" t="s">
        <v>274</v>
      </c>
      <c r="C7" s="23" t="s">
        <v>275</v>
      </c>
      <c r="D7" s="23" t="s">
        <v>276</v>
      </c>
    </row>
    <row r="8" spans="1:8" ht="12.75" customHeight="1" x14ac:dyDescent="0.25">
      <c r="A8" s="24" t="s">
        <v>277</v>
      </c>
      <c r="B8" s="24"/>
      <c r="C8" s="24"/>
      <c r="D8" s="24"/>
    </row>
    <row r="9" spans="1:8" ht="15" customHeight="1" x14ac:dyDescent="0.25">
      <c r="A9" s="11" t="s">
        <v>7</v>
      </c>
      <c r="B9" s="11" t="s">
        <v>9</v>
      </c>
      <c r="C9" s="11"/>
      <c r="D9" s="11" t="s">
        <v>278</v>
      </c>
    </row>
    <row r="10" spans="1:8" ht="15" customHeight="1" x14ac:dyDescent="0.25">
      <c r="A10" s="11"/>
      <c r="B10" s="11"/>
      <c r="C10" s="11"/>
      <c r="D10" s="11"/>
    </row>
    <row r="11" spans="1:8" ht="15" customHeight="1" x14ac:dyDescent="0.25">
      <c r="A11" s="11"/>
      <c r="B11" s="11"/>
      <c r="C11" s="11"/>
      <c r="D11" s="11"/>
    </row>
    <row r="12" spans="1:8" ht="15" customHeight="1" x14ac:dyDescent="0.25">
      <c r="A12" s="11"/>
      <c r="B12" s="11"/>
      <c r="C12" s="11"/>
      <c r="D12" s="11"/>
    </row>
    <row r="13" spans="1:8" ht="15" customHeight="1" x14ac:dyDescent="0.25">
      <c r="A13" s="11"/>
      <c r="B13" s="11"/>
      <c r="C13" s="11"/>
      <c r="D13" s="11"/>
    </row>
    <row r="14" spans="1:8" ht="15" customHeight="1" x14ac:dyDescent="0.25">
      <c r="A14" s="11"/>
      <c r="B14" s="11"/>
      <c r="C14" s="11"/>
      <c r="D14" s="11"/>
    </row>
    <row r="15" spans="1:8" ht="15" customHeight="1" x14ac:dyDescent="0.25">
      <c r="A15" s="11"/>
      <c r="B15" s="11"/>
      <c r="C15" s="11"/>
      <c r="D15" s="11"/>
    </row>
    <row r="16" spans="1:8" ht="15" customHeight="1" x14ac:dyDescent="0.25">
      <c r="A16" s="11"/>
      <c r="B16" s="11"/>
      <c r="C16" s="11"/>
      <c r="D16" s="11"/>
    </row>
    <row r="17" spans="1:4" ht="15" customHeight="1" x14ac:dyDescent="0.25">
      <c r="A17" s="11"/>
      <c r="B17" s="11"/>
      <c r="C17" s="11"/>
      <c r="D17" s="11"/>
    </row>
    <row r="18" spans="1:4" ht="15" customHeight="1" x14ac:dyDescent="0.25">
      <c r="A18" s="11"/>
      <c r="B18" s="11"/>
      <c r="C18" s="11"/>
      <c r="D18" s="11"/>
    </row>
    <row r="19" spans="1:4" ht="15" customHeight="1" x14ac:dyDescent="0.25">
      <c r="A19" s="11"/>
      <c r="B19" s="11"/>
      <c r="C19" s="11"/>
      <c r="D19" s="11"/>
    </row>
    <row r="20" spans="1:4" ht="15" customHeight="1" x14ac:dyDescent="0.25">
      <c r="A20" s="11"/>
      <c r="B20" s="11"/>
      <c r="C20" s="11"/>
      <c r="D20" s="11"/>
    </row>
    <row r="21" spans="1:4" ht="15" customHeight="1" x14ac:dyDescent="0.25">
      <c r="A21" s="11"/>
      <c r="B21" s="11"/>
      <c r="C21" s="11"/>
      <c r="D21" s="11"/>
    </row>
    <row r="22" spans="1:4" ht="15" customHeight="1" x14ac:dyDescent="0.25">
      <c r="A22" s="11"/>
      <c r="B22" s="11"/>
      <c r="C22" s="11"/>
      <c r="D22" s="11"/>
    </row>
    <row r="23" spans="1:4" ht="15" customHeight="1" x14ac:dyDescent="0.25">
      <c r="A23" s="11"/>
      <c r="B23" s="11"/>
      <c r="C23" s="11"/>
      <c r="D23" s="11"/>
    </row>
    <row r="24" spans="1:4" ht="15" customHeight="1" x14ac:dyDescent="0.25">
      <c r="A24" s="11"/>
      <c r="B24" s="11"/>
      <c r="C24" s="11"/>
      <c r="D24" s="11"/>
    </row>
    <row r="25" spans="1:4" ht="15" customHeight="1" x14ac:dyDescent="0.25">
      <c r="A25" s="11"/>
      <c r="B25" s="11"/>
      <c r="C25" s="11"/>
      <c r="D25" s="11"/>
    </row>
    <row r="26" spans="1:4" ht="15" customHeight="1" x14ac:dyDescent="0.25">
      <c r="A26" s="11"/>
      <c r="B26" s="11"/>
      <c r="C26" s="11"/>
      <c r="D26" s="11"/>
    </row>
    <row r="27" spans="1:4" ht="15" customHeight="1" x14ac:dyDescent="0.25">
      <c r="A27" s="11"/>
      <c r="B27" s="11"/>
      <c r="C27" s="11"/>
      <c r="D27" s="11"/>
    </row>
    <row r="28" spans="1:4" ht="15" customHeight="1" x14ac:dyDescent="0.25">
      <c r="A28" s="11"/>
      <c r="B28" s="11"/>
      <c r="C28" s="11"/>
      <c r="D28" s="11"/>
    </row>
    <row r="29" spans="1:4" ht="15" customHeight="1" x14ac:dyDescent="0.25">
      <c r="A29" s="11"/>
      <c r="B29" s="11"/>
      <c r="C29" s="11"/>
      <c r="D29" s="11"/>
    </row>
    <row r="30" spans="1:4" ht="15" customHeight="1" x14ac:dyDescent="0.25">
      <c r="A30" s="11"/>
      <c r="B30" s="11"/>
      <c r="C30" s="11"/>
      <c r="D30" s="11"/>
    </row>
    <row r="31" spans="1:4" ht="15" customHeight="1" x14ac:dyDescent="0.25">
      <c r="A31" s="11"/>
      <c r="B31" s="11"/>
      <c r="C31" s="11"/>
      <c r="D31" s="11"/>
    </row>
    <row r="32" spans="1:4" ht="15" customHeight="1" x14ac:dyDescent="0.25">
      <c r="A32" s="11"/>
      <c r="B32" s="11"/>
      <c r="C32" s="11"/>
      <c r="D32" s="11"/>
    </row>
    <row r="33" spans="1:4" ht="15" customHeight="1" x14ac:dyDescent="0.25">
      <c r="A33" s="11"/>
      <c r="B33" s="11"/>
      <c r="C33" s="11"/>
      <c r="D33" s="11"/>
    </row>
    <row r="34" spans="1:4" ht="15" customHeight="1" x14ac:dyDescent="0.25">
      <c r="A34" s="11"/>
      <c r="B34" s="11"/>
      <c r="C34" s="11"/>
      <c r="D34" s="11"/>
    </row>
    <row r="35" spans="1:4" ht="15" customHeight="1" x14ac:dyDescent="0.25">
      <c r="A35" s="11"/>
      <c r="B35" s="11"/>
      <c r="C35" s="11"/>
      <c r="D35" s="11"/>
    </row>
    <row r="36" spans="1:4" ht="15" customHeight="1" x14ac:dyDescent="0.25">
      <c r="A36" s="11"/>
      <c r="B36" s="11"/>
      <c r="C36" s="11"/>
      <c r="D36" s="11"/>
    </row>
    <row r="37" spans="1:4" ht="15" customHeight="1" x14ac:dyDescent="0.25">
      <c r="A37" s="11"/>
      <c r="B37" s="11"/>
      <c r="C37" s="11"/>
      <c r="D37" s="11"/>
    </row>
    <row r="38" spans="1:4" ht="15" customHeight="1" x14ac:dyDescent="0.25">
      <c r="A38" s="11"/>
      <c r="B38" s="11"/>
      <c r="C38" s="11"/>
      <c r="D38" s="11"/>
    </row>
    <row r="39" spans="1:4" ht="15" customHeight="1" x14ac:dyDescent="0.25">
      <c r="A39" s="11"/>
      <c r="B39" s="11"/>
      <c r="C39" s="11"/>
      <c r="D39" s="11"/>
    </row>
    <row r="40" spans="1:4" ht="15" customHeight="1" x14ac:dyDescent="0.25">
      <c r="A40" s="11"/>
      <c r="B40" s="11"/>
      <c r="C40" s="11"/>
      <c r="D40" s="11"/>
    </row>
    <row r="41" spans="1:4" ht="15" customHeight="1" x14ac:dyDescent="0.25">
      <c r="A41" s="11"/>
      <c r="B41" s="11"/>
      <c r="C41" s="11"/>
      <c r="D41" s="11"/>
    </row>
    <row r="42" spans="1:4" ht="15" customHeight="1" x14ac:dyDescent="0.25">
      <c r="A42" s="11"/>
      <c r="B42" s="11"/>
      <c r="C42" s="11"/>
      <c r="D42" s="11"/>
    </row>
    <row r="43" spans="1:4" ht="15" customHeight="1" x14ac:dyDescent="0.25">
      <c r="A43" s="11"/>
      <c r="B43" s="11"/>
      <c r="C43" s="11"/>
      <c r="D43" s="11"/>
    </row>
    <row r="44" spans="1:4" ht="15" customHeight="1" x14ac:dyDescent="0.25">
      <c r="A44" s="11"/>
      <c r="B44" s="11"/>
      <c r="C44" s="11"/>
      <c r="D44" s="11"/>
    </row>
    <row r="45" spans="1:4" ht="15" customHeight="1" x14ac:dyDescent="0.25">
      <c r="A45" s="11"/>
      <c r="B45" s="11"/>
      <c r="C45" s="11"/>
      <c r="D45" s="11"/>
    </row>
    <row r="46" spans="1:4" ht="15" customHeight="1" x14ac:dyDescent="0.25">
      <c r="A46" s="11"/>
      <c r="B46" s="11"/>
      <c r="C46" s="11"/>
      <c r="D46" s="11"/>
    </row>
    <row r="47" spans="1:4" ht="15" customHeight="1" x14ac:dyDescent="0.25">
      <c r="A47" s="11"/>
      <c r="B47" s="11"/>
      <c r="C47" s="11"/>
      <c r="D47" s="11"/>
    </row>
    <row r="48" spans="1:4" ht="15" customHeight="1" x14ac:dyDescent="0.25">
      <c r="A48" s="11"/>
      <c r="B48" s="11"/>
      <c r="C48" s="11"/>
      <c r="D48" s="11"/>
    </row>
    <row r="50" spans="1:70" x14ac:dyDescent="0.25">
      <c r="BR50" s="17" t="s">
        <v>279</v>
      </c>
    </row>
    <row r="51" spans="1:70" x14ac:dyDescent="0.25">
      <c r="A51" s="15" t="s">
        <v>280</v>
      </c>
    </row>
    <row r="52" spans="1:70" ht="19.5" customHeight="1" x14ac:dyDescent="0.25">
      <c r="A52" s="36" t="s">
        <v>281</v>
      </c>
      <c r="B52" s="36" t="s">
        <v>282</v>
      </c>
      <c r="C52" s="36" t="s">
        <v>283</v>
      </c>
      <c r="D52" s="36" t="s">
        <v>275</v>
      </c>
    </row>
    <row r="53" spans="1:70" x14ac:dyDescent="0.25">
      <c r="A53" s="54" t="s">
        <v>988</v>
      </c>
      <c r="B53" s="54" t="s">
        <v>989</v>
      </c>
      <c r="C53" s="54" t="s">
        <v>990</v>
      </c>
      <c r="D53" s="54" t="s">
        <v>991</v>
      </c>
    </row>
    <row r="54" spans="1:70" x14ac:dyDescent="0.25">
      <c r="A54" s="54" t="s">
        <v>1085</v>
      </c>
      <c r="B54" s="54" t="s">
        <v>1086</v>
      </c>
      <c r="C54" s="54" t="s">
        <v>1087</v>
      </c>
      <c r="D54" s="54" t="s">
        <v>991</v>
      </c>
    </row>
    <row r="55" spans="1:70" x14ac:dyDescent="0.25">
      <c r="A55" s="54" t="s">
        <v>1091</v>
      </c>
      <c r="B55" s="54" t="s">
        <v>1086</v>
      </c>
      <c r="C55" s="54" t="s">
        <v>1092</v>
      </c>
      <c r="D55" s="54" t="s">
        <v>991</v>
      </c>
    </row>
    <row r="56" spans="1:70" x14ac:dyDescent="0.25">
      <c r="A56" s="54" t="s">
        <v>1135</v>
      </c>
      <c r="B56" s="54" t="s">
        <v>1136</v>
      </c>
      <c r="C56" s="54" t="s">
        <v>1137</v>
      </c>
      <c r="D56" s="54" t="s">
        <v>991</v>
      </c>
    </row>
    <row r="57" spans="1:70" x14ac:dyDescent="0.25">
      <c r="A57" s="54" t="s">
        <v>1138</v>
      </c>
      <c r="B57" s="54" t="s">
        <v>1086</v>
      </c>
      <c r="C57" s="54" t="s">
        <v>1139</v>
      </c>
      <c r="D57" s="54" t="s">
        <v>991</v>
      </c>
    </row>
    <row r="58" spans="1:70" x14ac:dyDescent="0.25">
      <c r="A58" s="54" t="s">
        <v>1177</v>
      </c>
      <c r="B58" s="54" t="s">
        <v>1136</v>
      </c>
      <c r="C58" s="54" t="s">
        <v>1178</v>
      </c>
      <c r="D58" s="54" t="s">
        <v>991</v>
      </c>
    </row>
    <row r="59" spans="1:70" x14ac:dyDescent="0.25">
      <c r="A59" s="54" t="s">
        <v>1180</v>
      </c>
      <c r="B59" s="54" t="s">
        <v>1086</v>
      </c>
      <c r="C59" s="54" t="s">
        <v>1181</v>
      </c>
      <c r="D59" s="54" t="s">
        <v>991</v>
      </c>
    </row>
    <row r="60" spans="1:70" x14ac:dyDescent="0.25">
      <c r="A60" s="54" t="s">
        <v>1180</v>
      </c>
      <c r="B60" s="54" t="s">
        <v>1136</v>
      </c>
      <c r="C60" s="54" t="s">
        <v>1219</v>
      </c>
      <c r="D60" s="54" t="s">
        <v>991</v>
      </c>
    </row>
  </sheetData>
  <autoFilter ref="A7:D7" xr:uid="{00000000-0009-0000-0000-000008000000}"/>
  <mergeCells count="3">
    <mergeCell ref="A1:H1"/>
    <mergeCell ref="A2:H2"/>
    <mergeCell ref="A6:D6"/>
  </mergeCells>
  <printOptions horizontalCentered="1"/>
  <pageMargins left="0.35" right="0.35" top="0.45" bottom="0.5" header="0.511811023622047" footer="0.5"/>
  <pageSetup paperSize="9" fitToHeight="0" orientation="landscape" horizontalDpi="300" verticalDpi="300"/>
  <headerFooter>
    <oddFooter>&amp;L&amp;7 Affaire 2024_06_264 - Indices et journal&amp;C&amp;7 &amp;D&amp;R&amp;7 page 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pageSetUpPr fitToPage="1"/>
  </sheetPr>
  <dimension ref="A1:BR410"/>
  <sheetViews>
    <sheetView zoomScaleNormal="100" workbookViewId="0">
      <pane ySplit="8" topLeftCell="A9" activePane="bottomLeft" state="frozen"/>
      <selection pane="bottomLeft" sqref="A1:L1"/>
    </sheetView>
  </sheetViews>
  <sheetFormatPr baseColWidth="10" defaultColWidth="8.7109375" defaultRowHeight="15" x14ac:dyDescent="0.25"/>
  <cols>
    <col min="1" max="1" width="34" customWidth="1"/>
    <col min="2" max="2" width="7.42578125" customWidth="1"/>
    <col min="3" max="7" width="6" customWidth="1"/>
    <col min="8" max="10" width="6.85546875" customWidth="1"/>
    <col min="11" max="11" width="6" customWidth="1"/>
    <col min="12" max="12" width="28" customWidth="1"/>
  </cols>
  <sheetData>
    <row r="1" spans="1:12" ht="25.5" customHeight="1" x14ac:dyDescent="0.25">
      <c r="A1" s="9" t="s">
        <v>284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5.75" customHeight="1" x14ac:dyDescent="0.25">
      <c r="A2" s="8" t="s">
        <v>285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2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2" ht="15" customHeight="1" x14ac:dyDescent="0.25">
      <c r="B6" s="5" t="s">
        <v>263</v>
      </c>
      <c r="C6" s="5"/>
      <c r="D6" s="5"/>
      <c r="E6" s="4" t="s">
        <v>219</v>
      </c>
      <c r="F6" s="4"/>
      <c r="G6" s="4"/>
      <c r="H6" s="3" t="s">
        <v>286</v>
      </c>
      <c r="I6" s="3"/>
      <c r="J6" s="2" t="s">
        <v>287</v>
      </c>
      <c r="K6" s="2"/>
    </row>
    <row r="7" spans="1:12" ht="30" customHeight="1" x14ac:dyDescent="0.25">
      <c r="A7" s="23" t="s">
        <v>150</v>
      </c>
      <c r="B7" s="23" t="s">
        <v>263</v>
      </c>
      <c r="C7" s="23" t="s">
        <v>288</v>
      </c>
      <c r="D7" s="23" t="s">
        <v>289</v>
      </c>
      <c r="E7" s="23" t="s">
        <v>290</v>
      </c>
      <c r="F7" s="23" t="s">
        <v>291</v>
      </c>
      <c r="G7" s="23" t="s">
        <v>292</v>
      </c>
      <c r="H7" s="23" t="s">
        <v>293</v>
      </c>
      <c r="I7" s="23" t="s">
        <v>294</v>
      </c>
      <c r="J7" s="23" t="s">
        <v>293</v>
      </c>
      <c r="K7" s="23" t="s">
        <v>295</v>
      </c>
      <c r="L7" s="23" t="s">
        <v>80</v>
      </c>
    </row>
    <row r="8" spans="1:12" ht="12.75" customHeight="1" x14ac:dyDescent="0.25">
      <c r="A8" s="24"/>
      <c r="B8" s="24" t="s">
        <v>296</v>
      </c>
      <c r="C8" s="24"/>
      <c r="D8" s="24"/>
      <c r="E8" s="24"/>
      <c r="F8" s="24"/>
      <c r="G8" s="24"/>
      <c r="H8" s="24"/>
      <c r="I8" s="24"/>
      <c r="J8" s="24"/>
      <c r="K8" s="24"/>
      <c r="L8" s="24"/>
    </row>
    <row r="9" spans="1:12" ht="15" customHeight="1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ht="15" customHeight="1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ht="15" customHeight="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ht="15" customHeight="1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ht="15" customHeight="1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ht="15" customHeight="1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ht="15" customHeight="1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ht="15" customHeight="1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ht="15" customHeight="1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ht="15" customHeight="1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1:12" ht="15" customHeight="1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1:12" ht="15" customHeight="1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1:12" ht="15" customHeigh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ht="1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  <row r="23" spans="1:12" ht="15" customHeigh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ht="15" customHeigh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1:12" ht="1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1:12" ht="1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1:12" ht="1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  <row r="28" spans="1:12" ht="15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</row>
    <row r="29" spans="1:12" ht="15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</row>
    <row r="30" spans="1:12" ht="15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</row>
    <row r="31" spans="1:12" ht="15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</row>
    <row r="32" spans="1:12" ht="15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</row>
    <row r="33" spans="1:12" ht="15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</row>
    <row r="34" spans="1:12" ht="15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</row>
    <row r="35" spans="1:12" ht="15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</row>
    <row r="36" spans="1:12" ht="15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</row>
    <row r="37" spans="1:12" ht="15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</row>
    <row r="38" spans="1:12" ht="15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</row>
    <row r="39" spans="1:12" ht="15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</row>
    <row r="40" spans="1:12" ht="15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</row>
    <row r="41" spans="1:12" ht="15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</row>
    <row r="42" spans="1:12" ht="1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</row>
    <row r="43" spans="1:12" ht="1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</row>
    <row r="44" spans="1:12" ht="1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</row>
    <row r="45" spans="1:12" ht="1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</row>
    <row r="46" spans="1:12" ht="1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</row>
    <row r="47" spans="1:12" ht="1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</row>
    <row r="48" spans="1:12" ht="1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</row>
    <row r="49" spans="1:12" ht="1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</row>
    <row r="50" spans="1:12" ht="1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</row>
    <row r="51" spans="1:12" ht="1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</row>
    <row r="52" spans="1:12" ht="1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</row>
    <row r="53" spans="1:12" ht="1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</row>
    <row r="54" spans="1:12" ht="1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</row>
    <row r="55" spans="1:12" ht="1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</row>
    <row r="56" spans="1:12" ht="1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</row>
    <row r="57" spans="1:12" ht="1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</row>
    <row r="58" spans="1:12" ht="1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</row>
    <row r="59" spans="1:12" ht="1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</row>
    <row r="60" spans="1:12" ht="1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</row>
    <row r="61" spans="1:12" ht="1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</row>
    <row r="62" spans="1:12" ht="1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</row>
    <row r="63" spans="1:12" ht="1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</row>
    <row r="64" spans="1:12" ht="1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</row>
    <row r="65" spans="1:12" ht="1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</row>
    <row r="66" spans="1:12" ht="1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</row>
    <row r="67" spans="1:12" ht="1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</row>
    <row r="68" spans="1:12" ht="1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</row>
    <row r="69" spans="1:12" ht="1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</row>
    <row r="70" spans="1:12" ht="1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</row>
    <row r="71" spans="1:12" ht="1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</row>
    <row r="72" spans="1:12" ht="1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</row>
    <row r="80" spans="1:12" ht="1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</row>
    <row r="81" spans="1:12" ht="1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</row>
    <row r="82" spans="1:12" ht="1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</row>
    <row r="83" spans="1:12" ht="1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</row>
    <row r="84" spans="1:12" ht="1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</row>
    <row r="85" spans="1:12" ht="1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</row>
    <row r="86" spans="1:12" ht="1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</row>
    <row r="87" spans="1:12" ht="1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</row>
    <row r="88" spans="1:12" ht="1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</row>
    <row r="89" spans="1:12" ht="1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</row>
    <row r="90" spans="1:12" ht="1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</row>
    <row r="91" spans="1:12" ht="1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</row>
    <row r="92" spans="1:12" ht="1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</row>
    <row r="93" spans="1:12" ht="1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</row>
    <row r="94" spans="1:12" ht="1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</row>
    <row r="95" spans="1:12" ht="1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ht="1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ht="1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ht="1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ht="1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ht="1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ht="1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ht="1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ht="1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ht="1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ht="1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ht="1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ht="1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ht="1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ht="1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12" ht="1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</row>
    <row r="131" spans="1:12" ht="1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</row>
    <row r="132" spans="1:12" ht="1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</row>
    <row r="133" spans="1:12" ht="1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ht="1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</row>
    <row r="135" spans="1:12" ht="1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</row>
    <row r="136" spans="1:12" ht="1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</row>
    <row r="137" spans="1:12" ht="1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</row>
    <row r="138" spans="1:12" ht="1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</row>
    <row r="139" spans="1:12" ht="1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</row>
    <row r="140" spans="1:12" ht="1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</row>
    <row r="141" spans="1:12" ht="1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</row>
    <row r="142" spans="1:12" ht="1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</row>
    <row r="143" spans="1:12" ht="1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</row>
    <row r="144" spans="1:12" ht="1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</row>
    <row r="145" spans="1:12" ht="1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</row>
    <row r="146" spans="1:12" ht="1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</row>
    <row r="147" spans="1:12" ht="1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</row>
    <row r="148" spans="1:12" ht="1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</row>
    <row r="149" spans="1:12" ht="1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</row>
    <row r="150" spans="1:12" ht="1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</row>
    <row r="151" spans="1:12" ht="1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ht="1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</row>
    <row r="153" spans="1:12" ht="1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</row>
    <row r="154" spans="1:12" ht="1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</row>
    <row r="155" spans="1:12" ht="1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</row>
    <row r="156" spans="1:12" ht="1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</row>
    <row r="157" spans="1:12" ht="1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</row>
    <row r="158" spans="1:12" ht="1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</row>
    <row r="159" spans="1:12" ht="1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</row>
    <row r="160" spans="1:12" ht="1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</row>
    <row r="161" spans="1:12" ht="1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</row>
    <row r="162" spans="1:12" ht="1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</row>
    <row r="163" spans="1:12" ht="1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</row>
    <row r="164" spans="1:12" ht="1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</row>
    <row r="165" spans="1:12" ht="1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</row>
    <row r="166" spans="1:12" ht="1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</row>
    <row r="167" spans="1:12" ht="1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</row>
    <row r="168" spans="1:12" ht="1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</row>
    <row r="169" spans="1:12" ht="1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</row>
    <row r="170" spans="1:12" ht="1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ht="1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</row>
    <row r="172" spans="1:12" ht="1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</row>
    <row r="173" spans="1:12" ht="1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</row>
    <row r="174" spans="1:12" ht="1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</row>
    <row r="175" spans="1:12" ht="1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</row>
    <row r="176" spans="1:12" ht="1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</row>
    <row r="177" spans="1:12" ht="1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</row>
    <row r="178" spans="1:12" ht="1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</row>
    <row r="179" spans="1:12" ht="1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</row>
    <row r="180" spans="1:12" ht="1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</row>
    <row r="181" spans="1:12" ht="1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</row>
    <row r="182" spans="1:12" ht="1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</row>
    <row r="183" spans="1:12" ht="1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</row>
    <row r="184" spans="1:12" ht="1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</row>
    <row r="185" spans="1:12" ht="1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</row>
    <row r="186" spans="1:12" ht="1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</row>
    <row r="187" spans="1:12" ht="1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</row>
    <row r="188" spans="1:12" ht="1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ht="1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</row>
    <row r="190" spans="1:12" ht="1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</row>
    <row r="191" spans="1:12" ht="1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</row>
    <row r="192" spans="1:12" ht="1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</row>
    <row r="193" spans="1:12" ht="1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</row>
    <row r="194" spans="1:12" ht="1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</row>
    <row r="195" spans="1:12" ht="1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</row>
    <row r="196" spans="1:12" ht="1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</row>
    <row r="197" spans="1:12" ht="1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</row>
    <row r="198" spans="1:12" ht="1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</row>
    <row r="199" spans="1:12" ht="1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</row>
    <row r="200" spans="1:12" ht="1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</row>
    <row r="201" spans="1:12" ht="1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</row>
    <row r="202" spans="1:12" ht="1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</row>
    <row r="203" spans="1:12" ht="1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</row>
    <row r="204" spans="1:12" ht="1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</row>
    <row r="205" spans="1:12" ht="1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</row>
    <row r="206" spans="1:12" ht="1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ht="1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</row>
    <row r="208" spans="1:12" ht="1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</row>
    <row r="209" spans="1:12" ht="1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</row>
    <row r="210" spans="1:12" ht="1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</row>
    <row r="211" spans="1:12" ht="1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</row>
    <row r="212" spans="1:12" ht="1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</row>
    <row r="213" spans="1:12" ht="1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</row>
    <row r="214" spans="1:12" ht="1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</row>
    <row r="215" spans="1:12" ht="1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</row>
    <row r="216" spans="1:12" ht="1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</row>
    <row r="217" spans="1:12" ht="1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</row>
    <row r="218" spans="1:12" ht="1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</row>
    <row r="219" spans="1:12" ht="1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</row>
    <row r="220" spans="1:12" ht="1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</row>
    <row r="221" spans="1:12" ht="1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</row>
    <row r="222" spans="1:12" ht="1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</row>
    <row r="223" spans="1:12" ht="1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</row>
    <row r="224" spans="1:12" ht="1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2" ht="1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</row>
    <row r="226" spans="1:12" ht="1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</row>
    <row r="227" spans="1:12" ht="1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</row>
    <row r="228" spans="1:12" ht="1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</row>
    <row r="229" spans="1:12" ht="1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</row>
    <row r="230" spans="1:12" ht="1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</row>
    <row r="231" spans="1:12" ht="1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</row>
    <row r="232" spans="1:12" ht="1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</row>
    <row r="233" spans="1:12" ht="1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</row>
    <row r="234" spans="1:12" ht="1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</row>
    <row r="235" spans="1:12" ht="1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</row>
    <row r="236" spans="1:12" ht="1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</row>
    <row r="237" spans="1:12" ht="1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</row>
    <row r="238" spans="1:12" ht="1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</row>
    <row r="239" spans="1:12" ht="1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</row>
    <row r="240" spans="1:12" ht="1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</row>
    <row r="241" spans="1:12" ht="1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</row>
    <row r="242" spans="1:12" ht="1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ht="1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</row>
    <row r="244" spans="1:12" ht="1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</row>
    <row r="245" spans="1:12" ht="1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</row>
    <row r="246" spans="1:12" ht="1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</row>
    <row r="247" spans="1:12" ht="1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</row>
    <row r="248" spans="1:12" ht="1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</row>
    <row r="249" spans="1:12" ht="1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</row>
    <row r="250" spans="1:12" ht="1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</row>
    <row r="251" spans="1:12" ht="1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</row>
    <row r="252" spans="1:12" ht="1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</row>
    <row r="253" spans="1:12" ht="1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</row>
    <row r="254" spans="1:12" ht="1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</row>
    <row r="255" spans="1:12" ht="1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</row>
    <row r="256" spans="1:12" ht="1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</row>
    <row r="257" spans="1:12" ht="1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</row>
    <row r="258" spans="1:12" ht="1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</row>
    <row r="259" spans="1:12" ht="1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</row>
    <row r="260" spans="1:12" ht="1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ht="1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</row>
    <row r="262" spans="1:12" ht="1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</row>
    <row r="263" spans="1:12" ht="1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</row>
    <row r="264" spans="1:12" ht="1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</row>
    <row r="265" spans="1:12" ht="1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</row>
    <row r="266" spans="1:12" ht="1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</row>
    <row r="267" spans="1:12" ht="1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</row>
    <row r="268" spans="1:12" ht="1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</row>
    <row r="269" spans="1:12" ht="1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</row>
    <row r="270" spans="1:12" ht="1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</row>
    <row r="271" spans="1:12" ht="1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</row>
    <row r="272" spans="1:12" ht="1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</row>
    <row r="273" spans="1:12" ht="1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</row>
    <row r="274" spans="1:12" ht="1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</row>
    <row r="275" spans="1:12" ht="1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</row>
    <row r="276" spans="1:12" ht="1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</row>
    <row r="277" spans="1:12" ht="1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</row>
    <row r="278" spans="1:12" ht="1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ht="1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</row>
    <row r="280" spans="1:12" ht="1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</row>
    <row r="281" spans="1:12" ht="1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</row>
    <row r="282" spans="1:12" ht="1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</row>
    <row r="283" spans="1:12" ht="1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</row>
    <row r="284" spans="1:12" ht="1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</row>
    <row r="285" spans="1:12" ht="1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</row>
    <row r="286" spans="1:12" ht="1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</row>
    <row r="287" spans="1:12" ht="1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</row>
    <row r="288" spans="1:12" ht="1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</row>
    <row r="289" spans="1:12" ht="1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</row>
    <row r="290" spans="1:12" ht="1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</row>
    <row r="291" spans="1:12" ht="1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</row>
    <row r="292" spans="1:12" ht="1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</row>
    <row r="293" spans="1:12" ht="1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</row>
    <row r="294" spans="1:12" ht="1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</row>
    <row r="295" spans="1:12" ht="1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</row>
    <row r="296" spans="1:12" ht="1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ht="1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</row>
    <row r="298" spans="1:12" ht="1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</row>
    <row r="299" spans="1:12" ht="1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</row>
    <row r="300" spans="1:12" ht="1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</row>
    <row r="301" spans="1:12" ht="1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</row>
    <row r="302" spans="1:12" ht="1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</row>
    <row r="303" spans="1:12" ht="1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</row>
    <row r="304" spans="1:12" ht="1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</row>
    <row r="305" spans="1:12" ht="1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</row>
    <row r="306" spans="1:12" ht="1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</row>
    <row r="307" spans="1:12" ht="1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</row>
    <row r="308" spans="1:12" ht="1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</row>
    <row r="309" spans="1:12" ht="1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</row>
    <row r="310" spans="1:12" ht="1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</row>
    <row r="311" spans="1:12" ht="1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</row>
    <row r="312" spans="1:12" ht="1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</row>
    <row r="313" spans="1:12" ht="1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</row>
    <row r="314" spans="1:12" ht="1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ht="1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</row>
    <row r="316" spans="1:12" ht="1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</row>
    <row r="317" spans="1:12" ht="1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</row>
    <row r="318" spans="1:12" ht="1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</row>
    <row r="319" spans="1:12" ht="1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</row>
    <row r="320" spans="1:12" ht="1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</row>
    <row r="321" spans="1:12" ht="1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</row>
    <row r="322" spans="1:12" ht="1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</row>
    <row r="323" spans="1:12" ht="1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</row>
    <row r="324" spans="1:12" ht="1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</row>
    <row r="325" spans="1:12" ht="1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</row>
    <row r="326" spans="1:12" ht="1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</row>
    <row r="327" spans="1:12" ht="1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</row>
    <row r="328" spans="1:12" ht="1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</row>
    <row r="329" spans="1:12" ht="1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</row>
    <row r="330" spans="1:12" ht="1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</row>
    <row r="331" spans="1:12" ht="1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</row>
    <row r="332" spans="1:12" ht="1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ht="1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</row>
    <row r="334" spans="1:12" ht="1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</row>
    <row r="335" spans="1:12" ht="1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</row>
    <row r="336" spans="1:12" ht="1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</row>
    <row r="337" spans="1:12" ht="1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</row>
    <row r="338" spans="1:12" ht="1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</row>
    <row r="339" spans="1:12" ht="1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</row>
    <row r="340" spans="1:12" ht="1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</row>
    <row r="341" spans="1:12" ht="1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</row>
    <row r="342" spans="1:12" ht="1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</row>
    <row r="343" spans="1:12" ht="1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</row>
    <row r="344" spans="1:12" ht="1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</row>
    <row r="345" spans="1:12" ht="1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</row>
    <row r="346" spans="1:12" ht="1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</row>
    <row r="347" spans="1:12" ht="1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</row>
    <row r="348" spans="1:12" ht="1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</row>
    <row r="349" spans="1:12" ht="1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</row>
    <row r="350" spans="1:12" ht="1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ht="1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</row>
    <row r="352" spans="1:12" ht="1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</row>
    <row r="353" spans="1:12" ht="1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</row>
    <row r="354" spans="1:12" ht="1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</row>
    <row r="355" spans="1:12" ht="1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</row>
    <row r="356" spans="1:12" ht="1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</row>
    <row r="357" spans="1:12" ht="1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</row>
    <row r="358" spans="1:12" ht="1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</row>
    <row r="359" spans="1:12" ht="1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</row>
    <row r="360" spans="1:12" ht="1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</row>
    <row r="361" spans="1:12" ht="1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</row>
    <row r="362" spans="1:12" ht="1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</row>
    <row r="363" spans="1:12" ht="1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</row>
    <row r="364" spans="1:12" ht="1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</row>
    <row r="365" spans="1:12" ht="1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</row>
    <row r="366" spans="1:12" ht="1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</row>
    <row r="367" spans="1:12" ht="1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</row>
    <row r="368" spans="1:12" ht="1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2" ht="1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</row>
    <row r="370" spans="1:12" ht="1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</row>
    <row r="371" spans="1:12" ht="1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</row>
    <row r="372" spans="1:12" ht="1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</row>
    <row r="373" spans="1:12" ht="1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</row>
    <row r="374" spans="1:12" ht="1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</row>
    <row r="375" spans="1:12" ht="1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</row>
    <row r="376" spans="1:12" ht="1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</row>
    <row r="377" spans="1:12" ht="1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</row>
    <row r="378" spans="1:12" ht="1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</row>
    <row r="379" spans="1:12" ht="1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</row>
    <row r="380" spans="1:12" ht="1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</row>
    <row r="381" spans="1:12" ht="1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</row>
    <row r="382" spans="1:12" ht="1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</row>
    <row r="383" spans="1:12" ht="1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</row>
    <row r="384" spans="1:12" ht="1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</row>
    <row r="385" spans="1:12" ht="1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</row>
    <row r="386" spans="1:12" ht="1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ht="1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</row>
    <row r="388" spans="1:12" ht="1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</row>
    <row r="389" spans="1:12" ht="1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</row>
    <row r="390" spans="1:12" ht="1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</row>
    <row r="391" spans="1:12" ht="1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</row>
    <row r="392" spans="1:12" ht="1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</row>
    <row r="393" spans="1:12" ht="1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</row>
    <row r="394" spans="1:12" ht="1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</row>
    <row r="395" spans="1:12" ht="1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</row>
    <row r="396" spans="1:12" ht="1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</row>
    <row r="397" spans="1:12" ht="1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</row>
    <row r="398" spans="1:12" ht="1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</row>
    <row r="399" spans="1:12" ht="1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</row>
    <row r="400" spans="1:12" ht="1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</row>
    <row r="401" spans="1:70" ht="1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</row>
    <row r="402" spans="1:70" ht="1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</row>
    <row r="403" spans="1:70" ht="1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</row>
    <row r="404" spans="1:70" ht="1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70" ht="1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</row>
    <row r="406" spans="1:70" ht="1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</row>
    <row r="407" spans="1:70" ht="1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</row>
    <row r="408" spans="1:70" ht="1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</row>
    <row r="410" spans="1:70" x14ac:dyDescent="0.25">
      <c r="BR410" s="17" t="s">
        <v>297</v>
      </c>
    </row>
  </sheetData>
  <autoFilter ref="A7:L7" xr:uid="{00000000-0009-0000-0000-000009000000}"/>
  <mergeCells count="6">
    <mergeCell ref="A1:L1"/>
    <mergeCell ref="A2:L2"/>
    <mergeCell ref="B6:D6"/>
    <mergeCell ref="E6:G6"/>
    <mergeCell ref="H6:I6"/>
    <mergeCell ref="J6:K6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REPORTS - TOUT OU RIEN (%MX)&amp;C&amp;7 &amp;D&amp;R&amp;7 page 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pageSetUpPr fitToPage="1"/>
  </sheetPr>
  <dimension ref="A1:BR610"/>
  <sheetViews>
    <sheetView zoomScaleNormal="100" workbookViewId="0">
      <pane ySplit="8" topLeftCell="A15" activePane="bottomLeft" state="frozen"/>
      <selection pane="bottomLeft" activeCell="G18" sqref="G18"/>
    </sheetView>
  </sheetViews>
  <sheetFormatPr baseColWidth="10" defaultColWidth="8.7109375" defaultRowHeight="15" x14ac:dyDescent="0.25"/>
  <cols>
    <col min="1" max="1" width="34" customWidth="1"/>
    <col min="2" max="2" width="9.42578125" customWidth="1"/>
    <col min="3" max="7" width="6" customWidth="1"/>
    <col min="8" max="10" width="6.85546875" customWidth="1"/>
    <col min="11" max="11" width="6" customWidth="1"/>
    <col min="12" max="12" width="28" customWidth="1"/>
  </cols>
  <sheetData>
    <row r="1" spans="1:12" ht="25.5" customHeight="1" x14ac:dyDescent="0.25">
      <c r="A1" s="9" t="s">
        <v>298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5.75" customHeight="1" x14ac:dyDescent="0.25">
      <c r="A2" s="8" t="s">
        <v>285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2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2" ht="15" customHeight="1" x14ac:dyDescent="0.25">
      <c r="B6" s="5" t="s">
        <v>263</v>
      </c>
      <c r="C6" s="5"/>
      <c r="D6" s="4" t="s">
        <v>219</v>
      </c>
      <c r="E6" s="4"/>
      <c r="F6" s="4"/>
      <c r="H6" s="3" t="s">
        <v>286</v>
      </c>
      <c r="I6" s="3"/>
      <c r="J6" s="2" t="s">
        <v>287</v>
      </c>
      <c r="K6" s="2"/>
    </row>
    <row r="7" spans="1:12" ht="30" customHeight="1" x14ac:dyDescent="0.25">
      <c r="A7" s="23" t="s">
        <v>150</v>
      </c>
      <c r="B7" s="23" t="s">
        <v>299</v>
      </c>
      <c r="C7" s="23" t="s">
        <v>300</v>
      </c>
      <c r="D7" s="23" t="s">
        <v>290</v>
      </c>
      <c r="E7" s="23" t="s">
        <v>291</v>
      </c>
      <c r="F7" s="23" t="s">
        <v>292</v>
      </c>
      <c r="G7" s="23" t="s">
        <v>301</v>
      </c>
      <c r="H7" s="23" t="s">
        <v>293</v>
      </c>
      <c r="I7" s="23" t="s">
        <v>294</v>
      </c>
      <c r="J7" s="23" t="s">
        <v>293</v>
      </c>
      <c r="K7" s="23" t="s">
        <v>295</v>
      </c>
      <c r="L7" s="23" t="s">
        <v>80</v>
      </c>
    </row>
    <row r="8" spans="1:12" ht="12.75" customHeight="1" x14ac:dyDescent="0.25">
      <c r="A8" s="24"/>
      <c r="B8" s="24"/>
      <c r="C8" s="24" t="s">
        <v>302</v>
      </c>
      <c r="D8" s="24"/>
      <c r="E8" s="24"/>
      <c r="F8" s="24"/>
      <c r="G8" s="24"/>
      <c r="H8" s="24"/>
      <c r="I8" s="24"/>
      <c r="J8" s="24"/>
      <c r="K8" s="24"/>
      <c r="L8" s="24"/>
    </row>
    <row r="9" spans="1:12" ht="15" customHeight="1" x14ac:dyDescent="0.25">
      <c r="A9" s="26" t="s">
        <v>1093</v>
      </c>
      <c r="B9" s="26" t="s">
        <v>1122</v>
      </c>
      <c r="C9" s="26">
        <v>0</v>
      </c>
      <c r="D9" s="26"/>
      <c r="E9" s="26"/>
      <c r="F9" s="26" t="s">
        <v>1123</v>
      </c>
      <c r="G9" s="26"/>
      <c r="H9" s="26"/>
      <c r="I9" s="26"/>
      <c r="J9" s="26"/>
      <c r="K9" s="26"/>
      <c r="L9" s="26"/>
    </row>
    <row r="10" spans="1:12" ht="15" customHeight="1" x14ac:dyDescent="0.25">
      <c r="A10" s="26" t="s">
        <v>1095</v>
      </c>
      <c r="B10" s="26" t="s">
        <v>1122</v>
      </c>
      <c r="C10" s="26">
        <v>1</v>
      </c>
      <c r="D10" s="26"/>
      <c r="E10" s="26"/>
      <c r="F10" s="26" t="s">
        <v>1123</v>
      </c>
      <c r="G10" s="26"/>
      <c r="H10" s="26"/>
      <c r="I10" s="26"/>
      <c r="J10" s="26"/>
      <c r="K10" s="26"/>
      <c r="L10" s="26"/>
    </row>
    <row r="11" spans="1:12" ht="15" customHeight="1" x14ac:dyDescent="0.25">
      <c r="A11" s="26" t="s">
        <v>1096</v>
      </c>
      <c r="B11" s="26" t="s">
        <v>1122</v>
      </c>
      <c r="C11" s="26">
        <v>2</v>
      </c>
      <c r="D11" s="26"/>
      <c r="E11" s="26"/>
      <c r="F11" s="26" t="s">
        <v>1123</v>
      </c>
      <c r="G11" s="26"/>
      <c r="H11" s="26"/>
      <c r="I11" s="26"/>
      <c r="J11" s="26"/>
      <c r="K11" s="26"/>
      <c r="L11" s="26"/>
    </row>
    <row r="12" spans="1:12" ht="15" customHeight="1" x14ac:dyDescent="0.25">
      <c r="A12" s="26" t="s">
        <v>1097</v>
      </c>
      <c r="B12" s="26" t="s">
        <v>1122</v>
      </c>
      <c r="C12" s="26">
        <v>3</v>
      </c>
      <c r="D12" s="26"/>
      <c r="E12" s="26"/>
      <c r="F12" s="26" t="s">
        <v>1123</v>
      </c>
      <c r="G12" s="26"/>
      <c r="H12" s="26"/>
      <c r="I12" s="26"/>
      <c r="J12" s="26"/>
      <c r="K12" s="26"/>
      <c r="L12" s="26"/>
    </row>
    <row r="13" spans="1:12" ht="15" customHeight="1" x14ac:dyDescent="0.25">
      <c r="A13" s="26" t="s">
        <v>1098</v>
      </c>
      <c r="B13" s="26" t="s">
        <v>1122</v>
      </c>
      <c r="C13" s="26">
        <v>4</v>
      </c>
      <c r="D13" s="26"/>
      <c r="E13" s="26"/>
      <c r="F13" s="26" t="s">
        <v>1123</v>
      </c>
      <c r="G13" s="26"/>
      <c r="H13" s="26"/>
      <c r="I13" s="26"/>
      <c r="J13" s="26"/>
      <c r="K13" s="26"/>
      <c r="L13" s="26"/>
    </row>
    <row r="14" spans="1:12" ht="15" customHeight="1" x14ac:dyDescent="0.25">
      <c r="A14" s="26" t="s">
        <v>1101</v>
      </c>
      <c r="B14" s="26" t="s">
        <v>1122</v>
      </c>
      <c r="C14" s="26">
        <v>5</v>
      </c>
      <c r="D14" s="26" t="s">
        <v>1123</v>
      </c>
      <c r="E14" s="26"/>
      <c r="F14" s="26"/>
      <c r="G14" s="26"/>
      <c r="H14" s="26"/>
      <c r="I14" s="26"/>
      <c r="J14" s="26"/>
      <c r="K14" s="26"/>
      <c r="L14" s="26"/>
    </row>
    <row r="15" spans="1:12" ht="15" customHeight="1" x14ac:dyDescent="0.25">
      <c r="A15" s="26" t="s">
        <v>1103</v>
      </c>
      <c r="B15" s="26" t="s">
        <v>1122</v>
      </c>
      <c r="C15" s="26">
        <v>6</v>
      </c>
      <c r="D15" s="26" t="s">
        <v>1123</v>
      </c>
      <c r="E15" s="26"/>
      <c r="F15" s="26"/>
      <c r="G15" s="26"/>
      <c r="H15" s="26"/>
      <c r="I15" s="26"/>
      <c r="J15" s="26"/>
      <c r="K15" s="26"/>
      <c r="L15" s="26"/>
    </row>
    <row r="16" spans="1:12" ht="15" customHeight="1" x14ac:dyDescent="0.25">
      <c r="A16" s="26" t="s">
        <v>1104</v>
      </c>
      <c r="B16" s="26" t="s">
        <v>1122</v>
      </c>
      <c r="C16" s="26">
        <v>7</v>
      </c>
      <c r="D16" s="26" t="s">
        <v>1123</v>
      </c>
      <c r="E16" s="26"/>
      <c r="F16" s="26"/>
      <c r="G16" s="26"/>
      <c r="H16" s="26"/>
      <c r="I16" s="26"/>
      <c r="J16" s="26"/>
      <c r="K16" s="26"/>
      <c r="L16" s="26"/>
    </row>
    <row r="17" spans="1:12" ht="15" customHeight="1" x14ac:dyDescent="0.25">
      <c r="A17" s="26" t="s">
        <v>1105</v>
      </c>
      <c r="B17" s="26" t="s">
        <v>1122</v>
      </c>
      <c r="C17" s="26">
        <v>8</v>
      </c>
      <c r="D17" s="26" t="s">
        <v>1123</v>
      </c>
      <c r="E17" s="26"/>
      <c r="F17" s="26"/>
      <c r="G17" s="26"/>
      <c r="H17" s="26"/>
      <c r="I17" s="26"/>
      <c r="J17" s="26"/>
      <c r="K17" s="26"/>
      <c r="L17" s="26"/>
    </row>
    <row r="18" spans="1:12" ht="15" customHeight="1" x14ac:dyDescent="0.25">
      <c r="A18" s="26" t="s">
        <v>1108</v>
      </c>
      <c r="B18" s="26" t="s">
        <v>1122</v>
      </c>
      <c r="C18" s="26">
        <v>9</v>
      </c>
      <c r="D18" s="26" t="s">
        <v>1123</v>
      </c>
      <c r="E18" s="26"/>
      <c r="F18" s="26"/>
      <c r="G18" s="26"/>
      <c r="H18" s="26"/>
      <c r="I18" s="26"/>
      <c r="J18" s="26"/>
      <c r="K18" s="26"/>
      <c r="L18" s="26"/>
    </row>
    <row r="19" spans="1:12" ht="15" customHeight="1" x14ac:dyDescent="0.25">
      <c r="A19" s="26" t="s">
        <v>1112</v>
      </c>
      <c r="B19" s="26" t="s">
        <v>1122</v>
      </c>
      <c r="C19" s="26">
        <v>10</v>
      </c>
      <c r="D19" s="26" t="s">
        <v>1123</v>
      </c>
      <c r="E19" s="26"/>
      <c r="F19" s="26"/>
      <c r="G19" s="26"/>
      <c r="H19" s="26"/>
      <c r="I19" s="26"/>
      <c r="J19" s="26"/>
      <c r="K19" s="26"/>
      <c r="L19" s="26"/>
    </row>
    <row r="20" spans="1:12" ht="15" customHeight="1" x14ac:dyDescent="0.25">
      <c r="A20" s="26" t="s">
        <v>1115</v>
      </c>
      <c r="B20" s="26" t="s">
        <v>1122</v>
      </c>
      <c r="C20" s="26">
        <v>11</v>
      </c>
      <c r="D20" s="26"/>
      <c r="E20" s="26" t="s">
        <v>1123</v>
      </c>
      <c r="F20" s="26"/>
      <c r="G20" s="26"/>
      <c r="H20" s="26"/>
      <c r="I20" s="26"/>
      <c r="J20" s="26"/>
      <c r="K20" s="26"/>
      <c r="L20" s="26"/>
    </row>
    <row r="21" spans="1:12" ht="15" customHeight="1" x14ac:dyDescent="0.25">
      <c r="A21" s="26" t="s">
        <v>1117</v>
      </c>
      <c r="B21" s="26" t="s">
        <v>1122</v>
      </c>
      <c r="C21" s="26">
        <v>12</v>
      </c>
      <c r="D21" s="26"/>
      <c r="E21" s="26" t="s">
        <v>1123</v>
      </c>
      <c r="F21" s="26"/>
      <c r="G21" s="26"/>
      <c r="H21" s="26"/>
      <c r="I21" s="26"/>
      <c r="J21" s="26"/>
      <c r="K21" s="26"/>
      <c r="L21" s="26"/>
    </row>
    <row r="22" spans="1:12" ht="15" customHeight="1" x14ac:dyDescent="0.25">
      <c r="A22" s="26" t="s">
        <v>1118</v>
      </c>
      <c r="B22" s="26" t="s">
        <v>1122</v>
      </c>
      <c r="C22" s="26">
        <v>13</v>
      </c>
      <c r="D22" s="26" t="s">
        <v>1123</v>
      </c>
      <c r="E22" s="26"/>
      <c r="F22" s="26"/>
      <c r="G22" s="26"/>
      <c r="H22" s="26"/>
      <c r="I22" s="26"/>
      <c r="J22" s="26"/>
      <c r="K22" s="26"/>
      <c r="L22" s="26"/>
    </row>
    <row r="23" spans="1:12" ht="15" customHeight="1" x14ac:dyDescent="0.25">
      <c r="A23" s="26" t="s">
        <v>1140</v>
      </c>
      <c r="B23" s="26" t="s">
        <v>1165</v>
      </c>
      <c r="C23" s="26">
        <v>0</v>
      </c>
      <c r="D23" s="26"/>
      <c r="E23" s="26"/>
      <c r="F23" s="26" t="s">
        <v>1123</v>
      </c>
      <c r="G23" s="26"/>
      <c r="H23" s="26"/>
      <c r="I23" s="26"/>
      <c r="J23" s="26"/>
      <c r="K23" s="26"/>
      <c r="L23" s="26"/>
    </row>
    <row r="24" spans="1:12" ht="15" customHeight="1" x14ac:dyDescent="0.25">
      <c r="A24" s="26" t="s">
        <v>1141</v>
      </c>
      <c r="B24" s="26" t="s">
        <v>1165</v>
      </c>
      <c r="C24" s="26">
        <v>1</v>
      </c>
      <c r="D24" s="26"/>
      <c r="E24" s="26"/>
      <c r="F24" s="26" t="s">
        <v>1123</v>
      </c>
      <c r="G24" s="26"/>
      <c r="H24" s="26"/>
      <c r="I24" s="26"/>
      <c r="J24" s="26"/>
      <c r="K24" s="26"/>
      <c r="L24" s="26"/>
    </row>
    <row r="25" spans="1:12" ht="15" customHeight="1" x14ac:dyDescent="0.25">
      <c r="A25" s="26" t="s">
        <v>1142</v>
      </c>
      <c r="B25" s="26" t="s">
        <v>1165</v>
      </c>
      <c r="C25" s="26">
        <v>2</v>
      </c>
      <c r="D25" s="26"/>
      <c r="E25" s="26"/>
      <c r="F25" s="26" t="s">
        <v>1123</v>
      </c>
      <c r="G25" s="26"/>
      <c r="H25" s="26"/>
      <c r="I25" s="26"/>
      <c r="J25" s="26"/>
      <c r="K25" s="26"/>
      <c r="L25" s="26"/>
    </row>
    <row r="26" spans="1:12" ht="15" customHeight="1" x14ac:dyDescent="0.25">
      <c r="A26" s="26" t="s">
        <v>1143</v>
      </c>
      <c r="B26" s="26" t="s">
        <v>1165</v>
      </c>
      <c r="C26" s="26">
        <v>3</v>
      </c>
      <c r="D26" s="26"/>
      <c r="E26" s="26"/>
      <c r="F26" s="26" t="s">
        <v>1123</v>
      </c>
      <c r="G26" s="26"/>
      <c r="H26" s="26"/>
      <c r="I26" s="26"/>
      <c r="J26" s="26"/>
      <c r="K26" s="26"/>
      <c r="L26" s="26"/>
    </row>
    <row r="27" spans="1:12" ht="15" customHeight="1" x14ac:dyDescent="0.25">
      <c r="A27" s="26" t="s">
        <v>1144</v>
      </c>
      <c r="B27" s="26" t="s">
        <v>1165</v>
      </c>
      <c r="C27" s="26">
        <v>4</v>
      </c>
      <c r="D27" s="26"/>
      <c r="E27" s="26"/>
      <c r="F27" s="26" t="s">
        <v>1123</v>
      </c>
      <c r="G27" s="26"/>
      <c r="H27" s="26"/>
      <c r="I27" s="26"/>
      <c r="J27" s="26"/>
      <c r="K27" s="26"/>
      <c r="L27" s="26"/>
    </row>
    <row r="28" spans="1:12" ht="15" customHeight="1" x14ac:dyDescent="0.25">
      <c r="A28" s="26" t="s">
        <v>1145</v>
      </c>
      <c r="B28" s="26" t="s">
        <v>1165</v>
      </c>
      <c r="C28" s="26">
        <v>5</v>
      </c>
      <c r="D28" s="26" t="s">
        <v>1123</v>
      </c>
      <c r="E28" s="26"/>
      <c r="F28" s="26"/>
      <c r="G28" s="26"/>
      <c r="H28" s="26"/>
      <c r="I28" s="26"/>
      <c r="J28" s="26"/>
      <c r="K28" s="26"/>
      <c r="L28" s="26"/>
    </row>
    <row r="29" spans="1:12" ht="15" customHeight="1" x14ac:dyDescent="0.25">
      <c r="A29" s="26" t="s">
        <v>1146</v>
      </c>
      <c r="B29" s="26" t="s">
        <v>1165</v>
      </c>
      <c r="C29" s="26">
        <v>6</v>
      </c>
      <c r="D29" s="26" t="s">
        <v>1123</v>
      </c>
      <c r="E29" s="26"/>
      <c r="F29" s="26"/>
      <c r="G29" s="26"/>
      <c r="H29" s="26"/>
      <c r="I29" s="26"/>
      <c r="J29" s="26"/>
      <c r="K29" s="26"/>
      <c r="L29" s="26"/>
    </row>
    <row r="30" spans="1:12" ht="15" customHeight="1" x14ac:dyDescent="0.25">
      <c r="A30" s="26" t="s">
        <v>1147</v>
      </c>
      <c r="B30" s="26" t="s">
        <v>1165</v>
      </c>
      <c r="C30" s="26">
        <v>7</v>
      </c>
      <c r="D30" s="26" t="s">
        <v>1123</v>
      </c>
      <c r="E30" s="26"/>
      <c r="F30" s="26"/>
      <c r="G30" s="26"/>
      <c r="H30" s="26"/>
      <c r="I30" s="26"/>
      <c r="J30" s="26"/>
      <c r="K30" s="26"/>
      <c r="L30" s="26"/>
    </row>
    <row r="31" spans="1:12" ht="15" customHeight="1" x14ac:dyDescent="0.25">
      <c r="A31" s="26" t="s">
        <v>1148</v>
      </c>
      <c r="B31" s="26" t="s">
        <v>1165</v>
      </c>
      <c r="C31" s="26">
        <v>8</v>
      </c>
      <c r="D31" s="26" t="s">
        <v>1123</v>
      </c>
      <c r="E31" s="26"/>
      <c r="F31" s="26"/>
      <c r="G31" s="26"/>
      <c r="H31" s="26"/>
      <c r="I31" s="26"/>
      <c r="J31" s="26"/>
      <c r="K31" s="26"/>
      <c r="L31" s="26"/>
    </row>
    <row r="32" spans="1:12" ht="15" customHeight="1" x14ac:dyDescent="0.25">
      <c r="A32" s="26" t="s">
        <v>1151</v>
      </c>
      <c r="B32" s="26" t="s">
        <v>1165</v>
      </c>
      <c r="C32" s="26">
        <v>9</v>
      </c>
      <c r="D32" s="26" t="s">
        <v>1123</v>
      </c>
      <c r="E32" s="26"/>
      <c r="F32" s="26"/>
      <c r="G32" s="26"/>
      <c r="H32" s="26"/>
      <c r="I32" s="26"/>
      <c r="J32" s="26"/>
      <c r="K32" s="26"/>
      <c r="L32" s="26"/>
    </row>
    <row r="33" spans="1:12" ht="15" customHeight="1" x14ac:dyDescent="0.25">
      <c r="A33" s="26" t="s">
        <v>1155</v>
      </c>
      <c r="B33" s="26" t="s">
        <v>1165</v>
      </c>
      <c r="C33" s="26">
        <v>10</v>
      </c>
      <c r="D33" s="26" t="s">
        <v>1123</v>
      </c>
      <c r="E33" s="26"/>
      <c r="F33" s="26"/>
      <c r="G33" s="26"/>
      <c r="H33" s="26"/>
      <c r="I33" s="26"/>
      <c r="J33" s="26"/>
      <c r="K33" s="26"/>
      <c r="L33" s="26"/>
    </row>
    <row r="34" spans="1:12" ht="15" customHeight="1" x14ac:dyDescent="0.25">
      <c r="A34" s="26" t="s">
        <v>1158</v>
      </c>
      <c r="B34" s="26" t="s">
        <v>1165</v>
      </c>
      <c r="C34" s="26">
        <v>11</v>
      </c>
      <c r="D34" s="26"/>
      <c r="E34" s="26" t="s">
        <v>1123</v>
      </c>
      <c r="F34" s="26"/>
      <c r="G34" s="26"/>
      <c r="H34" s="26"/>
      <c r="I34" s="26"/>
      <c r="J34" s="26"/>
      <c r="K34" s="26"/>
      <c r="L34" s="26"/>
    </row>
    <row r="35" spans="1:12" ht="15" customHeight="1" x14ac:dyDescent="0.25">
      <c r="A35" s="26" t="s">
        <v>1160</v>
      </c>
      <c r="B35" s="26" t="s">
        <v>1165</v>
      </c>
      <c r="C35" s="26">
        <v>12</v>
      </c>
      <c r="D35" s="26"/>
      <c r="E35" s="26" t="s">
        <v>1123</v>
      </c>
      <c r="F35" s="26"/>
      <c r="G35" s="26"/>
      <c r="H35" s="26"/>
      <c r="I35" s="26"/>
      <c r="J35" s="26"/>
      <c r="K35" s="26"/>
      <c r="L35" s="26"/>
    </row>
    <row r="36" spans="1:12" ht="15" customHeight="1" x14ac:dyDescent="0.25">
      <c r="A36" s="26" t="s">
        <v>1161</v>
      </c>
      <c r="B36" s="26" t="s">
        <v>1165</v>
      </c>
      <c r="C36" s="26">
        <v>13</v>
      </c>
      <c r="D36" s="26" t="s">
        <v>1123</v>
      </c>
      <c r="E36" s="26"/>
      <c r="F36" s="26"/>
      <c r="G36" s="26"/>
      <c r="H36" s="26"/>
      <c r="I36" s="26"/>
      <c r="J36" s="26"/>
      <c r="K36" s="26"/>
      <c r="L36" s="26"/>
    </row>
    <row r="37" spans="1:12" ht="15" customHeight="1" x14ac:dyDescent="0.25">
      <c r="A37" s="26" t="s">
        <v>1182</v>
      </c>
      <c r="B37" s="26" t="s">
        <v>1207</v>
      </c>
      <c r="C37" s="26">
        <v>0</v>
      </c>
      <c r="D37" s="26"/>
      <c r="E37" s="26"/>
      <c r="F37" s="26" t="s">
        <v>1123</v>
      </c>
      <c r="G37" s="26"/>
      <c r="H37" s="26"/>
      <c r="I37" s="26"/>
      <c r="J37" s="26"/>
      <c r="K37" s="26"/>
      <c r="L37" s="26"/>
    </row>
    <row r="38" spans="1:12" ht="15" customHeight="1" x14ac:dyDescent="0.25">
      <c r="A38" s="26" t="s">
        <v>1183</v>
      </c>
      <c r="B38" s="26" t="s">
        <v>1207</v>
      </c>
      <c r="C38" s="26">
        <v>1</v>
      </c>
      <c r="D38" s="26"/>
      <c r="E38" s="26"/>
      <c r="F38" s="26" t="s">
        <v>1123</v>
      </c>
      <c r="G38" s="26"/>
      <c r="H38" s="26"/>
      <c r="I38" s="26"/>
      <c r="J38" s="26"/>
      <c r="K38" s="26"/>
      <c r="L38" s="26"/>
    </row>
    <row r="39" spans="1:12" ht="15" customHeight="1" x14ac:dyDescent="0.25">
      <c r="A39" s="26" t="s">
        <v>1184</v>
      </c>
      <c r="B39" s="26" t="s">
        <v>1207</v>
      </c>
      <c r="C39" s="26">
        <v>2</v>
      </c>
      <c r="D39" s="26"/>
      <c r="E39" s="26"/>
      <c r="F39" s="26" t="s">
        <v>1123</v>
      </c>
      <c r="G39" s="26"/>
      <c r="H39" s="26"/>
      <c r="I39" s="26"/>
      <c r="J39" s="26"/>
      <c r="K39" s="26"/>
      <c r="L39" s="26"/>
    </row>
    <row r="40" spans="1:12" ht="15" customHeight="1" x14ac:dyDescent="0.25">
      <c r="A40" s="26" t="s">
        <v>1185</v>
      </c>
      <c r="B40" s="26" t="s">
        <v>1207</v>
      </c>
      <c r="C40" s="26">
        <v>3</v>
      </c>
      <c r="D40" s="26"/>
      <c r="E40" s="26"/>
      <c r="F40" s="26" t="s">
        <v>1123</v>
      </c>
      <c r="G40" s="26"/>
      <c r="H40" s="26"/>
      <c r="I40" s="26"/>
      <c r="J40" s="26"/>
      <c r="K40" s="26"/>
      <c r="L40" s="26"/>
    </row>
    <row r="41" spans="1:12" ht="15" customHeight="1" x14ac:dyDescent="0.25">
      <c r="A41" s="26" t="s">
        <v>1186</v>
      </c>
      <c r="B41" s="26" t="s">
        <v>1207</v>
      </c>
      <c r="C41" s="26">
        <v>4</v>
      </c>
      <c r="D41" s="26"/>
      <c r="E41" s="26"/>
      <c r="F41" s="26" t="s">
        <v>1123</v>
      </c>
      <c r="G41" s="26"/>
      <c r="H41" s="26"/>
      <c r="I41" s="26"/>
      <c r="J41" s="26"/>
      <c r="K41" s="26"/>
      <c r="L41" s="26"/>
    </row>
    <row r="42" spans="1:12" ht="15" customHeight="1" x14ac:dyDescent="0.25">
      <c r="A42" s="26" t="s">
        <v>1187</v>
      </c>
      <c r="B42" s="26" t="s">
        <v>1207</v>
      </c>
      <c r="C42" s="26">
        <v>5</v>
      </c>
      <c r="D42" s="26" t="s">
        <v>1123</v>
      </c>
      <c r="E42" s="26"/>
      <c r="F42" s="26"/>
      <c r="G42" s="26"/>
      <c r="H42" s="26"/>
      <c r="I42" s="26"/>
      <c r="J42" s="26"/>
      <c r="K42" s="26"/>
      <c r="L42" s="26"/>
    </row>
    <row r="43" spans="1:12" ht="15" customHeight="1" x14ac:dyDescent="0.25">
      <c r="A43" s="26" t="s">
        <v>1188</v>
      </c>
      <c r="B43" s="26" t="s">
        <v>1207</v>
      </c>
      <c r="C43" s="26">
        <v>6</v>
      </c>
      <c r="D43" s="26" t="s">
        <v>1123</v>
      </c>
      <c r="E43" s="26"/>
      <c r="F43" s="26"/>
      <c r="G43" s="26"/>
      <c r="H43" s="26"/>
      <c r="I43" s="26"/>
      <c r="J43" s="26"/>
      <c r="K43" s="26"/>
      <c r="L43" s="26"/>
    </row>
    <row r="44" spans="1:12" ht="15" customHeight="1" x14ac:dyDescent="0.25">
      <c r="A44" s="26" t="s">
        <v>1189</v>
      </c>
      <c r="B44" s="26" t="s">
        <v>1207</v>
      </c>
      <c r="C44" s="26">
        <v>7</v>
      </c>
      <c r="D44" s="26" t="s">
        <v>1123</v>
      </c>
      <c r="E44" s="26"/>
      <c r="F44" s="26"/>
      <c r="G44" s="26"/>
      <c r="H44" s="26"/>
      <c r="I44" s="26"/>
      <c r="J44" s="26"/>
      <c r="K44" s="26"/>
      <c r="L44" s="26"/>
    </row>
    <row r="45" spans="1:12" ht="15" customHeight="1" x14ac:dyDescent="0.25">
      <c r="A45" s="26" t="s">
        <v>1190</v>
      </c>
      <c r="B45" s="26" t="s">
        <v>1207</v>
      </c>
      <c r="C45" s="26">
        <v>8</v>
      </c>
      <c r="D45" s="26" t="s">
        <v>1123</v>
      </c>
      <c r="E45" s="26"/>
      <c r="F45" s="26"/>
      <c r="G45" s="26"/>
      <c r="H45" s="26"/>
      <c r="I45" s="26"/>
      <c r="J45" s="26"/>
      <c r="K45" s="26"/>
      <c r="L45" s="26"/>
    </row>
    <row r="46" spans="1:12" ht="15" customHeight="1" x14ac:dyDescent="0.25">
      <c r="A46" s="26" t="s">
        <v>1193</v>
      </c>
      <c r="B46" s="26" t="s">
        <v>1207</v>
      </c>
      <c r="C46" s="26">
        <v>9</v>
      </c>
      <c r="D46" s="26" t="s">
        <v>1123</v>
      </c>
      <c r="E46" s="26"/>
      <c r="F46" s="26"/>
      <c r="G46" s="26"/>
      <c r="H46" s="26"/>
      <c r="I46" s="26"/>
      <c r="J46" s="26"/>
      <c r="K46" s="26"/>
      <c r="L46" s="26"/>
    </row>
    <row r="47" spans="1:12" ht="15" customHeight="1" x14ac:dyDescent="0.25">
      <c r="A47" s="26" t="s">
        <v>1197</v>
      </c>
      <c r="B47" s="26" t="s">
        <v>1207</v>
      </c>
      <c r="C47" s="26">
        <v>10</v>
      </c>
      <c r="D47" s="26" t="s">
        <v>1123</v>
      </c>
      <c r="E47" s="26"/>
      <c r="F47" s="26"/>
      <c r="G47" s="26"/>
      <c r="H47" s="26"/>
      <c r="I47" s="26"/>
      <c r="J47" s="26"/>
      <c r="K47" s="26"/>
      <c r="L47" s="26"/>
    </row>
    <row r="48" spans="1:12" ht="15" customHeight="1" x14ac:dyDescent="0.25">
      <c r="A48" s="26" t="s">
        <v>1200</v>
      </c>
      <c r="B48" s="26" t="s">
        <v>1207</v>
      </c>
      <c r="C48" s="26">
        <v>11</v>
      </c>
      <c r="D48" s="26"/>
      <c r="E48" s="26" t="s">
        <v>1123</v>
      </c>
      <c r="F48" s="26"/>
      <c r="G48" s="26"/>
      <c r="H48" s="26"/>
      <c r="I48" s="26"/>
      <c r="J48" s="26"/>
      <c r="K48" s="26"/>
      <c r="L48" s="26"/>
    </row>
    <row r="49" spans="1:12" ht="15" customHeight="1" x14ac:dyDescent="0.25">
      <c r="A49" s="26" t="s">
        <v>1202</v>
      </c>
      <c r="B49" s="26" t="s">
        <v>1207</v>
      </c>
      <c r="C49" s="26">
        <v>12</v>
      </c>
      <c r="D49" s="26"/>
      <c r="E49" s="26" t="s">
        <v>1123</v>
      </c>
      <c r="F49" s="26"/>
      <c r="G49" s="26"/>
      <c r="H49" s="26"/>
      <c r="I49" s="26"/>
      <c r="J49" s="26"/>
      <c r="K49" s="26"/>
      <c r="L49" s="26"/>
    </row>
    <row r="50" spans="1:12" ht="15" customHeight="1" x14ac:dyDescent="0.25">
      <c r="A50" s="26" t="s">
        <v>1203</v>
      </c>
      <c r="B50" s="26" t="s">
        <v>1207</v>
      </c>
      <c r="C50" s="26">
        <v>13</v>
      </c>
      <c r="D50" s="26" t="s">
        <v>1123</v>
      </c>
      <c r="E50" s="26"/>
      <c r="F50" s="26"/>
      <c r="G50" s="26"/>
      <c r="H50" s="26"/>
      <c r="I50" s="26"/>
      <c r="J50" s="26"/>
      <c r="K50" s="26"/>
      <c r="L50" s="26"/>
    </row>
    <row r="51" spans="1:12" ht="1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</row>
    <row r="52" spans="1:12" ht="1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</row>
    <row r="53" spans="1:12" ht="1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</row>
    <row r="54" spans="1:12" ht="1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</row>
    <row r="55" spans="1:12" ht="1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</row>
    <row r="56" spans="1:12" ht="1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</row>
    <row r="57" spans="1:12" ht="1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</row>
    <row r="58" spans="1:12" ht="1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</row>
    <row r="59" spans="1:12" ht="1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</row>
    <row r="60" spans="1:12" ht="1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</row>
    <row r="61" spans="1:12" ht="1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</row>
    <row r="62" spans="1:12" ht="1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</row>
    <row r="63" spans="1:12" ht="1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</row>
    <row r="64" spans="1:12" ht="1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</row>
    <row r="65" spans="1:12" ht="1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</row>
    <row r="66" spans="1:12" ht="1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</row>
    <row r="67" spans="1:12" ht="1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</row>
    <row r="68" spans="1:12" ht="1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</row>
    <row r="69" spans="1:12" ht="1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</row>
    <row r="70" spans="1:12" ht="1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</row>
    <row r="71" spans="1:12" ht="1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</row>
    <row r="72" spans="1:12" ht="1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</row>
    <row r="80" spans="1:12" ht="1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</row>
    <row r="81" spans="1:12" ht="1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</row>
    <row r="82" spans="1:12" ht="1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</row>
    <row r="83" spans="1:12" ht="1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</row>
    <row r="84" spans="1:12" ht="1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</row>
    <row r="85" spans="1:12" ht="1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</row>
    <row r="86" spans="1:12" ht="1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</row>
    <row r="87" spans="1:12" ht="1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</row>
    <row r="88" spans="1:12" ht="1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</row>
    <row r="89" spans="1:12" ht="1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</row>
    <row r="90" spans="1:12" ht="1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</row>
    <row r="91" spans="1:12" ht="1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</row>
    <row r="92" spans="1:12" ht="1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</row>
    <row r="93" spans="1:12" ht="1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</row>
    <row r="94" spans="1:12" ht="1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</row>
    <row r="95" spans="1:12" ht="1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ht="1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ht="1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ht="1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ht="1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ht="1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ht="1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ht="1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ht="1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ht="1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ht="1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ht="1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ht="1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ht="1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ht="1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12" ht="1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</row>
    <row r="131" spans="1:12" ht="1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</row>
    <row r="132" spans="1:12" ht="1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</row>
    <row r="133" spans="1:12" ht="1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ht="1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</row>
    <row r="135" spans="1:12" ht="1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</row>
    <row r="136" spans="1:12" ht="1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</row>
    <row r="137" spans="1:12" ht="1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</row>
    <row r="138" spans="1:12" ht="1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</row>
    <row r="139" spans="1:12" ht="1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</row>
    <row r="140" spans="1:12" ht="1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</row>
    <row r="141" spans="1:12" ht="1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</row>
    <row r="142" spans="1:12" ht="1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</row>
    <row r="143" spans="1:12" ht="1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</row>
    <row r="144" spans="1:12" ht="1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</row>
    <row r="145" spans="1:12" ht="1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</row>
    <row r="146" spans="1:12" ht="1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</row>
    <row r="147" spans="1:12" ht="1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</row>
    <row r="148" spans="1:12" ht="1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</row>
    <row r="149" spans="1:12" ht="1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</row>
    <row r="150" spans="1:12" ht="1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</row>
    <row r="151" spans="1:12" ht="1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ht="1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</row>
    <row r="153" spans="1:12" ht="1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</row>
    <row r="154" spans="1:12" ht="1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</row>
    <row r="155" spans="1:12" ht="1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</row>
    <row r="156" spans="1:12" ht="1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</row>
    <row r="157" spans="1:12" ht="1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</row>
    <row r="158" spans="1:12" ht="1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</row>
    <row r="159" spans="1:12" ht="1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</row>
    <row r="160" spans="1:12" ht="1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</row>
    <row r="161" spans="1:12" ht="1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</row>
    <row r="162" spans="1:12" ht="1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</row>
    <row r="163" spans="1:12" ht="1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</row>
    <row r="164" spans="1:12" ht="1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</row>
    <row r="165" spans="1:12" ht="1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</row>
    <row r="166" spans="1:12" ht="1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</row>
    <row r="167" spans="1:12" ht="1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</row>
    <row r="168" spans="1:12" ht="1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</row>
    <row r="169" spans="1:12" ht="1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</row>
    <row r="170" spans="1:12" ht="1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ht="1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</row>
    <row r="172" spans="1:12" ht="1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</row>
    <row r="173" spans="1:12" ht="1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</row>
    <row r="174" spans="1:12" ht="1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</row>
    <row r="175" spans="1:12" ht="1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</row>
    <row r="176" spans="1:12" ht="1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</row>
    <row r="177" spans="1:12" ht="1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</row>
    <row r="178" spans="1:12" ht="1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</row>
    <row r="179" spans="1:12" ht="1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</row>
    <row r="180" spans="1:12" ht="1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</row>
    <row r="181" spans="1:12" ht="1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</row>
    <row r="182" spans="1:12" ht="1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</row>
    <row r="183" spans="1:12" ht="1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</row>
    <row r="184" spans="1:12" ht="1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</row>
    <row r="185" spans="1:12" ht="1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</row>
    <row r="186" spans="1:12" ht="1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</row>
    <row r="187" spans="1:12" ht="1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</row>
    <row r="188" spans="1:12" ht="1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ht="1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</row>
    <row r="190" spans="1:12" ht="1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</row>
    <row r="191" spans="1:12" ht="1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</row>
    <row r="192" spans="1:12" ht="1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</row>
    <row r="193" spans="1:12" ht="1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</row>
    <row r="194" spans="1:12" ht="1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</row>
    <row r="195" spans="1:12" ht="1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</row>
    <row r="196" spans="1:12" ht="1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</row>
    <row r="197" spans="1:12" ht="1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</row>
    <row r="198" spans="1:12" ht="1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</row>
    <row r="199" spans="1:12" ht="1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</row>
    <row r="200" spans="1:12" ht="1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</row>
    <row r="201" spans="1:12" ht="1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</row>
    <row r="202" spans="1:12" ht="1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</row>
    <row r="203" spans="1:12" ht="1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</row>
    <row r="204" spans="1:12" ht="1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</row>
    <row r="205" spans="1:12" ht="1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</row>
    <row r="206" spans="1:12" ht="1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ht="1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</row>
    <row r="208" spans="1:12" ht="1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</row>
    <row r="209" spans="1:12" ht="1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</row>
    <row r="210" spans="1:12" ht="1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</row>
    <row r="211" spans="1:12" ht="1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</row>
    <row r="212" spans="1:12" ht="1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</row>
    <row r="213" spans="1:12" ht="1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</row>
    <row r="214" spans="1:12" ht="1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</row>
    <row r="215" spans="1:12" ht="1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</row>
    <row r="216" spans="1:12" ht="1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</row>
    <row r="217" spans="1:12" ht="1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</row>
    <row r="218" spans="1:12" ht="1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</row>
    <row r="219" spans="1:12" ht="1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</row>
    <row r="220" spans="1:12" ht="1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</row>
    <row r="221" spans="1:12" ht="1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</row>
    <row r="222" spans="1:12" ht="1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</row>
    <row r="223" spans="1:12" ht="1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</row>
    <row r="224" spans="1:12" ht="1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2" ht="1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</row>
    <row r="226" spans="1:12" ht="1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</row>
    <row r="227" spans="1:12" ht="1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</row>
    <row r="228" spans="1:12" ht="1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</row>
    <row r="229" spans="1:12" ht="1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</row>
    <row r="230" spans="1:12" ht="1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</row>
    <row r="231" spans="1:12" ht="1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</row>
    <row r="232" spans="1:12" ht="1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</row>
    <row r="233" spans="1:12" ht="1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</row>
    <row r="234" spans="1:12" ht="1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</row>
    <row r="235" spans="1:12" ht="1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</row>
    <row r="236" spans="1:12" ht="1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</row>
    <row r="237" spans="1:12" ht="1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</row>
    <row r="238" spans="1:12" ht="1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</row>
    <row r="239" spans="1:12" ht="1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</row>
    <row r="240" spans="1:12" ht="1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</row>
    <row r="241" spans="1:12" ht="1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</row>
    <row r="242" spans="1:12" ht="1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ht="1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</row>
    <row r="244" spans="1:12" ht="1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</row>
    <row r="245" spans="1:12" ht="1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</row>
    <row r="246" spans="1:12" ht="1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</row>
    <row r="247" spans="1:12" ht="1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</row>
    <row r="248" spans="1:12" ht="1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</row>
    <row r="249" spans="1:12" ht="1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</row>
    <row r="250" spans="1:12" ht="1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</row>
    <row r="251" spans="1:12" ht="1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</row>
    <row r="252" spans="1:12" ht="1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</row>
    <row r="253" spans="1:12" ht="1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</row>
    <row r="254" spans="1:12" ht="1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</row>
    <row r="255" spans="1:12" ht="1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</row>
    <row r="256" spans="1:12" ht="1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</row>
    <row r="257" spans="1:12" ht="1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</row>
    <row r="258" spans="1:12" ht="1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</row>
    <row r="259" spans="1:12" ht="1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</row>
    <row r="260" spans="1:12" ht="1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ht="1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</row>
    <row r="262" spans="1:12" ht="1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</row>
    <row r="263" spans="1:12" ht="1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</row>
    <row r="264" spans="1:12" ht="1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</row>
    <row r="265" spans="1:12" ht="1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</row>
    <row r="266" spans="1:12" ht="1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</row>
    <row r="267" spans="1:12" ht="1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</row>
    <row r="268" spans="1:12" ht="1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</row>
    <row r="269" spans="1:12" ht="1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</row>
    <row r="270" spans="1:12" ht="1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</row>
    <row r="271" spans="1:12" ht="1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</row>
    <row r="272" spans="1:12" ht="1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</row>
    <row r="273" spans="1:12" ht="1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</row>
    <row r="274" spans="1:12" ht="1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</row>
    <row r="275" spans="1:12" ht="1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</row>
    <row r="276" spans="1:12" ht="1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</row>
    <row r="277" spans="1:12" ht="1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</row>
    <row r="278" spans="1:12" ht="1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ht="1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</row>
    <row r="280" spans="1:12" ht="1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</row>
    <row r="281" spans="1:12" ht="1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</row>
    <row r="282" spans="1:12" ht="1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</row>
    <row r="283" spans="1:12" ht="1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</row>
    <row r="284" spans="1:12" ht="1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</row>
    <row r="285" spans="1:12" ht="1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</row>
    <row r="286" spans="1:12" ht="1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</row>
    <row r="287" spans="1:12" ht="1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</row>
    <row r="288" spans="1:12" ht="1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</row>
    <row r="289" spans="1:12" ht="1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</row>
    <row r="290" spans="1:12" ht="1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</row>
    <row r="291" spans="1:12" ht="1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</row>
    <row r="292" spans="1:12" ht="1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</row>
    <row r="293" spans="1:12" ht="1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</row>
    <row r="294" spans="1:12" ht="1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</row>
    <row r="295" spans="1:12" ht="1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</row>
    <row r="296" spans="1:12" ht="1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ht="1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</row>
    <row r="298" spans="1:12" ht="1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</row>
    <row r="299" spans="1:12" ht="1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</row>
    <row r="300" spans="1:12" ht="1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</row>
    <row r="301" spans="1:12" ht="1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</row>
    <row r="302" spans="1:12" ht="1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</row>
    <row r="303" spans="1:12" ht="1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</row>
    <row r="304" spans="1:12" ht="1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</row>
    <row r="305" spans="1:12" ht="1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</row>
    <row r="306" spans="1:12" ht="1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</row>
    <row r="307" spans="1:12" ht="1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</row>
    <row r="308" spans="1:12" ht="1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</row>
    <row r="309" spans="1:12" ht="1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</row>
    <row r="310" spans="1:12" ht="1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</row>
    <row r="311" spans="1:12" ht="1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</row>
    <row r="312" spans="1:12" ht="1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</row>
    <row r="313" spans="1:12" ht="1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</row>
    <row r="314" spans="1:12" ht="1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ht="1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</row>
    <row r="316" spans="1:12" ht="1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</row>
    <row r="317" spans="1:12" ht="1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</row>
    <row r="318" spans="1:12" ht="1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</row>
    <row r="319" spans="1:12" ht="1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</row>
    <row r="320" spans="1:12" ht="1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</row>
    <row r="321" spans="1:12" ht="1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</row>
    <row r="322" spans="1:12" ht="1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</row>
    <row r="323" spans="1:12" ht="1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</row>
    <row r="324" spans="1:12" ht="1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</row>
    <row r="325" spans="1:12" ht="1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</row>
    <row r="326" spans="1:12" ht="1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</row>
    <row r="327" spans="1:12" ht="1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</row>
    <row r="328" spans="1:12" ht="1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</row>
    <row r="329" spans="1:12" ht="1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</row>
    <row r="330" spans="1:12" ht="1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</row>
    <row r="331" spans="1:12" ht="1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</row>
    <row r="332" spans="1:12" ht="1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ht="1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</row>
    <row r="334" spans="1:12" ht="1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</row>
    <row r="335" spans="1:12" ht="1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</row>
    <row r="336" spans="1:12" ht="1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</row>
    <row r="337" spans="1:12" ht="1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</row>
    <row r="338" spans="1:12" ht="1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</row>
    <row r="339" spans="1:12" ht="1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</row>
    <row r="340" spans="1:12" ht="1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</row>
    <row r="341" spans="1:12" ht="1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</row>
    <row r="342" spans="1:12" ht="1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</row>
    <row r="343" spans="1:12" ht="1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</row>
    <row r="344" spans="1:12" ht="1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</row>
    <row r="345" spans="1:12" ht="1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</row>
    <row r="346" spans="1:12" ht="1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</row>
    <row r="347" spans="1:12" ht="1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</row>
    <row r="348" spans="1:12" ht="1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</row>
    <row r="349" spans="1:12" ht="1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</row>
    <row r="350" spans="1:12" ht="1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ht="1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</row>
    <row r="352" spans="1:12" ht="1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</row>
    <row r="353" spans="1:12" ht="1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</row>
    <row r="354" spans="1:12" ht="1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</row>
    <row r="355" spans="1:12" ht="1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</row>
    <row r="356" spans="1:12" ht="1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</row>
    <row r="357" spans="1:12" ht="1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</row>
    <row r="358" spans="1:12" ht="1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</row>
    <row r="359" spans="1:12" ht="1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</row>
    <row r="360" spans="1:12" ht="1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</row>
    <row r="361" spans="1:12" ht="1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</row>
    <row r="362" spans="1:12" ht="1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</row>
    <row r="363" spans="1:12" ht="1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</row>
    <row r="364" spans="1:12" ht="1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</row>
    <row r="365" spans="1:12" ht="1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</row>
    <row r="366" spans="1:12" ht="1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</row>
    <row r="367" spans="1:12" ht="1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</row>
    <row r="368" spans="1:12" ht="1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2" ht="1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</row>
    <row r="370" spans="1:12" ht="1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</row>
    <row r="371" spans="1:12" ht="1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</row>
    <row r="372" spans="1:12" ht="1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</row>
    <row r="373" spans="1:12" ht="1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</row>
    <row r="374" spans="1:12" ht="1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</row>
    <row r="375" spans="1:12" ht="1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</row>
    <row r="376" spans="1:12" ht="1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</row>
    <row r="377" spans="1:12" ht="1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</row>
    <row r="378" spans="1:12" ht="1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</row>
    <row r="379" spans="1:12" ht="1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</row>
    <row r="380" spans="1:12" ht="1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</row>
    <row r="381" spans="1:12" ht="1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</row>
    <row r="382" spans="1:12" ht="1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</row>
    <row r="383" spans="1:12" ht="1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</row>
    <row r="384" spans="1:12" ht="1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</row>
    <row r="385" spans="1:12" ht="1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</row>
    <row r="386" spans="1:12" ht="1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ht="1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</row>
    <row r="388" spans="1:12" ht="1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</row>
    <row r="389" spans="1:12" ht="1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</row>
    <row r="390" spans="1:12" ht="1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</row>
    <row r="391" spans="1:12" ht="1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</row>
    <row r="392" spans="1:12" ht="1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</row>
    <row r="393" spans="1:12" ht="1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</row>
    <row r="394" spans="1:12" ht="1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</row>
    <row r="395" spans="1:12" ht="1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</row>
    <row r="396" spans="1:12" ht="1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</row>
    <row r="397" spans="1:12" ht="1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</row>
    <row r="398" spans="1:12" ht="1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</row>
    <row r="399" spans="1:12" ht="1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</row>
    <row r="400" spans="1:12" ht="1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</row>
    <row r="401" spans="1:12" ht="1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</row>
    <row r="402" spans="1:12" ht="1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</row>
    <row r="403" spans="1:12" ht="1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</row>
    <row r="404" spans="1:12" ht="1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12" ht="1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</row>
    <row r="406" spans="1:12" ht="1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</row>
    <row r="407" spans="1:12" ht="1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</row>
    <row r="408" spans="1:12" ht="1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</row>
    <row r="409" spans="1:12" ht="15" customHeight="1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</row>
    <row r="410" spans="1:12" ht="15" customHeight="1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</row>
    <row r="411" spans="1:12" ht="15" customHeight="1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</row>
    <row r="412" spans="1:12" ht="15" customHeight="1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</row>
    <row r="413" spans="1:12" ht="15" customHeight="1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</row>
    <row r="414" spans="1:12" ht="15" customHeight="1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</row>
    <row r="415" spans="1:12" ht="15" customHeight="1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</row>
    <row r="416" spans="1:12" ht="15" customHeight="1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</row>
    <row r="417" spans="1:12" ht="15" customHeight="1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</row>
    <row r="418" spans="1:12" ht="15" customHeight="1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</row>
    <row r="419" spans="1:12" ht="15" customHeight="1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</row>
    <row r="420" spans="1:12" ht="15" customHeight="1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</row>
    <row r="421" spans="1:12" ht="15" customHeight="1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</row>
    <row r="422" spans="1:12" ht="15" customHeight="1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</row>
    <row r="423" spans="1:12" ht="15" customHeight="1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</row>
    <row r="424" spans="1:12" ht="15" customHeight="1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</row>
    <row r="425" spans="1:12" ht="15" customHeight="1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</row>
    <row r="426" spans="1:12" ht="15" customHeight="1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</row>
    <row r="427" spans="1:12" ht="15" customHeight="1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</row>
    <row r="428" spans="1:12" ht="15" customHeight="1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</row>
    <row r="429" spans="1:12" ht="15" customHeight="1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</row>
    <row r="430" spans="1:12" ht="15" customHeight="1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</row>
    <row r="431" spans="1:12" ht="15" customHeight="1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</row>
    <row r="432" spans="1:12" ht="15" customHeight="1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</row>
    <row r="433" spans="1:12" ht="15" customHeight="1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</row>
    <row r="434" spans="1:12" ht="15" customHeight="1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</row>
    <row r="435" spans="1:12" ht="15" customHeight="1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</row>
    <row r="436" spans="1:12" ht="15" customHeight="1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</row>
    <row r="437" spans="1:12" ht="15" customHeight="1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</row>
    <row r="438" spans="1:12" ht="15" customHeight="1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</row>
    <row r="439" spans="1:12" ht="15" customHeight="1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</row>
    <row r="440" spans="1:12" ht="15" customHeight="1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</row>
    <row r="441" spans="1:12" ht="15" customHeight="1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</row>
    <row r="442" spans="1:12" ht="15" customHeight="1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</row>
    <row r="443" spans="1:12" ht="15" customHeight="1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</row>
    <row r="444" spans="1:12" ht="15" customHeight="1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</row>
    <row r="445" spans="1:12" ht="15" customHeight="1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</row>
    <row r="446" spans="1:12" ht="15" customHeight="1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</row>
    <row r="447" spans="1:12" ht="15" customHeight="1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</row>
    <row r="448" spans="1:12" ht="15" customHeight="1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</row>
    <row r="449" spans="1:12" ht="15" customHeight="1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</row>
    <row r="450" spans="1:12" ht="15" customHeight="1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</row>
    <row r="451" spans="1:12" ht="15" customHeight="1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</row>
    <row r="452" spans="1:12" ht="15" customHeight="1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</row>
    <row r="453" spans="1:12" ht="15" customHeight="1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</row>
    <row r="454" spans="1:12" ht="15" customHeight="1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</row>
    <row r="455" spans="1:12" ht="15" customHeight="1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</row>
    <row r="456" spans="1:12" ht="15" customHeight="1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</row>
    <row r="457" spans="1:12" ht="15" customHeight="1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</row>
    <row r="458" spans="1:12" ht="15" customHeight="1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</row>
    <row r="459" spans="1:12" ht="15" customHeight="1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</row>
    <row r="460" spans="1:12" ht="15" customHeight="1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</row>
    <row r="461" spans="1:12" ht="15" customHeight="1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</row>
    <row r="462" spans="1:12" ht="15" customHeight="1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</row>
    <row r="463" spans="1:12" ht="15" customHeight="1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</row>
    <row r="464" spans="1:12" ht="15" customHeight="1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</row>
    <row r="465" spans="1:12" ht="15" customHeight="1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</row>
    <row r="466" spans="1:12" ht="15" customHeight="1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</row>
    <row r="467" spans="1:12" ht="15" customHeight="1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</row>
    <row r="468" spans="1:12" ht="15" customHeight="1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</row>
    <row r="469" spans="1:12" ht="15" customHeight="1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</row>
    <row r="470" spans="1:12" ht="15" customHeight="1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</row>
    <row r="471" spans="1:12" ht="15" customHeight="1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</row>
    <row r="472" spans="1:12" ht="15" customHeight="1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</row>
    <row r="473" spans="1:12" ht="15" customHeight="1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</row>
    <row r="474" spans="1:12" ht="15" customHeight="1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</row>
    <row r="475" spans="1:12" ht="15" customHeight="1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</row>
    <row r="476" spans="1:12" ht="15" customHeight="1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</row>
    <row r="477" spans="1:12" ht="15" customHeight="1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</row>
    <row r="478" spans="1:12" ht="15" customHeight="1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</row>
    <row r="479" spans="1:12" ht="15" customHeight="1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</row>
    <row r="480" spans="1:12" ht="15" customHeight="1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</row>
    <row r="481" spans="1:12" ht="15" customHeight="1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</row>
    <row r="482" spans="1:12" ht="15" customHeight="1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</row>
    <row r="483" spans="1:12" ht="15" customHeight="1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</row>
    <row r="484" spans="1:12" ht="15" customHeight="1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</row>
    <row r="485" spans="1:12" ht="15" customHeight="1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</row>
    <row r="486" spans="1:12" ht="15" customHeight="1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</row>
    <row r="487" spans="1:12" ht="15" customHeight="1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</row>
    <row r="488" spans="1:12" ht="15" customHeight="1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</row>
    <row r="489" spans="1:12" ht="15" customHeight="1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</row>
    <row r="490" spans="1:12" ht="15" customHeight="1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</row>
    <row r="491" spans="1:12" ht="15" customHeight="1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</row>
    <row r="492" spans="1:12" ht="15" customHeight="1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</row>
    <row r="493" spans="1:12" ht="15" customHeight="1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</row>
    <row r="494" spans="1:12" ht="15" customHeight="1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</row>
    <row r="495" spans="1:12" ht="15" customHeight="1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</row>
    <row r="496" spans="1:12" ht="15" customHeight="1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</row>
    <row r="497" spans="1:12" ht="15" customHeight="1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</row>
    <row r="498" spans="1:12" ht="15" customHeight="1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</row>
    <row r="499" spans="1:12" ht="15" customHeight="1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</row>
    <row r="500" spans="1:12" ht="15" customHeight="1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</row>
    <row r="501" spans="1:12" ht="15" customHeight="1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</row>
    <row r="502" spans="1:12" ht="15" customHeight="1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</row>
    <row r="503" spans="1:12" ht="15" customHeight="1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</row>
    <row r="504" spans="1:12" ht="15" customHeight="1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</row>
    <row r="505" spans="1:12" ht="15" customHeight="1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</row>
    <row r="506" spans="1:12" ht="15" customHeight="1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</row>
    <row r="507" spans="1:12" ht="15" customHeight="1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</row>
    <row r="508" spans="1:12" ht="15" customHeight="1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</row>
    <row r="509" spans="1:12" ht="15" customHeight="1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</row>
    <row r="510" spans="1:12" ht="15" customHeight="1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</row>
    <row r="511" spans="1:12" ht="15" customHeight="1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</row>
    <row r="512" spans="1:12" ht="15" customHeight="1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</row>
    <row r="513" spans="1:12" ht="15" customHeight="1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</row>
    <row r="514" spans="1:12" ht="15" customHeight="1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</row>
    <row r="515" spans="1:12" ht="15" customHeight="1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</row>
    <row r="516" spans="1:12" ht="15" customHeight="1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</row>
    <row r="517" spans="1:12" ht="15" customHeight="1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</row>
    <row r="518" spans="1:12" ht="15" customHeight="1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</row>
    <row r="519" spans="1:12" ht="15" customHeight="1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</row>
    <row r="520" spans="1:12" ht="15" customHeight="1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</row>
    <row r="521" spans="1:12" ht="15" customHeight="1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</row>
    <row r="522" spans="1:12" ht="15" customHeight="1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</row>
    <row r="523" spans="1:12" ht="15" customHeight="1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</row>
    <row r="524" spans="1:12" ht="15" customHeight="1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</row>
    <row r="525" spans="1:12" ht="15" customHeight="1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</row>
    <row r="526" spans="1:12" ht="15" customHeight="1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</row>
    <row r="527" spans="1:12" ht="15" customHeight="1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</row>
    <row r="528" spans="1:12" ht="15" customHeight="1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</row>
    <row r="529" spans="1:12" ht="15" customHeight="1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</row>
    <row r="530" spans="1:12" ht="15" customHeight="1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</row>
    <row r="531" spans="1:12" ht="15" customHeight="1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</row>
    <row r="532" spans="1:12" ht="15" customHeight="1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</row>
    <row r="533" spans="1:12" ht="15" customHeight="1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</row>
    <row r="534" spans="1:12" ht="15" customHeight="1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</row>
    <row r="535" spans="1:12" ht="15" customHeight="1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</row>
    <row r="536" spans="1:12" ht="15" customHeight="1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</row>
    <row r="537" spans="1:12" ht="15" customHeight="1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</row>
    <row r="538" spans="1:12" ht="15" customHeight="1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</row>
    <row r="539" spans="1:12" ht="15" customHeight="1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</row>
    <row r="540" spans="1:12" ht="15" customHeight="1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</row>
    <row r="541" spans="1:12" ht="15" customHeight="1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</row>
    <row r="542" spans="1:12" ht="15" customHeight="1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</row>
    <row r="543" spans="1:12" ht="15" customHeight="1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</row>
    <row r="544" spans="1:12" ht="15" customHeight="1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</row>
    <row r="545" spans="1:12" ht="15" customHeight="1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</row>
    <row r="546" spans="1:12" ht="15" customHeight="1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</row>
    <row r="547" spans="1:12" ht="15" customHeight="1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</row>
    <row r="548" spans="1:12" ht="15" customHeight="1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</row>
    <row r="549" spans="1:12" ht="15" customHeight="1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</row>
    <row r="550" spans="1:12" ht="15" customHeight="1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</row>
    <row r="551" spans="1:12" ht="15" customHeight="1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</row>
    <row r="552" spans="1:12" ht="15" customHeight="1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</row>
    <row r="553" spans="1:12" ht="15" customHeight="1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</row>
    <row r="554" spans="1:12" ht="15" customHeight="1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</row>
    <row r="555" spans="1:12" ht="15" customHeight="1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</row>
    <row r="556" spans="1:12" ht="15" customHeight="1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</row>
    <row r="557" spans="1:12" ht="15" customHeight="1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</row>
    <row r="558" spans="1:12" ht="15" customHeight="1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</row>
    <row r="559" spans="1:12" ht="15" customHeight="1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</row>
    <row r="560" spans="1:12" ht="15" customHeight="1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</row>
    <row r="561" spans="1:12" ht="15" customHeight="1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</row>
    <row r="562" spans="1:12" ht="15" customHeight="1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</row>
    <row r="563" spans="1:12" ht="15" customHeight="1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</row>
    <row r="564" spans="1:12" ht="15" customHeight="1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</row>
    <row r="565" spans="1:12" ht="15" customHeight="1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</row>
    <row r="566" spans="1:12" ht="15" customHeight="1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</row>
    <row r="567" spans="1:12" ht="15" customHeight="1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</row>
    <row r="568" spans="1:12" ht="15" customHeight="1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</row>
    <row r="569" spans="1:12" ht="15" customHeight="1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</row>
    <row r="570" spans="1:12" ht="15" customHeight="1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</row>
    <row r="571" spans="1:12" ht="15" customHeight="1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</row>
    <row r="572" spans="1:12" ht="15" customHeight="1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</row>
    <row r="573" spans="1:12" ht="15" customHeight="1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</row>
    <row r="574" spans="1:12" ht="15" customHeight="1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</row>
    <row r="575" spans="1:12" ht="15" customHeight="1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</row>
    <row r="576" spans="1:12" ht="15" customHeight="1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</row>
    <row r="577" spans="1:12" ht="15" customHeight="1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</row>
    <row r="578" spans="1:12" ht="15" customHeight="1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</row>
    <row r="579" spans="1:12" ht="15" customHeight="1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</row>
    <row r="580" spans="1:12" ht="15" customHeight="1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</row>
    <row r="581" spans="1:12" ht="15" customHeight="1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</row>
    <row r="582" spans="1:12" ht="15" customHeight="1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</row>
    <row r="583" spans="1:12" ht="15" customHeight="1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</row>
    <row r="584" spans="1:12" ht="15" customHeight="1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</row>
    <row r="585" spans="1:12" ht="15" customHeight="1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</row>
    <row r="586" spans="1:12" ht="15" customHeight="1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</row>
    <row r="587" spans="1:12" ht="15" customHeight="1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</row>
    <row r="588" spans="1:12" ht="15" customHeight="1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</row>
    <row r="589" spans="1:12" ht="15" customHeight="1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</row>
    <row r="590" spans="1:12" ht="15" customHeight="1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</row>
    <row r="591" spans="1:12" ht="15" customHeight="1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</row>
    <row r="592" spans="1:12" ht="15" customHeight="1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</row>
    <row r="593" spans="1:12" ht="15" customHeight="1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</row>
    <row r="594" spans="1:12" ht="15" customHeight="1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</row>
    <row r="595" spans="1:12" ht="15" customHeight="1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</row>
    <row r="596" spans="1:12" ht="15" customHeight="1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</row>
    <row r="597" spans="1:12" ht="15" customHeight="1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</row>
    <row r="598" spans="1:12" ht="15" customHeight="1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</row>
    <row r="599" spans="1:12" ht="15" customHeight="1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</row>
    <row r="600" spans="1:12" ht="15" customHeight="1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</row>
    <row r="601" spans="1:12" ht="15" customHeight="1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</row>
    <row r="602" spans="1:12" ht="15" customHeight="1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</row>
    <row r="603" spans="1:12" ht="15" customHeight="1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</row>
    <row r="604" spans="1:12" ht="15" customHeight="1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</row>
    <row r="605" spans="1:12" ht="15" customHeight="1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</row>
    <row r="606" spans="1:12" ht="15" customHeight="1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</row>
    <row r="607" spans="1:12" ht="15" customHeight="1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</row>
    <row r="608" spans="1:12" ht="15" customHeight="1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</row>
    <row r="610" spans="70:70" x14ac:dyDescent="0.25">
      <c r="BR610" s="17" t="s">
        <v>297</v>
      </c>
    </row>
  </sheetData>
  <autoFilter ref="A7:L7" xr:uid="{00000000-0009-0000-0000-00000A000000}"/>
  <mergeCells count="6">
    <mergeCell ref="A1:L1"/>
    <mergeCell ref="A2:L2"/>
    <mergeCell ref="B6:C6"/>
    <mergeCell ref="D6:F6"/>
    <mergeCell ref="H6:I6"/>
    <mergeCell ref="J6:K6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REPORTS - BITS DE MOTS (%MW)&amp;C&amp;7 &amp;D&amp;R&amp;7 page 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pageSetUpPr fitToPage="1"/>
  </sheetPr>
  <dimension ref="A1:BR410"/>
  <sheetViews>
    <sheetView zoomScaleNormal="100" workbookViewId="0">
      <pane ySplit="8" topLeftCell="A9" activePane="bottomLeft" state="frozen"/>
      <selection pane="bottomLeft" sqref="A1:L1"/>
    </sheetView>
  </sheetViews>
  <sheetFormatPr baseColWidth="10" defaultColWidth="8.7109375" defaultRowHeight="15" x14ac:dyDescent="0.25"/>
  <cols>
    <col min="1" max="1" width="34" customWidth="1"/>
    <col min="2" max="2" width="9.42578125" customWidth="1"/>
    <col min="3" max="4" width="6" customWidth="1"/>
    <col min="5" max="5" width="6.42578125" customWidth="1"/>
    <col min="6" max="7" width="6" customWidth="1"/>
    <col min="8" max="8" width="7.42578125" customWidth="1"/>
    <col min="9" max="11" width="6.85546875" customWidth="1"/>
    <col min="12" max="12" width="28" customWidth="1"/>
  </cols>
  <sheetData>
    <row r="1" spans="1:12" ht="25.5" customHeight="1" x14ac:dyDescent="0.25">
      <c r="A1" s="9" t="s">
        <v>303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 ht="15.75" customHeight="1" x14ac:dyDescent="0.25">
      <c r="A2" s="8" t="s">
        <v>285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12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6" spans="1:12" ht="15" customHeight="1" x14ac:dyDescent="0.25">
      <c r="B6" s="21" t="s">
        <v>263</v>
      </c>
      <c r="C6" s="4" t="s">
        <v>219</v>
      </c>
      <c r="D6" s="4"/>
      <c r="E6" s="3" t="s">
        <v>257</v>
      </c>
      <c r="F6" s="3"/>
      <c r="G6" s="3"/>
      <c r="H6" s="3"/>
      <c r="I6" s="2" t="s">
        <v>286</v>
      </c>
      <c r="J6" s="2"/>
      <c r="K6" s="34" t="s">
        <v>287</v>
      </c>
    </row>
    <row r="7" spans="1:12" ht="30" customHeight="1" x14ac:dyDescent="0.25">
      <c r="A7" s="23" t="s">
        <v>150</v>
      </c>
      <c r="B7" s="23" t="s">
        <v>263</v>
      </c>
      <c r="C7" s="23" t="s">
        <v>290</v>
      </c>
      <c r="D7" s="23" t="s">
        <v>292</v>
      </c>
      <c r="E7" s="23" t="s">
        <v>162</v>
      </c>
      <c r="F7" s="23" t="s">
        <v>304</v>
      </c>
      <c r="G7" s="23" t="s">
        <v>305</v>
      </c>
      <c r="H7" s="23" t="s">
        <v>306</v>
      </c>
      <c r="I7" s="23" t="s">
        <v>293</v>
      </c>
      <c r="J7" s="23" t="s">
        <v>294</v>
      </c>
      <c r="K7" s="23" t="s">
        <v>293</v>
      </c>
      <c r="L7" s="23" t="s">
        <v>80</v>
      </c>
    </row>
    <row r="8" spans="1:12" ht="12.75" customHeight="1" x14ac:dyDescent="0.25">
      <c r="A8" s="24"/>
      <c r="B8" s="24" t="s">
        <v>296</v>
      </c>
      <c r="C8" s="24"/>
      <c r="D8" s="24"/>
      <c r="E8" s="24"/>
      <c r="F8" s="24"/>
      <c r="G8" s="24"/>
      <c r="H8" s="24"/>
      <c r="I8" s="24"/>
      <c r="J8" s="24"/>
      <c r="K8" s="24"/>
      <c r="L8" s="24"/>
    </row>
    <row r="9" spans="1:12" ht="15" customHeight="1" x14ac:dyDescent="0.25">
      <c r="A9" s="26" t="s">
        <v>1106</v>
      </c>
      <c r="B9" s="26" t="s">
        <v>1124</v>
      </c>
      <c r="C9" s="26"/>
      <c r="D9" s="26" t="s">
        <v>1123</v>
      </c>
      <c r="E9" s="26"/>
      <c r="F9" s="26"/>
      <c r="G9" s="26"/>
      <c r="H9" s="26"/>
      <c r="I9" s="26"/>
      <c r="J9" s="26"/>
      <c r="K9" s="26"/>
      <c r="L9" s="26"/>
    </row>
    <row r="10" spans="1:12" ht="15" customHeight="1" x14ac:dyDescent="0.25">
      <c r="A10" s="26" t="s">
        <v>1107</v>
      </c>
      <c r="B10" s="26" t="s">
        <v>1125</v>
      </c>
      <c r="C10" s="26"/>
      <c r="D10" s="26" t="s">
        <v>1123</v>
      </c>
      <c r="E10" s="26"/>
      <c r="F10" s="26"/>
      <c r="G10" s="26"/>
      <c r="H10" s="26"/>
      <c r="I10" s="26"/>
      <c r="J10" s="26"/>
      <c r="K10" s="26"/>
      <c r="L10" s="26"/>
    </row>
    <row r="11" spans="1:12" ht="15" customHeight="1" x14ac:dyDescent="0.25">
      <c r="A11" s="26" t="s">
        <v>1109</v>
      </c>
      <c r="B11" s="26" t="s">
        <v>1126</v>
      </c>
      <c r="C11" s="26"/>
      <c r="D11" s="26" t="s">
        <v>1123</v>
      </c>
      <c r="E11" s="26"/>
      <c r="F11" s="26"/>
      <c r="G11" s="26"/>
      <c r="H11" s="26"/>
      <c r="I11" s="26"/>
      <c r="J11" s="26"/>
      <c r="K11" s="26"/>
      <c r="L11" s="26"/>
    </row>
    <row r="12" spans="1:12" ht="15" customHeight="1" x14ac:dyDescent="0.25">
      <c r="A12" s="26" t="s">
        <v>1110</v>
      </c>
      <c r="B12" s="26" t="s">
        <v>1127</v>
      </c>
      <c r="C12" s="26"/>
      <c r="D12" s="26" t="s">
        <v>1123</v>
      </c>
      <c r="E12" s="26"/>
      <c r="F12" s="26"/>
      <c r="G12" s="26"/>
      <c r="H12" s="26"/>
      <c r="I12" s="26"/>
      <c r="J12" s="26"/>
      <c r="K12" s="26"/>
      <c r="L12" s="26"/>
    </row>
    <row r="13" spans="1:12" ht="15" customHeight="1" x14ac:dyDescent="0.25">
      <c r="A13" s="26" t="s">
        <v>1111</v>
      </c>
      <c r="B13" s="26" t="s">
        <v>1128</v>
      </c>
      <c r="C13" s="26"/>
      <c r="D13" s="26" t="s">
        <v>1123</v>
      </c>
      <c r="E13" s="26"/>
      <c r="F13" s="26"/>
      <c r="G13" s="26"/>
      <c r="H13" s="26"/>
      <c r="I13" s="26"/>
      <c r="J13" s="26"/>
      <c r="K13" s="26"/>
      <c r="L13" s="26"/>
    </row>
    <row r="14" spans="1:12" ht="15" customHeight="1" x14ac:dyDescent="0.25">
      <c r="A14" s="26" t="s">
        <v>1113</v>
      </c>
      <c r="B14" s="26" t="s">
        <v>1129</v>
      </c>
      <c r="C14" s="26" t="s">
        <v>1123</v>
      </c>
      <c r="D14" s="26"/>
      <c r="E14" s="26"/>
      <c r="F14" s="26"/>
      <c r="G14" s="26"/>
      <c r="H14" s="26"/>
      <c r="I14" s="26"/>
      <c r="J14" s="26"/>
      <c r="K14" s="26"/>
      <c r="L14" s="26"/>
    </row>
    <row r="15" spans="1:12" ht="15" customHeight="1" x14ac:dyDescent="0.25">
      <c r="A15" s="26" t="s">
        <v>1114</v>
      </c>
      <c r="B15" s="26" t="s">
        <v>1130</v>
      </c>
      <c r="C15" s="26" t="s">
        <v>1123</v>
      </c>
      <c r="D15" s="26"/>
      <c r="E15" s="26"/>
      <c r="F15" s="26"/>
      <c r="G15" s="26"/>
      <c r="H15" s="26"/>
      <c r="I15" s="26"/>
      <c r="J15" s="26"/>
      <c r="K15" s="26"/>
      <c r="L15" s="26"/>
    </row>
    <row r="16" spans="1:12" ht="15" customHeight="1" x14ac:dyDescent="0.25">
      <c r="A16" s="26" t="s">
        <v>1116</v>
      </c>
      <c r="B16" s="26" t="s">
        <v>1131</v>
      </c>
      <c r="C16" s="26" t="s">
        <v>1123</v>
      </c>
      <c r="D16" s="26"/>
      <c r="E16" s="26"/>
      <c r="F16" s="26"/>
      <c r="G16" s="26"/>
      <c r="H16" s="26"/>
      <c r="I16" s="26"/>
      <c r="J16" s="26"/>
      <c r="K16" s="26"/>
      <c r="L16" s="26"/>
    </row>
    <row r="17" spans="1:12" ht="15" customHeight="1" x14ac:dyDescent="0.25">
      <c r="A17" s="26" t="s">
        <v>1119</v>
      </c>
      <c r="B17" s="26" t="s">
        <v>1132</v>
      </c>
      <c r="C17" s="26" t="s">
        <v>1123</v>
      </c>
      <c r="D17" s="26"/>
      <c r="E17" s="26"/>
      <c r="F17" s="26"/>
      <c r="G17" s="26"/>
      <c r="H17" s="26"/>
      <c r="I17" s="26"/>
      <c r="J17" s="26"/>
      <c r="K17" s="26"/>
      <c r="L17" s="26"/>
    </row>
    <row r="18" spans="1:12" ht="15" customHeight="1" x14ac:dyDescent="0.25">
      <c r="A18" s="26" t="s">
        <v>1120</v>
      </c>
      <c r="B18" s="26" t="s">
        <v>1133</v>
      </c>
      <c r="C18" s="26" t="s">
        <v>1123</v>
      </c>
      <c r="D18" s="26"/>
      <c r="E18" s="26"/>
      <c r="F18" s="26"/>
      <c r="G18" s="26"/>
      <c r="H18" s="26"/>
      <c r="I18" s="26"/>
      <c r="J18" s="26"/>
      <c r="K18" s="26"/>
      <c r="L18" s="26"/>
    </row>
    <row r="19" spans="1:12" ht="15" customHeight="1" x14ac:dyDescent="0.25">
      <c r="A19" s="26" t="s">
        <v>1121</v>
      </c>
      <c r="B19" s="26" t="s">
        <v>1134</v>
      </c>
      <c r="C19" s="26"/>
      <c r="D19" s="26" t="s">
        <v>1123</v>
      </c>
      <c r="E19" s="26"/>
      <c r="F19" s="26"/>
      <c r="G19" s="26"/>
      <c r="H19" s="26"/>
      <c r="I19" s="26"/>
      <c r="J19" s="26"/>
      <c r="K19" s="26"/>
      <c r="L19" s="26"/>
    </row>
    <row r="20" spans="1:12" ht="15" customHeight="1" x14ac:dyDescent="0.25">
      <c r="A20" s="26" t="s">
        <v>1149</v>
      </c>
      <c r="B20" s="26" t="s">
        <v>1166</v>
      </c>
      <c r="C20" s="26"/>
      <c r="D20" s="26" t="s">
        <v>1123</v>
      </c>
      <c r="E20" s="26"/>
      <c r="F20" s="26"/>
      <c r="G20" s="26"/>
      <c r="H20" s="26"/>
      <c r="I20" s="26"/>
      <c r="J20" s="26"/>
      <c r="K20" s="26"/>
      <c r="L20" s="26"/>
    </row>
    <row r="21" spans="1:12" ht="15" customHeight="1" x14ac:dyDescent="0.25">
      <c r="A21" s="26" t="s">
        <v>1150</v>
      </c>
      <c r="B21" s="26" t="s">
        <v>1167</v>
      </c>
      <c r="C21" s="26"/>
      <c r="D21" s="26" t="s">
        <v>1123</v>
      </c>
      <c r="E21" s="26"/>
      <c r="F21" s="26"/>
      <c r="G21" s="26"/>
      <c r="H21" s="26"/>
      <c r="I21" s="26"/>
      <c r="J21" s="26"/>
      <c r="K21" s="26"/>
      <c r="L21" s="26"/>
    </row>
    <row r="22" spans="1:12" ht="15" customHeight="1" x14ac:dyDescent="0.25">
      <c r="A22" s="26" t="s">
        <v>1152</v>
      </c>
      <c r="B22" s="26" t="s">
        <v>1168</v>
      </c>
      <c r="C22" s="26"/>
      <c r="D22" s="26" t="s">
        <v>1123</v>
      </c>
      <c r="E22" s="26"/>
      <c r="F22" s="26"/>
      <c r="G22" s="26"/>
      <c r="H22" s="26"/>
      <c r="I22" s="26"/>
      <c r="J22" s="26"/>
      <c r="K22" s="26"/>
      <c r="L22" s="26"/>
    </row>
    <row r="23" spans="1:12" ht="15" customHeight="1" x14ac:dyDescent="0.25">
      <c r="A23" s="26" t="s">
        <v>1153</v>
      </c>
      <c r="B23" s="26" t="s">
        <v>1169</v>
      </c>
      <c r="C23" s="26"/>
      <c r="D23" s="26" t="s">
        <v>1123</v>
      </c>
      <c r="E23" s="26"/>
      <c r="F23" s="26"/>
      <c r="G23" s="26"/>
      <c r="H23" s="26"/>
      <c r="I23" s="26"/>
      <c r="J23" s="26"/>
      <c r="K23" s="26"/>
      <c r="L23" s="26"/>
    </row>
    <row r="24" spans="1:12" ht="15" customHeight="1" x14ac:dyDescent="0.25">
      <c r="A24" s="26" t="s">
        <v>1154</v>
      </c>
      <c r="B24" s="26" t="s">
        <v>1170</v>
      </c>
      <c r="C24" s="26"/>
      <c r="D24" s="26" t="s">
        <v>1123</v>
      </c>
      <c r="E24" s="26"/>
      <c r="F24" s="26"/>
      <c r="G24" s="26"/>
      <c r="H24" s="26"/>
      <c r="I24" s="26"/>
      <c r="J24" s="26"/>
      <c r="K24" s="26"/>
      <c r="L24" s="26"/>
    </row>
    <row r="25" spans="1:12" ht="15" customHeight="1" x14ac:dyDescent="0.25">
      <c r="A25" s="26" t="s">
        <v>1156</v>
      </c>
      <c r="B25" s="26" t="s">
        <v>1171</v>
      </c>
      <c r="C25" s="26" t="s">
        <v>1123</v>
      </c>
      <c r="D25" s="26"/>
      <c r="E25" s="26"/>
      <c r="F25" s="26"/>
      <c r="G25" s="26"/>
      <c r="H25" s="26"/>
      <c r="I25" s="26"/>
      <c r="J25" s="26"/>
      <c r="K25" s="26"/>
      <c r="L25" s="26"/>
    </row>
    <row r="26" spans="1:12" ht="15" customHeight="1" x14ac:dyDescent="0.25">
      <c r="A26" s="26" t="s">
        <v>1157</v>
      </c>
      <c r="B26" s="26" t="s">
        <v>1172</v>
      </c>
      <c r="C26" s="26" t="s">
        <v>1123</v>
      </c>
      <c r="D26" s="26"/>
      <c r="E26" s="26"/>
      <c r="F26" s="26"/>
      <c r="G26" s="26"/>
      <c r="H26" s="26"/>
      <c r="I26" s="26"/>
      <c r="J26" s="26"/>
      <c r="K26" s="26"/>
      <c r="L26" s="26"/>
    </row>
    <row r="27" spans="1:12" ht="15" customHeight="1" x14ac:dyDescent="0.25">
      <c r="A27" s="26" t="s">
        <v>1159</v>
      </c>
      <c r="B27" s="26" t="s">
        <v>1173</v>
      </c>
      <c r="C27" s="26" t="s">
        <v>1123</v>
      </c>
      <c r="D27" s="26"/>
      <c r="E27" s="26"/>
      <c r="F27" s="26"/>
      <c r="G27" s="26"/>
      <c r="H27" s="26"/>
      <c r="I27" s="26"/>
      <c r="J27" s="26"/>
      <c r="K27" s="26"/>
      <c r="L27" s="26"/>
    </row>
    <row r="28" spans="1:12" ht="15" customHeight="1" x14ac:dyDescent="0.25">
      <c r="A28" s="26" t="s">
        <v>1162</v>
      </c>
      <c r="B28" s="26" t="s">
        <v>1174</v>
      </c>
      <c r="C28" s="26" t="s">
        <v>1123</v>
      </c>
      <c r="D28" s="26"/>
      <c r="E28" s="26"/>
      <c r="F28" s="26"/>
      <c r="G28" s="26"/>
      <c r="H28" s="26"/>
      <c r="I28" s="26"/>
      <c r="J28" s="26"/>
      <c r="K28" s="26"/>
      <c r="L28" s="26"/>
    </row>
    <row r="29" spans="1:12" ht="15" customHeight="1" x14ac:dyDescent="0.25">
      <c r="A29" s="26" t="s">
        <v>1163</v>
      </c>
      <c r="B29" s="26" t="s">
        <v>1175</v>
      </c>
      <c r="C29" s="26" t="s">
        <v>1123</v>
      </c>
      <c r="D29" s="26"/>
      <c r="E29" s="26"/>
      <c r="F29" s="26"/>
      <c r="G29" s="26"/>
      <c r="H29" s="26"/>
      <c r="I29" s="26"/>
      <c r="J29" s="26"/>
      <c r="K29" s="26"/>
      <c r="L29" s="26"/>
    </row>
    <row r="30" spans="1:12" ht="15" customHeight="1" x14ac:dyDescent="0.25">
      <c r="A30" s="26" t="s">
        <v>1164</v>
      </c>
      <c r="B30" s="26" t="s">
        <v>1176</v>
      </c>
      <c r="C30" s="26"/>
      <c r="D30" s="26" t="s">
        <v>1123</v>
      </c>
      <c r="E30" s="26"/>
      <c r="F30" s="26"/>
      <c r="G30" s="26"/>
      <c r="H30" s="26"/>
      <c r="I30" s="26"/>
      <c r="J30" s="26"/>
      <c r="K30" s="26"/>
      <c r="L30" s="26"/>
    </row>
    <row r="31" spans="1:12" ht="15" customHeight="1" x14ac:dyDescent="0.25">
      <c r="A31" s="26" t="s">
        <v>1191</v>
      </c>
      <c r="B31" s="26" t="s">
        <v>1208</v>
      </c>
      <c r="C31" s="26"/>
      <c r="D31" s="26" t="s">
        <v>1123</v>
      </c>
      <c r="E31" s="26"/>
      <c r="F31" s="26"/>
      <c r="G31" s="26"/>
      <c r="H31" s="26"/>
      <c r="I31" s="26"/>
      <c r="J31" s="26"/>
      <c r="K31" s="26"/>
      <c r="L31" s="26"/>
    </row>
    <row r="32" spans="1:12" ht="15" customHeight="1" x14ac:dyDescent="0.25">
      <c r="A32" s="26" t="s">
        <v>1192</v>
      </c>
      <c r="B32" s="26" t="s">
        <v>1209</v>
      </c>
      <c r="C32" s="26"/>
      <c r="D32" s="26" t="s">
        <v>1123</v>
      </c>
      <c r="E32" s="26"/>
      <c r="F32" s="26"/>
      <c r="G32" s="26"/>
      <c r="H32" s="26"/>
      <c r="I32" s="26"/>
      <c r="J32" s="26"/>
      <c r="K32" s="26"/>
      <c r="L32" s="26"/>
    </row>
    <row r="33" spans="1:12" ht="15" customHeight="1" x14ac:dyDescent="0.25">
      <c r="A33" s="26" t="s">
        <v>1194</v>
      </c>
      <c r="B33" s="26" t="s">
        <v>1210</v>
      </c>
      <c r="C33" s="26"/>
      <c r="D33" s="26" t="s">
        <v>1123</v>
      </c>
      <c r="E33" s="26"/>
      <c r="F33" s="26"/>
      <c r="G33" s="26"/>
      <c r="H33" s="26"/>
      <c r="I33" s="26"/>
      <c r="J33" s="26"/>
      <c r="K33" s="26"/>
      <c r="L33" s="26"/>
    </row>
    <row r="34" spans="1:12" ht="15" customHeight="1" x14ac:dyDescent="0.25">
      <c r="A34" s="26" t="s">
        <v>1195</v>
      </c>
      <c r="B34" s="26" t="s">
        <v>1211</v>
      </c>
      <c r="C34" s="26"/>
      <c r="D34" s="26" t="s">
        <v>1123</v>
      </c>
      <c r="E34" s="26"/>
      <c r="F34" s="26"/>
      <c r="G34" s="26"/>
      <c r="H34" s="26"/>
      <c r="I34" s="26"/>
      <c r="J34" s="26"/>
      <c r="K34" s="26"/>
      <c r="L34" s="26"/>
    </row>
    <row r="35" spans="1:12" ht="15" customHeight="1" x14ac:dyDescent="0.25">
      <c r="A35" s="26" t="s">
        <v>1196</v>
      </c>
      <c r="B35" s="26" t="s">
        <v>1212</v>
      </c>
      <c r="C35" s="26"/>
      <c r="D35" s="26" t="s">
        <v>1123</v>
      </c>
      <c r="E35" s="26"/>
      <c r="F35" s="26"/>
      <c r="G35" s="26"/>
      <c r="H35" s="26"/>
      <c r="I35" s="26"/>
      <c r="J35" s="26"/>
      <c r="K35" s="26"/>
      <c r="L35" s="26"/>
    </row>
    <row r="36" spans="1:12" ht="15" customHeight="1" x14ac:dyDescent="0.25">
      <c r="A36" s="26" t="s">
        <v>1198</v>
      </c>
      <c r="B36" s="26" t="s">
        <v>1213</v>
      </c>
      <c r="C36" s="26" t="s">
        <v>1123</v>
      </c>
      <c r="D36" s="26"/>
      <c r="E36" s="26"/>
      <c r="F36" s="26"/>
      <c r="G36" s="26"/>
      <c r="H36" s="26"/>
      <c r="I36" s="26"/>
      <c r="J36" s="26"/>
      <c r="K36" s="26"/>
      <c r="L36" s="26"/>
    </row>
    <row r="37" spans="1:12" ht="15" customHeight="1" x14ac:dyDescent="0.25">
      <c r="A37" s="26" t="s">
        <v>1199</v>
      </c>
      <c r="B37" s="26" t="s">
        <v>1214</v>
      </c>
      <c r="C37" s="26" t="s">
        <v>1123</v>
      </c>
      <c r="D37" s="26"/>
      <c r="E37" s="26"/>
      <c r="F37" s="26"/>
      <c r="G37" s="26"/>
      <c r="H37" s="26"/>
      <c r="I37" s="26"/>
      <c r="J37" s="26"/>
      <c r="K37" s="26"/>
      <c r="L37" s="26"/>
    </row>
    <row r="38" spans="1:12" ht="15" customHeight="1" x14ac:dyDescent="0.25">
      <c r="A38" s="26" t="s">
        <v>1201</v>
      </c>
      <c r="B38" s="26" t="s">
        <v>1215</v>
      </c>
      <c r="C38" s="26" t="s">
        <v>1123</v>
      </c>
      <c r="D38" s="26"/>
      <c r="E38" s="26"/>
      <c r="F38" s="26"/>
      <c r="G38" s="26"/>
      <c r="H38" s="26"/>
      <c r="I38" s="26"/>
      <c r="J38" s="26"/>
      <c r="K38" s="26"/>
      <c r="L38" s="26"/>
    </row>
    <row r="39" spans="1:12" ht="15" customHeight="1" x14ac:dyDescent="0.25">
      <c r="A39" s="26" t="s">
        <v>1204</v>
      </c>
      <c r="B39" s="26" t="s">
        <v>1216</v>
      </c>
      <c r="C39" s="26" t="s">
        <v>1123</v>
      </c>
      <c r="D39" s="26"/>
      <c r="E39" s="26"/>
      <c r="F39" s="26"/>
      <c r="G39" s="26"/>
      <c r="H39" s="26"/>
      <c r="I39" s="26"/>
      <c r="J39" s="26"/>
      <c r="K39" s="26"/>
      <c r="L39" s="26"/>
    </row>
    <row r="40" spans="1:12" ht="15" customHeight="1" x14ac:dyDescent="0.25">
      <c r="A40" s="26" t="s">
        <v>1205</v>
      </c>
      <c r="B40" s="26" t="s">
        <v>1217</v>
      </c>
      <c r="C40" s="26" t="s">
        <v>1123</v>
      </c>
      <c r="D40" s="26"/>
      <c r="E40" s="26"/>
      <c r="F40" s="26"/>
      <c r="G40" s="26"/>
      <c r="H40" s="26"/>
      <c r="I40" s="26"/>
      <c r="J40" s="26"/>
      <c r="K40" s="26"/>
      <c r="L40" s="26"/>
    </row>
    <row r="41" spans="1:12" ht="15" customHeight="1" x14ac:dyDescent="0.25">
      <c r="A41" s="26" t="s">
        <v>1206</v>
      </c>
      <c r="B41" s="26" t="s">
        <v>1218</v>
      </c>
      <c r="C41" s="26"/>
      <c r="D41" s="26" t="s">
        <v>1123</v>
      </c>
      <c r="E41" s="26"/>
      <c r="F41" s="26"/>
      <c r="G41" s="26"/>
      <c r="H41" s="26"/>
      <c r="I41" s="26"/>
      <c r="J41" s="26"/>
      <c r="K41" s="26"/>
      <c r="L41" s="26"/>
    </row>
    <row r="42" spans="1:12" ht="15" customHeight="1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</row>
    <row r="43" spans="1:12" ht="15" customHeight="1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</row>
    <row r="44" spans="1:12" ht="1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</row>
    <row r="45" spans="1:12" ht="15" customHeight="1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</row>
    <row r="46" spans="1:12" ht="15" customHeight="1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</row>
    <row r="47" spans="1:12" ht="15" customHeight="1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</row>
    <row r="48" spans="1:12" ht="15" customHeight="1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</row>
    <row r="49" spans="1:12" ht="15" customHeight="1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</row>
    <row r="50" spans="1:12" ht="15" customHeight="1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</row>
    <row r="51" spans="1:12" ht="15" customHeight="1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</row>
    <row r="52" spans="1:12" ht="15" customHeight="1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</row>
    <row r="53" spans="1:12" ht="15" customHeight="1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</row>
    <row r="54" spans="1:12" ht="15" customHeight="1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</row>
    <row r="55" spans="1:12" ht="1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</row>
    <row r="56" spans="1:12" ht="15" customHeight="1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</row>
    <row r="57" spans="1:12" ht="15" customHeight="1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</row>
    <row r="58" spans="1:12" ht="15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</row>
    <row r="59" spans="1:12" ht="15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</row>
    <row r="60" spans="1:12" ht="15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</row>
    <row r="61" spans="1:12" ht="15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</row>
    <row r="62" spans="1:12" ht="15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</row>
    <row r="63" spans="1:12" ht="15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</row>
    <row r="64" spans="1:12" ht="15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</row>
    <row r="65" spans="1:12" ht="15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</row>
    <row r="66" spans="1:12" ht="1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</row>
    <row r="67" spans="1:12" ht="1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</row>
    <row r="68" spans="1:12" ht="15" customHeight="1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</row>
    <row r="69" spans="1:12" ht="15" customHeight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</row>
    <row r="70" spans="1:12" ht="15" customHeight="1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</row>
    <row r="71" spans="1:12" ht="15" customHeight="1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</row>
    <row r="72" spans="1:12" ht="15" customHeight="1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</row>
    <row r="73" spans="1:12" ht="15" customHeight="1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</row>
    <row r="74" spans="1:12" ht="15" customHeight="1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</row>
    <row r="75" spans="1:12" ht="15" customHeight="1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</row>
    <row r="76" spans="1:12" ht="15" customHeight="1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</row>
    <row r="77" spans="1:12" ht="15" customHeight="1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</row>
    <row r="78" spans="1:12" ht="15" customHeight="1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</row>
    <row r="79" spans="1:12" ht="15" customHeight="1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</row>
    <row r="80" spans="1:12" ht="15" customHeight="1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</row>
    <row r="81" spans="1:12" ht="15" customHeight="1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</row>
    <row r="82" spans="1:12" ht="15" customHeight="1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</row>
    <row r="83" spans="1:12" ht="15" customHeight="1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</row>
    <row r="84" spans="1:12" ht="15" customHeight="1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</row>
    <row r="85" spans="1:12" ht="15" customHeight="1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</row>
    <row r="86" spans="1:12" ht="15" customHeight="1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</row>
    <row r="87" spans="1:12" ht="15" customHeight="1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</row>
    <row r="88" spans="1:12" ht="15" customHeight="1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</row>
    <row r="89" spans="1:12" ht="15" customHeight="1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</row>
    <row r="90" spans="1:12" ht="15" customHeight="1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</row>
    <row r="91" spans="1:12" ht="15" customHeight="1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</row>
    <row r="92" spans="1:12" ht="15" customHeight="1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</row>
    <row r="93" spans="1:12" ht="15" customHeight="1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</row>
    <row r="94" spans="1:12" ht="15" customHeight="1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</row>
    <row r="95" spans="1:12" ht="15" customHeight="1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</row>
    <row r="96" spans="1:12" ht="15" customHeight="1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ht="15" customHeight="1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ht="15" customHeight="1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ht="15" customHeight="1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ht="15" customHeight="1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ht="15" customHeight="1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ht="15" customHeight="1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ht="15" customHeight="1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ht="15" customHeight="1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ht="15" customHeight="1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ht="15" customHeight="1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ht="15" customHeight="1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ht="15" customHeight="1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ht="15" customHeight="1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12" ht="15" customHeight="1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</row>
    <row r="131" spans="1:12" ht="15" customHeight="1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</row>
    <row r="132" spans="1:12" ht="15" customHeight="1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</row>
    <row r="133" spans="1:12" ht="15" customHeight="1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ht="15" customHeight="1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</row>
    <row r="135" spans="1:12" ht="15" customHeight="1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</row>
    <row r="136" spans="1:12" ht="15" customHeight="1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</row>
    <row r="137" spans="1:12" ht="15" customHeight="1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</row>
    <row r="138" spans="1:12" ht="15" customHeight="1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</row>
    <row r="139" spans="1:12" ht="15" customHeight="1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</row>
    <row r="140" spans="1:12" ht="15" customHeight="1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</row>
    <row r="141" spans="1:12" ht="15" customHeight="1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</row>
    <row r="142" spans="1:12" ht="15" customHeight="1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</row>
    <row r="143" spans="1:12" ht="15" customHeight="1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</row>
    <row r="144" spans="1:12" ht="15" customHeight="1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</row>
    <row r="145" spans="1:12" ht="15" customHeight="1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</row>
    <row r="146" spans="1:12" ht="15" customHeight="1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</row>
    <row r="147" spans="1:12" ht="15" customHeight="1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</row>
    <row r="148" spans="1:12" ht="15" customHeight="1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</row>
    <row r="149" spans="1:12" ht="15" customHeight="1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</row>
    <row r="150" spans="1:12" ht="15" customHeight="1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</row>
    <row r="151" spans="1:12" ht="15" customHeight="1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</row>
    <row r="152" spans="1:12" ht="15" customHeight="1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</row>
    <row r="153" spans="1:12" ht="15" customHeight="1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</row>
    <row r="154" spans="1:12" ht="15" customHeight="1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</row>
    <row r="155" spans="1:12" ht="15" customHeight="1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</row>
    <row r="156" spans="1:12" ht="15" customHeight="1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</row>
    <row r="157" spans="1:12" ht="15" customHeight="1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</row>
    <row r="158" spans="1:12" ht="15" customHeight="1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</row>
    <row r="159" spans="1:12" ht="15" customHeight="1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</row>
    <row r="160" spans="1:12" ht="15" customHeight="1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</row>
    <row r="161" spans="1:12" ht="15" customHeight="1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</row>
    <row r="162" spans="1:12" ht="15" customHeight="1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</row>
    <row r="163" spans="1:12" ht="15" customHeight="1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</row>
    <row r="164" spans="1:12" ht="15" customHeight="1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</row>
    <row r="165" spans="1:12" ht="15" customHeight="1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</row>
    <row r="166" spans="1:12" ht="15" customHeight="1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</row>
    <row r="167" spans="1:12" ht="15" customHeight="1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</row>
    <row r="168" spans="1:12" ht="15" customHeight="1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</row>
    <row r="169" spans="1:12" ht="15" customHeight="1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</row>
    <row r="170" spans="1:12" ht="15" customHeight="1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</row>
    <row r="171" spans="1:12" ht="15" customHeight="1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</row>
    <row r="172" spans="1:12" ht="15" customHeight="1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</row>
    <row r="173" spans="1:12" ht="15" customHeight="1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</row>
    <row r="174" spans="1:12" ht="15" customHeight="1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</row>
    <row r="175" spans="1:12" ht="15" customHeight="1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</row>
    <row r="176" spans="1:12" ht="15" customHeight="1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</row>
    <row r="177" spans="1:12" ht="15" customHeight="1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</row>
    <row r="178" spans="1:12" ht="15" customHeight="1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</row>
    <row r="179" spans="1:12" ht="15" customHeight="1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</row>
    <row r="180" spans="1:12" ht="15" customHeight="1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</row>
    <row r="181" spans="1:12" ht="15" customHeight="1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</row>
    <row r="182" spans="1:12" ht="15" customHeight="1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</row>
    <row r="183" spans="1:12" ht="15" customHeight="1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</row>
    <row r="184" spans="1:12" ht="15" customHeight="1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</row>
    <row r="185" spans="1:12" ht="15" customHeight="1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</row>
    <row r="186" spans="1:12" ht="15" customHeight="1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</row>
    <row r="187" spans="1:12" ht="15" customHeight="1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</row>
    <row r="188" spans="1:12" ht="15" customHeight="1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</row>
    <row r="189" spans="1:12" ht="15" customHeight="1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</row>
    <row r="190" spans="1:12" ht="15" customHeight="1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</row>
    <row r="191" spans="1:12" ht="15" customHeight="1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</row>
    <row r="192" spans="1:12" ht="15" customHeight="1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</row>
    <row r="193" spans="1:12" ht="15" customHeight="1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</row>
    <row r="194" spans="1:12" ht="15" customHeight="1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</row>
    <row r="195" spans="1:12" ht="15" customHeight="1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</row>
    <row r="196" spans="1:12" ht="15" customHeight="1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</row>
    <row r="197" spans="1:12" ht="15" customHeight="1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</row>
    <row r="198" spans="1:12" ht="15" customHeight="1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</row>
    <row r="199" spans="1:12" ht="15" customHeight="1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</row>
    <row r="200" spans="1:12" ht="15" customHeight="1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</row>
    <row r="201" spans="1:12" ht="15" customHeight="1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</row>
    <row r="202" spans="1:12" ht="15" customHeight="1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</row>
    <row r="203" spans="1:12" ht="15" customHeight="1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</row>
    <row r="204" spans="1:12" ht="15" customHeight="1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</row>
    <row r="205" spans="1:12" ht="15" customHeight="1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</row>
    <row r="206" spans="1:12" ht="15" customHeight="1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</row>
    <row r="207" spans="1:12" ht="15" customHeight="1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</row>
    <row r="208" spans="1:12" ht="15" customHeight="1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</row>
    <row r="209" spans="1:12" ht="15" customHeight="1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</row>
    <row r="210" spans="1:12" ht="15" customHeight="1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</row>
    <row r="211" spans="1:12" ht="15" customHeight="1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</row>
    <row r="212" spans="1:12" ht="15" customHeight="1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</row>
    <row r="213" spans="1:12" ht="15" customHeight="1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</row>
    <row r="214" spans="1:12" ht="15" customHeight="1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</row>
    <row r="215" spans="1:12" ht="15" customHeight="1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</row>
    <row r="216" spans="1:12" ht="15" customHeight="1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</row>
    <row r="217" spans="1:12" ht="15" customHeight="1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</row>
    <row r="218" spans="1:12" ht="15" customHeight="1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</row>
    <row r="219" spans="1:12" ht="15" customHeight="1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</row>
    <row r="220" spans="1:12" ht="15" customHeight="1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</row>
    <row r="221" spans="1:12" ht="15" customHeight="1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</row>
    <row r="222" spans="1:12" ht="15" customHeight="1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</row>
    <row r="223" spans="1:12" ht="15" customHeight="1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</row>
    <row r="224" spans="1:12" ht="15" customHeight="1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</row>
    <row r="225" spans="1:12" ht="15" customHeight="1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</row>
    <row r="226" spans="1:12" ht="15" customHeight="1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</row>
    <row r="227" spans="1:12" ht="15" customHeight="1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</row>
    <row r="228" spans="1:12" ht="15" customHeight="1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</row>
    <row r="229" spans="1:12" ht="15" customHeight="1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</row>
    <row r="230" spans="1:12" ht="15" customHeight="1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</row>
    <row r="231" spans="1:12" ht="15" customHeight="1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</row>
    <row r="232" spans="1:12" ht="15" customHeight="1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</row>
    <row r="233" spans="1:12" ht="15" customHeight="1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</row>
    <row r="234" spans="1:12" ht="15" customHeight="1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</row>
    <row r="235" spans="1:12" ht="15" customHeight="1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</row>
    <row r="236" spans="1:12" ht="15" customHeight="1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</row>
    <row r="237" spans="1:12" ht="15" customHeight="1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</row>
    <row r="238" spans="1:12" ht="15" customHeight="1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</row>
    <row r="239" spans="1:12" ht="15" customHeight="1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</row>
    <row r="240" spans="1:12" ht="15" customHeight="1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</row>
    <row r="241" spans="1:12" ht="15" customHeight="1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</row>
    <row r="242" spans="1:12" ht="15" customHeight="1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</row>
    <row r="243" spans="1:12" ht="15" customHeight="1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</row>
    <row r="244" spans="1:12" ht="15" customHeight="1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</row>
    <row r="245" spans="1:12" ht="15" customHeight="1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</row>
    <row r="246" spans="1:12" ht="15" customHeight="1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</row>
    <row r="247" spans="1:12" ht="15" customHeight="1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</row>
    <row r="248" spans="1:12" ht="15" customHeight="1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</row>
    <row r="249" spans="1:12" ht="15" customHeight="1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</row>
    <row r="250" spans="1:12" ht="15" customHeight="1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</row>
    <row r="251" spans="1:12" ht="15" customHeight="1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</row>
    <row r="252" spans="1:12" ht="15" customHeight="1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</row>
    <row r="253" spans="1:12" ht="15" customHeight="1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</row>
    <row r="254" spans="1:12" ht="15" customHeight="1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</row>
    <row r="255" spans="1:12" ht="15" customHeight="1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</row>
    <row r="256" spans="1:12" ht="15" customHeight="1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</row>
    <row r="257" spans="1:12" ht="15" customHeight="1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</row>
    <row r="258" spans="1:12" ht="15" customHeight="1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</row>
    <row r="259" spans="1:12" ht="15" customHeight="1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</row>
    <row r="260" spans="1:12" ht="15" customHeight="1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</row>
    <row r="261" spans="1:12" ht="15" customHeight="1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</row>
    <row r="262" spans="1:12" ht="15" customHeight="1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</row>
    <row r="263" spans="1:12" ht="15" customHeight="1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</row>
    <row r="264" spans="1:12" ht="15" customHeight="1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</row>
    <row r="265" spans="1:12" ht="15" customHeight="1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</row>
    <row r="266" spans="1:12" ht="15" customHeight="1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</row>
    <row r="267" spans="1:12" ht="15" customHeight="1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</row>
    <row r="268" spans="1:12" ht="15" customHeight="1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</row>
    <row r="269" spans="1:12" ht="15" customHeight="1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</row>
    <row r="270" spans="1:12" ht="15" customHeight="1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</row>
    <row r="271" spans="1:12" ht="15" customHeight="1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</row>
    <row r="272" spans="1:12" ht="15" customHeight="1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</row>
    <row r="273" spans="1:12" ht="15" customHeight="1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</row>
    <row r="274" spans="1:12" ht="15" customHeight="1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</row>
    <row r="275" spans="1:12" ht="15" customHeight="1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</row>
    <row r="276" spans="1:12" ht="15" customHeight="1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</row>
    <row r="277" spans="1:12" ht="15" customHeight="1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</row>
    <row r="278" spans="1:12" ht="15" customHeight="1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</row>
    <row r="279" spans="1:12" ht="15" customHeight="1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</row>
    <row r="280" spans="1:12" ht="15" customHeight="1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</row>
    <row r="281" spans="1:12" ht="15" customHeight="1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</row>
    <row r="282" spans="1:12" ht="15" customHeight="1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</row>
    <row r="283" spans="1:12" ht="15" customHeight="1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</row>
    <row r="284" spans="1:12" ht="15" customHeight="1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</row>
    <row r="285" spans="1:12" ht="15" customHeight="1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</row>
    <row r="286" spans="1:12" ht="15" customHeight="1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</row>
    <row r="287" spans="1:12" ht="15" customHeight="1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</row>
    <row r="288" spans="1:12" ht="15" customHeight="1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</row>
    <row r="289" spans="1:12" ht="15" customHeight="1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</row>
    <row r="290" spans="1:12" ht="15" customHeight="1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</row>
    <row r="291" spans="1:12" ht="15" customHeight="1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</row>
    <row r="292" spans="1:12" ht="15" customHeight="1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</row>
    <row r="293" spans="1:12" ht="15" customHeight="1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</row>
    <row r="294" spans="1:12" ht="15" customHeight="1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</row>
    <row r="295" spans="1:12" ht="15" customHeight="1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</row>
    <row r="296" spans="1:12" ht="15" customHeight="1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</row>
    <row r="297" spans="1:12" ht="15" customHeight="1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</row>
    <row r="298" spans="1:12" ht="15" customHeight="1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</row>
    <row r="299" spans="1:12" ht="15" customHeight="1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</row>
    <row r="300" spans="1:12" ht="15" customHeight="1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</row>
    <row r="301" spans="1:12" ht="15" customHeight="1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</row>
    <row r="302" spans="1:12" ht="15" customHeight="1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</row>
    <row r="303" spans="1:12" ht="15" customHeight="1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</row>
    <row r="304" spans="1:12" ht="15" customHeight="1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</row>
    <row r="305" spans="1:12" ht="15" customHeight="1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</row>
    <row r="306" spans="1:12" ht="15" customHeight="1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</row>
    <row r="307" spans="1:12" ht="15" customHeight="1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</row>
    <row r="308" spans="1:12" ht="15" customHeight="1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</row>
    <row r="309" spans="1:12" ht="15" customHeight="1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</row>
    <row r="310" spans="1:12" ht="15" customHeight="1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</row>
    <row r="311" spans="1:12" ht="15" customHeight="1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</row>
    <row r="312" spans="1:12" ht="15" customHeight="1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</row>
    <row r="313" spans="1:12" ht="15" customHeight="1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</row>
    <row r="314" spans="1:12" ht="15" customHeight="1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</row>
    <row r="315" spans="1:12" ht="15" customHeight="1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</row>
    <row r="316" spans="1:12" ht="15" customHeight="1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</row>
    <row r="317" spans="1:12" ht="15" customHeight="1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</row>
    <row r="318" spans="1:12" ht="15" customHeight="1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</row>
    <row r="319" spans="1:12" ht="15" customHeight="1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</row>
    <row r="320" spans="1:12" ht="15" customHeight="1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</row>
    <row r="321" spans="1:12" ht="15" customHeight="1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</row>
    <row r="322" spans="1:12" ht="15" customHeight="1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</row>
    <row r="323" spans="1:12" ht="15" customHeight="1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</row>
    <row r="324" spans="1:12" ht="15" customHeight="1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</row>
    <row r="325" spans="1:12" ht="15" customHeight="1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</row>
    <row r="326" spans="1:12" ht="15" customHeight="1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</row>
    <row r="327" spans="1:12" ht="15" customHeight="1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</row>
    <row r="328" spans="1:12" ht="15" customHeight="1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</row>
    <row r="329" spans="1:12" ht="15" customHeight="1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</row>
    <row r="330" spans="1:12" ht="15" customHeight="1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</row>
    <row r="331" spans="1:12" ht="15" customHeight="1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</row>
    <row r="332" spans="1:12" ht="15" customHeight="1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</row>
    <row r="333" spans="1:12" ht="15" customHeight="1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</row>
    <row r="334" spans="1:12" ht="15" customHeight="1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</row>
    <row r="335" spans="1:12" ht="15" customHeight="1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</row>
    <row r="336" spans="1:12" ht="15" customHeight="1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</row>
    <row r="337" spans="1:12" ht="15" customHeight="1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</row>
    <row r="338" spans="1:12" ht="15" customHeight="1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</row>
    <row r="339" spans="1:12" ht="15" customHeight="1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</row>
    <row r="340" spans="1:12" ht="15" customHeight="1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</row>
    <row r="341" spans="1:12" ht="15" customHeight="1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</row>
    <row r="342" spans="1:12" ht="15" customHeight="1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</row>
    <row r="343" spans="1:12" ht="15" customHeight="1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</row>
    <row r="344" spans="1:12" ht="15" customHeight="1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</row>
    <row r="345" spans="1:12" ht="15" customHeight="1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</row>
    <row r="346" spans="1:12" ht="15" customHeight="1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</row>
    <row r="347" spans="1:12" ht="15" customHeight="1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</row>
    <row r="348" spans="1:12" ht="15" customHeight="1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</row>
    <row r="349" spans="1:12" ht="15" customHeight="1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</row>
    <row r="350" spans="1:12" ht="15" customHeight="1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</row>
    <row r="351" spans="1:12" ht="15" customHeight="1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</row>
    <row r="352" spans="1:12" ht="15" customHeight="1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</row>
    <row r="353" spans="1:12" ht="15" customHeight="1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</row>
    <row r="354" spans="1:12" ht="15" customHeight="1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</row>
    <row r="355" spans="1:12" ht="15" customHeight="1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</row>
    <row r="356" spans="1:12" ht="15" customHeight="1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</row>
    <row r="357" spans="1:12" ht="15" customHeight="1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</row>
    <row r="358" spans="1:12" ht="15" customHeight="1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</row>
    <row r="359" spans="1:12" ht="15" customHeight="1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</row>
    <row r="360" spans="1:12" ht="15" customHeight="1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</row>
    <row r="361" spans="1:12" ht="15" customHeight="1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</row>
    <row r="362" spans="1:12" ht="15" customHeight="1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</row>
    <row r="363" spans="1:12" ht="15" customHeight="1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</row>
    <row r="364" spans="1:12" ht="15" customHeight="1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</row>
    <row r="365" spans="1:12" ht="15" customHeight="1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</row>
    <row r="366" spans="1:12" ht="15" customHeight="1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</row>
    <row r="367" spans="1:12" ht="15" customHeight="1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</row>
    <row r="368" spans="1:12" ht="15" customHeight="1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</row>
    <row r="369" spans="1:12" ht="15" customHeight="1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</row>
    <row r="370" spans="1:12" ht="15" customHeight="1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</row>
    <row r="371" spans="1:12" ht="15" customHeight="1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</row>
    <row r="372" spans="1:12" ht="15" customHeight="1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</row>
    <row r="373" spans="1:12" ht="15" customHeight="1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</row>
    <row r="374" spans="1:12" ht="15" customHeight="1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</row>
    <row r="375" spans="1:12" ht="15" customHeight="1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</row>
    <row r="376" spans="1:12" ht="15" customHeight="1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</row>
    <row r="377" spans="1:12" ht="15" customHeight="1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</row>
    <row r="378" spans="1:12" ht="15" customHeight="1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</row>
    <row r="379" spans="1:12" ht="15" customHeight="1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</row>
    <row r="380" spans="1:12" ht="15" customHeight="1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</row>
    <row r="381" spans="1:12" ht="15" customHeight="1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</row>
    <row r="382" spans="1:12" ht="15" customHeight="1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</row>
    <row r="383" spans="1:12" ht="15" customHeight="1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</row>
    <row r="384" spans="1:12" ht="15" customHeight="1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</row>
    <row r="385" spans="1:12" ht="15" customHeight="1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</row>
    <row r="386" spans="1:12" ht="15" customHeight="1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</row>
    <row r="387" spans="1:12" ht="15" customHeight="1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</row>
    <row r="388" spans="1:12" ht="15" customHeight="1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</row>
    <row r="389" spans="1:12" ht="15" customHeight="1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</row>
    <row r="390" spans="1:12" ht="15" customHeight="1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</row>
    <row r="391" spans="1:12" ht="15" customHeight="1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</row>
    <row r="392" spans="1:12" ht="15" customHeight="1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</row>
    <row r="393" spans="1:12" ht="15" customHeight="1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</row>
    <row r="394" spans="1:12" ht="15" customHeight="1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</row>
    <row r="395" spans="1:12" ht="15" customHeight="1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</row>
    <row r="396" spans="1:12" ht="15" customHeight="1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</row>
    <row r="397" spans="1:12" ht="15" customHeight="1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</row>
    <row r="398" spans="1:12" ht="15" customHeight="1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</row>
    <row r="399" spans="1:12" ht="15" customHeight="1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</row>
    <row r="400" spans="1:12" ht="15" customHeight="1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</row>
    <row r="401" spans="1:70" ht="15" customHeight="1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</row>
    <row r="402" spans="1:70" ht="15" customHeight="1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</row>
    <row r="403" spans="1:70" ht="15" customHeight="1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</row>
    <row r="404" spans="1:70" ht="15" customHeight="1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</row>
    <row r="405" spans="1:70" ht="15" customHeight="1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</row>
    <row r="406" spans="1:70" ht="15" customHeight="1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</row>
    <row r="407" spans="1:70" ht="15" customHeight="1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</row>
    <row r="408" spans="1:70" ht="15" customHeight="1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</row>
    <row r="410" spans="1:70" x14ac:dyDescent="0.25">
      <c r="BR410" s="17" t="s">
        <v>297</v>
      </c>
    </row>
  </sheetData>
  <autoFilter ref="A7:L7" xr:uid="{00000000-0009-0000-0000-00000B000000}"/>
  <mergeCells count="5">
    <mergeCell ref="A1:L1"/>
    <mergeCell ref="A2:L2"/>
    <mergeCell ref="C6:D6"/>
    <mergeCell ref="E6:H6"/>
    <mergeCell ref="I6:J6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REPORTS - ANALOGIQUE (%MW)&amp;C&amp;7 &amp;D&amp;R&amp;7 page 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pageSetUpPr fitToPage="1"/>
  </sheetPr>
  <dimension ref="A1:BR74"/>
  <sheetViews>
    <sheetView zoomScaleNormal="100" workbookViewId="0">
      <selection activeCell="AC15" sqref="AC15"/>
    </sheetView>
  </sheetViews>
  <sheetFormatPr baseColWidth="10" defaultColWidth="8.7109375" defaultRowHeight="15" x14ac:dyDescent="0.25"/>
  <cols>
    <col min="1" max="1" width="11" customWidth="1"/>
    <col min="2" max="65" width="2.85546875" customWidth="1"/>
  </cols>
  <sheetData>
    <row r="1" spans="1:70" ht="25.5" customHeight="1" x14ac:dyDescent="0.25">
      <c r="A1" s="9" t="s">
        <v>307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</row>
    <row r="2" spans="1:70" ht="15.75" customHeight="1" x14ac:dyDescent="0.25">
      <c r="A2" s="8" t="s">
        <v>308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</row>
    <row r="3" spans="1:70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70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9" spans="1:70" ht="12.75" customHeight="1" x14ac:dyDescent="0.25">
      <c r="A9" s="28" t="str">
        <f>IF(MW_Debut+0&gt;MW_Fin,"","%MW"&amp;(MW_Debut+0))</f>
        <v>%MW1000</v>
      </c>
      <c r="B9" s="70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0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0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9"/>
      <c r="BO9" s="69"/>
      <c r="BP9" s="69"/>
      <c r="BQ9" s="69"/>
      <c r="BR9" s="69"/>
    </row>
    <row r="10" spans="1:70" ht="12.75" customHeight="1" x14ac:dyDescent="0.25">
      <c r="A10" s="28" t="str">
        <f>IF(MW_Debut+64&gt;MW_Fin,"","%MW"&amp;(MW_Debut+64))</f>
        <v>%MW1064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9"/>
      <c r="BO10" s="69"/>
      <c r="BP10" s="69"/>
      <c r="BQ10" s="69"/>
      <c r="BR10" s="69"/>
    </row>
    <row r="11" spans="1:70" ht="12.75" customHeight="1" x14ac:dyDescent="0.25">
      <c r="A11" s="28" t="str">
        <f>IF(MW_Debut+128&gt;MW_Fin,"","%MW"&amp;(MW_Debut+128))</f>
        <v>%MW1128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9"/>
      <c r="BO11" s="69"/>
      <c r="BP11" s="69"/>
      <c r="BQ11" s="69"/>
      <c r="BR11" s="69"/>
    </row>
    <row r="12" spans="1:70" ht="12.75" customHeight="1" x14ac:dyDescent="0.25">
      <c r="A12" s="28" t="str">
        <f>IF(MW_Debut+192&gt;MW_Fin,"","%MW"&amp;(MW_Debut+192))</f>
        <v>%MW1192</v>
      </c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9"/>
      <c r="BO12" s="69"/>
      <c r="BP12" s="69"/>
      <c r="BQ12" s="69"/>
      <c r="BR12" s="69"/>
    </row>
    <row r="13" spans="1:70" ht="12.75" customHeight="1" x14ac:dyDescent="0.25">
      <c r="A13" s="28" t="str">
        <f>IF(MW_Debut+256&gt;MW_Fin,"","%MW"&amp;(MW_Debut+256))</f>
        <v>%MW1256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9"/>
      <c r="BO13" s="69"/>
      <c r="BP13" s="69"/>
      <c r="BQ13" s="69"/>
      <c r="BR13" s="69"/>
    </row>
    <row r="14" spans="1:70" ht="12.75" customHeight="1" x14ac:dyDescent="0.25">
      <c r="A14" s="28" t="str">
        <f>IF(MW_Debut+320&gt;MW_Fin,"","%MW"&amp;(MW_Debut+320))</f>
        <v>%MW1320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9"/>
      <c r="BO14" s="69"/>
      <c r="BP14" s="69"/>
      <c r="BQ14" s="69"/>
      <c r="BR14" s="69"/>
    </row>
    <row r="15" spans="1:70" ht="12.75" customHeight="1" x14ac:dyDescent="0.25">
      <c r="A15" s="28" t="str">
        <f>IF(MW_Debut+384&gt;MW_Fin,"","%MW"&amp;(MW_Debut+384))</f>
        <v>%MW1384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9"/>
      <c r="BO15" s="69"/>
      <c r="BP15" s="69"/>
      <c r="BQ15" s="69"/>
      <c r="BR15" s="69"/>
    </row>
    <row r="16" spans="1:70" ht="12.75" customHeight="1" x14ac:dyDescent="0.25">
      <c r="A16" s="28" t="str">
        <f>IF(MW_Debut+448&gt;MW_Fin,"","%MW"&amp;(MW_Debut+448))</f>
        <v>%MW1448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9"/>
      <c r="BO16" s="69"/>
      <c r="BP16" s="69"/>
      <c r="BQ16" s="69"/>
      <c r="BR16" s="69"/>
    </row>
    <row r="17" spans="1:70" ht="12.75" customHeight="1" x14ac:dyDescent="0.25">
      <c r="A17" s="28" t="str">
        <f>IF(MW_Debut+512&gt;MW_Fin,"","%MW"&amp;(MW_Debut+512))</f>
        <v>%MW1512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9"/>
      <c r="BO17" s="69"/>
      <c r="BP17" s="69"/>
      <c r="BQ17" s="69"/>
      <c r="BR17" s="69"/>
    </row>
    <row r="18" spans="1:70" ht="12.75" customHeight="1" x14ac:dyDescent="0.25">
      <c r="A18" s="28" t="str">
        <f>IF(MW_Debut+576&gt;MW_Fin,"","%MW"&amp;(MW_Debut+576))</f>
        <v>%MW1576</v>
      </c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9"/>
      <c r="BO18" s="69"/>
      <c r="BP18" s="69"/>
      <c r="BQ18" s="69"/>
      <c r="BR18" s="69"/>
    </row>
    <row r="19" spans="1:70" ht="12.75" customHeight="1" x14ac:dyDescent="0.25">
      <c r="A19" s="28" t="str">
        <f>IF(MW_Debut+640&gt;MW_Fin,"","%MW"&amp;(MW_Debut+640))</f>
        <v>%MW1640</v>
      </c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9"/>
      <c r="BO19" s="69"/>
      <c r="BP19" s="69"/>
      <c r="BQ19" s="69"/>
      <c r="BR19" s="69"/>
    </row>
    <row r="20" spans="1:70" ht="12.75" customHeight="1" x14ac:dyDescent="0.25">
      <c r="A20" s="28" t="str">
        <f>IF(MW_Debut+704&gt;MW_Fin,"","%MW"&amp;(MW_Debut+704))</f>
        <v>%MW1704</v>
      </c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9"/>
      <c r="BO20" s="69"/>
      <c r="BP20" s="69"/>
      <c r="BQ20" s="69"/>
      <c r="BR20" s="69"/>
    </row>
    <row r="21" spans="1:70" ht="12.75" customHeight="1" x14ac:dyDescent="0.25">
      <c r="A21" s="28" t="str">
        <f>IF(MW_Debut+768&gt;MW_Fin,"","%MW"&amp;(MW_Debut+768))</f>
        <v>%MW1768</v>
      </c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9"/>
      <c r="BO21" s="69"/>
      <c r="BP21" s="69"/>
      <c r="BQ21" s="69"/>
      <c r="BR21" s="69"/>
    </row>
    <row r="22" spans="1:70" ht="12.75" customHeight="1" x14ac:dyDescent="0.25">
      <c r="A22" s="28" t="str">
        <f>IF(MW_Debut+832&gt;MW_Fin,"","%MW"&amp;(MW_Debut+832))</f>
        <v>%MW1832</v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9"/>
      <c r="BO22" s="69"/>
      <c r="BP22" s="69"/>
      <c r="BQ22" s="69"/>
      <c r="BR22" s="69"/>
    </row>
    <row r="23" spans="1:70" ht="12.75" customHeight="1" x14ac:dyDescent="0.25">
      <c r="A23" s="28" t="str">
        <f>IF(MW_Debut+896&gt;MW_Fin,"","%MW"&amp;(MW_Debut+896))</f>
        <v>%MW1896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9"/>
      <c r="BO23" s="69"/>
      <c r="BP23" s="69"/>
      <c r="BQ23" s="69"/>
      <c r="BR23" s="69"/>
    </row>
    <row r="24" spans="1:70" ht="12.75" customHeight="1" x14ac:dyDescent="0.25">
      <c r="A24" s="28" t="str">
        <f>IF(MW_Debut+960&gt;MW_Fin,"","%MW"&amp;(MW_Debut+960))</f>
        <v>%MW1960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9"/>
      <c r="BO24" s="69"/>
      <c r="BP24" s="69"/>
      <c r="BQ24" s="69"/>
      <c r="BR24" s="69"/>
    </row>
    <row r="25" spans="1:70" ht="12.75" customHeight="1" x14ac:dyDescent="0.25">
      <c r="A25" s="28" t="str">
        <f>IF(MW_Debut+1024&gt;MW_Fin,"","%MW"&amp;(MW_Debut+1024))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69"/>
      <c r="BO25" s="69"/>
      <c r="BP25" s="69"/>
      <c r="BQ25" s="69"/>
      <c r="BR25" s="69"/>
    </row>
    <row r="26" spans="1:70" ht="12.75" customHeight="1" x14ac:dyDescent="0.25">
      <c r="A26" s="28" t="str">
        <f>IF(MW_Debut+1088&gt;MW_Fin,"","%MW"&amp;(MW_Debut+1088))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9"/>
      <c r="BO26" s="69"/>
      <c r="BP26" s="69"/>
      <c r="BQ26" s="69"/>
      <c r="BR26" s="69"/>
    </row>
    <row r="27" spans="1:70" ht="12.75" customHeight="1" x14ac:dyDescent="0.25">
      <c r="A27" s="28" t="str">
        <f>IF(MW_Debut+1152&gt;MW_Fin,"","%MW"&amp;(MW_Debut+1152))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9"/>
      <c r="BO27" s="69"/>
      <c r="BP27" s="69"/>
      <c r="BQ27" s="69"/>
      <c r="BR27" s="69"/>
    </row>
    <row r="28" spans="1:70" ht="12.75" customHeight="1" x14ac:dyDescent="0.25">
      <c r="A28" s="28" t="str">
        <f>IF(MW_Debut+1216&gt;MW_Fin,"","%MW"&amp;(MW_Debut+1216))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9"/>
      <c r="BO28" s="69"/>
      <c r="BP28" s="69"/>
      <c r="BQ28" s="69"/>
      <c r="BR28" s="69"/>
    </row>
    <row r="29" spans="1:70" ht="12.75" customHeight="1" x14ac:dyDescent="0.25">
      <c r="A29" s="28" t="str">
        <f>IF(MW_Debut+1280&gt;MW_Fin,"","%MW"&amp;(MW_Debut+1280))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9"/>
      <c r="BO29" s="69"/>
      <c r="BP29" s="69"/>
      <c r="BQ29" s="69"/>
      <c r="BR29" s="69"/>
    </row>
    <row r="30" spans="1:70" ht="12.75" customHeight="1" x14ac:dyDescent="0.25">
      <c r="A30" s="28" t="str">
        <f>IF(MW_Debut+1344&gt;MW_Fin,"","%MW"&amp;(MW_Debut+1344))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9"/>
      <c r="BO30" s="69"/>
      <c r="BP30" s="69"/>
      <c r="BQ30" s="69"/>
      <c r="BR30" s="69"/>
    </row>
    <row r="31" spans="1:70" ht="12.75" customHeight="1" x14ac:dyDescent="0.25">
      <c r="A31" s="28" t="str">
        <f>IF(MW_Debut+1408&gt;MW_Fin,"","%MW"&amp;(MW_Debut+1408))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9"/>
      <c r="BO31" s="69"/>
      <c r="BP31" s="69"/>
      <c r="BQ31" s="69"/>
      <c r="BR31" s="69"/>
    </row>
    <row r="32" spans="1:70" ht="12.75" customHeight="1" x14ac:dyDescent="0.25">
      <c r="A32" s="28" t="str">
        <f>IF(MW_Debut+1472&gt;MW_Fin,"","%MW"&amp;(MW_Debut+1472))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9"/>
      <c r="BO32" s="69"/>
      <c r="BP32" s="69"/>
      <c r="BQ32" s="69"/>
      <c r="BR32" s="69"/>
    </row>
    <row r="33" spans="1:70" ht="12.75" customHeight="1" x14ac:dyDescent="0.25">
      <c r="A33" s="28" t="str">
        <f>IF(MW_Debut+1536&gt;MW_Fin,"","%MW"&amp;(MW_Debut+1536))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9"/>
      <c r="BO33" s="69"/>
      <c r="BP33" s="69"/>
      <c r="BQ33" s="69"/>
      <c r="BR33" s="69"/>
    </row>
    <row r="34" spans="1:70" ht="12.75" customHeight="1" x14ac:dyDescent="0.25">
      <c r="A34" s="28" t="str">
        <f>IF(MW_Debut+1600&gt;MW_Fin,"","%MW"&amp;(MW_Debut+1600))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9"/>
      <c r="BO34" s="69"/>
      <c r="BP34" s="69"/>
      <c r="BQ34" s="69"/>
      <c r="BR34" s="69"/>
    </row>
    <row r="35" spans="1:70" ht="12.75" customHeight="1" x14ac:dyDescent="0.25">
      <c r="A35" s="28" t="str">
        <f>IF(MW_Debut+1664&gt;MW_Fin,"","%MW"&amp;(MW_Debut+1664))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9"/>
      <c r="BO35" s="69"/>
      <c r="BP35" s="69"/>
      <c r="BQ35" s="69"/>
      <c r="BR35" s="69"/>
    </row>
    <row r="36" spans="1:70" ht="12.75" customHeight="1" x14ac:dyDescent="0.25">
      <c r="A36" s="28" t="str">
        <f>IF(MW_Debut+1728&gt;MW_Fin,"","%MW"&amp;(MW_Debut+1728))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9"/>
      <c r="BO36" s="69"/>
      <c r="BP36" s="69"/>
      <c r="BQ36" s="69"/>
      <c r="BR36" s="69"/>
    </row>
    <row r="37" spans="1:70" ht="12.75" customHeight="1" x14ac:dyDescent="0.25">
      <c r="A37" s="28" t="str">
        <f>IF(MW_Debut+1792&gt;MW_Fin,"","%MW"&amp;(MW_Debut+1792))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9"/>
      <c r="BO37" s="69"/>
      <c r="BP37" s="69"/>
      <c r="BQ37" s="69"/>
      <c r="BR37" s="69"/>
    </row>
    <row r="38" spans="1:70" ht="12.75" customHeight="1" x14ac:dyDescent="0.25">
      <c r="A38" s="28" t="str">
        <f>IF(MW_Debut+1856&gt;MW_Fin,"","%MW"&amp;(MW_Debut+1856))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9"/>
      <c r="BO38" s="69"/>
      <c r="BP38" s="69"/>
      <c r="BQ38" s="69"/>
      <c r="BR38" s="69"/>
    </row>
    <row r="39" spans="1:70" ht="12.75" customHeight="1" x14ac:dyDescent="0.25">
      <c r="A39" s="28" t="str">
        <f>IF(MW_Debut+1920&gt;MW_Fin,"","%MW"&amp;(MW_Debut+1920))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9"/>
      <c r="BO39" s="69"/>
      <c r="BP39" s="69"/>
      <c r="BQ39" s="69"/>
      <c r="BR39" s="69"/>
    </row>
    <row r="40" spans="1:70" ht="12.75" customHeight="1" x14ac:dyDescent="0.25">
      <c r="A40" s="28" t="str">
        <f>IF(MW_Debut+1984&gt;MW_Fin,"","%MW"&amp;(MW_Debut+1984))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9"/>
      <c r="BO40" s="69"/>
      <c r="BP40" s="69"/>
      <c r="BQ40" s="69"/>
      <c r="BR40" s="69"/>
    </row>
    <row r="41" spans="1:70" ht="12.75" customHeight="1" x14ac:dyDescent="0.25">
      <c r="A41" s="28" t="str">
        <f>IF(MW_Debut+2048&gt;MW_Fin,"","%MW"&amp;(MW_Debut+2048))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9"/>
      <c r="BO41" s="69"/>
      <c r="BP41" s="69"/>
      <c r="BQ41" s="69"/>
      <c r="BR41" s="69"/>
    </row>
    <row r="42" spans="1:70" ht="12.75" customHeight="1" x14ac:dyDescent="0.25">
      <c r="A42" s="28" t="str">
        <f>IF(MW_Debut+2112&gt;MW_Fin,"","%MW"&amp;(MW_Debut+2112))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9"/>
      <c r="BO42" s="69"/>
      <c r="BP42" s="69"/>
      <c r="BQ42" s="69"/>
      <c r="BR42" s="69"/>
    </row>
    <row r="43" spans="1:70" ht="12.75" customHeight="1" x14ac:dyDescent="0.25">
      <c r="A43" s="28" t="str">
        <f>IF(MW_Debut+2176&gt;MW_Fin,"","%MW"&amp;(MW_Debut+2176))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9"/>
      <c r="BO43" s="69"/>
      <c r="BP43" s="69"/>
      <c r="BQ43" s="69"/>
      <c r="BR43" s="69"/>
    </row>
    <row r="44" spans="1:70" ht="12.75" customHeight="1" x14ac:dyDescent="0.25">
      <c r="A44" s="28" t="str">
        <f>IF(MW_Debut+2240&gt;MW_Fin,"","%MW"&amp;(MW_Debut+2240))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9"/>
      <c r="BO44" s="69"/>
      <c r="BP44" s="69"/>
      <c r="BQ44" s="69"/>
      <c r="BR44" s="69"/>
    </row>
    <row r="45" spans="1:70" ht="12.75" customHeight="1" x14ac:dyDescent="0.25">
      <c r="A45" s="28" t="str">
        <f>IF(MW_Debut+2304&gt;MW_Fin,"","%MW"&amp;(MW_Debut+2304))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9"/>
      <c r="BO45" s="69"/>
      <c r="BP45" s="69"/>
      <c r="BQ45" s="69"/>
      <c r="BR45" s="69"/>
    </row>
    <row r="46" spans="1:70" ht="12.75" customHeight="1" x14ac:dyDescent="0.25">
      <c r="A46" s="28" t="str">
        <f>IF(MW_Debut+2368&gt;MW_Fin,"","%MW"&amp;(MW_Debut+2368))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9"/>
      <c r="BO46" s="69"/>
      <c r="BP46" s="69"/>
      <c r="BQ46" s="69"/>
      <c r="BR46" s="69"/>
    </row>
    <row r="47" spans="1:70" ht="12.75" customHeight="1" x14ac:dyDescent="0.25">
      <c r="A47" s="28" t="str">
        <f>IF(MW_Debut+2432&gt;MW_Fin,"","%MW"&amp;(MW_Debut+2432))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9"/>
      <c r="BO47" s="69"/>
      <c r="BP47" s="69"/>
      <c r="BQ47" s="69"/>
      <c r="BR47" s="69"/>
    </row>
    <row r="48" spans="1:70" ht="12.75" customHeight="1" x14ac:dyDescent="0.25">
      <c r="A48" s="28" t="str">
        <f>IF(MW_Debut+2496&gt;MW_Fin,"","%MW"&amp;(MW_Debut+2496))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9"/>
      <c r="BO48" s="69"/>
      <c r="BP48" s="69"/>
      <c r="BQ48" s="69"/>
      <c r="BR48" s="69"/>
    </row>
    <row r="49" spans="1:70" ht="12.75" customHeight="1" x14ac:dyDescent="0.25">
      <c r="A49" s="28" t="str">
        <f>IF(MW_Debut+2560&gt;MW_Fin,"","%MW"&amp;(MW_Debut+2560))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9"/>
      <c r="BO49" s="69"/>
      <c r="BP49" s="69"/>
      <c r="BQ49" s="69"/>
      <c r="BR49" s="69"/>
    </row>
    <row r="50" spans="1:70" ht="12.75" customHeight="1" x14ac:dyDescent="0.25">
      <c r="A50" s="28" t="str">
        <f>IF(MW_Debut+2624&gt;MW_Fin,"","%MW"&amp;(MW_Debut+2624))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9"/>
      <c r="BO50" s="69"/>
      <c r="BP50" s="69"/>
      <c r="BQ50" s="69"/>
      <c r="BR50" s="69"/>
    </row>
    <row r="51" spans="1:70" ht="12.75" customHeight="1" x14ac:dyDescent="0.25">
      <c r="A51" s="28" t="str">
        <f>IF(MW_Debut+2688&gt;MW_Fin,"","%MW"&amp;(MW_Debut+2688))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9"/>
      <c r="BO51" s="69"/>
      <c r="BP51" s="69"/>
      <c r="BQ51" s="69"/>
      <c r="BR51" s="69"/>
    </row>
    <row r="52" spans="1:70" ht="12.75" customHeight="1" x14ac:dyDescent="0.25">
      <c r="A52" s="28" t="str">
        <f>IF(MW_Debut+2752&gt;MW_Fin,"","%MW"&amp;(MW_Debut+2752))</f>
        <v/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9"/>
      <c r="BO52" s="69"/>
      <c r="BP52" s="69"/>
      <c r="BQ52" s="69"/>
      <c r="BR52" s="69"/>
    </row>
    <row r="53" spans="1:70" ht="12.75" customHeight="1" x14ac:dyDescent="0.25">
      <c r="A53" s="28" t="str">
        <f>IF(MW_Debut+2816&gt;MW_Fin,"","%MW"&amp;(MW_Debut+2816))</f>
        <v/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9"/>
      <c r="BO53" s="69"/>
      <c r="BP53" s="69"/>
      <c r="BQ53" s="69"/>
      <c r="BR53" s="69"/>
    </row>
    <row r="54" spans="1:70" ht="12.75" customHeight="1" x14ac:dyDescent="0.25">
      <c r="A54" s="28" t="str">
        <f>IF(MW_Debut+2880&gt;MW_Fin,"","%MW"&amp;(MW_Debut+2880))</f>
        <v/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9"/>
      <c r="BO54" s="69"/>
      <c r="BP54" s="69"/>
      <c r="BQ54" s="69"/>
      <c r="BR54" s="69"/>
    </row>
    <row r="55" spans="1:70" ht="12.75" customHeight="1" x14ac:dyDescent="0.25">
      <c r="A55" s="28" t="str">
        <f>IF(MW_Debut+2944&gt;MW_Fin,"","%MW"&amp;(MW_Debut+2944))</f>
        <v/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9"/>
      <c r="BO55" s="69"/>
      <c r="BP55" s="69"/>
      <c r="BQ55" s="69"/>
      <c r="BR55" s="69"/>
    </row>
    <row r="56" spans="1:70" ht="12.75" customHeight="1" x14ac:dyDescent="0.25">
      <c r="A56" s="28" t="str">
        <f>IF(MW_Debut+3008&gt;MW_Fin,"","%MW"&amp;(MW_Debut+3008))</f>
        <v/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9"/>
      <c r="BO56" s="69"/>
      <c r="BP56" s="69"/>
      <c r="BQ56" s="69"/>
      <c r="BR56" s="69"/>
    </row>
    <row r="57" spans="1:70" ht="12.75" customHeight="1" x14ac:dyDescent="0.25">
      <c r="A57" s="28" t="str">
        <f>IF(MW_Debut+3072&gt;MW_Fin,"","%MW"&amp;(MW_Debut+3072))</f>
        <v/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9"/>
      <c r="BO57" s="69"/>
      <c r="BP57" s="69"/>
      <c r="BQ57" s="69"/>
      <c r="BR57" s="69"/>
    </row>
    <row r="58" spans="1:70" ht="12.75" customHeight="1" x14ac:dyDescent="0.25">
      <c r="A58" s="28" t="str">
        <f>IF(MW_Debut+3136&gt;MW_Fin,"","%MW"&amp;(MW_Debut+3136))</f>
        <v/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9"/>
      <c r="BO58" s="69"/>
      <c r="BP58" s="69"/>
      <c r="BQ58" s="69"/>
      <c r="BR58" s="69"/>
    </row>
    <row r="59" spans="1:70" ht="12.75" customHeight="1" x14ac:dyDescent="0.25">
      <c r="A59" s="28" t="str">
        <f>IF(MW_Debut+3200&gt;MW_Fin,"","%MW"&amp;(MW_Debut+3200))</f>
        <v/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9"/>
      <c r="BO59" s="69"/>
      <c r="BP59" s="69"/>
      <c r="BQ59" s="69"/>
      <c r="BR59" s="69"/>
    </row>
    <row r="60" spans="1:70" ht="12.75" customHeight="1" x14ac:dyDescent="0.25">
      <c r="A60" s="28" t="str">
        <f>IF(MW_Debut+3264&gt;MW_Fin,"","%MW"&amp;(MW_Debut+3264))</f>
        <v/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9"/>
      <c r="BO60" s="69"/>
      <c r="BP60" s="69"/>
      <c r="BQ60" s="69"/>
      <c r="BR60" s="69"/>
    </row>
    <row r="61" spans="1:70" ht="12.75" customHeight="1" x14ac:dyDescent="0.25">
      <c r="A61" s="28" t="str">
        <f>IF(MW_Debut+3328&gt;MW_Fin,"","%MW"&amp;(MW_Debut+3328))</f>
        <v/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9"/>
      <c r="BO61" s="69"/>
      <c r="BP61" s="69"/>
      <c r="BQ61" s="69"/>
      <c r="BR61" s="69"/>
    </row>
    <row r="62" spans="1:70" ht="12.75" customHeight="1" x14ac:dyDescent="0.25">
      <c r="A62" s="28" t="str">
        <f>IF(MW_Debut+3392&gt;MW_Fin,"","%MW"&amp;(MW_Debut+3392))</f>
        <v/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9"/>
      <c r="BO62" s="69"/>
      <c r="BP62" s="69"/>
      <c r="BQ62" s="69"/>
      <c r="BR62" s="69"/>
    </row>
    <row r="63" spans="1:70" ht="12.75" customHeight="1" x14ac:dyDescent="0.25">
      <c r="A63" s="28" t="str">
        <f>IF(MW_Debut+3456&gt;MW_Fin,"","%MW"&amp;(MW_Debut+3456))</f>
        <v/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9"/>
      <c r="BO63" s="69"/>
      <c r="BP63" s="69"/>
      <c r="BQ63" s="69"/>
      <c r="BR63" s="69"/>
    </row>
    <row r="64" spans="1:70" ht="12.75" customHeight="1" x14ac:dyDescent="0.25">
      <c r="A64" s="28" t="str">
        <f>IF(MW_Debut+3520&gt;MW_Fin,"","%MW"&amp;(MW_Debut+3520))</f>
        <v/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9"/>
      <c r="BO64" s="69"/>
      <c r="BP64" s="69"/>
      <c r="BQ64" s="69"/>
      <c r="BR64" s="69"/>
    </row>
    <row r="65" spans="1:70" ht="12.75" customHeight="1" x14ac:dyDescent="0.25">
      <c r="A65" s="28" t="str">
        <f>IF(MW_Debut+3584&gt;MW_Fin,"","%MW"&amp;(MW_Debut+3584))</f>
        <v/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9"/>
      <c r="BO65" s="69"/>
      <c r="BP65" s="69"/>
      <c r="BQ65" s="69"/>
      <c r="BR65" s="69"/>
    </row>
    <row r="66" spans="1:70" ht="12.75" customHeight="1" x14ac:dyDescent="0.25">
      <c r="A66" s="28" t="str">
        <f>IF(MW_Debut+3648&gt;MW_Fin,"","%MW"&amp;(MW_Debut+3648))</f>
        <v/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9"/>
      <c r="BO66" s="69"/>
      <c r="BP66" s="69"/>
      <c r="BQ66" s="69"/>
      <c r="BR66" s="69"/>
    </row>
    <row r="67" spans="1:70" ht="12.75" customHeight="1" x14ac:dyDescent="0.25">
      <c r="A67" s="28" t="str">
        <f>IF(MW_Debut+3712&gt;MW_Fin,"","%MW"&amp;(MW_Debut+3712))</f>
        <v/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9"/>
      <c r="BO67" s="69"/>
      <c r="BP67" s="69"/>
      <c r="BQ67" s="69"/>
      <c r="BR67" s="69"/>
    </row>
    <row r="68" spans="1:70" ht="12.75" customHeight="1" x14ac:dyDescent="0.25">
      <c r="A68" s="28" t="str">
        <f>IF(MW_Debut+3776&gt;MW_Fin,"","%MW"&amp;(MW_Debut+3776))</f>
        <v/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9"/>
      <c r="BO68" s="69"/>
      <c r="BP68" s="69"/>
      <c r="BQ68" s="69"/>
      <c r="BR68" s="69"/>
    </row>
    <row r="69" spans="1:70" ht="12.75" customHeight="1" x14ac:dyDescent="0.25">
      <c r="A69" s="28" t="str">
        <f>IF(MW_Debut+3840&gt;MW_Fin,"","%MW"&amp;(MW_Debut+3840))</f>
        <v/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9"/>
      <c r="BO69" s="69"/>
      <c r="BP69" s="69"/>
      <c r="BQ69" s="69"/>
      <c r="BR69" s="69"/>
    </row>
    <row r="70" spans="1:70" ht="12.75" customHeight="1" x14ac:dyDescent="0.25">
      <c r="A70" s="28" t="str">
        <f>IF(MW_Debut+3904&gt;MW_Fin,"","%MW"&amp;(MW_Debut+3904))</f>
        <v/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9"/>
      <c r="BO70" s="69"/>
      <c r="BP70" s="69"/>
      <c r="BQ70" s="69"/>
      <c r="BR70" s="69"/>
    </row>
    <row r="71" spans="1:70" ht="12.75" customHeight="1" x14ac:dyDescent="0.25">
      <c r="A71" s="28" t="str">
        <f>IF(MW_Debut+3968&gt;MW_Fin,"","%MW"&amp;(MW_Debut+3968))</f>
        <v/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9"/>
      <c r="BO71" s="69"/>
      <c r="BP71" s="69"/>
      <c r="BQ71" s="69"/>
      <c r="BR71" s="69"/>
    </row>
    <row r="72" spans="1:70" ht="12.75" customHeight="1" x14ac:dyDescent="0.25">
      <c r="A72" s="28" t="str">
        <f>IF(MW_Debut+4032&gt;MW_Fin,"","%MW"&amp;(MW_Debut+4032))</f>
        <v/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9"/>
      <c r="BO72" s="69"/>
      <c r="BP72" s="69"/>
      <c r="BQ72" s="69"/>
      <c r="BR72" s="69"/>
    </row>
    <row r="74" spans="1:70" x14ac:dyDescent="0.25">
      <c r="BR74" s="17" t="s">
        <v>309</v>
      </c>
    </row>
  </sheetData>
  <mergeCells count="2">
    <mergeCell ref="A1:BM1"/>
    <mergeCell ref="A2:BM2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Cartographie %MW&amp;C&amp;7 &amp;D&amp;R&amp;7 page 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pageSetUpPr fitToPage="1"/>
  </sheetPr>
  <dimension ref="A1:BR74"/>
  <sheetViews>
    <sheetView zoomScaleNormal="100" workbookViewId="0">
      <selection sqref="A1:BM1"/>
    </sheetView>
  </sheetViews>
  <sheetFormatPr baseColWidth="10" defaultColWidth="8.7109375" defaultRowHeight="15" x14ac:dyDescent="0.25"/>
  <cols>
    <col min="1" max="1" width="11" customWidth="1"/>
    <col min="2" max="65" width="2.85546875" customWidth="1"/>
  </cols>
  <sheetData>
    <row r="1" spans="1:70" ht="25.5" customHeight="1" x14ac:dyDescent="0.25">
      <c r="A1" s="9" t="s">
        <v>310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</row>
    <row r="2" spans="1:70" ht="15.75" customHeight="1" x14ac:dyDescent="0.25">
      <c r="A2" s="8" t="s">
        <v>308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</row>
    <row r="3" spans="1:70" ht="15.75" customHeight="1" x14ac:dyDescent="0.25">
      <c r="A3" s="10" t="s">
        <v>2</v>
      </c>
      <c r="B3" s="11" t="s">
        <v>3</v>
      </c>
      <c r="D3" s="10" t="s">
        <v>4</v>
      </c>
      <c r="E3" s="11" t="s">
        <v>5</v>
      </c>
    </row>
    <row r="4" spans="1:70" ht="15.75" customHeight="1" x14ac:dyDescent="0.25">
      <c r="A4" s="10" t="s">
        <v>6</v>
      </c>
      <c r="B4" s="11" t="s">
        <v>7</v>
      </c>
      <c r="D4" s="10" t="s">
        <v>8</v>
      </c>
      <c r="E4" s="11" t="s">
        <v>9</v>
      </c>
    </row>
    <row r="9" spans="1:70" ht="12.75" customHeight="1" x14ac:dyDescent="0.25">
      <c r="A9" s="28" t="str">
        <f>IF(MX_Debut+0&gt;MX_Fin,"","%MX"&amp;(MX_Debut+0))</f>
        <v>%MX0</v>
      </c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9"/>
      <c r="BO9" s="69"/>
      <c r="BP9" s="69"/>
      <c r="BQ9" s="69"/>
      <c r="BR9" s="69"/>
    </row>
    <row r="10" spans="1:70" ht="12.75" customHeight="1" x14ac:dyDescent="0.25">
      <c r="A10" s="28" t="str">
        <f>IF(MX_Debut+64&gt;MX_Fin,"","%MX"&amp;(MX_Debut+64))</f>
        <v>%MX64</v>
      </c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9"/>
      <c r="BO10" s="69"/>
      <c r="BP10" s="69"/>
      <c r="BQ10" s="69"/>
      <c r="BR10" s="69"/>
    </row>
    <row r="11" spans="1:70" ht="12.75" customHeight="1" x14ac:dyDescent="0.25">
      <c r="A11" s="28" t="str">
        <f>IF(MX_Debut+128&gt;MX_Fin,"","%MX"&amp;(MX_Debut+128))</f>
        <v>%MX128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9"/>
      <c r="BO11" s="69"/>
      <c r="BP11" s="69"/>
      <c r="BQ11" s="69"/>
      <c r="BR11" s="69"/>
    </row>
    <row r="12" spans="1:70" ht="12.75" customHeight="1" x14ac:dyDescent="0.25">
      <c r="A12" s="28" t="str">
        <f>IF(MX_Debut+192&gt;MX_Fin,"","%MX"&amp;(MX_Debut+192))</f>
        <v>%MX192</v>
      </c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9"/>
      <c r="BO12" s="69"/>
      <c r="BP12" s="69"/>
      <c r="BQ12" s="69"/>
      <c r="BR12" s="69"/>
    </row>
    <row r="13" spans="1:70" ht="12.75" customHeight="1" x14ac:dyDescent="0.25">
      <c r="A13" s="28" t="str">
        <f>IF(MX_Debut+256&gt;MX_Fin,"","%MX"&amp;(MX_Debut+256))</f>
        <v>%MX256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9"/>
      <c r="BO13" s="69"/>
      <c r="BP13" s="69"/>
      <c r="BQ13" s="69"/>
      <c r="BR13" s="69"/>
    </row>
    <row r="14" spans="1:70" ht="12.75" customHeight="1" x14ac:dyDescent="0.25">
      <c r="A14" s="28" t="str">
        <f>IF(MX_Debut+320&gt;MX_Fin,"","%MX"&amp;(MX_Debut+320))</f>
        <v>%MX320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9"/>
      <c r="BO14" s="69"/>
      <c r="BP14" s="69"/>
      <c r="BQ14" s="69"/>
      <c r="BR14" s="69"/>
    </row>
    <row r="15" spans="1:70" ht="12.75" customHeight="1" x14ac:dyDescent="0.25">
      <c r="A15" s="28" t="str">
        <f>IF(MX_Debut+384&gt;MX_Fin,"","%MX"&amp;(MX_Debut+384))</f>
        <v>%MX384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9"/>
      <c r="BO15" s="69"/>
      <c r="BP15" s="69"/>
      <c r="BQ15" s="69"/>
      <c r="BR15" s="69"/>
    </row>
    <row r="16" spans="1:70" ht="12.75" customHeight="1" x14ac:dyDescent="0.25">
      <c r="A16" s="28" t="str">
        <f>IF(MX_Debut+448&gt;MX_Fin,"","%MX"&amp;(MX_Debut+448))</f>
        <v>%MX448</v>
      </c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9"/>
      <c r="BO16" s="69"/>
      <c r="BP16" s="69"/>
      <c r="BQ16" s="69"/>
      <c r="BR16" s="69"/>
    </row>
    <row r="17" spans="1:70" ht="12.75" customHeight="1" x14ac:dyDescent="0.25">
      <c r="A17" s="28" t="str">
        <f>IF(MX_Debut+512&gt;MX_Fin,"","%MX"&amp;(MX_Debut+512))</f>
        <v/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9"/>
      <c r="BO17" s="69"/>
      <c r="BP17" s="69"/>
      <c r="BQ17" s="69"/>
      <c r="BR17" s="69"/>
    </row>
    <row r="18" spans="1:70" ht="12.75" customHeight="1" x14ac:dyDescent="0.25">
      <c r="A18" s="28" t="str">
        <f>IF(MX_Debut+576&gt;MX_Fin,"","%MX"&amp;(MX_Debut+576))</f>
        <v/>
      </c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9"/>
      <c r="BO18" s="69"/>
      <c r="BP18" s="69"/>
      <c r="BQ18" s="69"/>
      <c r="BR18" s="69"/>
    </row>
    <row r="19" spans="1:70" ht="12.75" customHeight="1" x14ac:dyDescent="0.25">
      <c r="A19" s="28" t="str">
        <f>IF(MX_Debut+640&gt;MX_Fin,"","%MX"&amp;(MX_Debut+640))</f>
        <v/>
      </c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9"/>
      <c r="BO19" s="69"/>
      <c r="BP19" s="69"/>
      <c r="BQ19" s="69"/>
      <c r="BR19" s="69"/>
    </row>
    <row r="20" spans="1:70" ht="12.75" customHeight="1" x14ac:dyDescent="0.25">
      <c r="A20" s="28" t="str">
        <f>IF(MX_Debut+704&gt;MX_Fin,"","%MX"&amp;(MX_Debut+704))</f>
        <v/>
      </c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9"/>
      <c r="BO20" s="69"/>
      <c r="BP20" s="69"/>
      <c r="BQ20" s="69"/>
      <c r="BR20" s="69"/>
    </row>
    <row r="21" spans="1:70" ht="12.75" customHeight="1" x14ac:dyDescent="0.25">
      <c r="A21" s="28" t="str">
        <f>IF(MX_Debut+768&gt;MX_Fin,"","%MX"&amp;(MX_Debut+768))</f>
        <v/>
      </c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9"/>
      <c r="BO21" s="69"/>
      <c r="BP21" s="69"/>
      <c r="BQ21" s="69"/>
      <c r="BR21" s="69"/>
    </row>
    <row r="22" spans="1:70" ht="12.75" customHeight="1" x14ac:dyDescent="0.25">
      <c r="A22" s="28" t="str">
        <f>IF(MX_Debut+832&gt;MX_Fin,"","%MX"&amp;(MX_Debut+832))</f>
        <v/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9"/>
      <c r="BO22" s="69"/>
      <c r="BP22" s="69"/>
      <c r="BQ22" s="69"/>
      <c r="BR22" s="69"/>
    </row>
    <row r="23" spans="1:70" ht="12.75" customHeight="1" x14ac:dyDescent="0.25">
      <c r="A23" s="28" t="str">
        <f>IF(MX_Debut+896&gt;MX_Fin,"","%MX"&amp;(MX_Debut+896))</f>
        <v/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9"/>
      <c r="BO23" s="69"/>
      <c r="BP23" s="69"/>
      <c r="BQ23" s="69"/>
      <c r="BR23" s="69"/>
    </row>
    <row r="24" spans="1:70" ht="12.75" customHeight="1" x14ac:dyDescent="0.25">
      <c r="A24" s="28" t="str">
        <f>IF(MX_Debut+960&gt;MX_Fin,"","%MX"&amp;(MX_Debut+960))</f>
        <v/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9"/>
      <c r="BO24" s="69"/>
      <c r="BP24" s="69"/>
      <c r="BQ24" s="69"/>
      <c r="BR24" s="69"/>
    </row>
    <row r="25" spans="1:70" ht="12.75" customHeight="1" x14ac:dyDescent="0.25">
      <c r="A25" s="28" t="str">
        <f>IF(MX_Debut+1024&gt;MX_Fin,"","%MX"&amp;(MX_Debut+1024))</f>
        <v/>
      </c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69"/>
      <c r="BO25" s="69"/>
      <c r="BP25" s="69"/>
      <c r="BQ25" s="69"/>
      <c r="BR25" s="69"/>
    </row>
    <row r="26" spans="1:70" ht="12.75" customHeight="1" x14ac:dyDescent="0.25">
      <c r="A26" s="28" t="str">
        <f>IF(MX_Debut+1088&gt;MX_Fin,"","%MX"&amp;(MX_Debut+1088))</f>
        <v/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9"/>
      <c r="BO26" s="69"/>
      <c r="BP26" s="69"/>
      <c r="BQ26" s="69"/>
      <c r="BR26" s="69"/>
    </row>
    <row r="27" spans="1:70" ht="12.75" customHeight="1" x14ac:dyDescent="0.25">
      <c r="A27" s="28" t="str">
        <f>IF(MX_Debut+1152&gt;MX_Fin,"","%MX"&amp;(MX_Debut+1152))</f>
        <v/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9"/>
      <c r="BO27" s="69"/>
      <c r="BP27" s="69"/>
      <c r="BQ27" s="69"/>
      <c r="BR27" s="69"/>
    </row>
    <row r="28" spans="1:70" ht="12.75" customHeight="1" x14ac:dyDescent="0.25">
      <c r="A28" s="28" t="str">
        <f>IF(MX_Debut+1216&gt;MX_Fin,"","%MX"&amp;(MX_Debut+1216))</f>
        <v/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9"/>
      <c r="BO28" s="69"/>
      <c r="BP28" s="69"/>
      <c r="BQ28" s="69"/>
      <c r="BR28" s="69"/>
    </row>
    <row r="29" spans="1:70" ht="12.75" customHeight="1" x14ac:dyDescent="0.25">
      <c r="A29" s="28" t="str">
        <f>IF(MX_Debut+1280&gt;MX_Fin,"","%MX"&amp;(MX_Debut+1280))</f>
        <v/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9"/>
      <c r="BO29" s="69"/>
      <c r="BP29" s="69"/>
      <c r="BQ29" s="69"/>
      <c r="BR29" s="69"/>
    </row>
    <row r="30" spans="1:70" ht="12.75" customHeight="1" x14ac:dyDescent="0.25">
      <c r="A30" s="28" t="str">
        <f>IF(MX_Debut+1344&gt;MX_Fin,"","%MX"&amp;(MX_Debut+1344))</f>
        <v/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9"/>
      <c r="BO30" s="69"/>
      <c r="BP30" s="69"/>
      <c r="BQ30" s="69"/>
      <c r="BR30" s="69"/>
    </row>
    <row r="31" spans="1:70" ht="12.75" customHeight="1" x14ac:dyDescent="0.25">
      <c r="A31" s="28" t="str">
        <f>IF(MX_Debut+1408&gt;MX_Fin,"","%MX"&amp;(MX_Debut+1408))</f>
        <v/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9"/>
      <c r="BO31" s="69"/>
      <c r="BP31" s="69"/>
      <c r="BQ31" s="69"/>
      <c r="BR31" s="69"/>
    </row>
    <row r="32" spans="1:70" ht="12.75" customHeight="1" x14ac:dyDescent="0.25">
      <c r="A32" s="28" t="str">
        <f>IF(MX_Debut+1472&gt;MX_Fin,"","%MX"&amp;(MX_Debut+1472))</f>
        <v/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9"/>
      <c r="BO32" s="69"/>
      <c r="BP32" s="69"/>
      <c r="BQ32" s="69"/>
      <c r="BR32" s="69"/>
    </row>
    <row r="33" spans="1:70" ht="12.75" customHeight="1" x14ac:dyDescent="0.25">
      <c r="A33" s="28" t="str">
        <f>IF(MX_Debut+1536&gt;MX_Fin,"","%MX"&amp;(MX_Debut+1536))</f>
        <v/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9"/>
      <c r="BO33" s="69"/>
      <c r="BP33" s="69"/>
      <c r="BQ33" s="69"/>
      <c r="BR33" s="69"/>
    </row>
    <row r="34" spans="1:70" ht="12.75" customHeight="1" x14ac:dyDescent="0.25">
      <c r="A34" s="28" t="str">
        <f>IF(MX_Debut+1600&gt;MX_Fin,"","%MX"&amp;(MX_Debut+1600))</f>
        <v/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9"/>
      <c r="BO34" s="69"/>
      <c r="BP34" s="69"/>
      <c r="BQ34" s="69"/>
      <c r="BR34" s="69"/>
    </row>
    <row r="35" spans="1:70" ht="12.75" customHeight="1" x14ac:dyDescent="0.25">
      <c r="A35" s="28" t="str">
        <f>IF(MX_Debut+1664&gt;MX_Fin,"","%MX"&amp;(MX_Debut+1664))</f>
        <v/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9"/>
      <c r="BO35" s="69"/>
      <c r="BP35" s="69"/>
      <c r="BQ35" s="69"/>
      <c r="BR35" s="69"/>
    </row>
    <row r="36" spans="1:70" ht="12.75" customHeight="1" x14ac:dyDescent="0.25">
      <c r="A36" s="28" t="str">
        <f>IF(MX_Debut+1728&gt;MX_Fin,"","%MX"&amp;(MX_Debut+1728))</f>
        <v/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9"/>
      <c r="BO36" s="69"/>
      <c r="BP36" s="69"/>
      <c r="BQ36" s="69"/>
      <c r="BR36" s="69"/>
    </row>
    <row r="37" spans="1:70" ht="12.75" customHeight="1" x14ac:dyDescent="0.25">
      <c r="A37" s="28" t="str">
        <f>IF(MX_Debut+1792&gt;MX_Fin,"","%MX"&amp;(MX_Debut+1792))</f>
        <v/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9"/>
      <c r="BO37" s="69"/>
      <c r="BP37" s="69"/>
      <c r="BQ37" s="69"/>
      <c r="BR37" s="69"/>
    </row>
    <row r="38" spans="1:70" ht="12.75" customHeight="1" x14ac:dyDescent="0.25">
      <c r="A38" s="28" t="str">
        <f>IF(MX_Debut+1856&gt;MX_Fin,"","%MX"&amp;(MX_Debut+1856))</f>
        <v/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9"/>
      <c r="BO38" s="69"/>
      <c r="BP38" s="69"/>
      <c r="BQ38" s="69"/>
      <c r="BR38" s="69"/>
    </row>
    <row r="39" spans="1:70" ht="12.75" customHeight="1" x14ac:dyDescent="0.25">
      <c r="A39" s="28" t="str">
        <f>IF(MX_Debut+1920&gt;MX_Fin,"","%MX"&amp;(MX_Debut+1920))</f>
        <v/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9"/>
      <c r="BO39" s="69"/>
      <c r="BP39" s="69"/>
      <c r="BQ39" s="69"/>
      <c r="BR39" s="69"/>
    </row>
    <row r="40" spans="1:70" ht="12.75" customHeight="1" x14ac:dyDescent="0.25">
      <c r="A40" s="28" t="str">
        <f>IF(MX_Debut+1984&gt;MX_Fin,"","%MX"&amp;(MX_Debut+1984))</f>
        <v/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9"/>
      <c r="BO40" s="69"/>
      <c r="BP40" s="69"/>
      <c r="BQ40" s="69"/>
      <c r="BR40" s="69"/>
    </row>
    <row r="41" spans="1:70" ht="12.75" customHeight="1" x14ac:dyDescent="0.25">
      <c r="A41" s="28" t="str">
        <f>IF(MX_Debut+2048&gt;MX_Fin,"","%MX"&amp;(MX_Debut+2048))</f>
        <v/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9"/>
      <c r="BO41" s="69"/>
      <c r="BP41" s="69"/>
      <c r="BQ41" s="69"/>
      <c r="BR41" s="69"/>
    </row>
    <row r="42" spans="1:70" ht="12.75" customHeight="1" x14ac:dyDescent="0.25">
      <c r="A42" s="28" t="str">
        <f>IF(MX_Debut+2112&gt;MX_Fin,"","%MX"&amp;(MX_Debut+2112))</f>
        <v/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9"/>
      <c r="BO42" s="69"/>
      <c r="BP42" s="69"/>
      <c r="BQ42" s="69"/>
      <c r="BR42" s="69"/>
    </row>
    <row r="43" spans="1:70" ht="12.75" customHeight="1" x14ac:dyDescent="0.25">
      <c r="A43" s="28" t="str">
        <f>IF(MX_Debut+2176&gt;MX_Fin,"","%MX"&amp;(MX_Debut+2176))</f>
        <v/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9"/>
      <c r="BO43" s="69"/>
      <c r="BP43" s="69"/>
      <c r="BQ43" s="69"/>
      <c r="BR43" s="69"/>
    </row>
    <row r="44" spans="1:70" ht="12.75" customHeight="1" x14ac:dyDescent="0.25">
      <c r="A44" s="28" t="str">
        <f>IF(MX_Debut+2240&gt;MX_Fin,"","%MX"&amp;(MX_Debut+2240))</f>
        <v/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9"/>
      <c r="BO44" s="69"/>
      <c r="BP44" s="69"/>
      <c r="BQ44" s="69"/>
      <c r="BR44" s="69"/>
    </row>
    <row r="45" spans="1:70" ht="12.75" customHeight="1" x14ac:dyDescent="0.25">
      <c r="A45" s="28" t="str">
        <f>IF(MX_Debut+2304&gt;MX_Fin,"","%MX"&amp;(MX_Debut+2304))</f>
        <v/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68"/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9"/>
      <c r="BO45" s="69"/>
      <c r="BP45" s="69"/>
      <c r="BQ45" s="69"/>
      <c r="BR45" s="69"/>
    </row>
    <row r="46" spans="1:70" ht="12.75" customHeight="1" x14ac:dyDescent="0.25">
      <c r="A46" s="28" t="str">
        <f>IF(MX_Debut+2368&gt;MX_Fin,"","%MX"&amp;(MX_Debut+2368))</f>
        <v/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9"/>
      <c r="BO46" s="69"/>
      <c r="BP46" s="69"/>
      <c r="BQ46" s="69"/>
      <c r="BR46" s="69"/>
    </row>
    <row r="47" spans="1:70" ht="12.75" customHeight="1" x14ac:dyDescent="0.25">
      <c r="A47" s="28" t="str">
        <f>IF(MX_Debut+2432&gt;MX_Fin,"","%MX"&amp;(MX_Debut+2432))</f>
        <v/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9"/>
      <c r="BO47" s="69"/>
      <c r="BP47" s="69"/>
      <c r="BQ47" s="69"/>
      <c r="BR47" s="69"/>
    </row>
    <row r="48" spans="1:70" ht="12.75" customHeight="1" x14ac:dyDescent="0.25">
      <c r="A48" s="28" t="str">
        <f>IF(MX_Debut+2496&gt;MX_Fin,"","%MX"&amp;(MX_Debut+2496))</f>
        <v/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68"/>
      <c r="AZ48" s="68"/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9"/>
      <c r="BO48" s="69"/>
      <c r="BP48" s="69"/>
      <c r="BQ48" s="69"/>
      <c r="BR48" s="69"/>
    </row>
    <row r="49" spans="1:70" ht="12.75" customHeight="1" x14ac:dyDescent="0.25">
      <c r="A49" s="28" t="str">
        <f>IF(MX_Debut+2560&gt;MX_Fin,"","%MX"&amp;(MX_Debut+2560))</f>
        <v/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9"/>
      <c r="BO49" s="69"/>
      <c r="BP49" s="69"/>
      <c r="BQ49" s="69"/>
      <c r="BR49" s="69"/>
    </row>
    <row r="50" spans="1:70" ht="12.75" customHeight="1" x14ac:dyDescent="0.25">
      <c r="A50" s="28" t="str">
        <f>IF(MX_Debut+2624&gt;MX_Fin,"","%MX"&amp;(MX_Debut+2624))</f>
        <v/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9"/>
      <c r="BO50" s="69"/>
      <c r="BP50" s="69"/>
      <c r="BQ50" s="69"/>
      <c r="BR50" s="69"/>
    </row>
    <row r="51" spans="1:70" ht="12.75" customHeight="1" x14ac:dyDescent="0.25">
      <c r="A51" s="28" t="str">
        <f>IF(MX_Debut+2688&gt;MX_Fin,"","%MX"&amp;(MX_Debut+2688))</f>
        <v/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9"/>
      <c r="BO51" s="69"/>
      <c r="BP51" s="69"/>
      <c r="BQ51" s="69"/>
      <c r="BR51" s="69"/>
    </row>
    <row r="52" spans="1:70" ht="12.75" customHeight="1" x14ac:dyDescent="0.25">
      <c r="A52" s="28" t="str">
        <f>IF(MX_Debut+2752&gt;MX_Fin,"","%MX"&amp;(MX_Debut+2752))</f>
        <v/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9"/>
      <c r="BO52" s="69"/>
      <c r="BP52" s="69"/>
      <c r="BQ52" s="69"/>
      <c r="BR52" s="69"/>
    </row>
    <row r="53" spans="1:70" ht="12.75" customHeight="1" x14ac:dyDescent="0.25">
      <c r="A53" s="28" t="str">
        <f>IF(MX_Debut+2816&gt;MX_Fin,"","%MX"&amp;(MX_Debut+2816))</f>
        <v/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9"/>
      <c r="BO53" s="69"/>
      <c r="BP53" s="69"/>
      <c r="BQ53" s="69"/>
      <c r="BR53" s="69"/>
    </row>
    <row r="54" spans="1:70" ht="12.75" customHeight="1" x14ac:dyDescent="0.25">
      <c r="A54" s="28" t="str">
        <f>IF(MX_Debut+2880&gt;MX_Fin,"","%MX"&amp;(MX_Debut+2880))</f>
        <v/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8"/>
      <c r="BD54" s="68"/>
      <c r="BE54" s="68"/>
      <c r="BF54" s="68"/>
      <c r="BG54" s="68"/>
      <c r="BH54" s="68"/>
      <c r="BI54" s="68"/>
      <c r="BJ54" s="68"/>
      <c r="BK54" s="68"/>
      <c r="BL54" s="68"/>
      <c r="BM54" s="68"/>
      <c r="BN54" s="69"/>
      <c r="BO54" s="69"/>
      <c r="BP54" s="69"/>
      <c r="BQ54" s="69"/>
      <c r="BR54" s="69"/>
    </row>
    <row r="55" spans="1:70" ht="12.75" customHeight="1" x14ac:dyDescent="0.25">
      <c r="A55" s="28" t="str">
        <f>IF(MX_Debut+2944&gt;MX_Fin,"","%MX"&amp;(MX_Debut+2944))</f>
        <v/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8"/>
      <c r="AL55" s="68"/>
      <c r="AM55" s="68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68"/>
      <c r="BM55" s="68"/>
      <c r="BN55" s="69"/>
      <c r="BO55" s="69"/>
      <c r="BP55" s="69"/>
      <c r="BQ55" s="69"/>
      <c r="BR55" s="69"/>
    </row>
    <row r="56" spans="1:70" ht="12.75" customHeight="1" x14ac:dyDescent="0.25">
      <c r="A56" s="28" t="str">
        <f>IF(MX_Debut+3008&gt;MX_Fin,"","%MX"&amp;(MX_Debut+3008))</f>
        <v/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9"/>
      <c r="BO56" s="69"/>
      <c r="BP56" s="69"/>
      <c r="BQ56" s="69"/>
      <c r="BR56" s="69"/>
    </row>
    <row r="57" spans="1:70" ht="12.75" customHeight="1" x14ac:dyDescent="0.25">
      <c r="A57" s="28" t="str">
        <f>IF(MX_Debut+3072&gt;MX_Fin,"","%MX"&amp;(MX_Debut+3072))</f>
        <v/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9"/>
      <c r="BO57" s="69"/>
      <c r="BP57" s="69"/>
      <c r="BQ57" s="69"/>
      <c r="BR57" s="69"/>
    </row>
    <row r="58" spans="1:70" ht="12.75" customHeight="1" x14ac:dyDescent="0.25">
      <c r="A58" s="28" t="str">
        <f>IF(MX_Debut+3136&gt;MX_Fin,"","%MX"&amp;(MX_Debut+3136))</f>
        <v/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9"/>
      <c r="BO58" s="69"/>
      <c r="BP58" s="69"/>
      <c r="BQ58" s="69"/>
      <c r="BR58" s="69"/>
    </row>
    <row r="59" spans="1:70" ht="12.75" customHeight="1" x14ac:dyDescent="0.25">
      <c r="A59" s="28" t="str">
        <f>IF(MX_Debut+3200&gt;MX_Fin,"","%MX"&amp;(MX_Debut+3200))</f>
        <v/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9"/>
      <c r="BO59" s="69"/>
      <c r="BP59" s="69"/>
      <c r="BQ59" s="69"/>
      <c r="BR59" s="69"/>
    </row>
    <row r="60" spans="1:70" ht="12.75" customHeight="1" x14ac:dyDescent="0.25">
      <c r="A60" s="28" t="str">
        <f>IF(MX_Debut+3264&gt;MX_Fin,"","%MX"&amp;(MX_Debut+3264))</f>
        <v/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9"/>
      <c r="BO60" s="69"/>
      <c r="BP60" s="69"/>
      <c r="BQ60" s="69"/>
      <c r="BR60" s="69"/>
    </row>
    <row r="61" spans="1:70" ht="12.75" customHeight="1" x14ac:dyDescent="0.25">
      <c r="A61" s="28" t="str">
        <f>IF(MX_Debut+3328&gt;MX_Fin,"","%MX"&amp;(MX_Debut+3328))</f>
        <v/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9"/>
      <c r="BO61" s="69"/>
      <c r="BP61" s="69"/>
      <c r="BQ61" s="69"/>
      <c r="BR61" s="69"/>
    </row>
    <row r="62" spans="1:70" ht="12.75" customHeight="1" x14ac:dyDescent="0.25">
      <c r="A62" s="28" t="str">
        <f>IF(MX_Debut+3392&gt;MX_Fin,"","%MX"&amp;(MX_Debut+3392))</f>
        <v/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9"/>
      <c r="BO62" s="69"/>
      <c r="BP62" s="69"/>
      <c r="BQ62" s="69"/>
      <c r="BR62" s="69"/>
    </row>
    <row r="63" spans="1:70" ht="12.75" customHeight="1" x14ac:dyDescent="0.25">
      <c r="A63" s="28" t="str">
        <f>IF(MX_Debut+3456&gt;MX_Fin,"","%MX"&amp;(MX_Debut+3456))</f>
        <v/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9"/>
      <c r="BO63" s="69"/>
      <c r="BP63" s="69"/>
      <c r="BQ63" s="69"/>
      <c r="BR63" s="69"/>
    </row>
    <row r="64" spans="1:70" ht="12.75" customHeight="1" x14ac:dyDescent="0.25">
      <c r="A64" s="28" t="str">
        <f>IF(MX_Debut+3520&gt;MX_Fin,"","%MX"&amp;(MX_Debut+3520))</f>
        <v/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9"/>
      <c r="BO64" s="69"/>
      <c r="BP64" s="69"/>
      <c r="BQ64" s="69"/>
      <c r="BR64" s="69"/>
    </row>
    <row r="65" spans="1:70" ht="12.75" customHeight="1" x14ac:dyDescent="0.25">
      <c r="A65" s="28" t="str">
        <f>IF(MX_Debut+3584&gt;MX_Fin,"","%MX"&amp;(MX_Debut+3584))</f>
        <v/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9"/>
      <c r="BO65" s="69"/>
      <c r="BP65" s="69"/>
      <c r="BQ65" s="69"/>
      <c r="BR65" s="69"/>
    </row>
    <row r="66" spans="1:70" ht="12.75" customHeight="1" x14ac:dyDescent="0.25">
      <c r="A66" s="28" t="str">
        <f>IF(MX_Debut+3648&gt;MX_Fin,"","%MX"&amp;(MX_Debut+3648))</f>
        <v/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9"/>
      <c r="BO66" s="69"/>
      <c r="BP66" s="69"/>
      <c r="BQ66" s="69"/>
      <c r="BR66" s="69"/>
    </row>
    <row r="67" spans="1:70" ht="12.75" customHeight="1" x14ac:dyDescent="0.25">
      <c r="A67" s="28" t="str">
        <f>IF(MX_Debut+3712&gt;MX_Fin,"","%MX"&amp;(MX_Debut+3712))</f>
        <v/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9"/>
      <c r="BO67" s="69"/>
      <c r="BP67" s="69"/>
      <c r="BQ67" s="69"/>
      <c r="BR67" s="69"/>
    </row>
    <row r="68" spans="1:70" ht="12.75" customHeight="1" x14ac:dyDescent="0.25">
      <c r="A68" s="28" t="str">
        <f>IF(MX_Debut+3776&gt;MX_Fin,"","%MX"&amp;(MX_Debut+3776))</f>
        <v/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9"/>
      <c r="BO68" s="69"/>
      <c r="BP68" s="69"/>
      <c r="BQ68" s="69"/>
      <c r="BR68" s="69"/>
    </row>
    <row r="69" spans="1:70" ht="12.75" customHeight="1" x14ac:dyDescent="0.25">
      <c r="A69" s="28" t="str">
        <f>IF(MX_Debut+3840&gt;MX_Fin,"","%MX"&amp;(MX_Debut+3840))</f>
        <v/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8"/>
      <c r="AT69" s="68"/>
      <c r="AU69" s="68"/>
      <c r="AV69" s="68"/>
      <c r="AW69" s="68"/>
      <c r="AX69" s="68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68"/>
      <c r="BJ69" s="68"/>
      <c r="BK69" s="68"/>
      <c r="BL69" s="68"/>
      <c r="BM69" s="68"/>
      <c r="BN69" s="69"/>
      <c r="BO69" s="69"/>
      <c r="BP69" s="69"/>
      <c r="BQ69" s="69"/>
      <c r="BR69" s="69"/>
    </row>
    <row r="70" spans="1:70" ht="12.75" customHeight="1" x14ac:dyDescent="0.25">
      <c r="A70" s="28" t="str">
        <f>IF(MX_Debut+3904&gt;MX_Fin,"","%MX"&amp;(MX_Debut+3904))</f>
        <v/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68"/>
      <c r="AV70" s="68"/>
      <c r="AW70" s="68"/>
      <c r="AX70" s="68"/>
      <c r="AY70" s="68"/>
      <c r="AZ70" s="68"/>
      <c r="BA70" s="68"/>
      <c r="BB70" s="68"/>
      <c r="BC70" s="68"/>
      <c r="BD70" s="68"/>
      <c r="BE70" s="68"/>
      <c r="BF70" s="68"/>
      <c r="BG70" s="68"/>
      <c r="BH70" s="68"/>
      <c r="BI70" s="68"/>
      <c r="BJ70" s="68"/>
      <c r="BK70" s="68"/>
      <c r="BL70" s="68"/>
      <c r="BM70" s="68"/>
      <c r="BN70" s="69"/>
      <c r="BO70" s="69"/>
      <c r="BP70" s="69"/>
      <c r="BQ70" s="69"/>
      <c r="BR70" s="69"/>
    </row>
    <row r="71" spans="1:70" ht="12.75" customHeight="1" x14ac:dyDescent="0.25">
      <c r="A71" s="28" t="str">
        <f>IF(MX_Debut+3968&gt;MX_Fin,"","%MX"&amp;(MX_Debut+3968))</f>
        <v/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68"/>
      <c r="BA71" s="68"/>
      <c r="BB71" s="68"/>
      <c r="BC71" s="68"/>
      <c r="BD71" s="68"/>
      <c r="BE71" s="68"/>
      <c r="BF71" s="68"/>
      <c r="BG71" s="68"/>
      <c r="BH71" s="68"/>
      <c r="BI71" s="68"/>
      <c r="BJ71" s="68"/>
      <c r="BK71" s="68"/>
      <c r="BL71" s="68"/>
      <c r="BM71" s="68"/>
      <c r="BN71" s="69"/>
      <c r="BO71" s="69"/>
      <c r="BP71" s="69"/>
      <c r="BQ71" s="69"/>
      <c r="BR71" s="69"/>
    </row>
    <row r="72" spans="1:70" ht="12.75" customHeight="1" x14ac:dyDescent="0.25">
      <c r="A72" s="28" t="str">
        <f>IF(MX_Debut+4032&gt;MX_Fin,"","%MX"&amp;(MX_Debut+4032))</f>
        <v/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8"/>
      <c r="AT72" s="68"/>
      <c r="AU72" s="68"/>
      <c r="AV72" s="68"/>
      <c r="AW72" s="68"/>
      <c r="AX72" s="68"/>
      <c r="AY72" s="68"/>
      <c r="AZ72" s="68"/>
      <c r="BA72" s="68"/>
      <c r="BB72" s="68"/>
      <c r="BC72" s="68"/>
      <c r="BD72" s="68"/>
      <c r="BE72" s="68"/>
      <c r="BF72" s="68"/>
      <c r="BG72" s="68"/>
      <c r="BH72" s="68"/>
      <c r="BI72" s="68"/>
      <c r="BJ72" s="68"/>
      <c r="BK72" s="68"/>
      <c r="BL72" s="68"/>
      <c r="BM72" s="68"/>
      <c r="BN72" s="69"/>
      <c r="BO72" s="69"/>
      <c r="BP72" s="69"/>
      <c r="BQ72" s="69"/>
      <c r="BR72" s="69"/>
    </row>
    <row r="74" spans="1:70" x14ac:dyDescent="0.25">
      <c r="BR74" s="17" t="s">
        <v>309</v>
      </c>
    </row>
  </sheetData>
  <mergeCells count="2">
    <mergeCell ref="A1:BM1"/>
    <mergeCell ref="A2:BM2"/>
  </mergeCells>
  <printOptions horizontalCentered="1"/>
  <pageMargins left="0.35" right="0.35" top="0.45" bottom="0.5" header="0.511811023622047" footer="0.5"/>
  <pageSetup paperSize="8" fitToHeight="0" orientation="landscape" horizontalDpi="300" verticalDpi="300"/>
  <headerFooter>
    <oddFooter>&amp;L&amp;7 Affaire 2024_06_264 - Cartographie %MX&amp;C&amp;7 &amp;D&amp;R&amp;7 page 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"/>
  <sheetViews>
    <sheetView zoomScaleNormal="100" workbookViewId="0"/>
  </sheetViews>
  <sheetFormatPr baseColWidth="10" defaultColWidth="8.7109375" defaultRowHeight="15" x14ac:dyDescent="0.25"/>
  <cols>
    <col min="1" max="1" width="120" customWidth="1"/>
  </cols>
  <sheetData>
    <row r="1" spans="1:1" x14ac:dyDescent="0.25">
      <c r="A1" s="16" t="s">
        <v>311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AH42"/>
  <sheetViews>
    <sheetView topLeftCell="A7" zoomScaleNormal="100" workbookViewId="0">
      <selection activeCell="C14" sqref="C14"/>
    </sheetView>
  </sheetViews>
  <sheetFormatPr baseColWidth="10" defaultColWidth="8.7109375" defaultRowHeight="15" x14ac:dyDescent="0.25"/>
  <cols>
    <col min="1" max="1" width="3.7109375" customWidth="1"/>
    <col min="2" max="3" width="24.7109375" customWidth="1"/>
    <col min="6" max="6" width="34.7109375" customWidth="1"/>
    <col min="7" max="7" width="11.7109375" customWidth="1"/>
    <col min="8" max="8" width="40.7109375" customWidth="1"/>
    <col min="9" max="9" width="7.7109375" customWidth="1"/>
    <col min="10" max="10" width="9.7109375" customWidth="1"/>
    <col min="11" max="11" width="6.7109375" customWidth="1"/>
    <col min="12" max="12" width="32.7109375" customWidth="1"/>
    <col min="13" max="13" width="30.7109375" customWidth="1"/>
    <col min="14" max="14" width="40.7109375" customWidth="1"/>
    <col min="27" max="34" width="8.7109375" hidden="1" customWidth="1"/>
  </cols>
  <sheetData>
    <row r="1" spans="2:33" x14ac:dyDescent="0.25">
      <c r="AA1" t="s">
        <v>93</v>
      </c>
      <c r="AB1" t="s">
        <v>99</v>
      </c>
      <c r="AC1" t="s">
        <v>110</v>
      </c>
      <c r="AD1" t="s">
        <v>138</v>
      </c>
    </row>
    <row r="2" spans="2:33" ht="19.5" x14ac:dyDescent="0.3">
      <c r="B2" s="55" t="s">
        <v>992</v>
      </c>
      <c r="AA2" t="s">
        <v>999</v>
      </c>
      <c r="AB2" t="s">
        <v>1015</v>
      </c>
      <c r="AC2" t="s">
        <v>1063</v>
      </c>
      <c r="AE2">
        <v>9</v>
      </c>
      <c r="AF2">
        <v>25</v>
      </c>
      <c r="AG2">
        <v>73</v>
      </c>
    </row>
    <row r="3" spans="2:33" x14ac:dyDescent="0.25">
      <c r="AA3" t="s">
        <v>1000</v>
      </c>
      <c r="AB3" t="s">
        <v>1016</v>
      </c>
      <c r="AC3" t="s">
        <v>1064</v>
      </c>
      <c r="AE3">
        <v>10</v>
      </c>
      <c r="AF3">
        <v>26</v>
      </c>
      <c r="AG3">
        <v>74</v>
      </c>
    </row>
    <row r="4" spans="2:33" hidden="1" x14ac:dyDescent="0.25">
      <c r="B4" t="s">
        <v>993</v>
      </c>
      <c r="C4" t="s">
        <v>994</v>
      </c>
      <c r="AA4" t="s">
        <v>1001</v>
      </c>
      <c r="AB4" t="s">
        <v>1017</v>
      </c>
      <c r="AC4" t="s">
        <v>1065</v>
      </c>
      <c r="AE4">
        <v>11</v>
      </c>
      <c r="AF4">
        <v>27</v>
      </c>
      <c r="AG4">
        <v>75</v>
      </c>
    </row>
    <row r="5" spans="2:33" x14ac:dyDescent="0.25">
      <c r="B5" t="s">
        <v>995</v>
      </c>
      <c r="C5">
        <v>0</v>
      </c>
      <c r="AA5" t="s">
        <v>1002</v>
      </c>
      <c r="AB5" t="s">
        <v>1018</v>
      </c>
      <c r="AC5" t="s">
        <v>1066</v>
      </c>
      <c r="AE5">
        <v>12</v>
      </c>
      <c r="AF5">
        <v>28</v>
      </c>
      <c r="AG5">
        <v>76</v>
      </c>
    </row>
    <row r="6" spans="2:33" x14ac:dyDescent="0.25">
      <c r="AA6" t="s">
        <v>1003</v>
      </c>
      <c r="AB6" t="s">
        <v>1019</v>
      </c>
      <c r="AC6" t="s">
        <v>1067</v>
      </c>
      <c r="AE6">
        <v>13</v>
      </c>
      <c r="AF6">
        <v>29</v>
      </c>
      <c r="AG6">
        <v>77</v>
      </c>
    </row>
    <row r="7" spans="2:33" x14ac:dyDescent="0.25">
      <c r="B7" s="37" t="s">
        <v>65</v>
      </c>
      <c r="C7" s="56" t="s">
        <v>1179</v>
      </c>
      <c r="AA7" t="s">
        <v>1004</v>
      </c>
      <c r="AB7" t="s">
        <v>1020</v>
      </c>
      <c r="AC7" t="s">
        <v>1068</v>
      </c>
      <c r="AE7">
        <v>14</v>
      </c>
      <c r="AF7">
        <v>30</v>
      </c>
      <c r="AG7">
        <v>78</v>
      </c>
    </row>
    <row r="8" spans="2:33" x14ac:dyDescent="0.25">
      <c r="B8" s="37" t="s">
        <v>68</v>
      </c>
      <c r="C8" s="56" t="s">
        <v>751</v>
      </c>
      <c r="D8" s="63" t="s">
        <v>1084</v>
      </c>
      <c r="E8" s="38" t="s">
        <v>996</v>
      </c>
      <c r="AA8" t="s">
        <v>1005</v>
      </c>
      <c r="AB8" t="s">
        <v>1021</v>
      </c>
      <c r="AC8" t="s">
        <v>1069</v>
      </c>
      <c r="AE8">
        <v>15</v>
      </c>
      <c r="AF8">
        <v>31</v>
      </c>
      <c r="AG8">
        <v>79</v>
      </c>
    </row>
    <row r="9" spans="2:33" x14ac:dyDescent="0.25">
      <c r="B9" s="37" t="s">
        <v>151</v>
      </c>
      <c r="C9" s="56" t="s">
        <v>1179</v>
      </c>
      <c r="AA9" t="s">
        <v>1006</v>
      </c>
      <c r="AB9" t="s">
        <v>1022</v>
      </c>
      <c r="AC9" t="s">
        <v>1070</v>
      </c>
      <c r="AE9">
        <v>16</v>
      </c>
      <c r="AF9">
        <v>32</v>
      </c>
      <c r="AG9">
        <v>80</v>
      </c>
    </row>
    <row r="10" spans="2:33" x14ac:dyDescent="0.25">
      <c r="B10" s="37" t="s">
        <v>236</v>
      </c>
      <c r="C10" s="56" t="s">
        <v>72</v>
      </c>
      <c r="E10" s="38" t="s">
        <v>997</v>
      </c>
      <c r="AA10" t="s">
        <v>1007</v>
      </c>
      <c r="AB10" t="s">
        <v>1023</v>
      </c>
      <c r="AC10" t="s">
        <v>1071</v>
      </c>
      <c r="AE10">
        <v>17</v>
      </c>
      <c r="AF10">
        <v>33</v>
      </c>
      <c r="AG10">
        <v>81</v>
      </c>
    </row>
    <row r="11" spans="2:33" x14ac:dyDescent="0.25">
      <c r="B11" s="37" t="s">
        <v>237</v>
      </c>
      <c r="C11" s="56" t="s">
        <v>1090</v>
      </c>
      <c r="AA11" t="s">
        <v>1008</v>
      </c>
      <c r="AB11" t="s">
        <v>1024</v>
      </c>
      <c r="AC11" t="s">
        <v>1072</v>
      </c>
      <c r="AE11">
        <v>18</v>
      </c>
      <c r="AF11">
        <v>34</v>
      </c>
      <c r="AG11">
        <v>82</v>
      </c>
    </row>
    <row r="12" spans="2:33" x14ac:dyDescent="0.25">
      <c r="B12" s="37" t="s">
        <v>153</v>
      </c>
      <c r="C12" s="56">
        <v>2</v>
      </c>
      <c r="E12" s="38" t="s">
        <v>998</v>
      </c>
      <c r="AA12" t="s">
        <v>1009</v>
      </c>
      <c r="AB12" t="s">
        <v>1025</v>
      </c>
      <c r="AC12" t="s">
        <v>1073</v>
      </c>
      <c r="AE12">
        <v>19</v>
      </c>
      <c r="AF12">
        <v>35</v>
      </c>
      <c r="AG12">
        <v>83</v>
      </c>
    </row>
    <row r="13" spans="2:33" hidden="1" x14ac:dyDescent="0.25">
      <c r="B13" s="37" t="s">
        <v>73</v>
      </c>
      <c r="C13" s="56"/>
      <c r="AA13" t="s">
        <v>1010</v>
      </c>
      <c r="AB13" t="s">
        <v>1026</v>
      </c>
      <c r="AC13" t="s">
        <v>1074</v>
      </c>
      <c r="AE13">
        <v>20</v>
      </c>
      <c r="AF13">
        <v>36</v>
      </c>
      <c r="AG13">
        <v>84</v>
      </c>
    </row>
    <row r="14" spans="2:33" x14ac:dyDescent="0.25">
      <c r="AA14" t="s">
        <v>1011</v>
      </c>
      <c r="AB14" t="s">
        <v>1027</v>
      </c>
      <c r="AC14" t="s">
        <v>1075</v>
      </c>
      <c r="AE14">
        <v>21</v>
      </c>
      <c r="AF14">
        <v>37</v>
      </c>
      <c r="AG14">
        <v>85</v>
      </c>
    </row>
    <row r="15" spans="2:33" x14ac:dyDescent="0.25">
      <c r="B15" s="62" t="s">
        <v>1089</v>
      </c>
      <c r="AA15" t="s">
        <v>1012</v>
      </c>
      <c r="AB15" t="s">
        <v>1028</v>
      </c>
      <c r="AC15" t="s">
        <v>1076</v>
      </c>
      <c r="AE15">
        <v>22</v>
      </c>
      <c r="AF15">
        <v>38</v>
      </c>
      <c r="AG15">
        <v>86</v>
      </c>
    </row>
    <row r="16" spans="2:33" x14ac:dyDescent="0.25">
      <c r="AA16" t="s">
        <v>1013</v>
      </c>
      <c r="AB16" t="s">
        <v>1029</v>
      </c>
      <c r="AC16" t="s">
        <v>1077</v>
      </c>
      <c r="AE16">
        <v>23</v>
      </c>
      <c r="AF16">
        <v>39</v>
      </c>
      <c r="AG16">
        <v>87</v>
      </c>
    </row>
    <row r="17" spans="1:33" x14ac:dyDescent="0.25">
      <c r="A17" s="57"/>
      <c r="B17" s="57" t="s">
        <v>215</v>
      </c>
      <c r="C17" s="57" t="s">
        <v>219</v>
      </c>
      <c r="D17" s="57" t="s">
        <v>256</v>
      </c>
      <c r="E17" s="57" t="s">
        <v>1079</v>
      </c>
      <c r="F17" s="57" t="s">
        <v>1080</v>
      </c>
      <c r="G17" s="57" t="s">
        <v>250</v>
      </c>
      <c r="H17" s="57" t="s">
        <v>1081</v>
      </c>
      <c r="I17" s="57" t="s">
        <v>260</v>
      </c>
      <c r="J17" s="57" t="s">
        <v>261</v>
      </c>
      <c r="K17" s="57" t="s">
        <v>262</v>
      </c>
      <c r="L17" s="57" t="s">
        <v>1082</v>
      </c>
      <c r="M17" s="57" t="s">
        <v>1083</v>
      </c>
      <c r="N17" s="57" t="s">
        <v>80</v>
      </c>
      <c r="AA17" t="s">
        <v>1014</v>
      </c>
      <c r="AB17" t="s">
        <v>1030</v>
      </c>
      <c r="AC17" t="s">
        <v>1078</v>
      </c>
      <c r="AE17">
        <v>24</v>
      </c>
      <c r="AF17">
        <v>40</v>
      </c>
      <c r="AG17">
        <v>88</v>
      </c>
    </row>
    <row r="18" spans="1:33" x14ac:dyDescent="0.25">
      <c r="B18" t="s">
        <v>616</v>
      </c>
      <c r="C18" t="s">
        <v>380</v>
      </c>
      <c r="D18" s="60" t="s">
        <v>292</v>
      </c>
      <c r="E18" s="58"/>
      <c r="I18" s="66" t="s">
        <v>299</v>
      </c>
      <c r="J18" s="66">
        <v>1024</v>
      </c>
      <c r="K18" s="66">
        <v>0</v>
      </c>
      <c r="L18" s="56" t="str">
        <f>IF($C$7="","",$C$7&amp;" - "&amp;B18)</f>
        <v>P2 - Enable</v>
      </c>
      <c r="M18" s="67" t="s">
        <v>81</v>
      </c>
      <c r="N18" s="38" t="s">
        <v>617</v>
      </c>
      <c r="AA18" t="s">
        <v>1031</v>
      </c>
      <c r="AB18" t="s">
        <v>1047</v>
      </c>
      <c r="AE18">
        <v>41</v>
      </c>
      <c r="AF18">
        <v>57</v>
      </c>
    </row>
    <row r="19" spans="1:33" x14ac:dyDescent="0.25">
      <c r="B19" t="s">
        <v>618</v>
      </c>
      <c r="C19" t="s">
        <v>380</v>
      </c>
      <c r="D19" s="60" t="s">
        <v>292</v>
      </c>
      <c r="E19" s="58"/>
      <c r="I19" s="66" t="s">
        <v>299</v>
      </c>
      <c r="J19" s="66">
        <v>1024</v>
      </c>
      <c r="K19" s="66">
        <v>1</v>
      </c>
      <c r="L19" s="56" t="str">
        <f>IF($C$7="","",$C$7&amp;" - "&amp;B19)</f>
        <v>P2 - ManMode</v>
      </c>
      <c r="M19" s="67" t="s">
        <v>81</v>
      </c>
      <c r="N19" s="38" t="s">
        <v>619</v>
      </c>
      <c r="AA19" t="s">
        <v>1032</v>
      </c>
      <c r="AB19" t="s">
        <v>1048</v>
      </c>
      <c r="AE19">
        <v>42</v>
      </c>
      <c r="AF19">
        <v>58</v>
      </c>
    </row>
    <row r="20" spans="1:33" x14ac:dyDescent="0.25">
      <c r="B20" t="s">
        <v>620</v>
      </c>
      <c r="C20" t="s">
        <v>380</v>
      </c>
      <c r="D20" s="60" t="s">
        <v>292</v>
      </c>
      <c r="E20" s="58"/>
      <c r="I20" s="66" t="s">
        <v>299</v>
      </c>
      <c r="J20" s="66">
        <v>1024</v>
      </c>
      <c r="K20" s="66">
        <v>2</v>
      </c>
      <c r="L20" s="56" t="str">
        <f>IF($C$7="","",$C$7&amp;" - "&amp;B20)</f>
        <v>P2 - AckFault</v>
      </c>
      <c r="M20" s="67" t="s">
        <v>81</v>
      </c>
      <c r="N20" s="38" t="s">
        <v>621</v>
      </c>
      <c r="AA20" t="s">
        <v>1033</v>
      </c>
      <c r="AB20" t="s">
        <v>1049</v>
      </c>
      <c r="AE20">
        <v>43</v>
      </c>
      <c r="AF20">
        <v>59</v>
      </c>
    </row>
    <row r="21" spans="1:33" x14ac:dyDescent="0.25">
      <c r="B21" t="s">
        <v>558</v>
      </c>
      <c r="C21" t="s">
        <v>380</v>
      </c>
      <c r="D21" s="60" t="s">
        <v>292</v>
      </c>
      <c r="E21" s="58"/>
      <c r="I21" s="66" t="s">
        <v>299</v>
      </c>
      <c r="J21" s="66">
        <v>1024</v>
      </c>
      <c r="K21" s="66">
        <v>3</v>
      </c>
      <c r="L21" s="56" t="str">
        <f>IF($C$7="","",$C$7&amp;" - "&amp;B21)</f>
        <v>P2 - RunReq</v>
      </c>
      <c r="M21" s="67" t="s">
        <v>81</v>
      </c>
      <c r="N21" s="38" t="s">
        <v>736</v>
      </c>
      <c r="AA21" t="s">
        <v>1034</v>
      </c>
      <c r="AB21" t="s">
        <v>1050</v>
      </c>
      <c r="AE21">
        <v>44</v>
      </c>
      <c r="AF21">
        <v>60</v>
      </c>
    </row>
    <row r="22" spans="1:33" x14ac:dyDescent="0.25">
      <c r="B22" t="s">
        <v>624</v>
      </c>
      <c r="C22" t="s">
        <v>380</v>
      </c>
      <c r="D22" s="60" t="s">
        <v>292</v>
      </c>
      <c r="E22" s="58"/>
      <c r="I22" s="66" t="s">
        <v>299</v>
      </c>
      <c r="J22" s="66">
        <v>1024</v>
      </c>
      <c r="K22" s="66">
        <v>4</v>
      </c>
      <c r="L22" s="56" t="str">
        <f>IF($C$7="","",$C$7&amp;" - "&amp;B22)</f>
        <v>P2 - ManRunReq</v>
      </c>
      <c r="M22" s="67" t="s">
        <v>81</v>
      </c>
      <c r="N22" s="38" t="s">
        <v>737</v>
      </c>
      <c r="AA22" t="s">
        <v>1035</v>
      </c>
      <c r="AB22" t="s">
        <v>1051</v>
      </c>
      <c r="AE22">
        <v>45</v>
      </c>
      <c r="AF22">
        <v>61</v>
      </c>
    </row>
    <row r="23" spans="1:33" x14ac:dyDescent="0.25">
      <c r="B23" t="s">
        <v>738</v>
      </c>
      <c r="C23" t="s">
        <v>380</v>
      </c>
      <c r="D23" s="59" t="s">
        <v>290</v>
      </c>
      <c r="E23" s="58" t="s">
        <v>93</v>
      </c>
      <c r="F23" s="64"/>
      <c r="G23" s="64" t="s">
        <v>905</v>
      </c>
      <c r="H23" s="65" t="str">
        <f>IF(G23="","",IFERROR(INDEX(Catalogue!$K:$K,MATCH(1,INDEX((Catalogue!$A:$A="ST_IO_Dig")*(Catalogue!$D:$D=G23),0),0)),""))</f>
        <v>the FINAL value: inverted and debounced</v>
      </c>
      <c r="I23" s="66" t="s">
        <v>299</v>
      </c>
      <c r="J23" s="66">
        <v>1024</v>
      </c>
      <c r="K23" s="66">
        <v>5</v>
      </c>
      <c r="L23" s="56" t="str">
        <f>IF($C$7="","",$C$7&amp;" - "&amp;B23)</f>
        <v>P2 - Fbk</v>
      </c>
      <c r="M23" s="67" t="s">
        <v>81</v>
      </c>
      <c r="N23" s="38" t="s">
        <v>739</v>
      </c>
      <c r="AA23" t="s">
        <v>1036</v>
      </c>
      <c r="AB23" t="s">
        <v>1052</v>
      </c>
      <c r="AE23">
        <v>46</v>
      </c>
      <c r="AF23">
        <v>62</v>
      </c>
    </row>
    <row r="24" spans="1:33" x14ac:dyDescent="0.25">
      <c r="B24" t="s">
        <v>633</v>
      </c>
      <c r="C24" t="s">
        <v>380</v>
      </c>
      <c r="D24" s="59" t="s">
        <v>290</v>
      </c>
      <c r="E24" s="58" t="s">
        <v>93</v>
      </c>
      <c r="F24" s="64"/>
      <c r="G24" s="64" t="s">
        <v>905</v>
      </c>
      <c r="H24" s="65" t="str">
        <f>IF(G24="","",IFERROR(INDEX(Catalogue!$K:$K,MATCH(1,INDEX((Catalogue!$A:$A="ST_IO_Dig")*(Catalogue!$D:$D=G24),0),0)),""))</f>
        <v>the FINAL value: inverted and debounced</v>
      </c>
      <c r="I24" s="66" t="s">
        <v>299</v>
      </c>
      <c r="J24" s="66">
        <v>1024</v>
      </c>
      <c r="K24" s="66">
        <v>6</v>
      </c>
      <c r="L24" s="56" t="str">
        <f>IF($C$7="","",$C$7&amp;" - "&amp;B24)</f>
        <v>P2 - Thermal</v>
      </c>
      <c r="M24" s="67" t="s">
        <v>81</v>
      </c>
      <c r="N24" s="38" t="s">
        <v>740</v>
      </c>
      <c r="AA24" t="s">
        <v>1037</v>
      </c>
      <c r="AB24" t="s">
        <v>1053</v>
      </c>
      <c r="AE24">
        <v>47</v>
      </c>
      <c r="AF24">
        <v>63</v>
      </c>
    </row>
    <row r="25" spans="1:33" x14ac:dyDescent="0.25">
      <c r="B25" t="s">
        <v>628</v>
      </c>
      <c r="C25" t="s">
        <v>380</v>
      </c>
      <c r="D25" s="59" t="s">
        <v>290</v>
      </c>
      <c r="E25" s="58" t="s">
        <v>99</v>
      </c>
      <c r="F25" s="64"/>
      <c r="G25" s="64" t="s">
        <v>905</v>
      </c>
      <c r="H25" s="65" t="str">
        <f>IF(G25="","",IFERROR(INDEX(Catalogue!$K:$K,MATCH(1,INDEX((Catalogue!$A:$A="ST_IO_Dig")*(Catalogue!$D:$D=G25),0),0)),""))</f>
        <v>the FINAL value: inverted and debounced</v>
      </c>
      <c r="I25" s="66" t="s">
        <v>299</v>
      </c>
      <c r="J25" s="66">
        <v>1024</v>
      </c>
      <c r="K25" s="66">
        <v>7</v>
      </c>
      <c r="L25" s="56" t="str">
        <f>IF($C$7="","",$C$7&amp;" - "&amp;B25)</f>
        <v>P2 - Run</v>
      </c>
      <c r="M25" s="67" t="s">
        <v>81</v>
      </c>
      <c r="N25" s="38" t="s">
        <v>741</v>
      </c>
      <c r="AA25" t="s">
        <v>1038</v>
      </c>
      <c r="AB25" t="s">
        <v>1054</v>
      </c>
      <c r="AE25">
        <v>48</v>
      </c>
      <c r="AF25">
        <v>64</v>
      </c>
    </row>
    <row r="26" spans="1:33" x14ac:dyDescent="0.25">
      <c r="B26" t="s">
        <v>632</v>
      </c>
      <c r="C26" t="s">
        <v>380</v>
      </c>
      <c r="D26" s="59" t="s">
        <v>290</v>
      </c>
      <c r="E26" s="58"/>
      <c r="I26" s="66" t="s">
        <v>299</v>
      </c>
      <c r="J26" s="66">
        <v>1024</v>
      </c>
      <c r="K26" s="66">
        <v>8</v>
      </c>
      <c r="L26" s="56" t="str">
        <f>IF($C$7="","",$C$7&amp;" - "&amp;B26)</f>
        <v>P2 - Running</v>
      </c>
      <c r="M26" s="67" t="s">
        <v>81</v>
      </c>
      <c r="N26" s="38" t="s">
        <v>742</v>
      </c>
      <c r="AA26" t="s">
        <v>1039</v>
      </c>
      <c r="AB26" t="s">
        <v>1055</v>
      </c>
      <c r="AE26">
        <v>49</v>
      </c>
      <c r="AF26">
        <v>65</v>
      </c>
    </row>
    <row r="27" spans="1:33" x14ac:dyDescent="0.25">
      <c r="B27" t="s">
        <v>743</v>
      </c>
      <c r="C27" t="s">
        <v>352</v>
      </c>
      <c r="D27" s="60" t="s">
        <v>292</v>
      </c>
      <c r="E27" s="58"/>
      <c r="I27" s="66" t="s">
        <v>299</v>
      </c>
      <c r="J27" s="66">
        <v>1025</v>
      </c>
      <c r="K27" s="66"/>
      <c r="L27" s="56" t="str">
        <f>IF($C$7="","",$C$7&amp;" - "&amp;B27)</f>
        <v>P2 - FbkMs</v>
      </c>
      <c r="M27" s="67" t="s">
        <v>81</v>
      </c>
      <c r="N27" s="38" t="s">
        <v>744</v>
      </c>
      <c r="AA27" t="s">
        <v>1040</v>
      </c>
      <c r="AB27" t="s">
        <v>1056</v>
      </c>
      <c r="AE27">
        <v>50</v>
      </c>
      <c r="AF27">
        <v>66</v>
      </c>
    </row>
    <row r="28" spans="1:33" x14ac:dyDescent="0.25">
      <c r="B28" t="s">
        <v>746</v>
      </c>
      <c r="C28" t="s">
        <v>352</v>
      </c>
      <c r="D28" s="60" t="s">
        <v>292</v>
      </c>
      <c r="E28" s="58"/>
      <c r="I28" s="66" t="s">
        <v>299</v>
      </c>
      <c r="J28" s="66">
        <v>1026</v>
      </c>
      <c r="K28" s="66"/>
      <c r="L28" s="56" t="str">
        <f>IF($C$7="","",$C$7&amp;" - "&amp;B28)</f>
        <v>P2 - MinOffMs</v>
      </c>
      <c r="M28" s="67" t="s">
        <v>81</v>
      </c>
      <c r="N28" s="38" t="s">
        <v>747</v>
      </c>
      <c r="AA28" t="s">
        <v>1041</v>
      </c>
      <c r="AB28" t="s">
        <v>1057</v>
      </c>
      <c r="AE28">
        <v>51</v>
      </c>
      <c r="AF28">
        <v>67</v>
      </c>
    </row>
    <row r="29" spans="1:33" x14ac:dyDescent="0.25">
      <c r="B29" t="s">
        <v>749</v>
      </c>
      <c r="C29" t="s">
        <v>380</v>
      </c>
      <c r="D29" s="59" t="s">
        <v>290</v>
      </c>
      <c r="E29" s="58"/>
      <c r="I29" s="66" t="s">
        <v>299</v>
      </c>
      <c r="J29" s="66">
        <v>1024</v>
      </c>
      <c r="K29" s="66">
        <v>9</v>
      </c>
      <c r="L29" s="56" t="str">
        <f>IF($C$7="","",$C$7&amp;" - "&amp;B29)</f>
        <v>P2 - HasFbk</v>
      </c>
      <c r="M29" s="67" t="s">
        <v>81</v>
      </c>
      <c r="N29" s="38" t="s">
        <v>750</v>
      </c>
      <c r="AA29" t="s">
        <v>1042</v>
      </c>
      <c r="AB29" t="s">
        <v>1058</v>
      </c>
      <c r="AE29">
        <v>52</v>
      </c>
      <c r="AF29">
        <v>68</v>
      </c>
    </row>
    <row r="30" spans="1:33" x14ac:dyDescent="0.25">
      <c r="B30" t="s">
        <v>753</v>
      </c>
      <c r="C30" t="s">
        <v>586</v>
      </c>
      <c r="D30" s="60" t="s">
        <v>292</v>
      </c>
      <c r="E30" s="58" t="s">
        <v>110</v>
      </c>
      <c r="F30" s="64"/>
      <c r="G30" s="64" t="s">
        <v>905</v>
      </c>
      <c r="H30" s="65" t="str">
        <f>IF(G30="","",IFERROR(INDEX(Catalogue!$K:$K,MATCH(1,INDEX((Catalogue!$A:$A="ST_IO_Ana")*(Catalogue!$D:$D=G30),0),0)),""))</f>
        <v>the FINAL value. For an output this is what YOU write</v>
      </c>
      <c r="I30" s="66" t="s">
        <v>299</v>
      </c>
      <c r="J30" s="66">
        <v>1027</v>
      </c>
      <c r="K30" s="66"/>
      <c r="L30" s="56" t="str">
        <f>IF($C$7="","",$C$7&amp;" - "&amp;B30)</f>
        <v>P2 - Flow</v>
      </c>
      <c r="M30" s="67" t="s">
        <v>81</v>
      </c>
      <c r="N30" s="38" t="s">
        <v>754</v>
      </c>
      <c r="AA30" t="s">
        <v>1043</v>
      </c>
      <c r="AB30" t="s">
        <v>1059</v>
      </c>
      <c r="AE30">
        <v>53</v>
      </c>
      <c r="AF30">
        <v>69</v>
      </c>
    </row>
    <row r="31" spans="1:33" x14ac:dyDescent="0.25">
      <c r="B31" t="s">
        <v>755</v>
      </c>
      <c r="C31" t="s">
        <v>586</v>
      </c>
      <c r="D31" s="60" t="s">
        <v>292</v>
      </c>
      <c r="E31" s="58"/>
      <c r="I31" s="66" t="s">
        <v>299</v>
      </c>
      <c r="J31" s="66">
        <v>1028</v>
      </c>
      <c r="K31" s="66"/>
      <c r="L31" s="56" t="str">
        <f>IF($C$7="","",$C$7&amp;" - "&amp;B31)</f>
        <v>P2 - MinFlow</v>
      </c>
      <c r="M31" s="67" t="s">
        <v>81</v>
      </c>
      <c r="N31" s="38" t="s">
        <v>756</v>
      </c>
      <c r="AA31" t="s">
        <v>1044</v>
      </c>
      <c r="AB31" t="s">
        <v>1060</v>
      </c>
      <c r="AE31">
        <v>54</v>
      </c>
      <c r="AF31">
        <v>70</v>
      </c>
    </row>
    <row r="32" spans="1:33" x14ac:dyDescent="0.25">
      <c r="B32" t="s">
        <v>757</v>
      </c>
      <c r="C32" t="s">
        <v>352</v>
      </c>
      <c r="D32" s="60" t="s">
        <v>292</v>
      </c>
      <c r="E32" s="58"/>
      <c r="I32" s="66" t="s">
        <v>299</v>
      </c>
      <c r="J32" s="66">
        <v>1029</v>
      </c>
      <c r="K32" s="66"/>
      <c r="L32" s="56" t="str">
        <f>IF($C$7="","",$C$7&amp;" - "&amp;B32)</f>
        <v>P2 - FlowDelayMs</v>
      </c>
      <c r="M32" s="67" t="s">
        <v>81</v>
      </c>
      <c r="N32" s="38" t="s">
        <v>758</v>
      </c>
      <c r="AA32" t="s">
        <v>1045</v>
      </c>
      <c r="AB32" t="s">
        <v>1061</v>
      </c>
      <c r="AE32">
        <v>55</v>
      </c>
      <c r="AF32">
        <v>71</v>
      </c>
    </row>
    <row r="33" spans="2:32" x14ac:dyDescent="0.25">
      <c r="B33" t="s">
        <v>760</v>
      </c>
      <c r="C33" t="s">
        <v>380</v>
      </c>
      <c r="D33" s="59" t="s">
        <v>290</v>
      </c>
      <c r="E33" s="58" t="s">
        <v>93</v>
      </c>
      <c r="F33" s="64"/>
      <c r="G33" s="64" t="s">
        <v>905</v>
      </c>
      <c r="H33" s="65" t="str">
        <f>IF(G33="","",IFERROR(INDEX(Catalogue!$K:$K,MATCH(1,INDEX((Catalogue!$A:$A="ST_IO_Dig")*(Catalogue!$D:$D=G33),0),0)),""))</f>
        <v>the FINAL value: inverted and debounced</v>
      </c>
      <c r="I33" s="66" t="s">
        <v>299</v>
      </c>
      <c r="J33" s="66">
        <v>1024</v>
      </c>
      <c r="K33" s="66">
        <v>10</v>
      </c>
      <c r="L33" s="56" t="str">
        <f>IF($C$7="","",$C$7&amp;" - "&amp;B33)</f>
        <v>P2 - SuctionOk</v>
      </c>
      <c r="M33" s="67" t="s">
        <v>81</v>
      </c>
      <c r="N33" s="38" t="s">
        <v>761</v>
      </c>
      <c r="AA33" t="s">
        <v>1046</v>
      </c>
      <c r="AB33" t="s">
        <v>1062</v>
      </c>
      <c r="AE33">
        <v>56</v>
      </c>
      <c r="AF33">
        <v>72</v>
      </c>
    </row>
    <row r="34" spans="2:32" x14ac:dyDescent="0.25">
      <c r="B34" t="s">
        <v>762</v>
      </c>
      <c r="C34" t="s">
        <v>586</v>
      </c>
      <c r="D34" s="59" t="s">
        <v>290</v>
      </c>
      <c r="E34" s="58" t="s">
        <v>110</v>
      </c>
      <c r="F34" s="64"/>
      <c r="G34" s="64" t="s">
        <v>905</v>
      </c>
      <c r="H34" s="65" t="str">
        <f>IF(G34="","",IFERROR(INDEX(Catalogue!$K:$K,MATCH(1,INDEX((Catalogue!$A:$A="ST_IO_Ana")*(Catalogue!$D:$D=G34),0),0)),""))</f>
        <v>the FINAL value. For an output this is what YOU write</v>
      </c>
      <c r="I34" s="66" t="s">
        <v>299</v>
      </c>
      <c r="J34" s="66">
        <v>1030</v>
      </c>
      <c r="K34" s="66"/>
      <c r="L34" s="56" t="str">
        <f>IF($C$7="","",$C$7&amp;" - "&amp;B34)</f>
        <v>P2 - Pressure</v>
      </c>
      <c r="M34" s="67" t="s">
        <v>81</v>
      </c>
      <c r="N34" s="38" t="s">
        <v>763</v>
      </c>
    </row>
    <row r="35" spans="2:32" x14ac:dyDescent="0.25">
      <c r="B35" t="s">
        <v>764</v>
      </c>
      <c r="C35" t="s">
        <v>586</v>
      </c>
      <c r="D35" s="59" t="s">
        <v>290</v>
      </c>
      <c r="E35" s="58"/>
      <c r="I35" s="66" t="s">
        <v>299</v>
      </c>
      <c r="J35" s="66">
        <v>1031</v>
      </c>
      <c r="K35" s="66"/>
      <c r="L35" s="56" t="str">
        <f>IF($C$7="","",$C$7&amp;" - "&amp;B35)</f>
        <v>P2 - MaxPressure</v>
      </c>
      <c r="M35" s="67" t="s">
        <v>81</v>
      </c>
      <c r="N35" s="38" t="s">
        <v>765</v>
      </c>
    </row>
    <row r="36" spans="2:32" x14ac:dyDescent="0.25">
      <c r="B36" t="s">
        <v>649</v>
      </c>
      <c r="C36" t="s">
        <v>380</v>
      </c>
      <c r="D36" s="61" t="s">
        <v>291</v>
      </c>
      <c r="E36" s="58"/>
      <c r="I36" s="66" t="s">
        <v>299</v>
      </c>
      <c r="J36" s="66">
        <v>1024</v>
      </c>
      <c r="K36" s="66">
        <v>11</v>
      </c>
      <c r="L36" s="56" t="str">
        <f>IF($C$7="","",$C$7&amp;" - "&amp;B36)</f>
        <v>P2 - Fault</v>
      </c>
      <c r="M36" s="67" t="s">
        <v>81</v>
      </c>
      <c r="N36" s="38" t="s">
        <v>650</v>
      </c>
    </row>
    <row r="37" spans="2:32" x14ac:dyDescent="0.25">
      <c r="B37" t="s">
        <v>651</v>
      </c>
      <c r="C37" t="s">
        <v>328</v>
      </c>
      <c r="D37" s="61" t="s">
        <v>291</v>
      </c>
      <c r="E37" s="58"/>
      <c r="I37" s="66" t="s">
        <v>299</v>
      </c>
      <c r="J37" s="66">
        <v>1032</v>
      </c>
      <c r="K37" s="66"/>
      <c r="L37" s="56" t="str">
        <f>IF($C$7="","",$C$7&amp;" - "&amp;B37)</f>
        <v>P2 - FaultCode</v>
      </c>
      <c r="M37" s="67" t="s">
        <v>81</v>
      </c>
      <c r="N37" s="38" t="s">
        <v>652</v>
      </c>
    </row>
    <row r="38" spans="2:32" x14ac:dyDescent="0.25">
      <c r="B38" t="s">
        <v>653</v>
      </c>
      <c r="C38" t="s">
        <v>380</v>
      </c>
      <c r="D38" s="61" t="s">
        <v>291</v>
      </c>
      <c r="E38" s="58"/>
      <c r="I38" s="66" t="s">
        <v>299</v>
      </c>
      <c r="J38" s="66">
        <v>1024</v>
      </c>
      <c r="K38" s="66">
        <v>12</v>
      </c>
      <c r="L38" s="56" t="str">
        <f>IF($C$7="","",$C$7&amp;" - "&amp;B38)</f>
        <v>P2 - FaultLatch</v>
      </c>
      <c r="M38" s="67" t="s">
        <v>81</v>
      </c>
      <c r="N38" s="38" t="s">
        <v>654</v>
      </c>
    </row>
    <row r="39" spans="2:32" x14ac:dyDescent="0.25">
      <c r="B39" t="s">
        <v>655</v>
      </c>
      <c r="C39" t="s">
        <v>380</v>
      </c>
      <c r="D39" s="59" t="s">
        <v>290</v>
      </c>
      <c r="E39" s="58"/>
      <c r="I39" s="66" t="s">
        <v>299</v>
      </c>
      <c r="J39" s="66">
        <v>1024</v>
      </c>
      <c r="K39" s="66">
        <v>13</v>
      </c>
      <c r="L39" s="56" t="str">
        <f>IF($C$7="","",$C$7&amp;" - "&amp;B39)</f>
        <v>P2 - Ready</v>
      </c>
      <c r="M39" s="67" t="s">
        <v>81</v>
      </c>
      <c r="N39" s="38" t="s">
        <v>656</v>
      </c>
    </row>
    <row r="40" spans="2:32" x14ac:dyDescent="0.25">
      <c r="B40" t="s">
        <v>560</v>
      </c>
      <c r="C40" t="s">
        <v>352</v>
      </c>
      <c r="D40" s="59" t="s">
        <v>290</v>
      </c>
      <c r="E40" s="58"/>
      <c r="I40" s="66" t="s">
        <v>299</v>
      </c>
      <c r="J40" s="66">
        <v>1033</v>
      </c>
      <c r="K40" s="66"/>
      <c r="L40" s="56" t="str">
        <f>IF($C$7="","",$C$7&amp;" - "&amp;B40)</f>
        <v>P2 - RunMs</v>
      </c>
      <c r="M40" s="67" t="s">
        <v>81</v>
      </c>
      <c r="N40" s="38" t="s">
        <v>657</v>
      </c>
    </row>
    <row r="41" spans="2:32" x14ac:dyDescent="0.25">
      <c r="B41" t="s">
        <v>658</v>
      </c>
      <c r="C41" t="s">
        <v>325</v>
      </c>
      <c r="D41" s="59" t="s">
        <v>290</v>
      </c>
      <c r="E41" s="58"/>
      <c r="I41" s="66" t="s">
        <v>299</v>
      </c>
      <c r="J41" s="66">
        <v>1034</v>
      </c>
      <c r="K41" s="66"/>
      <c r="L41" s="56" t="str">
        <f>IF($C$7="","",$C$7&amp;" - "&amp;B41)</f>
        <v>P2 - Starts</v>
      </c>
      <c r="M41" s="67" t="s">
        <v>81</v>
      </c>
      <c r="N41" s="38" t="s">
        <v>659</v>
      </c>
    </row>
    <row r="42" spans="2:32" x14ac:dyDescent="0.25">
      <c r="B42" t="s">
        <v>660</v>
      </c>
      <c r="C42" t="s">
        <v>352</v>
      </c>
      <c r="D42" s="60" t="s">
        <v>292</v>
      </c>
      <c r="E42" s="58"/>
      <c r="I42" s="66" t="s">
        <v>299</v>
      </c>
      <c r="J42" s="66">
        <v>1035</v>
      </c>
      <c r="K42" s="66"/>
      <c r="L42" s="56" t="str">
        <f>IF($C$7="","",$C$7&amp;" - "&amp;B42)</f>
        <v>P2 - StateMs</v>
      </c>
      <c r="M42" s="67" t="s">
        <v>81</v>
      </c>
      <c r="N42" s="38" t="s">
        <v>661</v>
      </c>
    </row>
  </sheetData>
  <dataValidations count="8">
    <dataValidation type="list" allowBlank="1" showInputMessage="1" showErrorMessage="1" sqref="C8" xr:uid="{EDBA2CAD-D132-44D5-9221-27E4607DE6FB}">
      <formula1>CatFamilles</formula1>
    </dataValidation>
    <dataValidation type="list" allowBlank="1" showInputMessage="1" showErrorMessage="1" sqref="C10" xr:uid="{14FC583F-3C9F-478F-B7B6-7EBDDB9FD1AE}">
      <formula1>"Tableau,Variable seule"</formula1>
    </dataValidation>
    <dataValidation type="list" allowBlank="1" showInputMessage="1" showErrorMessage="1" sqref="I18 I19 I20 I21 I22 I23 I24 I25 I26 I27 I28 I29 I30 I31 I32 I33 I34 I35 I36 I37 I38 I39 I40 I41 I42" xr:uid="{DB6F80BD-DA62-4C15-8B83-B2E707F295AB}">
      <formula1>"MW,MX"</formula1>
    </dataValidation>
    <dataValidation type="list" allowBlank="1" showInputMessage="1" showErrorMessage="1" sqref="F23 F24 F33" xr:uid="{8AB3A8CE-AECC-476C-A8ED-4C972B3B33F4}">
      <formula1>$AA$2:$AA$33</formula1>
    </dataValidation>
    <dataValidation type="list" allowBlank="1" showInputMessage="1" showErrorMessage="1" sqref="G23 G24 G25 G33" xr:uid="{5037D2D9-7FD8-4E63-A707-6DE7B174F27E}">
      <formula1>"Val,Raw,Rise,Fall,Alarm,Fault,OnMs,OffMs"</formula1>
    </dataValidation>
    <dataValidation type="list" allowBlank="1" showInputMessage="1" showErrorMessage="1" sqref="F25" xr:uid="{B4C26AC2-08E6-4DA0-96A5-667D77A2E661}">
      <formula1>$AB$2:$AB$33</formula1>
    </dataValidation>
    <dataValidation type="list" allowBlank="1" showInputMessage="1" showErrorMessage="1" sqref="F30 F34" xr:uid="{9513BC3E-81B7-446F-865F-61B67A046DEB}">
      <formula1>$AC$2:$AC$17</formula1>
    </dataValidation>
    <dataValidation type="list" allowBlank="1" showInputMessage="1" showErrorMessage="1" sqref="G30 G34" xr:uid="{E9C58CD3-BA20-46C1-8B96-4CF3BDBA3747}">
      <formula1>"Val,Eng,Raw,Rate,MinHold,MaxHold,Fault"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3" r:id="rId3" name="Button 19">
              <controlPr defaultSize="0" print="0" autoFill="0" autoPict="0" macro="[0]!Automation.ValiderAssistant">
                <anchor moveWithCells="1" siz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1</xdr:col>
                    <xdr:colOff>1390650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" name="Button 20">
              <controlPr defaultSize="0" print="0" autoFill="0" autoPict="0" macro="[0]!Automation.FermerAssistant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561975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5" name="Button 21">
              <controlPr defaultSize="0" print="0" autoFill="0" autoPict="0" macro="[0]!Automation.AttribuerAdresses">
                <anchor moveWithCells="1" siz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219075</xdr:colOff>
                    <xdr:row>44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/>
  <dimension ref="A1:B6"/>
  <sheetViews>
    <sheetView zoomScaleNormal="100" workbookViewId="0"/>
  </sheetViews>
  <sheetFormatPr baseColWidth="10" defaultColWidth="8.7109375" defaultRowHeight="15" x14ac:dyDescent="0.25"/>
  <sheetData>
    <row r="1" spans="1:2" x14ac:dyDescent="0.25">
      <c r="A1" t="s">
        <v>312</v>
      </c>
      <c r="B1">
        <v>2</v>
      </c>
    </row>
    <row r="2" spans="1:2" x14ac:dyDescent="0.25">
      <c r="A2" t="s">
        <v>313</v>
      </c>
      <c r="B2" s="40">
        <v>46283.370798611111</v>
      </c>
    </row>
    <row r="3" spans="1:2" x14ac:dyDescent="0.25">
      <c r="A3" t="s">
        <v>314</v>
      </c>
      <c r="B3" s="40">
        <v>46283.370868055557</v>
      </c>
    </row>
    <row r="4" spans="1:2" x14ac:dyDescent="0.25">
      <c r="A4" t="s">
        <v>315</v>
      </c>
      <c r="B4" s="40">
        <v>46283.383298611108</v>
      </c>
    </row>
    <row r="5" spans="1:2" x14ac:dyDescent="0.25">
      <c r="A5" t="s">
        <v>316</v>
      </c>
      <c r="B5" s="40">
        <v>46283.383298611108</v>
      </c>
    </row>
    <row r="6" spans="1:2" x14ac:dyDescent="0.25">
      <c r="A6" t="s">
        <v>317</v>
      </c>
      <c r="B6"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41</vt:i4>
      </vt:variant>
    </vt:vector>
  </HeadingPairs>
  <TitlesOfParts>
    <vt:vector size="58" baseType="lpstr">
      <vt:lpstr>Config</vt:lpstr>
      <vt:lpstr>Cartes API</vt:lpstr>
      <vt:lpstr>Vue Rack</vt:lpstr>
      <vt:lpstr>ES</vt:lpstr>
      <vt:lpstr>Catalogue</vt:lpstr>
      <vt:lpstr>Equipements</vt:lpstr>
      <vt:lpstr>Cablage</vt:lpstr>
      <vt:lpstr>Liens</vt:lpstr>
      <vt:lpstr>Indices</vt:lpstr>
      <vt:lpstr>Reports TOR</vt:lpstr>
      <vt:lpstr>Reports bits</vt:lpstr>
      <vt:lpstr>Reports ANA</vt:lpstr>
      <vt:lpstr>Memoire MW</vt:lpstr>
      <vt:lpstr>Memoire MX</vt:lpstr>
      <vt:lpstr>ST genere</vt:lpstr>
      <vt:lpstr>_ASSISTANT</vt:lpstr>
      <vt:lpstr>_ETAT</vt:lpstr>
      <vt:lpstr>CartesNoms</vt:lpstr>
      <vt:lpstr>CatFamilles</vt:lpstr>
      <vt:lpstr>CatParams</vt:lpstr>
      <vt:lpstr>CheminLibs</vt:lpstr>
      <vt:lpstr>EqNoms</vt:lpstr>
      <vt:lpstr>ES_Acces</vt:lpstr>
      <vt:lpstr>ES_Familles</vt:lpstr>
      <vt:lpstr>Cablage!Impression_des_titres</vt:lpstr>
      <vt:lpstr>'Cartes API'!Impression_des_titres</vt:lpstr>
      <vt:lpstr>Catalogue!Impression_des_titres</vt:lpstr>
      <vt:lpstr>Config!Impression_des_titres</vt:lpstr>
      <vt:lpstr>Equipements!Impression_des_titres</vt:lpstr>
      <vt:lpstr>ES!Impression_des_titres</vt:lpstr>
      <vt:lpstr>Indices!Impression_des_titres</vt:lpstr>
      <vt:lpstr>Liens!Impression_des_titres</vt:lpstr>
      <vt:lpstr>'Memoire MW'!Impression_des_titres</vt:lpstr>
      <vt:lpstr>'Memoire MX'!Impression_des_titres</vt:lpstr>
      <vt:lpstr>'Reports ANA'!Impression_des_titres</vt:lpstr>
      <vt:lpstr>'Reports bits'!Impression_des_titres</vt:lpstr>
      <vt:lpstr>'Reports TOR'!Impression_des_titres</vt:lpstr>
      <vt:lpstr>'Vue Rack'!Impression_des_titres</vt:lpstr>
      <vt:lpstr>JournalDebut</vt:lpstr>
      <vt:lpstr>MW_Debut</vt:lpstr>
      <vt:lpstr>MW_Fin</vt:lpstr>
      <vt:lpstr>MX_Debut</vt:lpstr>
      <vt:lpstr>MX_Fin</vt:lpstr>
      <vt:lpstr>VueRack</vt:lpstr>
      <vt:lpstr>Cablage!Zone_d_impression</vt:lpstr>
      <vt:lpstr>'Cartes API'!Zone_d_impression</vt:lpstr>
      <vt:lpstr>Catalogue!Zone_d_impression</vt:lpstr>
      <vt:lpstr>Config!Zone_d_impression</vt:lpstr>
      <vt:lpstr>Equipements!Zone_d_impression</vt:lpstr>
      <vt:lpstr>ES!Zone_d_impression</vt:lpstr>
      <vt:lpstr>Indices!Zone_d_impression</vt:lpstr>
      <vt:lpstr>Liens!Zone_d_impression</vt:lpstr>
      <vt:lpstr>'Memoire MW'!Zone_d_impression</vt:lpstr>
      <vt:lpstr>'Memoire MX'!Zone_d_impression</vt:lpstr>
      <vt:lpstr>'Reports ANA'!Zone_d_impression</vt:lpstr>
      <vt:lpstr>'Reports bits'!Zone_d_impression</vt:lpstr>
      <vt:lpstr>'Reports TOR'!Zone_d_impression</vt:lpstr>
      <vt:lpstr>'Vue Rack'!Zone_d_impression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Quentin Boucher</cp:lastModifiedBy>
  <cp:revision>1</cp:revision>
  <dcterms:created xsi:type="dcterms:W3CDTF">2026-09-18T06:40:39Z</dcterms:created>
  <dcterms:modified xsi:type="dcterms:W3CDTF">2026-09-18T07:18:21Z</dcterms:modified>
  <dc:language>en-US</dc:language>
</cp:coreProperties>
</file>