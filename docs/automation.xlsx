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Cartes API" sheetId="2" state="visible" r:id="rId4"/>
    <sheet name="Vue Rack" sheetId="3" state="visible" r:id="rId5"/>
    <sheet name="ES" sheetId="4" state="visible" r:id="rId6"/>
    <sheet name="Catalogue" sheetId="5" state="visible" r:id="rId7"/>
    <sheet name="Equipements" sheetId="6" state="visible" r:id="rId8"/>
    <sheet name="Cablage" sheetId="7" state="visible" r:id="rId9"/>
    <sheet name="Liens" sheetId="8" state="visible" r:id="rId10"/>
    <sheet name="Indices" sheetId="9" state="visible" r:id="rId11"/>
    <sheet name="Reports TOR" sheetId="10" state="visible" r:id="rId12"/>
    <sheet name="Reports bits" sheetId="11" state="visible" r:id="rId13"/>
    <sheet name="Reports ANA" sheetId="12" state="visible" r:id="rId14"/>
    <sheet name="Memoire MW" sheetId="13" state="visible" r:id="rId15"/>
    <sheet name="Memoire MX" sheetId="14" state="visible" r:id="rId16"/>
    <sheet name="ST genere" sheetId="15" state="hidden" r:id="rId17"/>
    <sheet name="_ASSISTANT" sheetId="16" state="hidden" r:id="rId18"/>
    <sheet name="_ETAT" sheetId="17" state="hidden" r:id="rId19"/>
  </sheets>
  <definedNames>
    <definedName function="false" hidden="false" localSheetId="6" name="_xlnm.Print_Area" vbProcedure="false">Cablage!$A$1:$J$608</definedName>
    <definedName function="false" hidden="false" localSheetId="6" name="_xlnm.Print_Titles" vbProcedure="false">Cablage!$1:$8</definedName>
    <definedName function="false" hidden="true" localSheetId="6" name="_xlnm._FilterDatabase" vbProcedure="false">Cablage!$A$7:$J$7</definedName>
    <definedName function="false" hidden="false" localSheetId="1" name="_xlnm.Print_Area" vbProcedure="false">'Cartes API'!$A$1:$P$51</definedName>
    <definedName function="false" hidden="false" localSheetId="1" name="_xlnm.Print_Titles" vbProcedure="false">'Cartes API'!$1:$8</definedName>
    <definedName function="false" hidden="true" localSheetId="1" name="_xlnm._FilterDatabase" vbProcedure="false">'Cartes API'!$A$7:$P$7</definedName>
    <definedName function="false" hidden="false" localSheetId="4" name="_xlnm.Print_Area" vbProcedure="false">Catalogue!$A$1:$K$908</definedName>
    <definedName function="false" hidden="false" localSheetId="4" name="_xlnm.Print_Titles" vbProcedure="false">Catalogue!$1:$8</definedName>
    <definedName function="false" hidden="true" localSheetId="4" name="_xlnm._FilterDatabase" vbProcedure="false">Catalogue!$A$7:$K$7</definedName>
    <definedName function="false" hidden="false" localSheetId="0" name="_xlnm.Print_Area" vbProcedure="false">Config!$A$1:$G$25</definedName>
    <definedName function="false" hidden="false" localSheetId="0" name="_xlnm.Print_Titles" vbProcedure="false">Config!$1:$8</definedName>
    <definedName function="false" hidden="false" localSheetId="5" name="_xlnm.Print_Area" vbProcedure="false">Equipements!$A$1:$M$308</definedName>
    <definedName function="false" hidden="false" localSheetId="5" name="_xlnm.Print_Titles" vbProcedure="false">Equipements!$1:$8</definedName>
    <definedName function="false" hidden="true" localSheetId="5" name="_xlnm._FilterDatabase" vbProcedure="false">Equipements!$A$7:$M$7</definedName>
    <definedName function="false" hidden="false" localSheetId="3" name="_xlnm.Print_Area" vbProcedure="false">ES!$A$1:$AX$608</definedName>
    <definedName function="false" hidden="false" localSheetId="3" name="_xlnm.Print_Titles" vbProcedure="false">ES!$1:$8</definedName>
    <definedName function="false" hidden="true" localSheetId="3" name="_xlnm._FilterDatabase" vbProcedure="false">ES!$A$7:$AX$7</definedName>
    <definedName function="false" hidden="false" localSheetId="8" name="_xlnm.Print_Area" vbProcedure="false">Indices!$A$1:$D$251</definedName>
    <definedName function="false" hidden="false" localSheetId="8" name="_xlnm.Print_Titles" vbProcedure="false">Indices!$1:$8</definedName>
    <definedName function="false" hidden="true" localSheetId="8" name="_xlnm._FilterDatabase" vbProcedure="false">Indices!$A$7:$D$7</definedName>
    <definedName function="false" hidden="false" localSheetId="7" name="_xlnm.Print_Area" vbProcedure="false">Liens!$A$1:$P$808</definedName>
    <definedName function="false" hidden="false" localSheetId="7" name="_xlnm.Print_Titles" vbProcedure="false">Liens!$1:$8</definedName>
    <definedName function="false" hidden="true" localSheetId="7" name="_xlnm._FilterDatabase" vbProcedure="false">Liens!$A$7:$P$7</definedName>
    <definedName function="false" hidden="false" localSheetId="12" name="_xlnm.Print_Area" vbProcedure="false">'Memoire MW'!$A$1:$BM$73</definedName>
    <definedName function="false" hidden="false" localSheetId="12" name="_xlnm.Print_Titles" vbProcedure="false">'Memoire MW'!$1:$8</definedName>
    <definedName function="false" hidden="false" localSheetId="13" name="_xlnm.Print_Area" vbProcedure="false">'Memoire MX'!$A$1:$BM$73</definedName>
    <definedName function="false" hidden="false" localSheetId="13" name="_xlnm.Print_Titles" vbProcedure="false">'Memoire MX'!$1:$8</definedName>
    <definedName function="false" hidden="false" localSheetId="11" name="_xlnm.Print_Area" vbProcedure="false">'Reports ANA'!$A$1:$L$408</definedName>
    <definedName function="false" hidden="false" localSheetId="11" name="_xlnm.Print_Titles" vbProcedure="false">'Reports ANA'!$1:$8</definedName>
    <definedName function="false" hidden="true" localSheetId="11" name="_xlnm._FilterDatabase" vbProcedure="false">'Reports ANA'!$A$7:$L$7</definedName>
    <definedName function="false" hidden="false" localSheetId="10" name="_xlnm.Print_Area" vbProcedure="false">'Reports bits'!$A$1:$L$608</definedName>
    <definedName function="false" hidden="false" localSheetId="10" name="_xlnm.Print_Titles" vbProcedure="false">'Reports bits'!$1:$8</definedName>
    <definedName function="false" hidden="true" localSheetId="10" name="_xlnm._FilterDatabase" vbProcedure="false">'Reports bits'!$A$7:$L$7</definedName>
    <definedName function="false" hidden="false" localSheetId="9" name="_xlnm.Print_Area" vbProcedure="false">'Reports TOR'!$A$1:$L$408</definedName>
    <definedName function="false" hidden="false" localSheetId="9" name="_xlnm.Print_Titles" vbProcedure="false">'Reports TOR'!$1:$8</definedName>
    <definedName function="false" hidden="true" localSheetId="9" name="_xlnm._FilterDatabase" vbProcedure="false">'Reports TOR'!$A$7:$L$7</definedName>
    <definedName function="false" hidden="false" localSheetId="2" name="_xlnm.Print_Area" vbProcedure="false">'Vue Rack'!$A$1:$R$72</definedName>
    <definedName function="false" hidden="false" localSheetId="2" name="_xlnm.Print_Titles" vbProcedure="false">'Vue Rack'!$1:$8</definedName>
    <definedName function="false" hidden="false" name="CartesNoms" vbProcedure="false">'Cartes API'!$A$9:$A$48</definedName>
    <definedName function="false" hidden="false" name="CatFamilles" vbProcedure="false">Catalogue!$A$9:$A$908</definedName>
    <definedName function="false" hidden="false" name="CatParams" vbProcedure="false">Catalogue!$D$9:$D$908</definedName>
    <definedName function="false" hidden="false" name="CheminLibs" vbProcedure="false">Config!$C$6</definedName>
    <definedName function="false" hidden="false" name="EqNoms" vbProcedure="false">Equipements!$A$9:$A$308</definedName>
    <definedName function="false" hidden="false" name="ES_Acces" vbProcedure="false">ES!$I$9:$I$608</definedName>
    <definedName function="false" hidden="false" name="ES_Familles" vbProcedure="false">ES!$A$9:$A$608</definedName>
    <definedName function="false" hidden="false" name="JournalDebut" vbProcedure="false">Indices!$A$53</definedName>
    <definedName function="false" hidden="false" name="MW_Debut" vbProcedure="false">Config!$C$10</definedName>
    <definedName function="false" hidden="false" name="MW_Fin" vbProcedure="false">Config!$C$11</definedName>
    <definedName function="false" hidden="false" name="MX_Debut" vbProcedure="false">Config!$C$12</definedName>
    <definedName function="false" hidden="false" name="MX_Fin" vbProcedure="false">Config!$C$13</definedName>
    <definedName function="false" hidden="false" name="VueRack" vbProcedure="false">'Vue Rack'!$A$9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<sst xmlns="http://schemas.openxmlformats.org/spreadsheetml/2006/main" count="588" uniqueCount="320">
  <si>
    <t xml:space="preserve">  CONFIGURATION</t>
  </si>
  <si>
    <t xml:space="preserve">  Le point de depart : renseignez le dossier libs, puis lancez INIT.</t>
  </si>
  <si>
    <t xml:space="preserve">Affaire</t>
  </si>
  <si>
    <t xml:space="preserve">2024_06_264</t>
  </si>
  <si>
    <t xml:space="preserve">Client</t>
  </si>
  <si>
    <t xml:space="preserve">ALI</t>
  </si>
  <si>
    <t xml:space="preserve">Indice</t>
  </si>
  <si>
    <t xml:space="preserve">A</t>
  </si>
  <si>
    <t xml:space="preserve">Le</t>
  </si>
  <si>
    <t xml:space="preserve">18/09/2026</t>
  </si>
  <si>
    <t xml:space="preserve">Dossier libs</t>
  </si>
  <si>
    <t xml:space="preserve">C:\Affaires\2024_06_264\libs</t>
  </si>
  <si>
    <t xml:space="preserve">LE SEUL CHAMP INDISPENSABLE. La macro INIT lit ce dossier, ouvre chaque .ddt et .dfb, et remplit l'onglet Catalogue. Tout le reste en decoule.</t>
  </si>
  <si>
    <t xml:space="preserve">Automate</t>
  </si>
  <si>
    <t xml:space="preserve">BMX P34 2020</t>
  </si>
  <si>
    <t xml:space="preserve">la reference CPU, reprise sur l'onglet Cartes API</t>
  </si>
  <si>
    <t xml:space="preserve">Tache</t>
  </si>
  <si>
    <t xml:space="preserve">MAST</t>
  </si>
  <si>
    <t xml:space="preserve">la tache des sections generees</t>
  </si>
  <si>
    <t xml:space="preserve">Periode (ms)</t>
  </si>
  <si>
    <t xml:space="preserve">sa periode : les blocs en tirent leurs temporisations</t>
  </si>
  <si>
    <t xml:space="preserve">Zone MW debut</t>
  </si>
  <si>
    <t xml:space="preserve">premiere adresse mot utilisable pour les reports</t>
  </si>
  <si>
    <t xml:space="preserve">Zone MW fin</t>
  </si>
  <si>
    <t xml:space="preserve">derniere</t>
  </si>
  <si>
    <t xml:space="preserve">Zone MX debut</t>
  </si>
  <si>
    <t xml:space="preserve">premiere adresse bit</t>
  </si>
  <si>
    <t xml:space="preserve">Zone MX fin</t>
  </si>
  <si>
    <t xml:space="preserve">MARCHE A SUIVRE</t>
  </si>
  <si>
    <t xml:space="preserve">1.  INIT</t>
  </si>
  <si>
    <t xml:space="preserve">lit le dossier libs, remplit le Catalogue</t>
  </si>
  <si>
    <t xml:space="preserve">2.  Cartes API</t>
  </si>
  <si>
    <t xml:space="preserve">declarez vos cartes, les voies se creent</t>
  </si>
  <si>
    <t xml:space="preserve">3.  E/S</t>
  </si>
  <si>
    <t xml:space="preserve">double-clic sur une voie pour la regler</t>
  </si>
  <si>
    <t xml:space="preserve">4.  Ajouter equipement</t>
  </si>
  <si>
    <t xml:space="preserve">famille, voies, adresses de report</t>
  </si>
  <si>
    <t xml:space="preserve">5.  Tout recalculer</t>
  </si>
  <si>
    <t xml:space="preserve">reports, cartographie, ST</t>
  </si>
  <si>
    <t xml:space="preserve">Rien n'est obligatoire dans l'ordre : on peut declarer des voies sans equipement, un equipement sans report, un report sans voie. Les liens se font quand ils ont un sens.</t>
  </si>
  <si>
    <t xml:space="preserve">TABLEAU DE BORD</t>
  </si>
  <si>
    <t xml:space="preserve">Les chiffres sont des formules : ils ne peuvent pas etre perimes.</t>
  </si>
  <si>
    <t xml:space="preserve">Cartes declarees</t>
  </si>
  <si>
    <t xml:space="preserve">Tranche</t>
  </si>
  <si>
    <t xml:space="preserve">Occupes</t>
  </si>
  <si>
    <t xml:space="preserve">Voies declarees</t>
  </si>
  <si>
    <t xml:space="preserve">  dont entrees TOR</t>
  </si>
  <si>
    <t xml:space="preserve">  dont sorties TOR</t>
  </si>
  <si>
    <t xml:space="preserve">  dont entrees ANA</t>
  </si>
  <si>
    <t xml:space="preserve">  dont sorties ANA</t>
  </si>
  <si>
    <t xml:space="preserve">Voies cablees</t>
  </si>
  <si>
    <t xml:space="preserve">Voies libres</t>
  </si>
  <si>
    <t xml:space="preserve">Equipements</t>
  </si>
  <si>
    <t xml:space="preserve">Reports</t>
  </si>
  <si>
    <t xml:space="preserve">  informations (TM)</t>
  </si>
  <si>
    <t xml:space="preserve">  alarmes (TA)</t>
  </si>
  <si>
    <t xml:space="preserve">  commandes (TC)</t>
  </si>
  <si>
    <t xml:space="preserve">Mots %MW occupes</t>
  </si>
  <si>
    <t xml:space="preserve">Bits %MX occupes</t>
  </si>
  <si>
    <t xml:space="preserve">Conflits d'adresse</t>
  </si>
  <si>
    <t xml:space="preserve">  CARTES DE L'AUTOMATE</t>
  </si>
  <si>
    <t xml:space="preserve">  Declarez une carte, ses voies se creent dans l'onglet E/S. La vue du rack est en dessous du tableau.</t>
  </si>
  <si>
    <t xml:space="preserve">Carte</t>
  </si>
  <si>
    <t xml:space="preserve">Programme</t>
  </si>
  <si>
    <t xml:space="preserve">Calcule</t>
  </si>
  <si>
    <t xml:space="preserve">Documentation</t>
  </si>
  <si>
    <t xml:space="preserve">Nom</t>
  </si>
  <si>
    <t xml:space="preserve">Rack</t>
  </si>
  <si>
    <t xml:space="preserve">Module</t>
  </si>
  <si>
    <t xml:space="preserve">Famille</t>
  </si>
  <si>
    <t xml:space="preserve">Reference</t>
  </si>
  <si>
    <t xml:space="preserve">Voies</t>
  </si>
  <si>
    <t xml:space="preserve">Active</t>
  </si>
  <si>
    <t xml:space="preserve">Tableau</t>
  </si>
  <si>
    <t xml:space="preserve">Instance</t>
  </si>
  <si>
    <t xml:space="preserve">Prefixe</t>
  </si>
  <si>
    <t xml:space="preserve">Premiere</t>
  </si>
  <si>
    <t xml:space="preserve">Derniere</t>
  </si>
  <si>
    <t xml:space="preserve">Bloc</t>
  </si>
  <si>
    <t xml:space="preserve">Declarees</t>
  </si>
  <si>
    <t xml:space="preserve">Etat</t>
  </si>
  <si>
    <t xml:space="preserve">Commentaire</t>
  </si>
  <si>
    <t xml:space="preserve">libre</t>
  </si>
  <si>
    <t xml:space="preserve">0..7 ▾</t>
  </si>
  <si>
    <t xml:space="preserve">0..15</t>
  </si>
  <si>
    <t xml:space="preserve">▾ liste</t>
  </si>
  <si>
    <t xml:space="preserve">DDI 1602</t>
  </si>
  <si>
    <t xml:space="preserve">1..64</t>
  </si>
  <si>
    <t xml:space="preserve">O/N ▾</t>
  </si>
  <si>
    <t xml:space="preserve">nom ST</t>
  </si>
  <si>
    <t xml:space="preserve">du DFB</t>
  </si>
  <si>
    <t xml:space="preserve">taille</t>
  </si>
  <si>
    <t xml:space="preserve">voies creees</t>
  </si>
  <si>
    <t xml:space="preserve">DI_R0S4</t>
  </si>
  <si>
    <t xml:space="preserve">DI</t>
  </si>
  <si>
    <t xml:space="preserve">BMX DDI 1602</t>
  </si>
  <si>
    <t xml:space="preserve">O</t>
  </si>
  <si>
    <t xml:space="preserve">CarteDI_R0S4</t>
  </si>
  <si>
    <t xml:space="preserve">IO_DI_R0S4</t>
  </si>
  <si>
    <t xml:space="preserve">DO_R0S5</t>
  </si>
  <si>
    <t xml:space="preserve">DO</t>
  </si>
  <si>
    <t xml:space="preserve">BMX DRA 1605</t>
  </si>
  <si>
    <t xml:space="preserve">CarteDO_R0S5</t>
  </si>
  <si>
    <t xml:space="preserve">IO_DO_R0S5</t>
  </si>
  <si>
    <t xml:space="preserve">DI_R0S7</t>
  </si>
  <si>
    <t xml:space="preserve">CarteDI_R0S7</t>
  </si>
  <si>
    <t xml:space="preserve">IO_DI_R0S7</t>
  </si>
  <si>
    <t xml:space="preserve">DO_R0S8</t>
  </si>
  <si>
    <t xml:space="preserve">CarteDO_R0S8</t>
  </si>
  <si>
    <t xml:space="preserve">IO_DO_R0S8</t>
  </si>
  <si>
    <t xml:space="preserve">AI_R0S10</t>
  </si>
  <si>
    <t xml:space="preserve">AI</t>
  </si>
  <si>
    <t xml:space="preserve">BMX AMI 0810</t>
  </si>
  <si>
    <t xml:space="preserve">CarteAI_R0S10</t>
  </si>
  <si>
    <t xml:space="preserve">IO_AI_R0S10</t>
  </si>
  <si>
    <t xml:space="preserve">AI_R0S11</t>
  </si>
  <si>
    <t xml:space="preserve">CarteAI_R0S11</t>
  </si>
  <si>
    <t xml:space="preserve">IO_AI_R0S11</t>
  </si>
  <si>
    <t xml:space="preserve">Le bouton Creer les voies ajoute dans l'onglet E/S ce qui manque pour chaque carte active. Il n'efface jamais : une voie deja reglee reste telle quelle.</t>
  </si>
  <si>
    <t xml:space="preserve">La colonne Etat compare les voies declarees ici et celles qui existent vraiment. "TROP" veut dire qu'il reste des voies d'une carte reduite.</t>
  </si>
  <si>
    <t xml:space="preserve">  VUE DES RACKS</t>
  </si>
  <si>
    <t xml:space="preserve">  Une case par emplacement. Le bouton Rafraichir la vue la remplit depuis l'onglet Cartes API.</t>
  </si>
  <si>
    <t xml:space="preserve">Rack 0</t>
  </si>
  <si>
    <t xml:space="preserve">nom</t>
  </si>
  <si>
    <t xml:space="preserve">famille</t>
  </si>
  <si>
    <t xml:space="preserve">reference</t>
  </si>
  <si>
    <t xml:space="preserve">voies</t>
  </si>
  <si>
    <t xml:space="preserve">etat</t>
  </si>
  <si>
    <t xml:space="preserve">Rack 1</t>
  </si>
  <si>
    <t xml:space="preserve">Rack 2</t>
  </si>
  <si>
    <t xml:space="preserve">Rack 3</t>
  </si>
  <si>
    <t xml:space="preserve">Rack 4</t>
  </si>
  <si>
    <t xml:space="preserve">Rack 5</t>
  </si>
  <si>
    <t xml:space="preserve">Rack 6</t>
  </si>
  <si>
    <t xml:space="preserve">Rack 7</t>
  </si>
  <si>
    <t xml:space="preserve">Legende</t>
  </si>
  <si>
    <t xml:space="preserve">Entrees TOR</t>
  </si>
  <si>
    <t xml:space="preserve">Sorties TOR</t>
  </si>
  <si>
    <t xml:space="preserve">Entrees ANA</t>
  </si>
  <si>
    <t xml:space="preserve">AO</t>
  </si>
  <si>
    <t xml:space="preserve">Sorties ANA</t>
  </si>
  <si>
    <t xml:space="preserve">Un emplacement vide entre deux cartes se voit ici en une seconde. Dans une liste triee par nom, pas du tout.</t>
  </si>
  <si>
    <t xml:space="preserve">  ENTREES / SORTIES</t>
  </si>
  <si>
    <t xml:space="preserve">  Les quatre familles ensemble. Filtrez sur Famille pour n'en voir qu'une ; double-cliquez une ligne pour la regler.</t>
  </si>
  <si>
    <t xml:space="preserve">Voie</t>
  </si>
  <si>
    <t xml:space="preserve">Reglages TOR</t>
  </si>
  <si>
    <t xml:space="preserve">Echelle ANA</t>
  </si>
  <si>
    <t xml:space="preserve">Seuil 0</t>
  </si>
  <si>
    <t xml:space="preserve">Seuil 1</t>
  </si>
  <si>
    <t xml:space="preserve">Seuil 2</t>
  </si>
  <si>
    <t xml:space="preserve">Seuil 3</t>
  </si>
  <si>
    <t xml:space="preserve">Designation</t>
  </si>
  <si>
    <t xml:space="preserve">Repere</t>
  </si>
  <si>
    <t xml:space="preserve">Adresse</t>
  </si>
  <si>
    <t xml:space="preserve">Index</t>
  </si>
  <si>
    <t xml:space="preserve">Acces ST</t>
  </si>
  <si>
    <t xml:space="preserve">Equipement</t>
  </si>
  <si>
    <t xml:space="preserve">Inv</t>
  </si>
  <si>
    <t xml:space="preserve">DebounceMs</t>
  </si>
  <si>
    <t xml:space="preserve">AlarmEn</t>
  </si>
  <si>
    <t xml:space="preserve">AlarmState</t>
  </si>
  <si>
    <t xml:space="preserve">AlarmDelayMs</t>
  </si>
  <si>
    <t xml:space="preserve">Sev</t>
  </si>
  <si>
    <t xml:space="preserve">Unite</t>
  </si>
  <si>
    <t xml:space="preserve">RawMin</t>
  </si>
  <si>
    <t xml:space="preserve">RawMax</t>
  </si>
  <si>
    <t xml:space="preserve">EngMin</t>
  </si>
  <si>
    <t xml:space="preserve">EngMax</t>
  </si>
  <si>
    <t xml:space="preserve">Clamp</t>
  </si>
  <si>
    <t xml:space="preserve">DeadBand</t>
  </si>
  <si>
    <t xml:space="preserve">FiltN</t>
  </si>
  <si>
    <t xml:space="preserve">RateMax</t>
  </si>
  <si>
    <t xml:space="preserve">S0_En</t>
  </si>
  <si>
    <t xml:space="preserve">S0_Dir</t>
  </si>
  <si>
    <t xml:space="preserve">S0_Val</t>
  </si>
  <si>
    <t xml:space="preserve">S0_Hyst</t>
  </si>
  <si>
    <t xml:space="preserve">S0_DelayMs</t>
  </si>
  <si>
    <t xml:space="preserve">S0_Sev</t>
  </si>
  <si>
    <t xml:space="preserve">S1_En</t>
  </si>
  <si>
    <t xml:space="preserve">S1_Dir</t>
  </si>
  <si>
    <t xml:space="preserve">S1_Val</t>
  </si>
  <si>
    <t xml:space="preserve">S1_Hyst</t>
  </si>
  <si>
    <t xml:space="preserve">S1_DelayMs</t>
  </si>
  <si>
    <t xml:space="preserve">S1_Sev</t>
  </si>
  <si>
    <t xml:space="preserve">S2_En</t>
  </si>
  <si>
    <t xml:space="preserve">S2_Dir</t>
  </si>
  <si>
    <t xml:space="preserve">S2_Val</t>
  </si>
  <si>
    <t xml:space="preserve">S2_Hyst</t>
  </si>
  <si>
    <t xml:space="preserve">S2_DelayMs</t>
  </si>
  <si>
    <t xml:space="preserve">S2_Sev</t>
  </si>
  <si>
    <t xml:space="preserve">S3_En</t>
  </si>
  <si>
    <t xml:space="preserve">S3_Dir</t>
  </si>
  <si>
    <t xml:space="preserve">S3_Val</t>
  </si>
  <si>
    <t xml:space="preserve">S3_Hyst</t>
  </si>
  <si>
    <t xml:space="preserve">S3_DelayMs</t>
  </si>
  <si>
    <t xml:space="preserve">S3_Sev</t>
  </si>
  <si>
    <t xml:space="preserve">DI/DO/AI/AO ▾</t>
  </si>
  <si>
    <t xml:space="preserve">0..63</t>
  </si>
  <si>
    <t xml:space="preserve">ce que c'est</t>
  </si>
  <si>
    <t xml:space="preserve">schema</t>
  </si>
  <si>
    <t xml:space="preserve">dans le tableau</t>
  </si>
  <si>
    <t xml:space="preserve">lien</t>
  </si>
  <si>
    <t xml:space="preserve">O/N</t>
  </si>
  <si>
    <t xml:space="preserve">ms</t>
  </si>
  <si>
    <t xml:space="preserve">0/1</t>
  </si>
  <si>
    <t xml:space="preserve">1..4</t>
  </si>
  <si>
    <t xml:space="preserve">pts</t>
  </si>
  <si>
    <t xml:space="preserve">0..8</t>
  </si>
  <si>
    <t xml:space="preserve">u/s</t>
  </si>
  <si>
    <t xml:space="preserve">H/B</t>
  </si>
  <si>
    <t xml:space="preserve">Une couleur par famille dans la colonne A : les quatre parties se voient sans avoir a filtrer, et le filtre les separe quand on veut travailler sur une seule.</t>
  </si>
  <si>
    <t xml:space="preserve">Les blocs Reglages TOR, Echelle ANA et Seuils sont replies : ouvrez avec le + en haut celui dont vous avez besoin. Une voie TOR laisse les colonnes ANA vides, et reciproquement.</t>
  </si>
  <si>
    <t xml:space="preserve">La colonne Equipement se remplit toute seule quand une voie est cablee depuis l'assistant d'equipement. Elle reste vide si la voie ne sert a rien d'autre qu'a etre lue - ce qui est parfaitement admis.</t>
  </si>
  <si>
    <t xml:space="preserve">  CATALOGUE DES DDT ET DFB</t>
  </si>
  <si>
    <t xml:space="preserve">  Ecrit par INIT depuis le dossier libs. Seules les trois colonnes vertes sont a vous - et INIT ne les ecrase jamais.</t>
  </si>
  <si>
    <t xml:space="preserve">D'OU CA VIENT : INIT parcourt libs\ et ses sous-dossiers, ouvre chaque .ddt et .dfb - ce sont des fichiers texte - et ecrit ici une ligne par parametre.</t>
  </si>
  <si>
    <t xml:space="preserve">Origine</t>
  </si>
  <si>
    <t xml:space="preserve">Parametre</t>
  </si>
  <si>
    <t xml:space="preserve">Choix</t>
  </si>
  <si>
    <t xml:space="preserve">Genre</t>
  </si>
  <si>
    <t xml:space="preserve">Fichier</t>
  </si>
  <si>
    <t xml:space="preserve">Type</t>
  </si>
  <si>
    <t xml:space="preserve">Portee</t>
  </si>
  <si>
    <t xml:space="preserve">Defaut</t>
  </si>
  <si>
    <t xml:space="preserve">Reportable</t>
  </si>
  <si>
    <t xml:space="preserve">Type report</t>
  </si>
  <si>
    <t xml:space="preserve">Cablage E/S</t>
  </si>
  <si>
    <t xml:space="preserve">DDT ou DFB</t>
  </si>
  <si>
    <t xml:space="preserve">ddt/dfb</t>
  </si>
  <si>
    <t xml:space="preserve">dans libs</t>
  </si>
  <si>
    <t xml:space="preserve">TM/TA/TC ▾</t>
  </si>
  <si>
    <t xml:space="preserve">Reportable dit si ce parametre merite de remonter a l'IHM. Type report dit comment : TM information, TA alarme, TC commande.</t>
  </si>
  <si>
    <t xml:space="preserve">Cablage E/S dit si ce parametre se branche sur une voie physique, et dans quel sens. Vide veut dire qu'il n'en vient pas : un defaut calcule par le bloc, une consigne qui vient de l'IHM.</t>
  </si>
  <si>
    <t xml:space="preserve">  EQUIPEMENTS</t>
  </si>
  <si>
    <t xml:space="preserve">  Double-cliquez une ligne pour rouvrir l'assistant et changer ses voies ou ses adresses.</t>
  </si>
  <si>
    <t xml:space="preserve">Identification</t>
  </si>
  <si>
    <t xml:space="preserve">Bilan</t>
  </si>
  <si>
    <t xml:space="preserve">Actif</t>
  </si>
  <si>
    <t xml:space="preserve">Forme</t>
  </si>
  <si>
    <t xml:space="preserve">Variable</t>
  </si>
  <si>
    <t xml:space="preserve">Conflit</t>
  </si>
  <si>
    <t xml:space="preserve">P1</t>
  </si>
  <si>
    <t xml:space="preserve">si tableau</t>
  </si>
  <si>
    <t xml:space="preserve">cablees</t>
  </si>
  <si>
    <t xml:space="preserve">index pris</t>
  </si>
  <si>
    <t xml:space="preserve">Les deux colonnes de bilan comptent ce qui est reellement cable et reporte. Un equipement a zero des deux n'est pas une erreur : c'est un equipement declare dont on n'a pas encore decide.</t>
  </si>
  <si>
    <t xml:space="preserve">  CABLAGE DES ENTREES / SORTIES</t>
  </si>
  <si>
    <t xml:space="preserve">  Ce que chaque voie alimente. Ecrit par l'assistant ; une ligne se retire avec le bouton Enlever le lien.</t>
  </si>
  <si>
    <t xml:space="preserve">Cible</t>
  </si>
  <si>
    <t xml:space="preserve">Sens</t>
  </si>
  <si>
    <t xml:space="preserve">Ligne ES</t>
  </si>
  <si>
    <t xml:space="preserve">Acces voie</t>
  </si>
  <si>
    <t xml:space="preserve">Attribut</t>
  </si>
  <si>
    <t xml:space="preserve">Source</t>
  </si>
  <si>
    <t xml:space="preserve">DI/DO/AI/AO</t>
  </si>
  <si>
    <t xml:space="preserve">Le cablage n'est PAS un report : une voie peut alimenter un equipement sans jamais remonter a l'IHM, et un report peut porter sur une valeur calculee qui ne vient d'aucune voie.</t>
  </si>
  <si>
    <t xml:space="preserve">  REPORTS VERS L'IHM</t>
  </si>
  <si>
    <t xml:space="preserve">  Une ligne par report. Les trois onglets de reports en sont derives : une adresse s'ecrit ici et nulle part ailleurs.</t>
  </si>
  <si>
    <t xml:space="preserve">Report</t>
  </si>
  <si>
    <t xml:space="preserve">Echelle</t>
  </si>
  <si>
    <t xml:space="preserve">Controle</t>
  </si>
  <si>
    <t xml:space="preserve">Chemin</t>
  </si>
  <si>
    <t xml:space="preserve">Zone</t>
  </si>
  <si>
    <t xml:space="preserve">Numero</t>
  </si>
  <si>
    <t xml:space="preserve">Bit</t>
  </si>
  <si>
    <t xml:space="preserve">Adr API</t>
  </si>
  <si>
    <t xml:space="preserve">Mini</t>
  </si>
  <si>
    <t xml:space="preserve">Maxi</t>
  </si>
  <si>
    <t xml:space="preserve">Resolution</t>
  </si>
  <si>
    <t xml:space="preserve">Occupation</t>
  </si>
  <si>
    <t xml:space="preserve">ce que l'operateur lit</t>
  </si>
  <si>
    <t xml:space="preserve">R/W ▾</t>
  </si>
  <si>
    <t xml:space="preserve">MW/MX ▾</t>
  </si>
  <si>
    <t xml:space="preserve">Le tri entre les trois onglets de reports se fait tout seul : %MX en tout-ou-rien, %MW avec un bit en bits de mots, %MW seul en analogique.</t>
  </si>
  <si>
    <t xml:space="preserve">  INDICES ET JOURNAL</t>
  </si>
  <si>
    <t xml:space="preserve">  Le haut se remplit a la main. Le bas s'ecrit tout seul.</t>
  </si>
  <si>
    <t xml:space="preserve">Date</t>
  </si>
  <si>
    <t xml:space="preserve">Par</t>
  </si>
  <si>
    <t xml:space="preserve">Objet de la modification</t>
  </si>
  <si>
    <t xml:space="preserve">A, B, C...</t>
  </si>
  <si>
    <t xml:space="preserve">creation du classeur</t>
  </si>
  <si>
    <t xml:space="preserve">Le journal est ecrit par les macros : ajout et suppression d'equipement, attribution d'adresses, recalcul. Il ne se saisit pas.</t>
  </si>
  <si>
    <t xml:space="preserve">JOURNAL DES OPERATIONS</t>
  </si>
  <si>
    <t xml:space="preserve">Quand</t>
  </si>
  <si>
    <t xml:space="preserve">Quoi</t>
  </si>
  <si>
    <t xml:space="preserve">Detail</t>
  </si>
  <si>
    <t xml:space="preserve">  REPORTS - TOUT OU RIEN (%MX)</t>
  </si>
  <si>
    <t xml:space="preserve">  Onglet DERIVE de la feuille Liens : ne rien saisir ici.</t>
  </si>
  <si>
    <t xml:space="preserve">Conformite API</t>
  </si>
  <si>
    <t xml:space="preserve">Conformite IHM</t>
  </si>
  <si>
    <t xml:space="preserve">Mode</t>
  </si>
  <si>
    <t xml:space="preserve">Reset</t>
  </si>
  <si>
    <t xml:space="preserve">TM</t>
  </si>
  <si>
    <t xml:space="preserve">TA</t>
  </si>
  <si>
    <t xml:space="preserve">TC</t>
  </si>
  <si>
    <t xml:space="preserve">Animation</t>
  </si>
  <si>
    <t xml:space="preserve">Adressage</t>
  </si>
  <si>
    <t xml:space="preserve">Alarme</t>
  </si>
  <si>
    <t xml:space="preserve">IHM</t>
  </si>
  <si>
    <t xml:space="preserve">Le bouton Tout recalculer le remplit depuis la feuille Liens.</t>
  </si>
  <si>
    <t xml:space="preserve">  REPORTS - BITS DE MOTS (%MW)</t>
  </si>
  <si>
    <t xml:space="preserve">MW</t>
  </si>
  <si>
    <t xml:space="preserve">MX</t>
  </si>
  <si>
    <t xml:space="preserve">RTN</t>
  </si>
  <si>
    <t xml:space="preserve">bit</t>
  </si>
  <si>
    <t xml:space="preserve">  REPORTS - ANALOGIQUE (%MW)</t>
  </si>
  <si>
    <t xml:space="preserve">mini</t>
  </si>
  <si>
    <t xml:space="preserve">maxi</t>
  </si>
  <si>
    <t xml:space="preserve">resolution</t>
  </si>
  <si>
    <t xml:space="preserve">  CARTOGRAPHIE MEMOIRE %MW</t>
  </si>
  <si>
    <t xml:space="preserve">  Une case par adresse, a partir de la plage declaree dans Config. Bleu : mot entier. Vert : des bits. Rouge : conflit.</t>
  </si>
  <si>
    <t xml:space="preserve">Un chevauchement ne se voit pas en lisant une liste d'adresses. Ici, si.</t>
  </si>
  <si>
    <t xml:space="preserve">  CARTOGRAPHIE MEMOIRE %MX</t>
  </si>
  <si>
    <t xml:space="preserve">(* Ecrit par le bouton Generer le ST. *)</t>
  </si>
  <si>
    <t xml:space="preserve">VERSION</t>
  </si>
  <si>
    <t xml:space="preserve">CAT_DATE</t>
  </si>
  <si>
    <t xml:space="preserve">VOIES_DATE</t>
  </si>
  <si>
    <t xml:space="preserve">REPORTS_DATE</t>
  </si>
  <si>
    <t xml:space="preserve">MEM_DATE</t>
  </si>
  <si>
    <t xml:space="preserve">CONFLITS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</si>
</sst>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sz val="9"/>
      <color rgb="FFD6DCE4"/>
      <name val="Calibri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  <font>
      <i val="true"/>
      <sz val="8"/>
      <color rgb="FF808080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sz val="9"/>
      <color rgb="FF404040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8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7"/>
      <color rgb="FFD6DCE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7"/>
      <color rgb="FF808080"/>
      <name val="Calibri"/>
      <family val="0"/>
      <charset val="1"/>
    </font>
    <font>
      <sz val="8"/>
      <name val="Calibri"/>
      <family val="0"/>
      <charset val="1"/>
    </font>
    <font>
      <sz val="7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44546A"/>
      </patternFill>
    </fill>
    <fill>
      <patternFill patternType="solid">
        <fgColor rgb="FFFFFDE7"/>
        <bgColor rgb="FFFFFFFF"/>
      </patternFill>
    </fill>
    <fill>
      <patternFill patternType="solid">
        <fgColor rgb="FFF4F4F4"/>
        <bgColor rgb="FFEAF4EA"/>
      </patternFill>
    </fill>
    <fill>
      <patternFill patternType="solid">
        <fgColor rgb="FF2E75B6"/>
        <bgColor rgb="FF4F81BD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C55A11"/>
      </patternFill>
    </fill>
    <fill>
      <patternFill patternType="solid">
        <fgColor rgb="FF7030A0"/>
        <bgColor rgb="FF993366"/>
      </patternFill>
    </fill>
    <fill>
      <patternFill patternType="solid">
        <fgColor rgb="FF44546A"/>
        <bgColor rgb="FF404040"/>
      </patternFill>
    </fill>
    <fill>
      <patternFill patternType="solid">
        <fgColor rgb="FFEAF4EA"/>
        <bgColor rgb="FFF4F4F4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75B6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BF8F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9D9D9"/>
      <rgbColor rgb="FF808080"/>
      <rgbColor rgb="FF9999FF"/>
      <rgbColor rgb="FF7030A0"/>
      <rgbColor rgb="FFFFFDE7"/>
      <rgbColor rgb="FFEAF4E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D6DCE4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C55A11"/>
      <rgbColor rgb="FF4F81BD"/>
      <rgbColor rgb="FF878787"/>
      <rgbColor rgb="FF003366"/>
      <rgbColor rgb="FF339966"/>
      <rgbColor rgb="FF003300"/>
      <rgbColor rgb="FF44546A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Occupation %MW par tranche de 100, depuis le debut de la plage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Config!M26</c:f>
              <c:strCache>
                <c:ptCount val="1"/>
                <c:pt idx="0">
                  <c:v>Occupes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Config!$L$27:$L$46</c:f>
              <c:strCache>
                <c:ptCount val="20"/>
                <c:pt idx="0">
                  <c:v>1000-1099</c:v>
                </c:pt>
                <c:pt idx="1">
                  <c:v>1100-1199</c:v>
                </c:pt>
                <c:pt idx="2">
                  <c:v>1200-1299</c:v>
                </c:pt>
                <c:pt idx="3">
                  <c:v>1300-1399</c:v>
                </c:pt>
                <c:pt idx="4">
                  <c:v>1400-1499</c:v>
                </c:pt>
                <c:pt idx="5">
                  <c:v>1500-1599</c:v>
                </c:pt>
                <c:pt idx="6">
                  <c:v>1600-1699</c:v>
                </c:pt>
                <c:pt idx="7">
                  <c:v>1700-1799</c:v>
                </c:pt>
                <c:pt idx="8">
                  <c:v>1800-1899</c:v>
                </c:pt>
                <c:pt idx="9">
                  <c:v>1900-1999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Config!$M$27:$M$46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43457394"/>
        <c:axId val="94635329"/>
      </c:barChart>
      <c:catAx>
        <c:axId val="434573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35329"/>
        <c:crosses val="autoZero"/>
        <c:auto val="1"/>
        <c:lblAlgn val="ctr"/>
        <c:lblOffset val="100"/>
        <c:noMultiLvlLbl val="0"/>
      </c:catAx>
      <c:valAx>
        <c:axId val="946353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mots occupes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573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25</xdr:row>
      <xdr:rowOff>0</xdr:rowOff>
    </xdr:from>
    <xdr:to>
      <xdr:col>8</xdr:col>
      <xdr:colOff>103320</xdr:colOff>
      <xdr:row>39</xdr:row>
      <xdr:rowOff>32760</xdr:rowOff>
    </xdr:to>
    <xdr:graphicFrame>
      <xdr:nvGraphicFramePr>
        <xdr:cNvPr id="0" name="Chart 1"/>
        <xdr:cNvGraphicFramePr/>
      </xdr:nvGraphicFramePr>
      <xdr:xfrm>
        <a:off x="4581360" y="5800680"/>
        <a:ext cx="71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2"/>
    <col collapsed="false" customWidth="true" hidden="false" outlineLevel="0" max="5" min="5" style="0" width="62"/>
    <col collapsed="false" customWidth="true" hidden="false" outlineLevel="0" max="6" min="6" style="0" width="2"/>
    <col collapsed="false" customWidth="true" hidden="false" outlineLevel="0" max="7" min="7" style="0" width="28"/>
    <col collapsed="false" customWidth="true" hidden="false" outlineLevel="0" max="13" min="12" style="0" width="9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.75" hidden="false" customHeight="tru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.75" hidden="false" customHeight="true" outlineLevel="0" collapsed="false">
      <c r="A4" s="3" t="s">
        <v>6</v>
      </c>
      <c r="B4" s="4" t="s">
        <v>7</v>
      </c>
      <c r="D4" s="3" t="s">
        <v>8</v>
      </c>
      <c r="E4" s="4" t="s">
        <v>9</v>
      </c>
    </row>
    <row r="6" customFormat="false" ht="21.75" hidden="false" customHeight="true" outlineLevel="0" collapsed="false">
      <c r="B6" s="5" t="s">
        <v>10</v>
      </c>
      <c r="C6" s="6" t="s">
        <v>11</v>
      </c>
      <c r="E6" s="7" t="s">
        <v>12</v>
      </c>
    </row>
    <row r="7" customFormat="false" ht="21.75" hidden="false" customHeight="true" outlineLevel="0" collapsed="false">
      <c r="B7" s="5" t="s">
        <v>13</v>
      </c>
      <c r="C7" s="6" t="s">
        <v>14</v>
      </c>
      <c r="E7" s="7" t="s">
        <v>15</v>
      </c>
    </row>
    <row r="8" customFormat="false" ht="21.75" hidden="false" customHeight="true" outlineLevel="0" collapsed="false">
      <c r="B8" s="5" t="s">
        <v>16</v>
      </c>
      <c r="C8" s="6" t="s">
        <v>17</v>
      </c>
      <c r="E8" s="7" t="s">
        <v>18</v>
      </c>
    </row>
    <row r="9" customFormat="false" ht="21.75" hidden="false" customHeight="true" outlineLevel="0" collapsed="false">
      <c r="B9" s="5" t="s">
        <v>19</v>
      </c>
      <c r="C9" s="6" t="n">
        <v>20</v>
      </c>
      <c r="E9" s="7" t="s">
        <v>20</v>
      </c>
    </row>
    <row r="10" customFormat="false" ht="21.75" hidden="false" customHeight="true" outlineLevel="0" collapsed="false">
      <c r="B10" s="5" t="s">
        <v>21</v>
      </c>
      <c r="C10" s="6" t="n">
        <v>1000</v>
      </c>
      <c r="E10" s="7" t="s">
        <v>22</v>
      </c>
    </row>
    <row r="11" customFormat="false" ht="21.75" hidden="false" customHeight="true" outlineLevel="0" collapsed="false">
      <c r="B11" s="5" t="s">
        <v>23</v>
      </c>
      <c r="C11" s="6" t="n">
        <v>1999</v>
      </c>
      <c r="E11" s="7" t="s">
        <v>24</v>
      </c>
    </row>
    <row r="12" customFormat="false" ht="21.75" hidden="false" customHeight="true" outlineLevel="0" collapsed="false">
      <c r="B12" s="5" t="s">
        <v>25</v>
      </c>
      <c r="C12" s="6" t="n">
        <v>0</v>
      </c>
      <c r="E12" s="7" t="s">
        <v>26</v>
      </c>
    </row>
    <row r="13" customFormat="false" ht="21.75" hidden="false" customHeight="true" outlineLevel="0" collapsed="false">
      <c r="B13" s="5" t="s">
        <v>27</v>
      </c>
      <c r="C13" s="6" t="n">
        <v>511</v>
      </c>
      <c r="E13" s="7" t="s">
        <v>24</v>
      </c>
    </row>
    <row r="16" customFormat="false" ht="15" hidden="false" customHeight="false" outlineLevel="0" collapsed="false">
      <c r="B16" s="8" t="s">
        <v>28</v>
      </c>
    </row>
    <row r="17" customFormat="false" ht="18" hidden="false" customHeight="true" outlineLevel="0" collapsed="false">
      <c r="B17" s="3" t="s">
        <v>29</v>
      </c>
      <c r="C17" s="9" t="s">
        <v>30</v>
      </c>
      <c r="D17" s="9"/>
      <c r="E17" s="9"/>
    </row>
    <row r="18" customFormat="false" ht="18" hidden="false" customHeight="true" outlineLevel="0" collapsed="false">
      <c r="B18" s="3" t="s">
        <v>31</v>
      </c>
      <c r="C18" s="9" t="s">
        <v>32</v>
      </c>
      <c r="D18" s="9"/>
      <c r="E18" s="9"/>
    </row>
    <row r="19" customFormat="false" ht="18" hidden="false" customHeight="true" outlineLevel="0" collapsed="false">
      <c r="B19" s="3" t="s">
        <v>33</v>
      </c>
      <c r="C19" s="9" t="s">
        <v>34</v>
      </c>
      <c r="D19" s="9"/>
      <c r="E19" s="9"/>
    </row>
    <row r="20" customFormat="false" ht="18" hidden="false" customHeight="true" outlineLevel="0" collapsed="false">
      <c r="B20" s="3" t="s">
        <v>35</v>
      </c>
      <c r="C20" s="9" t="s">
        <v>36</v>
      </c>
      <c r="D20" s="9"/>
      <c r="E20" s="9"/>
    </row>
    <row r="21" customFormat="false" ht="18" hidden="false" customHeight="true" outlineLevel="0" collapsed="false">
      <c r="B21" s="3" t="s">
        <v>37</v>
      </c>
      <c r="C21" s="9" t="s">
        <v>38</v>
      </c>
      <c r="D21" s="9"/>
      <c r="E21" s="9"/>
    </row>
    <row r="23" customFormat="false" ht="15" hidden="false" customHeight="true" outlineLevel="0" collapsed="false">
      <c r="B23" s="10" t="s">
        <v>39</v>
      </c>
      <c r="C23" s="10"/>
      <c r="D23" s="10"/>
      <c r="E23" s="10"/>
    </row>
    <row r="24" customFormat="false" ht="15" hidden="false" customHeight="false" outlineLevel="0" collapsed="false">
      <c r="B24" s="10"/>
      <c r="C24" s="10"/>
      <c r="D24" s="10"/>
      <c r="E24" s="10"/>
    </row>
    <row r="25" customFormat="false" ht="15" hidden="false" customHeight="false" outlineLevel="0" collapsed="false">
      <c r="B25" s="8" t="s">
        <v>40</v>
      </c>
      <c r="L25" s="11" t="s">
        <v>41</v>
      </c>
    </row>
    <row r="26" customFormat="false" ht="15" hidden="false" customHeight="true" outlineLevel="0" collapsed="false">
      <c r="B26" s="3" t="s">
        <v>42</v>
      </c>
      <c r="C26" s="12" t="n">
        <f aca="false">COUNTIF('Cartes API'!$A$9:$A$48,"?*")</f>
        <v>6</v>
      </c>
      <c r="L26" s="3" t="s">
        <v>43</v>
      </c>
      <c r="M26" s="3" t="s">
        <v>44</v>
      </c>
    </row>
    <row r="27" customFormat="false" ht="15" hidden="false" customHeight="true" outlineLevel="0" collapsed="false">
      <c r="B27" s="3" t="s">
        <v>45</v>
      </c>
      <c r="C27" s="12" t="n">
        <f aca="false">COUNTIF(ES!$B$9:$B$608,"?*")</f>
        <v>0</v>
      </c>
      <c r="L27" s="0" t="str">
        <f aca="false">IF(MW_Debut+0&gt;MW_Fin,"",(MW_Debut+0)&amp;"-"&amp;MIN(MW_Debut+99,MW_Fin))</f>
        <v>1000-1099</v>
      </c>
      <c r="M27" s="13" t="n">
        <f aca="false">IF(MW_Debut+0&gt;MW_Fin,"",SUMPRODUCT((Liens!$G$9:$G$808="MW")*(Liens!$H$9:$H$808&gt;=MW_Debut+0)*(Liens!$H$9:$H$808&lt;=MIN(MW_Debut+99,MW_Fin))))</f>
        <v>0</v>
      </c>
    </row>
    <row r="28" customFormat="false" ht="15" hidden="false" customHeight="true" outlineLevel="0" collapsed="false">
      <c r="B28" s="14" t="s">
        <v>46</v>
      </c>
      <c r="C28" s="12" t="n">
        <f aca="false">COUNTIF(ES!$A$9:$A$608,"DI")</f>
        <v>0</v>
      </c>
      <c r="L28" s="0" t="str">
        <f aca="false">IF(MW_Debut+100&gt;MW_Fin,"",(MW_Debut+100)&amp;"-"&amp;MIN(MW_Debut+199,MW_Fin))</f>
        <v>1100-1199</v>
      </c>
      <c r="M28" s="13" t="n">
        <f aca="false">IF(MW_Debut+100&gt;MW_Fin,"",SUMPRODUCT((Liens!$G$9:$G$808="MW")*(Liens!$H$9:$H$808&gt;=MW_Debut+100)*(Liens!$H$9:$H$808&lt;=MIN(MW_Debut+199,MW_Fin))))</f>
        <v>0</v>
      </c>
    </row>
    <row r="29" customFormat="false" ht="15" hidden="false" customHeight="true" outlineLevel="0" collapsed="false">
      <c r="B29" s="14" t="s">
        <v>47</v>
      </c>
      <c r="C29" s="12" t="n">
        <f aca="false">COUNTIF(ES!$A$9:$A$608,"DO")</f>
        <v>0</v>
      </c>
      <c r="L29" s="0" t="str">
        <f aca="false">IF(MW_Debut+200&gt;MW_Fin,"",(MW_Debut+200)&amp;"-"&amp;MIN(MW_Debut+299,MW_Fin))</f>
        <v>1200-1299</v>
      </c>
      <c r="M29" s="13" t="n">
        <f aca="false">IF(MW_Debut+200&gt;MW_Fin,"",SUMPRODUCT((Liens!$G$9:$G$808="MW")*(Liens!$H$9:$H$808&gt;=MW_Debut+200)*(Liens!$H$9:$H$808&lt;=MIN(MW_Debut+299,MW_Fin))))</f>
        <v>0</v>
      </c>
    </row>
    <row r="30" customFormat="false" ht="15" hidden="false" customHeight="true" outlineLevel="0" collapsed="false">
      <c r="B30" s="14" t="s">
        <v>48</v>
      </c>
      <c r="C30" s="12" t="n">
        <f aca="false">COUNTIF(ES!$A$9:$A$608,"AI")</f>
        <v>0</v>
      </c>
      <c r="L30" s="0" t="str">
        <f aca="false">IF(MW_Debut+300&gt;MW_Fin,"",(MW_Debut+300)&amp;"-"&amp;MIN(MW_Debut+399,MW_Fin))</f>
        <v>1300-1399</v>
      </c>
      <c r="M30" s="13" t="n">
        <f aca="false">IF(MW_Debut+300&gt;MW_Fin,"",SUMPRODUCT((Liens!$G$9:$G$808="MW")*(Liens!$H$9:$H$808&gt;=MW_Debut+300)*(Liens!$H$9:$H$808&lt;=MIN(MW_Debut+399,MW_Fin))))</f>
        <v>0</v>
      </c>
    </row>
    <row r="31" customFormat="false" ht="15" hidden="false" customHeight="true" outlineLevel="0" collapsed="false">
      <c r="B31" s="14" t="s">
        <v>49</v>
      </c>
      <c r="C31" s="12" t="n">
        <f aca="false">COUNTIF(ES!$A$9:$A$608,"AO")</f>
        <v>0</v>
      </c>
      <c r="L31" s="0" t="str">
        <f aca="false">IF(MW_Debut+400&gt;MW_Fin,"",(MW_Debut+400)&amp;"-"&amp;MIN(MW_Debut+499,MW_Fin))</f>
        <v>1400-1499</v>
      </c>
      <c r="M31" s="13" t="n">
        <f aca="false">IF(MW_Debut+400&gt;MW_Fin,"",SUMPRODUCT((Liens!$G$9:$G$808="MW")*(Liens!$H$9:$H$808&gt;=MW_Debut+400)*(Liens!$H$9:$H$808&lt;=MIN(MW_Debut+499,MW_Fin))))</f>
        <v>0</v>
      </c>
    </row>
    <row r="32" customFormat="false" ht="15" hidden="false" customHeight="true" outlineLevel="0" collapsed="false">
      <c r="B32" s="3" t="s">
        <v>50</v>
      </c>
      <c r="C32" s="12" t="n">
        <f aca="false">COUNTIF(Cablage!$A$9:$A$608,"?*")</f>
        <v>0</v>
      </c>
      <c r="L32" s="0" t="str">
        <f aca="false">IF(MW_Debut+500&gt;MW_Fin,"",(MW_Debut+500)&amp;"-"&amp;MIN(MW_Debut+599,MW_Fin))</f>
        <v>1500-1599</v>
      </c>
      <c r="M32" s="13" t="n">
        <f aca="false">IF(MW_Debut+500&gt;MW_Fin,"",SUMPRODUCT((Liens!$G$9:$G$808="MW")*(Liens!$H$9:$H$808&gt;=MW_Debut+500)*(Liens!$H$9:$H$808&lt;=MIN(MW_Debut+599,MW_Fin))))</f>
        <v>0</v>
      </c>
    </row>
    <row r="33" customFormat="false" ht="15" hidden="false" customHeight="true" outlineLevel="0" collapsed="false">
      <c r="B33" s="3" t="s">
        <v>51</v>
      </c>
      <c r="C33" s="12" t="n">
        <f aca="false">COUNTIF(ES!$B$9:$B$608,"?*")-COUNTIF(Cablage!$A$9:$A$608,"?*")</f>
        <v>0</v>
      </c>
      <c r="L33" s="0" t="str">
        <f aca="false">IF(MW_Debut+600&gt;MW_Fin,"",(MW_Debut+600)&amp;"-"&amp;MIN(MW_Debut+699,MW_Fin))</f>
        <v>1600-1699</v>
      </c>
      <c r="M33" s="13" t="n">
        <f aca="false">IF(MW_Debut+600&gt;MW_Fin,"",SUMPRODUCT((Liens!$G$9:$G$808="MW")*(Liens!$H$9:$H$808&gt;=MW_Debut+600)*(Liens!$H$9:$H$808&lt;=MIN(MW_Debut+699,MW_Fin))))</f>
        <v>0</v>
      </c>
    </row>
    <row r="34" customFormat="false" ht="15" hidden="false" customHeight="true" outlineLevel="0" collapsed="false">
      <c r="B34" s="3" t="s">
        <v>52</v>
      </c>
      <c r="C34" s="12" t="n">
        <f aca="false">COUNTIF(Equipements!$A$9:$A$308,"?*")</f>
        <v>0</v>
      </c>
      <c r="L34" s="0" t="str">
        <f aca="false">IF(MW_Debut+700&gt;MW_Fin,"",(MW_Debut+700)&amp;"-"&amp;MIN(MW_Debut+799,MW_Fin))</f>
        <v>1700-1799</v>
      </c>
      <c r="M34" s="13" t="n">
        <f aca="false">IF(MW_Debut+700&gt;MW_Fin,"",SUMPRODUCT((Liens!$G$9:$G$808="MW")*(Liens!$H$9:$H$808&gt;=MW_Debut+700)*(Liens!$H$9:$H$808&lt;=MIN(MW_Debut+799,MW_Fin))))</f>
        <v>0</v>
      </c>
    </row>
    <row r="35" customFormat="false" ht="15" hidden="false" customHeight="true" outlineLevel="0" collapsed="false">
      <c r="B35" s="3" t="s">
        <v>53</v>
      </c>
      <c r="C35" s="12" t="n">
        <f aca="false">COUNTIF(Liens!$D$9:$D$808,"?*")</f>
        <v>0</v>
      </c>
      <c r="L35" s="0" t="str">
        <f aca="false">IF(MW_Debut+800&gt;MW_Fin,"",(MW_Debut+800)&amp;"-"&amp;MIN(MW_Debut+899,MW_Fin))</f>
        <v>1800-1899</v>
      </c>
      <c r="M35" s="13" t="n">
        <f aca="false">IF(MW_Debut+800&gt;MW_Fin,"",SUMPRODUCT((Liens!$G$9:$G$808="MW")*(Liens!$H$9:$H$808&gt;=MW_Debut+800)*(Liens!$H$9:$H$808&lt;=MIN(MW_Debut+899,MW_Fin))))</f>
        <v>0</v>
      </c>
    </row>
    <row r="36" customFormat="false" ht="15" hidden="false" customHeight="true" outlineLevel="0" collapsed="false">
      <c r="B36" s="14" t="s">
        <v>54</v>
      </c>
      <c r="C36" s="12" t="n">
        <f aca="false">COUNTIF(Liens!$F$9:$F$808,"TM")</f>
        <v>0</v>
      </c>
      <c r="L36" s="0" t="str">
        <f aca="false">IF(MW_Debut+900&gt;MW_Fin,"",(MW_Debut+900)&amp;"-"&amp;MIN(MW_Debut+999,MW_Fin))</f>
        <v>1900-1999</v>
      </c>
      <c r="M36" s="13" t="n">
        <f aca="false">IF(MW_Debut+900&gt;MW_Fin,"",SUMPRODUCT((Liens!$G$9:$G$808="MW")*(Liens!$H$9:$H$808&gt;=MW_Debut+900)*(Liens!$H$9:$H$808&lt;=MIN(MW_Debut+999,MW_Fin))))</f>
        <v>0</v>
      </c>
    </row>
    <row r="37" customFormat="false" ht="15" hidden="false" customHeight="true" outlineLevel="0" collapsed="false">
      <c r="B37" s="14" t="s">
        <v>55</v>
      </c>
      <c r="C37" s="12" t="n">
        <f aca="false">COUNTIF(Liens!$F$9:$F$808,"TA")</f>
        <v>0</v>
      </c>
      <c r="L37" s="0" t="str">
        <f aca="false">IF(MW_Debut+1000&gt;MW_Fin,"",(MW_Debut+1000)&amp;"-"&amp;MIN(MW_Debut+1099,MW_Fin))</f>
        <v/>
      </c>
      <c r="M37" s="0" t="str">
        <f aca="false">IF(MW_Debut+1000&gt;MW_Fin,"",SUMPRODUCT((Liens!$G$9:$G$808="MW")*(Liens!$H$9:$H$808&gt;=MW_Debut+1000)*(Liens!$H$9:$H$808&lt;=MIN(MW_Debut+1099,MW_Fin))))</f>
        <v/>
      </c>
    </row>
    <row r="38" customFormat="false" ht="15" hidden="false" customHeight="true" outlineLevel="0" collapsed="false">
      <c r="B38" s="14" t="s">
        <v>56</v>
      </c>
      <c r="C38" s="12" t="n">
        <f aca="false">COUNTIF(Liens!$F$9:$F$808,"TC")</f>
        <v>0</v>
      </c>
      <c r="L38" s="0" t="str">
        <f aca="false">IF(MW_Debut+1100&gt;MW_Fin,"",(MW_Debut+1100)&amp;"-"&amp;MIN(MW_Debut+1199,MW_Fin))</f>
        <v/>
      </c>
      <c r="M38" s="0" t="str">
        <f aca="false">IF(MW_Debut+1100&gt;MW_Fin,"",SUMPRODUCT((Liens!$G$9:$G$808="MW")*(Liens!$H$9:$H$808&gt;=MW_Debut+1100)*(Liens!$H$9:$H$808&lt;=MIN(MW_Debut+1199,MW_Fin))))</f>
        <v/>
      </c>
    </row>
    <row r="39" customFormat="false" ht="15" hidden="false" customHeight="true" outlineLevel="0" collapsed="false">
      <c r="B39" s="3" t="s">
        <v>57</v>
      </c>
      <c r="C39" s="12" t="n">
        <f aca="false">SUMPRODUCT((Liens!$G$9:$G$808="MW")*(Liens!$H$9:$H$808&lt;&gt;""))</f>
        <v>0</v>
      </c>
      <c r="L39" s="0" t="str">
        <f aca="false">IF(MW_Debut+1200&gt;MW_Fin,"",(MW_Debut+1200)&amp;"-"&amp;MIN(MW_Debut+1299,MW_Fin))</f>
        <v/>
      </c>
      <c r="M39" s="0" t="str">
        <f aca="false">IF(MW_Debut+1200&gt;MW_Fin,"",SUMPRODUCT((Liens!$G$9:$G$808="MW")*(Liens!$H$9:$H$808&gt;=MW_Debut+1200)*(Liens!$H$9:$H$808&lt;=MIN(MW_Debut+1299,MW_Fin))))</f>
        <v/>
      </c>
    </row>
    <row r="40" customFormat="false" ht="15" hidden="false" customHeight="true" outlineLevel="0" collapsed="false">
      <c r="B40" s="3" t="s">
        <v>58</v>
      </c>
      <c r="C40" s="12" t="n">
        <f aca="false">SUMPRODUCT((Liens!$G$9:$G$808="MX")*(Liens!$H$9:$H$808&lt;&gt;""))</f>
        <v>0</v>
      </c>
      <c r="L40" s="0" t="str">
        <f aca="false">IF(MW_Debut+1300&gt;MW_Fin,"",(MW_Debut+1300)&amp;"-"&amp;MIN(MW_Debut+1399,MW_Fin))</f>
        <v/>
      </c>
      <c r="M40" s="0" t="str">
        <f aca="false">IF(MW_Debut+1300&gt;MW_Fin,"",SUMPRODUCT((Liens!$G$9:$G$808="MW")*(Liens!$H$9:$H$808&gt;=MW_Debut+1300)*(Liens!$H$9:$H$808&lt;=MIN(MW_Debut+1399,MW_Fin))))</f>
        <v/>
      </c>
    </row>
    <row r="41" customFormat="false" ht="15" hidden="false" customHeight="true" outlineLevel="0" collapsed="false">
      <c r="B41" s="3" t="s">
        <v>59</v>
      </c>
      <c r="C41" s="15" t="n">
        <f aca="false">_ETAT!$B$6</f>
        <v>0</v>
      </c>
      <c r="L41" s="0" t="str">
        <f aca="false">IF(MW_Debut+1400&gt;MW_Fin,"",(MW_Debut+1400)&amp;"-"&amp;MIN(MW_Debut+1499,MW_Fin))</f>
        <v/>
      </c>
      <c r="M41" s="0" t="str">
        <f aca="false">IF(MW_Debut+1400&gt;MW_Fin,"",SUMPRODUCT((Liens!$G$9:$G$808="MW")*(Liens!$H$9:$H$808&gt;=MW_Debut+1400)*(Liens!$H$9:$H$808&lt;=MIN(MW_Debut+1499,MW_Fin))))</f>
        <v/>
      </c>
    </row>
    <row r="42" customFormat="false" ht="15" hidden="false" customHeight="false" outlineLevel="0" collapsed="false">
      <c r="L42" s="0" t="str">
        <f aca="false">IF(MW_Debut+1500&gt;MW_Fin,"",(MW_Debut+1500)&amp;"-"&amp;MIN(MW_Debut+1599,MW_Fin))</f>
        <v/>
      </c>
      <c r="M42" s="0" t="str">
        <f aca="false">IF(MW_Debut+1500&gt;MW_Fin,"",SUMPRODUCT((Liens!$G$9:$G$808="MW")*(Liens!$H$9:$H$808&gt;=MW_Debut+1500)*(Liens!$H$9:$H$808&lt;=MIN(MW_Debut+1599,MW_Fin))))</f>
        <v/>
      </c>
    </row>
    <row r="43" customFormat="false" ht="15" hidden="false" customHeight="false" outlineLevel="0" collapsed="false">
      <c r="L43" s="0" t="str">
        <f aca="false">IF(MW_Debut+1600&gt;MW_Fin,"",(MW_Debut+1600)&amp;"-"&amp;MIN(MW_Debut+1699,MW_Fin))</f>
        <v/>
      </c>
      <c r="M43" s="0" t="str">
        <f aca="false">IF(MW_Debut+1600&gt;MW_Fin,"",SUMPRODUCT((Liens!$G$9:$G$808="MW")*(Liens!$H$9:$H$808&gt;=MW_Debut+1600)*(Liens!$H$9:$H$808&lt;=MIN(MW_Debut+1699,MW_Fin))))</f>
        <v/>
      </c>
    </row>
    <row r="44" customFormat="false" ht="15" hidden="false" customHeight="false" outlineLevel="0" collapsed="false">
      <c r="L44" s="0" t="str">
        <f aca="false">IF(MW_Debut+1700&gt;MW_Fin,"",(MW_Debut+1700)&amp;"-"&amp;MIN(MW_Debut+1799,MW_Fin))</f>
        <v/>
      </c>
      <c r="M44" s="0" t="str">
        <f aca="false">IF(MW_Debut+1700&gt;MW_Fin,"",SUMPRODUCT((Liens!$G$9:$G$808="MW")*(Liens!$H$9:$H$808&gt;=MW_Debut+1700)*(Liens!$H$9:$H$808&lt;=MIN(MW_Debut+1799,MW_Fin))))</f>
        <v/>
      </c>
    </row>
    <row r="45" customFormat="false" ht="15" hidden="false" customHeight="false" outlineLevel="0" collapsed="false">
      <c r="L45" s="0" t="str">
        <f aca="false">IF(MW_Debut+1800&gt;MW_Fin,"",(MW_Debut+1800)&amp;"-"&amp;MIN(MW_Debut+1899,MW_Fin))</f>
        <v/>
      </c>
      <c r="M45" s="0" t="str">
        <f aca="false">IF(MW_Debut+1800&gt;MW_Fin,"",SUMPRODUCT((Liens!$G$9:$G$808="MW")*(Liens!$H$9:$H$808&gt;=MW_Debut+1800)*(Liens!$H$9:$H$808&lt;=MIN(MW_Debut+1899,MW_Fin))))</f>
        <v/>
      </c>
    </row>
    <row r="46" customFormat="false" ht="15" hidden="false" customHeight="false" outlineLevel="0" collapsed="false">
      <c r="L46" s="0" t="str">
        <f aca="false">IF(MW_Debut+1900&gt;MW_Fin,"",(MW_Debut+1900)&amp;"-"&amp;MIN(MW_Debut+1999,MW_Fin))</f>
        <v/>
      </c>
      <c r="M46" s="0" t="str">
        <f aca="false">IF(MW_Debut+1900&gt;MW_Fin,"",SUMPRODUCT((Liens!$G$9:$G$808="MW")*(Liens!$H$9:$H$808&gt;=MW_Debut+1900)*(Liens!$H$9:$H$808&lt;=MIN(MW_Debut+1999,MW_Fin))))</f>
        <v/>
      </c>
    </row>
  </sheetData>
  <mergeCells count="8">
    <mergeCell ref="A1:I1"/>
    <mergeCell ref="A2:I2"/>
    <mergeCell ref="C17:E17"/>
    <mergeCell ref="C18:E18"/>
    <mergeCell ref="C19:E19"/>
    <mergeCell ref="C20:E20"/>
    <mergeCell ref="C21:E21"/>
    <mergeCell ref="B23:E24"/>
  </mergeCells>
  <printOptions headings="false" gridLines="false" gridLinesSet="true" horizontalCentered="true" verticalCentered="false"/>
  <pageMargins left="0.35" right="0.35" top="0.4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Affaire 2024_06_264 - Configuration&amp;C&amp;7 &amp;D&amp;R&amp;7 page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.4"/>
    <col collapsed="false" customWidth="true" hidden="false" outlineLevel="0" max="2" min="2" style="0" width="6.39"/>
    <col collapsed="false" customWidth="true" hidden="false" outlineLevel="0" max="3" min="3" style="0" width="7.4"/>
    <col collapsed="false" customWidth="true" hidden="false" outlineLevel="0" max="4" min="4" style="0" width="6"/>
    <col collapsed="false" customWidth="true" hidden="false" outlineLevel="0" max="5" min="5" style="0" width="14.4"/>
    <col collapsed="false" customWidth="true" hidden="false" outlineLevel="0" max="6" min="6" style="0" width="7.4"/>
    <col collapsed="false" customWidth="true" hidden="false" outlineLevel="0" max="7" min="7" style="0" width="6"/>
    <col collapsed="false" customWidth="true" hidden="false" outlineLevel="0" max="8" min="8" style="0" width="14.4"/>
    <col collapsed="false" customWidth="true" hidden="false" outlineLevel="0" max="9" min="9" style="0" width="12.4"/>
    <col collapsed="false" customWidth="true" hidden="false" outlineLevel="0" max="10" min="10" style="0" width="6"/>
    <col collapsed="false" customWidth="true" hidden="false" outlineLevel="0" max="11" min="11" style="0" width="9.4"/>
    <col collapsed="false" customWidth="true" hidden="false" outlineLevel="0" max="12" min="12" style="0" width="10.4"/>
    <col collapsed="false" customWidth="true" hidden="false" outlineLevel="0" max="14" min="13" style="0" width="14.4"/>
    <col collapsed="false" customWidth="true" hidden="false" outlineLevel="0" max="15" min="15" style="0" width="10.4"/>
    <col collapsed="false" customWidth="true" hidden="false" outlineLevel="0" max="16" min="16" style="0" width="25.39"/>
  </cols>
  <sheetData>
    <row r="1" customFormat="false" ht="25.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.75" hidden="false" customHeight="true" outlineLevel="0" collapsed="false">
      <c r="A4" s="3" t="s">
        <v>6</v>
      </c>
      <c r="B4" s="4" t="s">
        <v>7</v>
      </c>
      <c r="D4" s="3" t="s">
        <v>8</v>
      </c>
      <c r="E4" s="4" t="s">
        <v>9</v>
      </c>
    </row>
    <row r="6" customFormat="false" ht="15" hidden="false" customHeight="true" outlineLevel="0" collapsed="false">
      <c r="A6" s="16" t="s">
        <v>62</v>
      </c>
      <c r="B6" s="16"/>
      <c r="C6" s="16"/>
      <c r="D6" s="16"/>
      <c r="E6" s="16"/>
      <c r="F6" s="16"/>
      <c r="G6" s="16"/>
      <c r="H6" s="17" t="s">
        <v>63</v>
      </c>
      <c r="I6" s="17"/>
      <c r="J6" s="18" t="s">
        <v>64</v>
      </c>
      <c r="K6" s="18"/>
      <c r="L6" s="18"/>
      <c r="M6" s="18"/>
      <c r="N6" s="18"/>
      <c r="O6" s="18"/>
      <c r="P6" s="19" t="s">
        <v>65</v>
      </c>
    </row>
    <row r="7" customFormat="false" ht="30" hidden="false" customHeight="true" outlineLevel="0" collapsed="false">
      <c r="A7" s="20" t="s">
        <v>66</v>
      </c>
      <c r="B7" s="20" t="s">
        <v>67</v>
      </c>
      <c r="C7" s="20" t="s">
        <v>68</v>
      </c>
      <c r="D7" s="20" t="s">
        <v>69</v>
      </c>
      <c r="E7" s="20" t="s">
        <v>70</v>
      </c>
      <c r="F7" s="20" t="s">
        <v>71</v>
      </c>
      <c r="G7" s="20" t="s">
        <v>72</v>
      </c>
      <c r="H7" s="20" t="s">
        <v>73</v>
      </c>
      <c r="I7" s="20" t="s">
        <v>74</v>
      </c>
      <c r="J7" s="20" t="s">
        <v>75</v>
      </c>
      <c r="K7" s="20" t="s">
        <v>76</v>
      </c>
      <c r="L7" s="20" t="s">
        <v>77</v>
      </c>
      <c r="M7" s="20" t="s">
        <v>78</v>
      </c>
      <c r="N7" s="20" t="s">
        <v>79</v>
      </c>
      <c r="O7" s="20" t="s">
        <v>80</v>
      </c>
      <c r="P7" s="20" t="s">
        <v>81</v>
      </c>
    </row>
    <row r="8" customFormat="false" ht="12.75" hidden="false" customHeight="true" outlineLevel="0" collapsed="false">
      <c r="A8" s="21" t="s">
        <v>82</v>
      </c>
      <c r="B8" s="21" t="s">
        <v>83</v>
      </c>
      <c r="C8" s="21" t="s">
        <v>84</v>
      </c>
      <c r="D8" s="21" t="s">
        <v>85</v>
      </c>
      <c r="E8" s="21" t="s">
        <v>86</v>
      </c>
      <c r="F8" s="21" t="s">
        <v>87</v>
      </c>
      <c r="G8" s="21" t="s">
        <v>88</v>
      </c>
      <c r="H8" s="21" t="s">
        <v>89</v>
      </c>
      <c r="I8" s="21" t="s">
        <v>90</v>
      </c>
      <c r="J8" s="21"/>
      <c r="K8" s="21"/>
      <c r="L8" s="21"/>
      <c r="M8" s="21" t="s">
        <v>91</v>
      </c>
      <c r="N8" s="21" t="s">
        <v>92</v>
      </c>
      <c r="O8" s="21"/>
      <c r="P8" s="21"/>
    </row>
    <row r="9" customFormat="false" ht="15" hidden="false" customHeight="true" outlineLevel="0" collapsed="false">
      <c r="A9" s="4" t="s">
        <v>93</v>
      </c>
      <c r="B9" s="22" t="n">
        <v>0</v>
      </c>
      <c r="C9" s="4" t="n">
        <v>4</v>
      </c>
      <c r="D9" s="22" t="s">
        <v>94</v>
      </c>
      <c r="E9" s="4" t="s">
        <v>95</v>
      </c>
      <c r="F9" s="4" t="n">
        <v>16</v>
      </c>
      <c r="G9" s="22" t="s">
        <v>96</v>
      </c>
      <c r="H9" s="4" t="s">
        <v>97</v>
      </c>
      <c r="I9" s="4" t="s">
        <v>98</v>
      </c>
      <c r="J9" s="23" t="str">
        <f aca="false">IF(D9="","",IF(D9="DI","%I",IF(D9="DO","%Q",IF(D9="AI","%IW","%QW"))))</f>
        <v>%I</v>
      </c>
      <c r="K9" s="23" t="str">
        <f aca="false">IF(OR(J9="",B9="",C9=""),"",J9&amp;B9&amp;"."&amp;C9&amp;".0")</f>
        <v>%I0.4.0</v>
      </c>
      <c r="L9" s="23" t="str">
        <f aca="false">IF(OR(J9="",F9=""),"",J9&amp;B9&amp;"."&amp;C9&amp;"."&amp;(F9-1))</f>
        <v>%I0.4.15</v>
      </c>
      <c r="M9" s="23" t="str">
        <f aca="false">IF(F9="","",IF(OR(D9="DI",D9="DO"),"DFB_IO_DIG","DFB_IO_ANA")&amp;TEXT(IF(F9&lt;=4,4,IF(F9&lt;=8,8,IF(F9&lt;=16,16,IF(F9&lt;=32,32,IF(F9&lt;=64,64,"?"))))),"00"))</f>
        <v>DFB_IO_DIG16</v>
      </c>
      <c r="N9" s="23" t="n">
        <f aca="false">IF(A9="","",COUNTIF(ES!$B:$B,A9))</f>
        <v>0</v>
      </c>
      <c r="O9" s="23" t="str">
        <f aca="false">IF(A9="","",IF(N9=0,"aucune voie",IF(N9&lt;F9,"il en manque "&amp;(F9-N9),IF(N9&gt;F9,"TROP : "&amp;(N9-F9),"complete"))))</f>
        <v>aucune voie</v>
      </c>
      <c r="P9" s="4"/>
    </row>
    <row r="10" customFormat="false" ht="15" hidden="false" customHeight="true" outlineLevel="0" collapsed="false">
      <c r="A10" s="4" t="s">
        <v>99</v>
      </c>
      <c r="B10" s="22" t="n">
        <v>0</v>
      </c>
      <c r="C10" s="4" t="n">
        <v>5</v>
      </c>
      <c r="D10" s="22" t="s">
        <v>100</v>
      </c>
      <c r="E10" s="4" t="s">
        <v>101</v>
      </c>
      <c r="F10" s="4" t="n">
        <v>16</v>
      </c>
      <c r="G10" s="22" t="s">
        <v>96</v>
      </c>
      <c r="H10" s="4" t="s">
        <v>102</v>
      </c>
      <c r="I10" s="4" t="s">
        <v>103</v>
      </c>
      <c r="J10" s="23" t="str">
        <f aca="false">IF(D10="","",IF(D10="DI","%I",IF(D10="DO","%Q",IF(D10="AI","%IW","%QW"))))</f>
        <v>%Q</v>
      </c>
      <c r="K10" s="23" t="str">
        <f aca="false">IF(OR(J10="",B10="",C10=""),"",J10&amp;B10&amp;"."&amp;C10&amp;".0")</f>
        <v>%Q0.5.0</v>
      </c>
      <c r="L10" s="23" t="str">
        <f aca="false">IF(OR(J10="",F10=""),"",J10&amp;B10&amp;"."&amp;C10&amp;"."&amp;(F10-1))</f>
        <v>%Q0.5.15</v>
      </c>
      <c r="M10" s="23" t="str">
        <f aca="false">IF(F10="","",IF(OR(D10="DI",D10="DO"),"DFB_IO_DIG","DFB_IO_ANA")&amp;TEXT(IF(F10&lt;=4,4,IF(F10&lt;=8,8,IF(F10&lt;=16,16,IF(F10&lt;=32,32,IF(F10&lt;=64,64,"?"))))),"00"))</f>
        <v>DFB_IO_DIG16</v>
      </c>
      <c r="N10" s="23" t="n">
        <f aca="false">IF(A10="","",COUNTIF(ES!$B:$B,A10))</f>
        <v>0</v>
      </c>
      <c r="O10" s="23" t="str">
        <f aca="false">IF(A10="","",IF(N10=0,"aucune voie",IF(N10&lt;F10,"il en manque "&amp;(F10-N10),IF(N10&gt;F10,"TROP : "&amp;(N10-F10),"complete"))))</f>
        <v>aucune voie</v>
      </c>
      <c r="P10" s="4"/>
    </row>
    <row r="11" customFormat="false" ht="15" hidden="false" customHeight="true" outlineLevel="0" collapsed="false">
      <c r="A11" s="4" t="s">
        <v>104</v>
      </c>
      <c r="B11" s="22" t="n">
        <v>0</v>
      </c>
      <c r="C11" s="4" t="n">
        <v>7</v>
      </c>
      <c r="D11" s="22" t="s">
        <v>94</v>
      </c>
      <c r="E11" s="4" t="s">
        <v>95</v>
      </c>
      <c r="F11" s="4" t="n">
        <v>16</v>
      </c>
      <c r="G11" s="22" t="s">
        <v>96</v>
      </c>
      <c r="H11" s="4" t="s">
        <v>105</v>
      </c>
      <c r="I11" s="4" t="s">
        <v>106</v>
      </c>
      <c r="J11" s="23" t="str">
        <f aca="false">IF(D11="","",IF(D11="DI","%I",IF(D11="DO","%Q",IF(D11="AI","%IW","%QW"))))</f>
        <v>%I</v>
      </c>
      <c r="K11" s="23" t="str">
        <f aca="false">IF(OR(J11="",B11="",C11=""),"",J11&amp;B11&amp;"."&amp;C11&amp;".0")</f>
        <v>%I0.7.0</v>
      </c>
      <c r="L11" s="23" t="str">
        <f aca="false">IF(OR(J11="",F11=""),"",J11&amp;B11&amp;"."&amp;C11&amp;"."&amp;(F11-1))</f>
        <v>%I0.7.15</v>
      </c>
      <c r="M11" s="23" t="str">
        <f aca="false">IF(F11="","",IF(OR(D11="DI",D11="DO"),"DFB_IO_DIG","DFB_IO_ANA")&amp;TEXT(IF(F11&lt;=4,4,IF(F11&lt;=8,8,IF(F11&lt;=16,16,IF(F11&lt;=32,32,IF(F11&lt;=64,64,"?"))))),"00"))</f>
        <v>DFB_IO_DIG16</v>
      </c>
      <c r="N11" s="23" t="n">
        <f aca="false">IF(A11="","",COUNTIF(ES!$B:$B,A11))</f>
        <v>0</v>
      </c>
      <c r="O11" s="23" t="str">
        <f aca="false">IF(A11="","",IF(N11=0,"aucune voie",IF(N11&lt;F11,"il en manque "&amp;(F11-N11),IF(N11&gt;F11,"TROP : "&amp;(N11-F11),"complete"))))</f>
        <v>aucune voie</v>
      </c>
      <c r="P11" s="4"/>
    </row>
    <row r="12" customFormat="false" ht="15" hidden="false" customHeight="true" outlineLevel="0" collapsed="false">
      <c r="A12" s="4" t="s">
        <v>107</v>
      </c>
      <c r="B12" s="22" t="n">
        <v>0</v>
      </c>
      <c r="C12" s="4" t="n">
        <v>8</v>
      </c>
      <c r="D12" s="22" t="s">
        <v>100</v>
      </c>
      <c r="E12" s="4" t="s">
        <v>101</v>
      </c>
      <c r="F12" s="4" t="n">
        <v>16</v>
      </c>
      <c r="G12" s="22" t="s">
        <v>96</v>
      </c>
      <c r="H12" s="4" t="s">
        <v>108</v>
      </c>
      <c r="I12" s="4" t="s">
        <v>109</v>
      </c>
      <c r="J12" s="23" t="str">
        <f aca="false">IF(D12="","",IF(D12="DI","%I",IF(D12="DO","%Q",IF(D12="AI","%IW","%QW"))))</f>
        <v>%Q</v>
      </c>
      <c r="K12" s="23" t="str">
        <f aca="false">IF(OR(J12="",B12="",C12=""),"",J12&amp;B12&amp;"."&amp;C12&amp;".0")</f>
        <v>%Q0.8.0</v>
      </c>
      <c r="L12" s="23" t="str">
        <f aca="false">IF(OR(J12="",F12=""),"",J12&amp;B12&amp;"."&amp;C12&amp;"."&amp;(F12-1))</f>
        <v>%Q0.8.15</v>
      </c>
      <c r="M12" s="23" t="str">
        <f aca="false">IF(F12="","",IF(OR(D12="DI",D12="DO"),"DFB_IO_DIG","DFB_IO_ANA")&amp;TEXT(IF(F12&lt;=4,4,IF(F12&lt;=8,8,IF(F12&lt;=16,16,IF(F12&lt;=32,32,IF(F12&lt;=64,64,"?"))))),"00"))</f>
        <v>DFB_IO_DIG16</v>
      </c>
      <c r="N12" s="23" t="n">
        <f aca="false">IF(A12="","",COUNTIF(ES!$B:$B,A12))</f>
        <v>0</v>
      </c>
      <c r="O12" s="23" t="str">
        <f aca="false">IF(A12="","",IF(N12=0,"aucune voie",IF(N12&lt;F12,"il en manque "&amp;(F12-N12),IF(N12&gt;F12,"TROP : "&amp;(N12-F12),"complete"))))</f>
        <v>aucune voie</v>
      </c>
      <c r="P12" s="4"/>
    </row>
    <row r="13" customFormat="false" ht="15" hidden="false" customHeight="true" outlineLevel="0" collapsed="false">
      <c r="A13" s="4" t="s">
        <v>110</v>
      </c>
      <c r="B13" s="22" t="n">
        <v>0</v>
      </c>
      <c r="C13" s="4" t="n">
        <v>10</v>
      </c>
      <c r="D13" s="22" t="s">
        <v>111</v>
      </c>
      <c r="E13" s="4" t="s">
        <v>112</v>
      </c>
      <c r="F13" s="4" t="n">
        <v>8</v>
      </c>
      <c r="G13" s="22" t="s">
        <v>96</v>
      </c>
      <c r="H13" s="4" t="s">
        <v>113</v>
      </c>
      <c r="I13" s="4" t="s">
        <v>114</v>
      </c>
      <c r="J13" s="23" t="str">
        <f aca="false">IF(D13="","",IF(D13="DI","%I",IF(D13="DO","%Q",IF(D13="AI","%IW","%QW"))))</f>
        <v>%IW</v>
      </c>
      <c r="K13" s="23" t="str">
        <f aca="false">IF(OR(J13="",B13="",C13=""),"",J13&amp;B13&amp;"."&amp;C13&amp;".0")</f>
        <v>%IW0.10.0</v>
      </c>
      <c r="L13" s="23" t="str">
        <f aca="false">IF(OR(J13="",F13=""),"",J13&amp;B13&amp;"."&amp;C13&amp;"."&amp;(F13-1))</f>
        <v>%IW0.10.7</v>
      </c>
      <c r="M13" s="23" t="str">
        <f aca="false">IF(F13="","",IF(OR(D13="DI",D13="DO"),"DFB_IO_DIG","DFB_IO_ANA")&amp;TEXT(IF(F13&lt;=4,4,IF(F13&lt;=8,8,IF(F13&lt;=16,16,IF(F13&lt;=32,32,IF(F13&lt;=64,64,"?"))))),"00"))</f>
        <v>DFB_IO_ANA08</v>
      </c>
      <c r="N13" s="23" t="n">
        <f aca="false">IF(A13="","",COUNTIF(ES!$B:$B,A13))</f>
        <v>0</v>
      </c>
      <c r="O13" s="23" t="str">
        <f aca="false">IF(A13="","",IF(N13=0,"aucune voie",IF(N13&lt;F13,"il en manque "&amp;(F13-N13),IF(N13&gt;F13,"TROP : "&amp;(N13-F13),"complete"))))</f>
        <v>aucune voie</v>
      </c>
      <c r="P13" s="4"/>
    </row>
    <row r="14" customFormat="false" ht="15" hidden="false" customHeight="true" outlineLevel="0" collapsed="false">
      <c r="A14" s="4" t="s">
        <v>115</v>
      </c>
      <c r="B14" s="22" t="n">
        <v>0</v>
      </c>
      <c r="C14" s="4" t="n">
        <v>11</v>
      </c>
      <c r="D14" s="22" t="s">
        <v>111</v>
      </c>
      <c r="E14" s="4" t="s">
        <v>112</v>
      </c>
      <c r="F14" s="4" t="n">
        <v>8</v>
      </c>
      <c r="G14" s="22" t="s">
        <v>96</v>
      </c>
      <c r="H14" s="4" t="s">
        <v>116</v>
      </c>
      <c r="I14" s="4" t="s">
        <v>117</v>
      </c>
      <c r="J14" s="23" t="str">
        <f aca="false">IF(D14="","",IF(D14="DI","%I",IF(D14="DO","%Q",IF(D14="AI","%IW","%QW"))))</f>
        <v>%IW</v>
      </c>
      <c r="K14" s="23" t="str">
        <f aca="false">IF(OR(J14="",B14="",C14=""),"",J14&amp;B14&amp;"."&amp;C14&amp;".0")</f>
        <v>%IW0.11.0</v>
      </c>
      <c r="L14" s="23" t="str">
        <f aca="false">IF(OR(J14="",F14=""),"",J14&amp;B14&amp;"."&amp;C14&amp;"."&amp;(F14-1))</f>
        <v>%IW0.11.7</v>
      </c>
      <c r="M14" s="23" t="str">
        <f aca="false">IF(F14="","",IF(OR(D14="DI",D14="DO"),"DFB_IO_DIG","DFB_IO_ANA")&amp;TEXT(IF(F14&lt;=4,4,IF(F14&lt;=8,8,IF(F14&lt;=16,16,IF(F14&lt;=32,32,IF(F14&lt;=64,64,"?"))))),"00"))</f>
        <v>DFB_IO_ANA08</v>
      </c>
      <c r="N14" s="23" t="n">
        <f aca="false">IF(A14="","",COUNTIF(ES!$B:$B,A14))</f>
        <v>0</v>
      </c>
      <c r="O14" s="23" t="str">
        <f aca="false">IF(A14="","",IF(N14=0,"aucune voie",IF(N14&lt;F14,"il en manque "&amp;(F14-N14),IF(N14&gt;F14,"TROP : "&amp;(N14-F14),"complete"))))</f>
        <v>aucune voie</v>
      </c>
      <c r="P14" s="4"/>
    </row>
    <row r="15" customFormat="false" ht="15" hidden="false" customHeight="true" outlineLevel="0" collapsed="false">
      <c r="A15" s="4"/>
      <c r="B15" s="22"/>
      <c r="C15" s="4"/>
      <c r="D15" s="22"/>
      <c r="E15" s="4"/>
      <c r="F15" s="4"/>
      <c r="G15" s="22"/>
      <c r="H15" s="4"/>
      <c r="I15" s="4"/>
      <c r="J15" s="23" t="str">
        <f aca="false">IF(D15="","",IF(D15="DI","%I",IF(D15="DO","%Q",IF(D15="AI","%IW","%QW"))))</f>
        <v/>
      </c>
      <c r="K15" s="23" t="str">
        <f aca="false">IF(OR(J15="",B15="",C15=""),"",J15&amp;B15&amp;"."&amp;C15&amp;".0")</f>
        <v/>
      </c>
      <c r="L15" s="23" t="str">
        <f aca="false">IF(OR(J15="",F15=""),"",J15&amp;B15&amp;"."&amp;C15&amp;"."&amp;(F15-1))</f>
        <v/>
      </c>
      <c r="M15" s="23" t="str">
        <f aca="false">IF(F15="","",IF(OR(D15="DI",D15="DO"),"DFB_IO_DIG","DFB_IO_ANA")&amp;TEXT(IF(F15&lt;=4,4,IF(F15&lt;=8,8,IF(F15&lt;=16,16,IF(F15&lt;=32,32,IF(F15&lt;=64,64,"?"))))),"00"))</f>
        <v/>
      </c>
      <c r="N15" s="23" t="str">
        <f aca="false">IF(A15="","",COUNTIF(ES!$B:$B,A15))</f>
        <v/>
      </c>
      <c r="O15" s="23" t="str">
        <f aca="false">IF(A15="","",IF(N15=0,"aucune voie",IF(N15&lt;F15,"il en manque "&amp;(F15-N15),IF(N15&gt;F15,"TROP : "&amp;(N15-F15),"complete"))))</f>
        <v/>
      </c>
      <c r="P15" s="4"/>
    </row>
    <row r="16" customFormat="false" ht="15" hidden="false" customHeight="true" outlineLevel="0" collapsed="false">
      <c r="A16" s="4"/>
      <c r="B16" s="22"/>
      <c r="C16" s="4"/>
      <c r="D16" s="22"/>
      <c r="E16" s="4"/>
      <c r="F16" s="4"/>
      <c r="G16" s="22"/>
      <c r="H16" s="4"/>
      <c r="I16" s="4"/>
      <c r="J16" s="23" t="str">
        <f aca="false">IF(D16="","",IF(D16="DI","%I",IF(D16="DO","%Q",IF(D16="AI","%IW","%QW"))))</f>
        <v/>
      </c>
      <c r="K16" s="23" t="str">
        <f aca="false">IF(OR(J16="",B16="",C16=""),"",J16&amp;B16&amp;"."&amp;C16&amp;".0")</f>
        <v/>
      </c>
      <c r="L16" s="23" t="str">
        <f aca="false">IF(OR(J16="",F16=""),"",J16&amp;B16&amp;"."&amp;C16&amp;"."&amp;(F16-1))</f>
        <v/>
      </c>
      <c r="M16" s="23" t="str">
        <f aca="false">IF(F16="","",IF(OR(D16="DI",D16="DO"),"DFB_IO_DIG","DFB_IO_ANA")&amp;TEXT(IF(F16&lt;=4,4,IF(F16&lt;=8,8,IF(F16&lt;=16,16,IF(F16&lt;=32,32,IF(F16&lt;=64,64,"?"))))),"00"))</f>
        <v/>
      </c>
      <c r="N16" s="23" t="str">
        <f aca="false">IF(A16="","",COUNTIF(ES!$B:$B,A16))</f>
        <v/>
      </c>
      <c r="O16" s="23" t="str">
        <f aca="false">IF(A16="","",IF(N16=0,"aucune voie",IF(N16&lt;F16,"il en manque "&amp;(F16-N16),IF(N16&gt;F16,"TROP : "&amp;(N16-F16),"complete"))))</f>
        <v/>
      </c>
      <c r="P16" s="4"/>
    </row>
    <row r="17" customFormat="false" ht="15" hidden="false" customHeight="true" outlineLevel="0" collapsed="false">
      <c r="A17" s="4"/>
      <c r="B17" s="22"/>
      <c r="C17" s="4"/>
      <c r="D17" s="22"/>
      <c r="E17" s="4"/>
      <c r="F17" s="4"/>
      <c r="G17" s="22"/>
      <c r="H17" s="4"/>
      <c r="I17" s="4"/>
      <c r="J17" s="23" t="str">
        <f aca="false">IF(D17="","",IF(D17="DI","%I",IF(D17="DO","%Q",IF(D17="AI","%IW","%QW"))))</f>
        <v/>
      </c>
      <c r="K17" s="23" t="str">
        <f aca="false">IF(OR(J17="",B17="",C17=""),"",J17&amp;B17&amp;"."&amp;C17&amp;".0")</f>
        <v/>
      </c>
      <c r="L17" s="23" t="str">
        <f aca="false">IF(OR(J17="",F17=""),"",J17&amp;B17&amp;"."&amp;C17&amp;"."&amp;(F17-1))</f>
        <v/>
      </c>
      <c r="M17" s="23" t="str">
        <f aca="false">IF(F17="","",IF(OR(D17="DI",D17="DO"),"DFB_IO_DIG","DFB_IO_ANA")&amp;TEXT(IF(F17&lt;=4,4,IF(F17&lt;=8,8,IF(F17&lt;=16,16,IF(F17&lt;=32,32,IF(F17&lt;=64,64,"?"))))),"00"))</f>
        <v/>
      </c>
      <c r="N17" s="23" t="str">
        <f aca="false">IF(A17="","",COUNTIF(ES!$B:$B,A17))</f>
        <v/>
      </c>
      <c r="O17" s="23" t="str">
        <f aca="false">IF(A17="","",IF(N17=0,"aucune voie",IF(N17&lt;F17,"il en manque "&amp;(F17-N17),IF(N17&gt;F17,"TROP : "&amp;(N17-F17),"complete"))))</f>
        <v/>
      </c>
      <c r="P17" s="4"/>
    </row>
    <row r="18" customFormat="false" ht="15" hidden="false" customHeight="true" outlineLevel="0" collapsed="false">
      <c r="A18" s="4"/>
      <c r="B18" s="22"/>
      <c r="C18" s="4"/>
      <c r="D18" s="22"/>
      <c r="E18" s="4"/>
      <c r="F18" s="4"/>
      <c r="G18" s="22"/>
      <c r="H18" s="4"/>
      <c r="I18" s="4"/>
      <c r="J18" s="23" t="str">
        <f aca="false">IF(D18="","",IF(D18="DI","%I",IF(D18="DO","%Q",IF(D18="AI","%IW","%QW"))))</f>
        <v/>
      </c>
      <c r="K18" s="23" t="str">
        <f aca="false">IF(OR(J18="",B18="",C18=""),"",J18&amp;B18&amp;"."&amp;C18&amp;".0")</f>
        <v/>
      </c>
      <c r="L18" s="23" t="str">
        <f aca="false">IF(OR(J18="",F18=""),"",J18&amp;B18&amp;"."&amp;C18&amp;"."&amp;(F18-1))</f>
        <v/>
      </c>
      <c r="M18" s="23" t="str">
        <f aca="false">IF(F18="","",IF(OR(D18="DI",D18="DO"),"DFB_IO_DIG","DFB_IO_ANA")&amp;TEXT(IF(F18&lt;=4,4,IF(F18&lt;=8,8,IF(F18&lt;=16,16,IF(F18&lt;=32,32,IF(F18&lt;=64,64,"?"))))),"00"))</f>
        <v/>
      </c>
      <c r="N18" s="23" t="str">
        <f aca="false">IF(A18="","",COUNTIF(ES!$B:$B,A18))</f>
        <v/>
      </c>
      <c r="O18" s="23" t="str">
        <f aca="false">IF(A18="","",IF(N18=0,"aucune voie",IF(N18&lt;F18,"il en manque "&amp;(F18-N18),IF(N18&gt;F18,"TROP : "&amp;(N18-F18),"complete"))))</f>
        <v/>
      </c>
      <c r="P18" s="4"/>
    </row>
    <row r="19" customFormat="false" ht="15" hidden="false" customHeight="true" outlineLevel="0" collapsed="false">
      <c r="A19" s="4"/>
      <c r="B19" s="22"/>
      <c r="C19" s="4"/>
      <c r="D19" s="22"/>
      <c r="E19" s="4"/>
      <c r="F19" s="4"/>
      <c r="G19" s="22"/>
      <c r="H19" s="4"/>
      <c r="I19" s="4"/>
      <c r="J19" s="23" t="str">
        <f aca="false">IF(D19="","",IF(D19="DI","%I",IF(D19="DO","%Q",IF(D19="AI","%IW","%QW"))))</f>
        <v/>
      </c>
      <c r="K19" s="23" t="str">
        <f aca="false">IF(OR(J19="",B19="",C19=""),"",J19&amp;B19&amp;"."&amp;C19&amp;".0")</f>
        <v/>
      </c>
      <c r="L19" s="23" t="str">
        <f aca="false">IF(OR(J19="",F19=""),"",J19&amp;B19&amp;"."&amp;C19&amp;"."&amp;(F19-1))</f>
        <v/>
      </c>
      <c r="M19" s="23" t="str">
        <f aca="false">IF(F19="","",IF(OR(D19="DI",D19="DO"),"DFB_IO_DIG","DFB_IO_ANA")&amp;TEXT(IF(F19&lt;=4,4,IF(F19&lt;=8,8,IF(F19&lt;=16,16,IF(F19&lt;=32,32,IF(F19&lt;=64,64,"?"))))),"00"))</f>
        <v/>
      </c>
      <c r="N19" s="23" t="str">
        <f aca="false">IF(A19="","",COUNTIF(ES!$B:$B,A19))</f>
        <v/>
      </c>
      <c r="O19" s="23" t="str">
        <f aca="false">IF(A19="","",IF(N19=0,"aucune voie",IF(N19&lt;F19,"il en manque "&amp;(F19-N19),IF(N19&gt;F19,"TROP : "&amp;(N19-F19),"complete"))))</f>
        <v/>
      </c>
      <c r="P19" s="4"/>
    </row>
    <row r="20" customFormat="false" ht="15" hidden="false" customHeight="true" outlineLevel="0" collapsed="false">
      <c r="A20" s="4"/>
      <c r="B20" s="22"/>
      <c r="C20" s="4"/>
      <c r="D20" s="22"/>
      <c r="E20" s="4"/>
      <c r="F20" s="4"/>
      <c r="G20" s="22"/>
      <c r="H20" s="4"/>
      <c r="I20" s="4"/>
      <c r="J20" s="23" t="str">
        <f aca="false">IF(D20="","",IF(D20="DI","%I",IF(D20="DO","%Q",IF(D20="AI","%IW","%QW"))))</f>
        <v/>
      </c>
      <c r="K20" s="23" t="str">
        <f aca="false">IF(OR(J20="",B20="",C20=""),"",J20&amp;B20&amp;"."&amp;C20&amp;".0")</f>
        <v/>
      </c>
      <c r="L20" s="23" t="str">
        <f aca="false">IF(OR(J20="",F20=""),"",J20&amp;B20&amp;"."&amp;C20&amp;"."&amp;(F20-1))</f>
        <v/>
      </c>
      <c r="M20" s="23" t="str">
        <f aca="false">IF(F20="","",IF(OR(D20="DI",D20="DO"),"DFB_IO_DIG","DFB_IO_ANA")&amp;TEXT(IF(F20&lt;=4,4,IF(F20&lt;=8,8,IF(F20&lt;=16,16,IF(F20&lt;=32,32,IF(F20&lt;=64,64,"?"))))),"00"))</f>
        <v/>
      </c>
      <c r="N20" s="23" t="str">
        <f aca="false">IF(A20="","",COUNTIF(ES!$B:$B,A20))</f>
        <v/>
      </c>
      <c r="O20" s="23" t="str">
        <f aca="false">IF(A20="","",IF(N20=0,"aucune voie",IF(N20&lt;F20,"il en manque "&amp;(F20-N20),IF(N20&gt;F20,"TROP : "&amp;(N20-F20),"complete"))))</f>
        <v/>
      </c>
      <c r="P20" s="4"/>
    </row>
    <row r="21" customFormat="false" ht="15" hidden="false" customHeight="true" outlineLevel="0" collapsed="false">
      <c r="A21" s="4"/>
      <c r="B21" s="22"/>
      <c r="C21" s="4"/>
      <c r="D21" s="22"/>
      <c r="E21" s="4"/>
      <c r="F21" s="4"/>
      <c r="G21" s="22"/>
      <c r="H21" s="4"/>
      <c r="I21" s="4"/>
      <c r="J21" s="23" t="str">
        <f aca="false">IF(D21="","",IF(D21="DI","%I",IF(D21="DO","%Q",IF(D21="AI","%IW","%QW"))))</f>
        <v/>
      </c>
      <c r="K21" s="23" t="str">
        <f aca="false">IF(OR(J21="",B21="",C21=""),"",J21&amp;B21&amp;"."&amp;C21&amp;".0")</f>
        <v/>
      </c>
      <c r="L21" s="23" t="str">
        <f aca="false">IF(OR(J21="",F21=""),"",J21&amp;B21&amp;"."&amp;C21&amp;"."&amp;(F21-1))</f>
        <v/>
      </c>
      <c r="M21" s="23" t="str">
        <f aca="false">IF(F21="","",IF(OR(D21="DI",D21="DO"),"DFB_IO_DIG","DFB_IO_ANA")&amp;TEXT(IF(F21&lt;=4,4,IF(F21&lt;=8,8,IF(F21&lt;=16,16,IF(F21&lt;=32,32,IF(F21&lt;=64,64,"?"))))),"00"))</f>
        <v/>
      </c>
      <c r="N21" s="23" t="str">
        <f aca="false">IF(A21="","",COUNTIF(ES!$B:$B,A21))</f>
        <v/>
      </c>
      <c r="O21" s="23" t="str">
        <f aca="false">IF(A21="","",IF(N21=0,"aucune voie",IF(N21&lt;F21,"il en manque "&amp;(F21-N21),IF(N21&gt;F21,"TROP : "&amp;(N21-F21),"complete"))))</f>
        <v/>
      </c>
      <c r="P21" s="4"/>
    </row>
    <row r="22" customFormat="false" ht="15" hidden="false" customHeight="true" outlineLevel="0" collapsed="false">
      <c r="A22" s="4"/>
      <c r="B22" s="22"/>
      <c r="C22" s="4"/>
      <c r="D22" s="22"/>
      <c r="E22" s="4"/>
      <c r="F22" s="4"/>
      <c r="G22" s="22"/>
      <c r="H22" s="4"/>
      <c r="I22" s="4"/>
      <c r="J22" s="23" t="str">
        <f aca="false">IF(D22="","",IF(D22="DI","%I",IF(D22="DO","%Q",IF(D22="AI","%IW","%QW"))))</f>
        <v/>
      </c>
      <c r="K22" s="23" t="str">
        <f aca="false">IF(OR(J22="",B22="",C22=""),"",J22&amp;B22&amp;"."&amp;C22&amp;".0")</f>
        <v/>
      </c>
      <c r="L22" s="23" t="str">
        <f aca="false">IF(OR(J22="",F22=""),"",J22&amp;B22&amp;"."&amp;C22&amp;"."&amp;(F22-1))</f>
        <v/>
      </c>
      <c r="M22" s="23" t="str">
        <f aca="false">IF(F22="","",IF(OR(D22="DI",D22="DO"),"DFB_IO_DIG","DFB_IO_ANA")&amp;TEXT(IF(F22&lt;=4,4,IF(F22&lt;=8,8,IF(F22&lt;=16,16,IF(F22&lt;=32,32,IF(F22&lt;=64,64,"?"))))),"00"))</f>
        <v/>
      </c>
      <c r="N22" s="23" t="str">
        <f aca="false">IF(A22="","",COUNTIF(ES!$B:$B,A22))</f>
        <v/>
      </c>
      <c r="O22" s="23" t="str">
        <f aca="false">IF(A22="","",IF(N22=0,"aucune voie",IF(N22&lt;F22,"il en manque "&amp;(F22-N22),IF(N22&gt;F22,"TROP : "&amp;(N22-F22),"complete"))))</f>
        <v/>
      </c>
      <c r="P22" s="4"/>
    </row>
    <row r="23" customFormat="false" ht="15" hidden="false" customHeight="true" outlineLevel="0" collapsed="false">
      <c r="A23" s="4"/>
      <c r="B23" s="22"/>
      <c r="C23" s="4"/>
      <c r="D23" s="22"/>
      <c r="E23" s="4"/>
      <c r="F23" s="4"/>
      <c r="G23" s="22"/>
      <c r="H23" s="4"/>
      <c r="I23" s="4"/>
      <c r="J23" s="23" t="str">
        <f aca="false">IF(D23="","",IF(D23="DI","%I",IF(D23="DO","%Q",IF(D23="AI","%IW","%QW"))))</f>
        <v/>
      </c>
      <c r="K23" s="23" t="str">
        <f aca="false">IF(OR(J23="",B23="",C23=""),"",J23&amp;B23&amp;"."&amp;C23&amp;".0")</f>
        <v/>
      </c>
      <c r="L23" s="23" t="str">
        <f aca="false">IF(OR(J23="",F23=""),"",J23&amp;B23&amp;"."&amp;C23&amp;"."&amp;(F23-1))</f>
        <v/>
      </c>
      <c r="M23" s="23" t="str">
        <f aca="false">IF(F23="","",IF(OR(D23="DI",D23="DO"),"DFB_IO_DIG","DFB_IO_ANA")&amp;TEXT(IF(F23&lt;=4,4,IF(F23&lt;=8,8,IF(F23&lt;=16,16,IF(F23&lt;=32,32,IF(F23&lt;=64,64,"?"))))),"00"))</f>
        <v/>
      </c>
      <c r="N23" s="23" t="str">
        <f aca="false">IF(A23="","",COUNTIF(ES!$B:$B,A23))</f>
        <v/>
      </c>
      <c r="O23" s="23" t="str">
        <f aca="false">IF(A23="","",IF(N23=0,"aucune voie",IF(N23&lt;F23,"il en manque "&amp;(F23-N23),IF(N23&gt;F23,"TROP : "&amp;(N23-F23),"complete"))))</f>
        <v/>
      </c>
      <c r="P23" s="4"/>
    </row>
    <row r="24" customFormat="false" ht="15" hidden="false" customHeight="true" outlineLevel="0" collapsed="false">
      <c r="A24" s="4"/>
      <c r="B24" s="22"/>
      <c r="C24" s="4"/>
      <c r="D24" s="22"/>
      <c r="E24" s="4"/>
      <c r="F24" s="4"/>
      <c r="G24" s="22"/>
      <c r="H24" s="4"/>
      <c r="I24" s="4"/>
      <c r="J24" s="23" t="str">
        <f aca="false">IF(D24="","",IF(D24="DI","%I",IF(D24="DO","%Q",IF(D24="AI","%IW","%QW"))))</f>
        <v/>
      </c>
      <c r="K24" s="23" t="str">
        <f aca="false">IF(OR(J24="",B24="",C24=""),"",J24&amp;B24&amp;"."&amp;C24&amp;".0")</f>
        <v/>
      </c>
      <c r="L24" s="23" t="str">
        <f aca="false">IF(OR(J24="",F24=""),"",J24&amp;B24&amp;"."&amp;C24&amp;"."&amp;(F24-1))</f>
        <v/>
      </c>
      <c r="M24" s="23" t="str">
        <f aca="false">IF(F24="","",IF(OR(D24="DI",D24="DO"),"DFB_IO_DIG","DFB_IO_ANA")&amp;TEXT(IF(F24&lt;=4,4,IF(F24&lt;=8,8,IF(F24&lt;=16,16,IF(F24&lt;=32,32,IF(F24&lt;=64,64,"?"))))),"00"))</f>
        <v/>
      </c>
      <c r="N24" s="23" t="str">
        <f aca="false">IF(A24="","",COUNTIF(ES!$B:$B,A24))</f>
        <v/>
      </c>
      <c r="O24" s="23" t="str">
        <f aca="false">IF(A24="","",IF(N24=0,"aucune voie",IF(N24&lt;F24,"il en manque "&amp;(F24-N24),IF(N24&gt;F24,"TROP : "&amp;(N24-F24),"complete"))))</f>
        <v/>
      </c>
      <c r="P24" s="4"/>
    </row>
    <row r="25" customFormat="false" ht="15" hidden="false" customHeight="true" outlineLevel="0" collapsed="false">
      <c r="A25" s="4"/>
      <c r="B25" s="22"/>
      <c r="C25" s="4"/>
      <c r="D25" s="22"/>
      <c r="E25" s="4"/>
      <c r="F25" s="4"/>
      <c r="G25" s="22"/>
      <c r="H25" s="4"/>
      <c r="I25" s="4"/>
      <c r="J25" s="23" t="str">
        <f aca="false">IF(D25="","",IF(D25="DI","%I",IF(D25="DO","%Q",IF(D25="AI","%IW","%QW"))))</f>
        <v/>
      </c>
      <c r="K25" s="23" t="str">
        <f aca="false">IF(OR(J25="",B25="",C25=""),"",J25&amp;B25&amp;"."&amp;C25&amp;".0")</f>
        <v/>
      </c>
      <c r="L25" s="23" t="str">
        <f aca="false">IF(OR(J25="",F25=""),"",J25&amp;B25&amp;"."&amp;C25&amp;"."&amp;(F25-1))</f>
        <v/>
      </c>
      <c r="M25" s="23" t="str">
        <f aca="false">IF(F25="","",IF(OR(D25="DI",D25="DO"),"DFB_IO_DIG","DFB_IO_ANA")&amp;TEXT(IF(F25&lt;=4,4,IF(F25&lt;=8,8,IF(F25&lt;=16,16,IF(F25&lt;=32,32,IF(F25&lt;=64,64,"?"))))),"00"))</f>
        <v/>
      </c>
      <c r="N25" s="23" t="str">
        <f aca="false">IF(A25="","",COUNTIF(ES!$B:$B,A25))</f>
        <v/>
      </c>
      <c r="O25" s="23" t="str">
        <f aca="false">IF(A25="","",IF(N25=0,"aucune voie",IF(N25&lt;F25,"il en manque "&amp;(F25-N25),IF(N25&gt;F25,"TROP : "&amp;(N25-F25),"complete"))))</f>
        <v/>
      </c>
      <c r="P25" s="4"/>
    </row>
    <row r="26" customFormat="false" ht="15" hidden="false" customHeight="true" outlineLevel="0" collapsed="false">
      <c r="A26" s="4"/>
      <c r="B26" s="22"/>
      <c r="C26" s="4"/>
      <c r="D26" s="22"/>
      <c r="E26" s="4"/>
      <c r="F26" s="4"/>
      <c r="G26" s="22"/>
      <c r="H26" s="4"/>
      <c r="I26" s="4"/>
      <c r="J26" s="23" t="str">
        <f aca="false">IF(D26="","",IF(D26="DI","%I",IF(D26="DO","%Q",IF(D26="AI","%IW","%QW"))))</f>
        <v/>
      </c>
      <c r="K26" s="23" t="str">
        <f aca="false">IF(OR(J26="",B26="",C26=""),"",J26&amp;B26&amp;"."&amp;C26&amp;".0")</f>
        <v/>
      </c>
      <c r="L26" s="23" t="str">
        <f aca="false">IF(OR(J26="",F26=""),"",J26&amp;B26&amp;"."&amp;C26&amp;"."&amp;(F26-1))</f>
        <v/>
      </c>
      <c r="M26" s="23" t="str">
        <f aca="false">IF(F26="","",IF(OR(D26="DI",D26="DO"),"DFB_IO_DIG","DFB_IO_ANA")&amp;TEXT(IF(F26&lt;=4,4,IF(F26&lt;=8,8,IF(F26&lt;=16,16,IF(F26&lt;=32,32,IF(F26&lt;=64,64,"?"))))),"00"))</f>
        <v/>
      </c>
      <c r="N26" s="23" t="str">
        <f aca="false">IF(A26="","",COUNTIF(ES!$B:$B,A26))</f>
        <v/>
      </c>
      <c r="O26" s="23" t="str">
        <f aca="false">IF(A26="","",IF(N26=0,"aucune voie",IF(N26&lt;F26,"il en manque "&amp;(F26-N26),IF(N26&gt;F26,"TROP : "&amp;(N26-F26),"complete"))))</f>
        <v/>
      </c>
      <c r="P26" s="4"/>
    </row>
    <row r="27" customFormat="false" ht="15" hidden="false" customHeight="true" outlineLevel="0" collapsed="false">
      <c r="A27" s="4"/>
      <c r="B27" s="22"/>
      <c r="C27" s="4"/>
      <c r="D27" s="22"/>
      <c r="E27" s="4"/>
      <c r="F27" s="4"/>
      <c r="G27" s="22"/>
      <c r="H27" s="4"/>
      <c r="I27" s="4"/>
      <c r="J27" s="23" t="str">
        <f aca="false">IF(D27="","",IF(D27="DI","%I",IF(D27="DO","%Q",IF(D27="AI","%IW","%QW"))))</f>
        <v/>
      </c>
      <c r="K27" s="23" t="str">
        <f aca="false">IF(OR(J27="",B27="",C27=""),"",J27&amp;B27&amp;"."&amp;C27&amp;".0")</f>
        <v/>
      </c>
      <c r="L27" s="23" t="str">
        <f aca="false">IF(OR(J27="",F27=""),"",J27&amp;B27&amp;"."&amp;C27&amp;"."&amp;(F27-1))</f>
        <v/>
      </c>
      <c r="M27" s="23" t="str">
        <f aca="false">IF(F27="","",IF(OR(D27="DI",D27="DO"),"DFB_IO_DIG","DFB_IO_ANA")&amp;TEXT(IF(F27&lt;=4,4,IF(F27&lt;=8,8,IF(F27&lt;=16,16,IF(F27&lt;=32,32,IF(F27&lt;=64,64,"?"))))),"00"))</f>
        <v/>
      </c>
      <c r="N27" s="23" t="str">
        <f aca="false">IF(A27="","",COUNTIF(ES!$B:$B,A27))</f>
        <v/>
      </c>
      <c r="O27" s="23" t="str">
        <f aca="false">IF(A27="","",IF(N27=0,"aucune voie",IF(N27&lt;F27,"il en manque "&amp;(F27-N27),IF(N27&gt;F27,"TROP : "&amp;(N27-F27),"complete"))))</f>
        <v/>
      </c>
      <c r="P27" s="4"/>
    </row>
    <row r="28" customFormat="false" ht="15" hidden="false" customHeight="true" outlineLevel="0" collapsed="false">
      <c r="A28" s="4"/>
      <c r="B28" s="22"/>
      <c r="C28" s="4"/>
      <c r="D28" s="22"/>
      <c r="E28" s="4"/>
      <c r="F28" s="4"/>
      <c r="G28" s="22"/>
      <c r="H28" s="4"/>
      <c r="I28" s="4"/>
      <c r="J28" s="23" t="str">
        <f aca="false">IF(D28="","",IF(D28="DI","%I",IF(D28="DO","%Q",IF(D28="AI","%IW","%QW"))))</f>
        <v/>
      </c>
      <c r="K28" s="23" t="str">
        <f aca="false">IF(OR(J28="",B28="",C28=""),"",J28&amp;B28&amp;"."&amp;C28&amp;".0")</f>
        <v/>
      </c>
      <c r="L28" s="23" t="str">
        <f aca="false">IF(OR(J28="",F28=""),"",J28&amp;B28&amp;"."&amp;C28&amp;"."&amp;(F28-1))</f>
        <v/>
      </c>
      <c r="M28" s="23" t="str">
        <f aca="false">IF(F28="","",IF(OR(D28="DI",D28="DO"),"DFB_IO_DIG","DFB_IO_ANA")&amp;TEXT(IF(F28&lt;=4,4,IF(F28&lt;=8,8,IF(F28&lt;=16,16,IF(F28&lt;=32,32,IF(F28&lt;=64,64,"?"))))),"00"))</f>
        <v/>
      </c>
      <c r="N28" s="23" t="str">
        <f aca="false">IF(A28="","",COUNTIF(ES!$B:$B,A28))</f>
        <v/>
      </c>
      <c r="O28" s="23" t="str">
        <f aca="false">IF(A28="","",IF(N28=0,"aucune voie",IF(N28&lt;F28,"il en manque "&amp;(F28-N28),IF(N28&gt;F28,"TROP : "&amp;(N28-F28),"complete"))))</f>
        <v/>
      </c>
      <c r="P28" s="4"/>
    </row>
    <row r="29" customFormat="false" ht="15" hidden="false" customHeight="true" outlineLevel="0" collapsed="false">
      <c r="A29" s="4"/>
      <c r="B29" s="22"/>
      <c r="C29" s="4"/>
      <c r="D29" s="22"/>
      <c r="E29" s="4"/>
      <c r="F29" s="4"/>
      <c r="G29" s="22"/>
      <c r="H29" s="4"/>
      <c r="I29" s="4"/>
      <c r="J29" s="23" t="str">
        <f aca="false">IF(D29="","",IF(D29="DI","%I",IF(D29="DO","%Q",IF(D29="AI","%IW","%QW"))))</f>
        <v/>
      </c>
      <c r="K29" s="23" t="str">
        <f aca="false">IF(OR(J29="",B29="",C29=""),"",J29&amp;B29&amp;"."&amp;C29&amp;".0")</f>
        <v/>
      </c>
      <c r="L29" s="23" t="str">
        <f aca="false">IF(OR(J29="",F29=""),"",J29&amp;B29&amp;"."&amp;C29&amp;"."&amp;(F29-1))</f>
        <v/>
      </c>
      <c r="M29" s="23" t="str">
        <f aca="false">IF(F29="","",IF(OR(D29="DI",D29="DO"),"DFB_IO_DIG","DFB_IO_ANA")&amp;TEXT(IF(F29&lt;=4,4,IF(F29&lt;=8,8,IF(F29&lt;=16,16,IF(F29&lt;=32,32,IF(F29&lt;=64,64,"?"))))),"00"))</f>
        <v/>
      </c>
      <c r="N29" s="23" t="str">
        <f aca="false">IF(A29="","",COUNTIF(ES!$B:$B,A29))</f>
        <v/>
      </c>
      <c r="O29" s="23" t="str">
        <f aca="false">IF(A29="","",IF(N29=0,"aucune voie",IF(N29&lt;F29,"il en manque "&amp;(F29-N29),IF(N29&gt;F29,"TROP : "&amp;(N29-F29),"complete"))))</f>
        <v/>
      </c>
      <c r="P29" s="4"/>
    </row>
    <row r="30" customFormat="false" ht="15" hidden="false" customHeight="true" outlineLevel="0" collapsed="false">
      <c r="A30" s="4"/>
      <c r="B30" s="22"/>
      <c r="C30" s="4"/>
      <c r="D30" s="22"/>
      <c r="E30" s="4"/>
      <c r="F30" s="4"/>
      <c r="G30" s="22"/>
      <c r="H30" s="4"/>
      <c r="I30" s="4"/>
      <c r="J30" s="23" t="str">
        <f aca="false">IF(D30="","",IF(D30="DI","%I",IF(D30="DO","%Q",IF(D30="AI","%IW","%QW"))))</f>
        <v/>
      </c>
      <c r="K30" s="23" t="str">
        <f aca="false">IF(OR(J30="",B30="",C30=""),"",J30&amp;B30&amp;"."&amp;C30&amp;".0")</f>
        <v/>
      </c>
      <c r="L30" s="23" t="str">
        <f aca="false">IF(OR(J30="",F30=""),"",J30&amp;B30&amp;"."&amp;C30&amp;"."&amp;(F30-1))</f>
        <v/>
      </c>
      <c r="M30" s="23" t="str">
        <f aca="false">IF(F30="","",IF(OR(D30="DI",D30="DO"),"DFB_IO_DIG","DFB_IO_ANA")&amp;TEXT(IF(F30&lt;=4,4,IF(F30&lt;=8,8,IF(F30&lt;=16,16,IF(F30&lt;=32,32,IF(F30&lt;=64,64,"?"))))),"00"))</f>
        <v/>
      </c>
      <c r="N30" s="23" t="str">
        <f aca="false">IF(A30="","",COUNTIF(ES!$B:$B,A30))</f>
        <v/>
      </c>
      <c r="O30" s="23" t="str">
        <f aca="false">IF(A30="","",IF(N30=0,"aucune voie",IF(N30&lt;F30,"il en manque "&amp;(F30-N30),IF(N30&gt;F30,"TROP : "&amp;(N30-F30),"complete"))))</f>
        <v/>
      </c>
      <c r="P30" s="4"/>
    </row>
    <row r="31" customFormat="false" ht="15" hidden="false" customHeight="true" outlineLevel="0" collapsed="false">
      <c r="A31" s="4"/>
      <c r="B31" s="22"/>
      <c r="C31" s="4"/>
      <c r="D31" s="22"/>
      <c r="E31" s="4"/>
      <c r="F31" s="4"/>
      <c r="G31" s="22"/>
      <c r="H31" s="4"/>
      <c r="I31" s="4"/>
      <c r="J31" s="23" t="str">
        <f aca="false">IF(D31="","",IF(D31="DI","%I",IF(D31="DO","%Q",IF(D31="AI","%IW","%QW"))))</f>
        <v/>
      </c>
      <c r="K31" s="23" t="str">
        <f aca="false">IF(OR(J31="",B31="",C31=""),"",J31&amp;B31&amp;"."&amp;C31&amp;".0")</f>
        <v/>
      </c>
      <c r="L31" s="23" t="str">
        <f aca="false">IF(OR(J31="",F31=""),"",J31&amp;B31&amp;"."&amp;C31&amp;"."&amp;(F31-1))</f>
        <v/>
      </c>
      <c r="M31" s="23" t="str">
        <f aca="false">IF(F31="","",IF(OR(D31="DI",D31="DO"),"DFB_IO_DIG","DFB_IO_ANA")&amp;TEXT(IF(F31&lt;=4,4,IF(F31&lt;=8,8,IF(F31&lt;=16,16,IF(F31&lt;=32,32,IF(F31&lt;=64,64,"?"))))),"00"))</f>
        <v/>
      </c>
      <c r="N31" s="23" t="str">
        <f aca="false">IF(A31="","",COUNTIF(ES!$B:$B,A31))</f>
        <v/>
      </c>
      <c r="O31" s="23" t="str">
        <f aca="false">IF(A31="","",IF(N31=0,"aucune voie",IF(N31&lt;F31,"il en manque "&amp;(F31-N31),IF(N31&gt;F31,"TROP : "&amp;(N31-F31),"complete"))))</f>
        <v/>
      </c>
      <c r="P31" s="4"/>
    </row>
    <row r="32" customFormat="false" ht="15" hidden="false" customHeight="true" outlineLevel="0" collapsed="false">
      <c r="A32" s="4"/>
      <c r="B32" s="22"/>
      <c r="C32" s="4"/>
      <c r="D32" s="22"/>
      <c r="E32" s="4"/>
      <c r="F32" s="4"/>
      <c r="G32" s="22"/>
      <c r="H32" s="4"/>
      <c r="I32" s="4"/>
      <c r="J32" s="23" t="str">
        <f aca="false">IF(D32="","",IF(D32="DI","%I",IF(D32="DO","%Q",IF(D32="AI","%IW","%QW"))))</f>
        <v/>
      </c>
      <c r="K32" s="23" t="str">
        <f aca="false">IF(OR(J32="",B32="",C32=""),"",J32&amp;B32&amp;"."&amp;C32&amp;".0")</f>
        <v/>
      </c>
      <c r="L32" s="23" t="str">
        <f aca="false">IF(OR(J32="",F32=""),"",J32&amp;B32&amp;"."&amp;C32&amp;"."&amp;(F32-1))</f>
        <v/>
      </c>
      <c r="M32" s="23" t="str">
        <f aca="false">IF(F32="","",IF(OR(D32="DI",D32="DO"),"DFB_IO_DIG","DFB_IO_ANA")&amp;TEXT(IF(F32&lt;=4,4,IF(F32&lt;=8,8,IF(F32&lt;=16,16,IF(F32&lt;=32,32,IF(F32&lt;=64,64,"?"))))),"00"))</f>
        <v/>
      </c>
      <c r="N32" s="23" t="str">
        <f aca="false">IF(A32="","",COUNTIF(ES!$B:$B,A32))</f>
        <v/>
      </c>
      <c r="O32" s="23" t="str">
        <f aca="false">IF(A32="","",IF(N32=0,"aucune voie",IF(N32&lt;F32,"il en manque "&amp;(F32-N32),IF(N32&gt;F32,"TROP : "&amp;(N32-F32),"complete"))))</f>
        <v/>
      </c>
      <c r="P32" s="4"/>
    </row>
    <row r="33" customFormat="false" ht="15" hidden="false" customHeight="true" outlineLevel="0" collapsed="false">
      <c r="A33" s="4"/>
      <c r="B33" s="22"/>
      <c r="C33" s="4"/>
      <c r="D33" s="22"/>
      <c r="E33" s="4"/>
      <c r="F33" s="4"/>
      <c r="G33" s="22"/>
      <c r="H33" s="4"/>
      <c r="I33" s="4"/>
      <c r="J33" s="23" t="str">
        <f aca="false">IF(D33="","",IF(D33="DI","%I",IF(D33="DO","%Q",IF(D33="AI","%IW","%QW"))))</f>
        <v/>
      </c>
      <c r="K33" s="23" t="str">
        <f aca="false">IF(OR(J33="",B33="",C33=""),"",J33&amp;B33&amp;"."&amp;C33&amp;".0")</f>
        <v/>
      </c>
      <c r="L33" s="23" t="str">
        <f aca="false">IF(OR(J33="",F33=""),"",J33&amp;B33&amp;"."&amp;C33&amp;"."&amp;(F33-1))</f>
        <v/>
      </c>
      <c r="M33" s="23" t="str">
        <f aca="false">IF(F33="","",IF(OR(D33="DI",D33="DO"),"DFB_IO_DIG","DFB_IO_ANA")&amp;TEXT(IF(F33&lt;=4,4,IF(F33&lt;=8,8,IF(F33&lt;=16,16,IF(F33&lt;=32,32,IF(F33&lt;=64,64,"?"))))),"00"))</f>
        <v/>
      </c>
      <c r="N33" s="23" t="str">
        <f aca="false">IF(A33="","",COUNTIF(ES!$B:$B,A33))</f>
        <v/>
      </c>
      <c r="O33" s="23" t="str">
        <f aca="false">IF(A33="","",IF(N33=0,"aucune voie",IF(N33&lt;F33,"il en manque "&amp;(F33-N33),IF(N33&gt;F33,"TROP : "&amp;(N33-F33),"complete"))))</f>
        <v/>
      </c>
      <c r="P33" s="4"/>
    </row>
    <row r="34" customFormat="false" ht="15" hidden="false" customHeight="true" outlineLevel="0" collapsed="false">
      <c r="A34" s="4"/>
      <c r="B34" s="22"/>
      <c r="C34" s="4"/>
      <c r="D34" s="22"/>
      <c r="E34" s="4"/>
      <c r="F34" s="4"/>
      <c r="G34" s="22"/>
      <c r="H34" s="4"/>
      <c r="I34" s="4"/>
      <c r="J34" s="23" t="str">
        <f aca="false">IF(D34="","",IF(D34="DI","%I",IF(D34="DO","%Q",IF(D34="AI","%IW","%QW"))))</f>
        <v/>
      </c>
      <c r="K34" s="23" t="str">
        <f aca="false">IF(OR(J34="",B34="",C34=""),"",J34&amp;B34&amp;"."&amp;C34&amp;".0")</f>
        <v/>
      </c>
      <c r="L34" s="23" t="str">
        <f aca="false">IF(OR(J34="",F34=""),"",J34&amp;B34&amp;"."&amp;C34&amp;"."&amp;(F34-1))</f>
        <v/>
      </c>
      <c r="M34" s="23" t="str">
        <f aca="false">IF(F34="","",IF(OR(D34="DI",D34="DO"),"DFB_IO_DIG","DFB_IO_ANA")&amp;TEXT(IF(F34&lt;=4,4,IF(F34&lt;=8,8,IF(F34&lt;=16,16,IF(F34&lt;=32,32,IF(F34&lt;=64,64,"?"))))),"00"))</f>
        <v/>
      </c>
      <c r="N34" s="23" t="str">
        <f aca="false">IF(A34="","",COUNTIF(ES!$B:$B,A34))</f>
        <v/>
      </c>
      <c r="O34" s="23" t="str">
        <f aca="false">IF(A34="","",IF(N34=0,"aucune voie",IF(N34&lt;F34,"il en manque "&amp;(F34-N34),IF(N34&gt;F34,"TROP : "&amp;(N34-F34),"complete"))))</f>
        <v/>
      </c>
      <c r="P34" s="4"/>
    </row>
    <row r="35" customFormat="false" ht="15" hidden="false" customHeight="true" outlineLevel="0" collapsed="false">
      <c r="A35" s="4"/>
      <c r="B35" s="22"/>
      <c r="C35" s="4"/>
      <c r="D35" s="22"/>
      <c r="E35" s="4"/>
      <c r="F35" s="4"/>
      <c r="G35" s="22"/>
      <c r="H35" s="4"/>
      <c r="I35" s="4"/>
      <c r="J35" s="23" t="str">
        <f aca="false">IF(D35="","",IF(D35="DI","%I",IF(D35="DO","%Q",IF(D35="AI","%IW","%QW"))))</f>
        <v/>
      </c>
      <c r="K35" s="23" t="str">
        <f aca="false">IF(OR(J35="",B35="",C35=""),"",J35&amp;B35&amp;"."&amp;C35&amp;".0")</f>
        <v/>
      </c>
      <c r="L35" s="23" t="str">
        <f aca="false">IF(OR(J35="",F35=""),"",J35&amp;B35&amp;"."&amp;C35&amp;"."&amp;(F35-1))</f>
        <v/>
      </c>
      <c r="M35" s="23" t="str">
        <f aca="false">IF(F35="","",IF(OR(D35="DI",D35="DO"),"DFB_IO_DIG","DFB_IO_ANA")&amp;TEXT(IF(F35&lt;=4,4,IF(F35&lt;=8,8,IF(F35&lt;=16,16,IF(F35&lt;=32,32,IF(F35&lt;=64,64,"?"))))),"00"))</f>
        <v/>
      </c>
      <c r="N35" s="23" t="str">
        <f aca="false">IF(A35="","",COUNTIF(ES!$B:$B,A35))</f>
        <v/>
      </c>
      <c r="O35" s="23" t="str">
        <f aca="false">IF(A35="","",IF(N35=0,"aucune voie",IF(N35&lt;F35,"il en manque "&amp;(F35-N35),IF(N35&gt;F35,"TROP : "&amp;(N35-F35),"complete"))))</f>
        <v/>
      </c>
      <c r="P35" s="4"/>
    </row>
    <row r="36" customFormat="false" ht="15" hidden="false" customHeight="true" outlineLevel="0" collapsed="false">
      <c r="A36" s="4"/>
      <c r="B36" s="22"/>
      <c r="C36" s="4"/>
      <c r="D36" s="22"/>
      <c r="E36" s="4"/>
      <c r="F36" s="4"/>
      <c r="G36" s="22"/>
      <c r="H36" s="4"/>
      <c r="I36" s="4"/>
      <c r="J36" s="23" t="str">
        <f aca="false">IF(D36="","",IF(D36="DI","%I",IF(D36="DO","%Q",IF(D36="AI","%IW","%QW"))))</f>
        <v/>
      </c>
      <c r="K36" s="23" t="str">
        <f aca="false">IF(OR(J36="",B36="",C36=""),"",J36&amp;B36&amp;"."&amp;C36&amp;".0")</f>
        <v/>
      </c>
      <c r="L36" s="23" t="str">
        <f aca="false">IF(OR(J36="",F36=""),"",J36&amp;B36&amp;"."&amp;C36&amp;"."&amp;(F36-1))</f>
        <v/>
      </c>
      <c r="M36" s="23" t="str">
        <f aca="false">IF(F36="","",IF(OR(D36="DI",D36="DO"),"DFB_IO_DIG","DFB_IO_ANA")&amp;TEXT(IF(F36&lt;=4,4,IF(F36&lt;=8,8,IF(F36&lt;=16,16,IF(F36&lt;=32,32,IF(F36&lt;=64,64,"?"))))),"00"))</f>
        <v/>
      </c>
      <c r="N36" s="23" t="str">
        <f aca="false">IF(A36="","",COUNTIF(ES!$B:$B,A36))</f>
        <v/>
      </c>
      <c r="O36" s="23" t="str">
        <f aca="false">IF(A36="","",IF(N36=0,"aucune voie",IF(N36&lt;F36,"il en manque "&amp;(F36-N36),IF(N36&gt;F36,"TROP : "&amp;(N36-F36),"complete"))))</f>
        <v/>
      </c>
      <c r="P36" s="4"/>
    </row>
    <row r="37" customFormat="false" ht="15" hidden="false" customHeight="true" outlineLevel="0" collapsed="false">
      <c r="A37" s="4"/>
      <c r="B37" s="22"/>
      <c r="C37" s="4"/>
      <c r="D37" s="22"/>
      <c r="E37" s="4"/>
      <c r="F37" s="4"/>
      <c r="G37" s="22"/>
      <c r="H37" s="4"/>
      <c r="I37" s="4"/>
      <c r="J37" s="23" t="str">
        <f aca="false">IF(D37="","",IF(D37="DI","%I",IF(D37="DO","%Q",IF(D37="AI","%IW","%QW"))))</f>
        <v/>
      </c>
      <c r="K37" s="23" t="str">
        <f aca="false">IF(OR(J37="",B37="",C37=""),"",J37&amp;B37&amp;"."&amp;C37&amp;".0")</f>
        <v/>
      </c>
      <c r="L37" s="23" t="str">
        <f aca="false">IF(OR(J37="",F37=""),"",J37&amp;B37&amp;"."&amp;C37&amp;"."&amp;(F37-1))</f>
        <v/>
      </c>
      <c r="M37" s="23" t="str">
        <f aca="false">IF(F37="","",IF(OR(D37="DI",D37="DO"),"DFB_IO_DIG","DFB_IO_ANA")&amp;TEXT(IF(F37&lt;=4,4,IF(F37&lt;=8,8,IF(F37&lt;=16,16,IF(F37&lt;=32,32,IF(F37&lt;=64,64,"?"))))),"00"))</f>
        <v/>
      </c>
      <c r="N37" s="23" t="str">
        <f aca="false">IF(A37="","",COUNTIF(ES!$B:$B,A37))</f>
        <v/>
      </c>
      <c r="O37" s="23" t="str">
        <f aca="false">IF(A37="","",IF(N37=0,"aucune voie",IF(N37&lt;F37,"il en manque "&amp;(F37-N37),IF(N37&gt;F37,"TROP : "&amp;(N37-F37),"complete"))))</f>
        <v/>
      </c>
      <c r="P37" s="4"/>
    </row>
    <row r="38" customFormat="false" ht="15" hidden="false" customHeight="true" outlineLevel="0" collapsed="false">
      <c r="A38" s="4"/>
      <c r="B38" s="22"/>
      <c r="C38" s="4"/>
      <c r="D38" s="22"/>
      <c r="E38" s="4"/>
      <c r="F38" s="4"/>
      <c r="G38" s="22"/>
      <c r="H38" s="4"/>
      <c r="I38" s="4"/>
      <c r="J38" s="23" t="str">
        <f aca="false">IF(D38="","",IF(D38="DI","%I",IF(D38="DO","%Q",IF(D38="AI","%IW","%QW"))))</f>
        <v/>
      </c>
      <c r="K38" s="23" t="str">
        <f aca="false">IF(OR(J38="",B38="",C38=""),"",J38&amp;B38&amp;"."&amp;C38&amp;".0")</f>
        <v/>
      </c>
      <c r="L38" s="23" t="str">
        <f aca="false">IF(OR(J38="",F38=""),"",J38&amp;B38&amp;"."&amp;C38&amp;"."&amp;(F38-1))</f>
        <v/>
      </c>
      <c r="M38" s="23" t="str">
        <f aca="false">IF(F38="","",IF(OR(D38="DI",D38="DO"),"DFB_IO_DIG","DFB_IO_ANA")&amp;TEXT(IF(F38&lt;=4,4,IF(F38&lt;=8,8,IF(F38&lt;=16,16,IF(F38&lt;=32,32,IF(F38&lt;=64,64,"?"))))),"00"))</f>
        <v/>
      </c>
      <c r="N38" s="23" t="str">
        <f aca="false">IF(A38="","",COUNTIF(ES!$B:$B,A38))</f>
        <v/>
      </c>
      <c r="O38" s="23" t="str">
        <f aca="false">IF(A38="","",IF(N38=0,"aucune voie",IF(N38&lt;F38,"il en manque "&amp;(F38-N38),IF(N38&gt;F38,"TROP : "&amp;(N38-F38),"complete"))))</f>
        <v/>
      </c>
      <c r="P38" s="4"/>
    </row>
    <row r="39" customFormat="false" ht="15" hidden="false" customHeight="true" outlineLevel="0" collapsed="false">
      <c r="A39" s="4"/>
      <c r="B39" s="22"/>
      <c r="C39" s="4"/>
      <c r="D39" s="22"/>
      <c r="E39" s="4"/>
      <c r="F39" s="4"/>
      <c r="G39" s="22"/>
      <c r="H39" s="4"/>
      <c r="I39" s="4"/>
      <c r="J39" s="23" t="str">
        <f aca="false">IF(D39="","",IF(D39="DI","%I",IF(D39="DO","%Q",IF(D39="AI","%IW","%QW"))))</f>
        <v/>
      </c>
      <c r="K39" s="23" t="str">
        <f aca="false">IF(OR(J39="",B39="",C39=""),"",J39&amp;B39&amp;"."&amp;C39&amp;".0")</f>
        <v/>
      </c>
      <c r="L39" s="23" t="str">
        <f aca="false">IF(OR(J39="",F39=""),"",J39&amp;B39&amp;"."&amp;C39&amp;"."&amp;(F39-1))</f>
        <v/>
      </c>
      <c r="M39" s="23" t="str">
        <f aca="false">IF(F39="","",IF(OR(D39="DI",D39="DO"),"DFB_IO_DIG","DFB_IO_ANA")&amp;TEXT(IF(F39&lt;=4,4,IF(F39&lt;=8,8,IF(F39&lt;=16,16,IF(F39&lt;=32,32,IF(F39&lt;=64,64,"?"))))),"00"))</f>
        <v/>
      </c>
      <c r="N39" s="23" t="str">
        <f aca="false">IF(A39="","",COUNTIF(ES!$B:$B,A39))</f>
        <v/>
      </c>
      <c r="O39" s="23" t="str">
        <f aca="false">IF(A39="","",IF(N39=0,"aucune voie",IF(N39&lt;F39,"il en manque "&amp;(F39-N39),IF(N39&gt;F39,"TROP : "&amp;(N39-F39),"complete"))))</f>
        <v/>
      </c>
      <c r="P39" s="4"/>
    </row>
    <row r="40" customFormat="false" ht="15" hidden="false" customHeight="true" outlineLevel="0" collapsed="false">
      <c r="A40" s="4"/>
      <c r="B40" s="22"/>
      <c r="C40" s="4"/>
      <c r="D40" s="22"/>
      <c r="E40" s="4"/>
      <c r="F40" s="4"/>
      <c r="G40" s="22"/>
      <c r="H40" s="4"/>
      <c r="I40" s="4"/>
      <c r="J40" s="23" t="str">
        <f aca="false">IF(D40="","",IF(D40="DI","%I",IF(D40="DO","%Q",IF(D40="AI","%IW","%QW"))))</f>
        <v/>
      </c>
      <c r="K40" s="23" t="str">
        <f aca="false">IF(OR(J40="",B40="",C40=""),"",J40&amp;B40&amp;"."&amp;C40&amp;".0")</f>
        <v/>
      </c>
      <c r="L40" s="23" t="str">
        <f aca="false">IF(OR(J40="",F40=""),"",J40&amp;B40&amp;"."&amp;C40&amp;"."&amp;(F40-1))</f>
        <v/>
      </c>
      <c r="M40" s="23" t="str">
        <f aca="false">IF(F40="","",IF(OR(D40="DI",D40="DO"),"DFB_IO_DIG","DFB_IO_ANA")&amp;TEXT(IF(F40&lt;=4,4,IF(F40&lt;=8,8,IF(F40&lt;=16,16,IF(F40&lt;=32,32,IF(F40&lt;=64,64,"?"))))),"00"))</f>
        <v/>
      </c>
      <c r="N40" s="23" t="str">
        <f aca="false">IF(A40="","",COUNTIF(ES!$B:$B,A40))</f>
        <v/>
      </c>
      <c r="O40" s="23" t="str">
        <f aca="false">IF(A40="","",IF(N40=0,"aucune voie",IF(N40&lt;F40,"il en manque "&amp;(F40-N40),IF(N40&gt;F40,"TROP : "&amp;(N40-F40),"complete"))))</f>
        <v/>
      </c>
      <c r="P40" s="4"/>
    </row>
    <row r="41" customFormat="false" ht="15" hidden="false" customHeight="true" outlineLevel="0" collapsed="false">
      <c r="A41" s="4"/>
      <c r="B41" s="22"/>
      <c r="C41" s="4"/>
      <c r="D41" s="22"/>
      <c r="E41" s="4"/>
      <c r="F41" s="4"/>
      <c r="G41" s="22"/>
      <c r="H41" s="4"/>
      <c r="I41" s="4"/>
      <c r="J41" s="23" t="str">
        <f aca="false">IF(D41="","",IF(D41="DI","%I",IF(D41="DO","%Q",IF(D41="AI","%IW","%QW"))))</f>
        <v/>
      </c>
      <c r="K41" s="23" t="str">
        <f aca="false">IF(OR(J41="",B41="",C41=""),"",J41&amp;B41&amp;"."&amp;C41&amp;".0")</f>
        <v/>
      </c>
      <c r="L41" s="23" t="str">
        <f aca="false">IF(OR(J41="",F41=""),"",J41&amp;B41&amp;"."&amp;C41&amp;"."&amp;(F41-1))</f>
        <v/>
      </c>
      <c r="M41" s="23" t="str">
        <f aca="false">IF(F41="","",IF(OR(D41="DI",D41="DO"),"DFB_IO_DIG","DFB_IO_ANA")&amp;TEXT(IF(F41&lt;=4,4,IF(F41&lt;=8,8,IF(F41&lt;=16,16,IF(F41&lt;=32,32,IF(F41&lt;=64,64,"?"))))),"00"))</f>
        <v/>
      </c>
      <c r="N41" s="23" t="str">
        <f aca="false">IF(A41="","",COUNTIF(ES!$B:$B,A41))</f>
        <v/>
      </c>
      <c r="O41" s="23" t="str">
        <f aca="false">IF(A41="","",IF(N41=0,"aucune voie",IF(N41&lt;F41,"il en manque "&amp;(F41-N41),IF(N41&gt;F41,"TROP : "&amp;(N41-F41),"complete"))))</f>
        <v/>
      </c>
      <c r="P41" s="4"/>
    </row>
    <row r="42" customFormat="false" ht="15" hidden="false" customHeight="true" outlineLevel="0" collapsed="false">
      <c r="A42" s="4"/>
      <c r="B42" s="22"/>
      <c r="C42" s="4"/>
      <c r="D42" s="22"/>
      <c r="E42" s="4"/>
      <c r="F42" s="4"/>
      <c r="G42" s="22"/>
      <c r="H42" s="4"/>
      <c r="I42" s="4"/>
      <c r="J42" s="23" t="str">
        <f aca="false">IF(D42="","",IF(D42="DI","%I",IF(D42="DO","%Q",IF(D42="AI","%IW","%QW"))))</f>
        <v/>
      </c>
      <c r="K42" s="23" t="str">
        <f aca="false">IF(OR(J42="",B42="",C42=""),"",J42&amp;B42&amp;"."&amp;C42&amp;".0")</f>
        <v/>
      </c>
      <c r="L42" s="23" t="str">
        <f aca="false">IF(OR(J42="",F42=""),"",J42&amp;B42&amp;"."&amp;C42&amp;"."&amp;(F42-1))</f>
        <v/>
      </c>
      <c r="M42" s="23" t="str">
        <f aca="false">IF(F42="","",IF(OR(D42="DI",D42="DO"),"DFB_IO_DIG","DFB_IO_ANA")&amp;TEXT(IF(F42&lt;=4,4,IF(F42&lt;=8,8,IF(F42&lt;=16,16,IF(F42&lt;=32,32,IF(F42&lt;=64,64,"?"))))),"00"))</f>
        <v/>
      </c>
      <c r="N42" s="23" t="str">
        <f aca="false">IF(A42="","",COUNTIF(ES!$B:$B,A42))</f>
        <v/>
      </c>
      <c r="O42" s="23" t="str">
        <f aca="false">IF(A42="","",IF(N42=0,"aucune voie",IF(N42&lt;F42,"il en manque "&amp;(F42-N42),IF(N42&gt;F42,"TROP : "&amp;(N42-F42),"complete"))))</f>
        <v/>
      </c>
      <c r="P42" s="4"/>
    </row>
    <row r="43" customFormat="false" ht="15" hidden="false" customHeight="true" outlineLevel="0" collapsed="false">
      <c r="A43" s="4"/>
      <c r="B43" s="22"/>
      <c r="C43" s="4"/>
      <c r="D43" s="22"/>
      <c r="E43" s="4"/>
      <c r="F43" s="4"/>
      <c r="G43" s="22"/>
      <c r="H43" s="4"/>
      <c r="I43" s="4"/>
      <c r="J43" s="23" t="str">
        <f aca="false">IF(D43="","",IF(D43="DI","%I",IF(D43="DO","%Q",IF(D43="AI","%IW","%QW"))))</f>
        <v/>
      </c>
      <c r="K43" s="23" t="str">
        <f aca="false">IF(OR(J43="",B43="",C43=""),"",J43&amp;B43&amp;"."&amp;C43&amp;".0")</f>
        <v/>
      </c>
      <c r="L43" s="23" t="str">
        <f aca="false">IF(OR(J43="",F43=""),"",J43&amp;B43&amp;"."&amp;C43&amp;"."&amp;(F43-1))</f>
        <v/>
      </c>
      <c r="M43" s="23" t="str">
        <f aca="false">IF(F43="","",IF(OR(D43="DI",D43="DO"),"DFB_IO_DIG","DFB_IO_ANA")&amp;TEXT(IF(F43&lt;=4,4,IF(F43&lt;=8,8,IF(F43&lt;=16,16,IF(F43&lt;=32,32,IF(F43&lt;=64,64,"?"))))),"00"))</f>
        <v/>
      </c>
      <c r="N43" s="23" t="str">
        <f aca="false">IF(A43="","",COUNTIF(ES!$B:$B,A43))</f>
        <v/>
      </c>
      <c r="O43" s="23" t="str">
        <f aca="false">IF(A43="","",IF(N43=0,"aucune voie",IF(N43&lt;F43,"il en manque "&amp;(F43-N43),IF(N43&gt;F43,"TROP : "&amp;(N43-F43),"complete"))))</f>
        <v/>
      </c>
      <c r="P43" s="4"/>
    </row>
    <row r="44" customFormat="false" ht="15" hidden="false" customHeight="true" outlineLevel="0" collapsed="false">
      <c r="A44" s="4"/>
      <c r="B44" s="22"/>
      <c r="C44" s="4"/>
      <c r="D44" s="22"/>
      <c r="E44" s="4"/>
      <c r="F44" s="4"/>
      <c r="G44" s="22"/>
      <c r="H44" s="4"/>
      <c r="I44" s="4"/>
      <c r="J44" s="23" t="str">
        <f aca="false">IF(D44="","",IF(D44="DI","%I",IF(D44="DO","%Q",IF(D44="AI","%IW","%QW"))))</f>
        <v/>
      </c>
      <c r="K44" s="23" t="str">
        <f aca="false">IF(OR(J44="",B44="",C44=""),"",J44&amp;B44&amp;"."&amp;C44&amp;".0")</f>
        <v/>
      </c>
      <c r="L44" s="23" t="str">
        <f aca="false">IF(OR(J44="",F44=""),"",J44&amp;B44&amp;"."&amp;C44&amp;"."&amp;(F44-1))</f>
        <v/>
      </c>
      <c r="M44" s="23" t="str">
        <f aca="false">IF(F44="","",IF(OR(D44="DI",D44="DO"),"DFB_IO_DIG","DFB_IO_ANA")&amp;TEXT(IF(F44&lt;=4,4,IF(F44&lt;=8,8,IF(F44&lt;=16,16,IF(F44&lt;=32,32,IF(F44&lt;=64,64,"?"))))),"00"))</f>
        <v/>
      </c>
      <c r="N44" s="23" t="str">
        <f aca="false">IF(A44="","",COUNTIF(ES!$B:$B,A44))</f>
        <v/>
      </c>
      <c r="O44" s="23" t="str">
        <f aca="false">IF(A44="","",IF(N44=0,"aucune voie",IF(N44&lt;F44,"il en manque "&amp;(F44-N44),IF(N44&gt;F44,"TROP : "&amp;(N44-F44),"complete"))))</f>
        <v/>
      </c>
      <c r="P44" s="4"/>
    </row>
    <row r="45" customFormat="false" ht="15" hidden="false" customHeight="true" outlineLevel="0" collapsed="false">
      <c r="A45" s="4"/>
      <c r="B45" s="22"/>
      <c r="C45" s="4"/>
      <c r="D45" s="22"/>
      <c r="E45" s="4"/>
      <c r="F45" s="4"/>
      <c r="G45" s="22"/>
      <c r="H45" s="4"/>
      <c r="I45" s="4"/>
      <c r="J45" s="23" t="str">
        <f aca="false">IF(D45="","",IF(D45="DI","%I",IF(D45="DO","%Q",IF(D45="AI","%IW","%QW"))))</f>
        <v/>
      </c>
      <c r="K45" s="23" t="str">
        <f aca="false">IF(OR(J45="",B45="",C45=""),"",J45&amp;B45&amp;"."&amp;C45&amp;".0")</f>
        <v/>
      </c>
      <c r="L45" s="23" t="str">
        <f aca="false">IF(OR(J45="",F45=""),"",J45&amp;B45&amp;"."&amp;C45&amp;"."&amp;(F45-1))</f>
        <v/>
      </c>
      <c r="M45" s="23" t="str">
        <f aca="false">IF(F45="","",IF(OR(D45="DI",D45="DO"),"DFB_IO_DIG","DFB_IO_ANA")&amp;TEXT(IF(F45&lt;=4,4,IF(F45&lt;=8,8,IF(F45&lt;=16,16,IF(F45&lt;=32,32,IF(F45&lt;=64,64,"?"))))),"00"))</f>
        <v/>
      </c>
      <c r="N45" s="23" t="str">
        <f aca="false">IF(A45="","",COUNTIF(ES!$B:$B,A45))</f>
        <v/>
      </c>
      <c r="O45" s="23" t="str">
        <f aca="false">IF(A45="","",IF(N45=0,"aucune voie",IF(N45&lt;F45,"il en manque "&amp;(F45-N45),IF(N45&gt;F45,"TROP : "&amp;(N45-F45),"complete"))))</f>
        <v/>
      </c>
      <c r="P45" s="4"/>
    </row>
    <row r="46" customFormat="false" ht="15" hidden="false" customHeight="true" outlineLevel="0" collapsed="false">
      <c r="A46" s="4"/>
      <c r="B46" s="22"/>
      <c r="C46" s="4"/>
      <c r="D46" s="22"/>
      <c r="E46" s="4"/>
      <c r="F46" s="4"/>
      <c r="G46" s="22"/>
      <c r="H46" s="4"/>
      <c r="I46" s="4"/>
      <c r="J46" s="23" t="str">
        <f aca="false">IF(D46="","",IF(D46="DI","%I",IF(D46="DO","%Q",IF(D46="AI","%IW","%QW"))))</f>
        <v/>
      </c>
      <c r="K46" s="23" t="str">
        <f aca="false">IF(OR(J46="",B46="",C46=""),"",J46&amp;B46&amp;"."&amp;C46&amp;".0")</f>
        <v/>
      </c>
      <c r="L46" s="23" t="str">
        <f aca="false">IF(OR(J46="",F46=""),"",J46&amp;B46&amp;"."&amp;C46&amp;"."&amp;(F46-1))</f>
        <v/>
      </c>
      <c r="M46" s="23" t="str">
        <f aca="false">IF(F46="","",IF(OR(D46="DI",D46="DO"),"DFB_IO_DIG","DFB_IO_ANA")&amp;TEXT(IF(F46&lt;=4,4,IF(F46&lt;=8,8,IF(F46&lt;=16,16,IF(F46&lt;=32,32,IF(F46&lt;=64,64,"?"))))),"00"))</f>
        <v/>
      </c>
      <c r="N46" s="23" t="str">
        <f aca="false">IF(A46="","",COUNTIF(ES!$B:$B,A46))</f>
        <v/>
      </c>
      <c r="O46" s="23" t="str">
        <f aca="false">IF(A46="","",IF(N46=0,"aucune voie",IF(N46&lt;F46,"il en manque "&amp;(F46-N46),IF(N46&gt;F46,"TROP : "&amp;(N46-F46),"complete"))))</f>
        <v/>
      </c>
      <c r="P46" s="4"/>
    </row>
    <row r="47" customFormat="false" ht="15" hidden="false" customHeight="true" outlineLevel="0" collapsed="false">
      <c r="A47" s="4"/>
      <c r="B47" s="22"/>
      <c r="C47" s="4"/>
      <c r="D47" s="22"/>
      <c r="E47" s="4"/>
      <c r="F47" s="4"/>
      <c r="G47" s="22"/>
      <c r="H47" s="4"/>
      <c r="I47" s="4"/>
      <c r="J47" s="23" t="str">
        <f aca="false">IF(D47="","",IF(D47="DI","%I",IF(D47="DO","%Q",IF(D47="AI","%IW","%QW"))))</f>
        <v/>
      </c>
      <c r="K47" s="23" t="str">
        <f aca="false">IF(OR(J47="",B47="",C47=""),"",J47&amp;B47&amp;"."&amp;C47&amp;".0")</f>
        <v/>
      </c>
      <c r="L47" s="23" t="str">
        <f aca="false">IF(OR(J47="",F47=""),"",J47&amp;B47&amp;"."&amp;C47&amp;"."&amp;(F47-1))</f>
        <v/>
      </c>
      <c r="M47" s="23" t="str">
        <f aca="false">IF(F47="","",IF(OR(D47="DI",D47="DO"),"DFB_IO_DIG","DFB_IO_ANA")&amp;TEXT(IF(F47&lt;=4,4,IF(F47&lt;=8,8,IF(F47&lt;=16,16,IF(F47&lt;=32,32,IF(F47&lt;=64,64,"?"))))),"00"))</f>
        <v/>
      </c>
      <c r="N47" s="23" t="str">
        <f aca="false">IF(A47="","",COUNTIF(ES!$B:$B,A47))</f>
        <v/>
      </c>
      <c r="O47" s="23" t="str">
        <f aca="false">IF(A47="","",IF(N47=0,"aucune voie",IF(N47&lt;F47,"il en manque "&amp;(F47-N47),IF(N47&gt;F47,"TROP : "&amp;(N47-F47),"complete"))))</f>
        <v/>
      </c>
      <c r="P47" s="4"/>
    </row>
    <row r="48" customFormat="false" ht="15" hidden="false" customHeight="true" outlineLevel="0" collapsed="false">
      <c r="A48" s="4"/>
      <c r="B48" s="22"/>
      <c r="C48" s="4"/>
      <c r="D48" s="22"/>
      <c r="E48" s="4"/>
      <c r="F48" s="4"/>
      <c r="G48" s="22"/>
      <c r="H48" s="4"/>
      <c r="I48" s="4"/>
      <c r="J48" s="23" t="str">
        <f aca="false">IF(D48="","",IF(D48="DI","%I",IF(D48="DO","%Q",IF(D48="AI","%IW","%QW"))))</f>
        <v/>
      </c>
      <c r="K48" s="23" t="str">
        <f aca="false">IF(OR(J48="",B48="",C48=""),"",J48&amp;B48&amp;"."&amp;C48&amp;".0")</f>
        <v/>
      </c>
      <c r="L48" s="23" t="str">
        <f aca="false">IF(OR(J48="",F48=""),"",J48&amp;B48&amp;"."&amp;C48&amp;"."&amp;(F48-1))</f>
        <v/>
      </c>
      <c r="M48" s="23" t="str">
        <f aca="false">IF(F48="","",IF(OR(D48="DI",D48="DO"),"DFB_IO_DIG","DFB_IO_ANA")&amp;TEXT(IF(F48&lt;=4,4,IF(F48&lt;=8,8,IF(F48&lt;=16,16,IF(F48&lt;=32,32,IF(F48&lt;=64,64,"?"))))),"00"))</f>
        <v/>
      </c>
      <c r="N48" s="23" t="str">
        <f aca="false">IF(A48="","",COUNTIF(ES!$B:$B,A48))</f>
        <v/>
      </c>
      <c r="O48" s="23" t="str">
        <f aca="false">IF(A48="","",IF(N48=0,"aucune voie",IF(N48&lt;F48,"il en manque "&amp;(F48-N48),IF(N48&gt;F48,"TROP : "&amp;(N48-F48),"complete"))))</f>
        <v/>
      </c>
      <c r="P48" s="4"/>
    </row>
    <row r="50" customFormat="false" ht="15" hidden="false" customHeight="false" outlineLevel="0" collapsed="false">
      <c r="BR50" s="11" t="s">
        <v>118</v>
      </c>
    </row>
    <row r="51" customFormat="false" ht="15" hidden="false" customHeight="false" outlineLevel="0" collapsed="false">
      <c r="BR51" s="11" t="s">
        <v>119</v>
      </c>
    </row>
  </sheetData>
  <autoFilter ref="A7:P7"/>
  <mergeCells count="5">
    <mergeCell ref="A1:P1"/>
    <mergeCell ref="A2:P2"/>
    <mergeCell ref="A6:G6"/>
    <mergeCell ref="H6:I6"/>
    <mergeCell ref="J6:O6"/>
  </mergeCells>
  <dataValidations count="3">
    <dataValidation allowBlank="true" errorStyle="stop" operator="between" showDropDown="false" showErrorMessage="false" showInputMessage="false" sqref="B9:B48" type="list">
      <formula1>"0,1,2,3,4,5,6,7"</formula1>
      <formula2>0</formula2>
    </dataValidation>
    <dataValidation allowBlank="true" errorStyle="stop" operator="between" showDropDown="false" showErrorMessage="false" showInputMessage="false" sqref="D9:D48" type="list">
      <formula1>"DI,DO,AI,AO"</formula1>
      <formula2>0</formula2>
    </dataValidation>
    <dataValidation allowBlank="true" errorStyle="stop" operator="between" showDropDown="false" showErrorMessage="false" showInputMessage="false" sqref="G9:G48" type="list">
      <formula1>"O,N"</formula1>
      <formula2>0</formula2>
    </dataValidation>
  </dataValidations>
  <printOptions headings="false" gridLines="false" gridLinesSet="true" horizontalCentered="true" verticalCentered="false"/>
  <pageMargins left="0.35" right="0.35" top="0.4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Affaire 2024_06_264 - Cartes de l'automate&amp;C&amp;7 &amp;D&amp;R&amp;7 page 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7" min="2" style="0" width="14"/>
  </cols>
  <sheetData>
    <row r="1" customFormat="false" ht="25.5" hidden="false" customHeight="true" outlineLevel="0" collapsed="false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.75" hidden="false" customHeight="true" outlineLevel="0" collapsed="false">
      <c r="A4" s="3" t="s">
        <v>6</v>
      </c>
      <c r="B4" s="4" t="s">
        <v>7</v>
      </c>
      <c r="D4" s="3" t="s">
        <v>8</v>
      </c>
      <c r="E4" s="4" t="s">
        <v>9</v>
      </c>
    </row>
    <row r="9" customFormat="false" ht="15.75" hidden="false" customHeight="true" outlineLevel="0" collapsed="false">
      <c r="A9" s="24" t="s">
        <v>122</v>
      </c>
      <c r="B9" s="25" t="n">
        <v>0</v>
      </c>
      <c r="C9" s="25" t="n">
        <v>1</v>
      </c>
      <c r="D9" s="25" t="n">
        <v>2</v>
      </c>
      <c r="E9" s="25" t="n">
        <v>3</v>
      </c>
      <c r="F9" s="25" t="n">
        <v>4</v>
      </c>
      <c r="G9" s="25" t="n">
        <v>5</v>
      </c>
      <c r="H9" s="25" t="n">
        <v>6</v>
      </c>
      <c r="I9" s="25" t="n">
        <v>7</v>
      </c>
      <c r="J9" s="25" t="n">
        <v>8</v>
      </c>
      <c r="K9" s="25" t="n">
        <v>9</v>
      </c>
      <c r="L9" s="25" t="n">
        <v>10</v>
      </c>
      <c r="M9" s="25" t="n">
        <v>11</v>
      </c>
      <c r="N9" s="25" t="n">
        <v>12</v>
      </c>
      <c r="O9" s="25" t="n">
        <v>13</v>
      </c>
      <c r="P9" s="25" t="n">
        <v>14</v>
      </c>
      <c r="Q9" s="25" t="n">
        <v>15</v>
      </c>
    </row>
    <row r="10" customFormat="false" ht="12.75" hidden="false" customHeight="true" outlineLevel="0" collapsed="false">
      <c r="A10" s="26" t="s">
        <v>123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customFormat="false" ht="12.75" hidden="false" customHeight="true" outlineLevel="0" collapsed="false">
      <c r="A11" s="26" t="s">
        <v>124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customFormat="false" ht="12.75" hidden="false" customHeight="true" outlineLevel="0" collapsed="false">
      <c r="A12" s="26" t="s">
        <v>125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  <row r="13" customFormat="false" ht="12.75" hidden="false" customHeight="true" outlineLevel="0" collapsed="false">
      <c r="A13" s="26" t="s">
        <v>126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customFormat="false" ht="12.75" hidden="false" customHeight="true" outlineLevel="0" collapsed="false">
      <c r="A14" s="26" t="s">
        <v>127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</row>
    <row r="16" customFormat="false" ht="15.75" hidden="false" customHeight="true" outlineLevel="0" collapsed="false">
      <c r="A16" s="24" t="s">
        <v>128</v>
      </c>
      <c r="B16" s="25" t="n">
        <v>0</v>
      </c>
      <c r="C16" s="25" t="n">
        <v>1</v>
      </c>
      <c r="D16" s="25" t="n">
        <v>2</v>
      </c>
      <c r="E16" s="25" t="n">
        <v>3</v>
      </c>
      <c r="F16" s="25" t="n">
        <v>4</v>
      </c>
      <c r="G16" s="25" t="n">
        <v>5</v>
      </c>
      <c r="H16" s="25" t="n">
        <v>6</v>
      </c>
      <c r="I16" s="25" t="n">
        <v>7</v>
      </c>
      <c r="J16" s="25" t="n">
        <v>8</v>
      </c>
      <c r="K16" s="25" t="n">
        <v>9</v>
      </c>
      <c r="L16" s="25" t="n">
        <v>10</v>
      </c>
      <c r="M16" s="25" t="n">
        <v>11</v>
      </c>
      <c r="N16" s="25" t="n">
        <v>12</v>
      </c>
      <c r="O16" s="25" t="n">
        <v>13</v>
      </c>
      <c r="P16" s="25" t="n">
        <v>14</v>
      </c>
      <c r="Q16" s="25" t="n">
        <v>15</v>
      </c>
    </row>
    <row r="17" customFormat="false" ht="12.75" hidden="false" customHeight="true" outlineLevel="0" collapsed="false">
      <c r="A17" s="26" t="s">
        <v>123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customFormat="false" ht="12.75" hidden="false" customHeight="true" outlineLevel="0" collapsed="false">
      <c r="A18" s="26" t="s">
        <v>124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customFormat="false" ht="12.75" hidden="false" customHeight="true" outlineLevel="0" collapsed="false">
      <c r="A19" s="26" t="s">
        <v>125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customFormat="false" ht="12.75" hidden="false" customHeight="true" outlineLevel="0" collapsed="false">
      <c r="A20" s="26" t="s">
        <v>126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 customFormat="false" ht="12.75" hidden="false" customHeight="true" outlineLevel="0" collapsed="false">
      <c r="A21" s="26" t="s">
        <v>127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3" customFormat="false" ht="15.75" hidden="false" customHeight="true" outlineLevel="0" collapsed="false">
      <c r="A23" s="24" t="s">
        <v>129</v>
      </c>
      <c r="B23" s="25" t="n">
        <v>0</v>
      </c>
      <c r="C23" s="25" t="n">
        <v>1</v>
      </c>
      <c r="D23" s="25" t="n">
        <v>2</v>
      </c>
      <c r="E23" s="25" t="n">
        <v>3</v>
      </c>
      <c r="F23" s="25" t="n">
        <v>4</v>
      </c>
      <c r="G23" s="25" t="n">
        <v>5</v>
      </c>
      <c r="H23" s="25" t="n">
        <v>6</v>
      </c>
      <c r="I23" s="25" t="n">
        <v>7</v>
      </c>
      <c r="J23" s="25" t="n">
        <v>8</v>
      </c>
      <c r="K23" s="25" t="n">
        <v>9</v>
      </c>
      <c r="L23" s="25" t="n">
        <v>10</v>
      </c>
      <c r="M23" s="25" t="n">
        <v>11</v>
      </c>
      <c r="N23" s="25" t="n">
        <v>12</v>
      </c>
      <c r="O23" s="25" t="n">
        <v>13</v>
      </c>
      <c r="P23" s="25" t="n">
        <v>14</v>
      </c>
      <c r="Q23" s="25" t="n">
        <v>15</v>
      </c>
    </row>
    <row r="24" customFormat="false" ht="12.75" hidden="false" customHeight="true" outlineLevel="0" collapsed="false">
      <c r="A24" s="26" t="s">
        <v>123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customFormat="false" ht="12.75" hidden="false" customHeight="true" outlineLevel="0" collapsed="false">
      <c r="A25" s="26" t="s">
        <v>124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 customFormat="false" ht="12.75" hidden="false" customHeight="true" outlineLevel="0" collapsed="false">
      <c r="A26" s="26" t="s">
        <v>125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customFormat="false" ht="12.75" hidden="false" customHeight="true" outlineLevel="0" collapsed="false">
      <c r="A27" s="26" t="s">
        <v>126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r="28" customFormat="false" ht="12.75" hidden="false" customHeight="true" outlineLevel="0" collapsed="false">
      <c r="A28" s="26" t="s">
        <v>127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</row>
    <row r="30" customFormat="false" ht="15.75" hidden="false" customHeight="true" outlineLevel="0" collapsed="false">
      <c r="A30" s="24" t="s">
        <v>130</v>
      </c>
      <c r="B30" s="25" t="n">
        <v>0</v>
      </c>
      <c r="C30" s="25" t="n">
        <v>1</v>
      </c>
      <c r="D30" s="25" t="n">
        <v>2</v>
      </c>
      <c r="E30" s="25" t="n">
        <v>3</v>
      </c>
      <c r="F30" s="25" t="n">
        <v>4</v>
      </c>
      <c r="G30" s="25" t="n">
        <v>5</v>
      </c>
      <c r="H30" s="25" t="n">
        <v>6</v>
      </c>
      <c r="I30" s="25" t="n">
        <v>7</v>
      </c>
      <c r="J30" s="25" t="n">
        <v>8</v>
      </c>
      <c r="K30" s="25" t="n">
        <v>9</v>
      </c>
      <c r="L30" s="25" t="n">
        <v>10</v>
      </c>
      <c r="M30" s="25" t="n">
        <v>11</v>
      </c>
      <c r="N30" s="25" t="n">
        <v>12</v>
      </c>
      <c r="O30" s="25" t="n">
        <v>13</v>
      </c>
      <c r="P30" s="25" t="n">
        <v>14</v>
      </c>
      <c r="Q30" s="25" t="n">
        <v>15</v>
      </c>
    </row>
    <row r="31" customFormat="false" ht="12.75" hidden="false" customHeight="true" outlineLevel="0" collapsed="false">
      <c r="A31" s="26" t="s">
        <v>123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customFormat="false" ht="12.75" hidden="false" customHeight="true" outlineLevel="0" collapsed="false">
      <c r="A32" s="26" t="s">
        <v>124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customFormat="false" ht="12.75" hidden="false" customHeight="true" outlineLevel="0" collapsed="false">
      <c r="A33" s="26" t="s">
        <v>125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customFormat="false" ht="12.75" hidden="false" customHeight="true" outlineLevel="0" collapsed="false">
      <c r="A34" s="26" t="s">
        <v>126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customFormat="false" ht="12.75" hidden="false" customHeight="true" outlineLevel="0" collapsed="false">
      <c r="A35" s="26" t="s">
        <v>127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7" customFormat="false" ht="15.75" hidden="false" customHeight="true" outlineLevel="0" collapsed="false">
      <c r="A37" s="24" t="s">
        <v>131</v>
      </c>
      <c r="B37" s="25" t="n">
        <v>0</v>
      </c>
      <c r="C37" s="25" t="n">
        <v>1</v>
      </c>
      <c r="D37" s="25" t="n">
        <v>2</v>
      </c>
      <c r="E37" s="25" t="n">
        <v>3</v>
      </c>
      <c r="F37" s="25" t="n">
        <v>4</v>
      </c>
      <c r="G37" s="25" t="n">
        <v>5</v>
      </c>
      <c r="H37" s="25" t="n">
        <v>6</v>
      </c>
      <c r="I37" s="25" t="n">
        <v>7</v>
      </c>
      <c r="J37" s="25" t="n">
        <v>8</v>
      </c>
      <c r="K37" s="25" t="n">
        <v>9</v>
      </c>
      <c r="L37" s="25" t="n">
        <v>10</v>
      </c>
      <c r="M37" s="25" t="n">
        <v>11</v>
      </c>
      <c r="N37" s="25" t="n">
        <v>12</v>
      </c>
      <c r="O37" s="25" t="n">
        <v>13</v>
      </c>
      <c r="P37" s="25" t="n">
        <v>14</v>
      </c>
      <c r="Q37" s="25" t="n">
        <v>15</v>
      </c>
    </row>
    <row r="38" customFormat="false" ht="12.75" hidden="false" customHeight="true" outlineLevel="0" collapsed="false">
      <c r="A38" s="26" t="s">
        <v>123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customFormat="false" ht="12.75" hidden="false" customHeight="true" outlineLevel="0" collapsed="false">
      <c r="A39" s="26" t="s">
        <v>124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customFormat="false" ht="12.75" hidden="false" customHeight="true" outlineLevel="0" collapsed="false">
      <c r="A40" s="26" t="s">
        <v>125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</row>
    <row r="41" customFormat="false" ht="12.75" hidden="false" customHeight="true" outlineLevel="0" collapsed="false">
      <c r="A41" s="26" t="s">
        <v>126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</row>
    <row r="42" customFormat="false" ht="12.75" hidden="false" customHeight="true" outlineLevel="0" collapsed="false">
      <c r="A42" s="26" t="s">
        <v>127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4" customFormat="false" ht="15.75" hidden="false" customHeight="true" outlineLevel="0" collapsed="false">
      <c r="A44" s="24" t="s">
        <v>132</v>
      </c>
      <c r="B44" s="25" t="n">
        <v>0</v>
      </c>
      <c r="C44" s="25" t="n">
        <v>1</v>
      </c>
      <c r="D44" s="25" t="n">
        <v>2</v>
      </c>
      <c r="E44" s="25" t="n">
        <v>3</v>
      </c>
      <c r="F44" s="25" t="n">
        <v>4</v>
      </c>
      <c r="G44" s="25" t="n">
        <v>5</v>
      </c>
      <c r="H44" s="25" t="n">
        <v>6</v>
      </c>
      <c r="I44" s="25" t="n">
        <v>7</v>
      </c>
      <c r="J44" s="25" t="n">
        <v>8</v>
      </c>
      <c r="K44" s="25" t="n">
        <v>9</v>
      </c>
      <c r="L44" s="25" t="n">
        <v>10</v>
      </c>
      <c r="M44" s="25" t="n">
        <v>11</v>
      </c>
      <c r="N44" s="25" t="n">
        <v>12</v>
      </c>
      <c r="O44" s="25" t="n">
        <v>13</v>
      </c>
      <c r="P44" s="25" t="n">
        <v>14</v>
      </c>
      <c r="Q44" s="25" t="n">
        <v>15</v>
      </c>
    </row>
    <row r="45" customFormat="false" ht="12.75" hidden="false" customHeight="true" outlineLevel="0" collapsed="false">
      <c r="A45" s="26" t="s">
        <v>123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</row>
    <row r="46" customFormat="false" ht="12.75" hidden="false" customHeight="true" outlineLevel="0" collapsed="false">
      <c r="A46" s="26" t="s">
        <v>124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</row>
    <row r="47" customFormat="false" ht="12.75" hidden="false" customHeight="true" outlineLevel="0" collapsed="false">
      <c r="A47" s="26" t="s">
        <v>125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customFormat="false" ht="12.75" hidden="false" customHeight="true" outlineLevel="0" collapsed="false">
      <c r="A48" s="26" t="s">
        <v>126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customFormat="false" ht="12.75" hidden="false" customHeight="true" outlineLevel="0" collapsed="false">
      <c r="A49" s="26" t="s">
        <v>127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</row>
    <row r="51" customFormat="false" ht="15.75" hidden="false" customHeight="true" outlineLevel="0" collapsed="false">
      <c r="A51" s="24" t="s">
        <v>133</v>
      </c>
      <c r="B51" s="25" t="n">
        <v>0</v>
      </c>
      <c r="C51" s="25" t="n">
        <v>1</v>
      </c>
      <c r="D51" s="25" t="n">
        <v>2</v>
      </c>
      <c r="E51" s="25" t="n">
        <v>3</v>
      </c>
      <c r="F51" s="25" t="n">
        <v>4</v>
      </c>
      <c r="G51" s="25" t="n">
        <v>5</v>
      </c>
      <c r="H51" s="25" t="n">
        <v>6</v>
      </c>
      <c r="I51" s="25" t="n">
        <v>7</v>
      </c>
      <c r="J51" s="25" t="n">
        <v>8</v>
      </c>
      <c r="K51" s="25" t="n">
        <v>9</v>
      </c>
      <c r="L51" s="25" t="n">
        <v>10</v>
      </c>
      <c r="M51" s="25" t="n">
        <v>11</v>
      </c>
      <c r="N51" s="25" t="n">
        <v>12</v>
      </c>
      <c r="O51" s="25" t="n">
        <v>13</v>
      </c>
      <c r="P51" s="25" t="n">
        <v>14</v>
      </c>
      <c r="Q51" s="25" t="n">
        <v>15</v>
      </c>
    </row>
    <row r="52" customFormat="false" ht="12.75" hidden="false" customHeight="true" outlineLevel="0" collapsed="false">
      <c r="A52" s="26" t="s">
        <v>123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</row>
    <row r="53" customFormat="false" ht="12.75" hidden="false" customHeight="true" outlineLevel="0" collapsed="false">
      <c r="A53" s="26" t="s">
        <v>124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</row>
    <row r="54" customFormat="false" ht="12.75" hidden="false" customHeight="true" outlineLevel="0" collapsed="false">
      <c r="A54" s="26" t="s">
        <v>125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</row>
    <row r="55" customFormat="false" ht="12.75" hidden="false" customHeight="true" outlineLevel="0" collapsed="false">
      <c r="A55" s="26" t="s">
        <v>126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customFormat="false" ht="12.75" hidden="false" customHeight="true" outlineLevel="0" collapsed="false">
      <c r="A56" s="26" t="s">
        <v>127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8" customFormat="false" ht="15.75" hidden="false" customHeight="true" outlineLevel="0" collapsed="false">
      <c r="A58" s="24" t="s">
        <v>134</v>
      </c>
      <c r="B58" s="25" t="n">
        <v>0</v>
      </c>
      <c r="C58" s="25" t="n">
        <v>1</v>
      </c>
      <c r="D58" s="25" t="n">
        <v>2</v>
      </c>
      <c r="E58" s="25" t="n">
        <v>3</v>
      </c>
      <c r="F58" s="25" t="n">
        <v>4</v>
      </c>
      <c r="G58" s="25" t="n">
        <v>5</v>
      </c>
      <c r="H58" s="25" t="n">
        <v>6</v>
      </c>
      <c r="I58" s="25" t="n">
        <v>7</v>
      </c>
      <c r="J58" s="25" t="n">
        <v>8</v>
      </c>
      <c r="K58" s="25" t="n">
        <v>9</v>
      </c>
      <c r="L58" s="25" t="n">
        <v>10</v>
      </c>
      <c r="M58" s="25" t="n">
        <v>11</v>
      </c>
      <c r="N58" s="25" t="n">
        <v>12</v>
      </c>
      <c r="O58" s="25" t="n">
        <v>13</v>
      </c>
      <c r="P58" s="25" t="n">
        <v>14</v>
      </c>
      <c r="Q58" s="25" t="n">
        <v>15</v>
      </c>
    </row>
    <row r="59" customFormat="false" ht="12.75" hidden="false" customHeight="true" outlineLevel="0" collapsed="false">
      <c r="A59" s="26" t="s">
        <v>123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</row>
    <row r="60" customFormat="false" ht="12.75" hidden="false" customHeight="true" outlineLevel="0" collapsed="false">
      <c r="A60" s="26" t="s">
        <v>124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</row>
    <row r="61" customFormat="false" ht="12.75" hidden="false" customHeight="true" outlineLevel="0" collapsed="false">
      <c r="A61" s="26" t="s">
        <v>125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</row>
    <row r="62" customFormat="false" ht="12.75" hidden="false" customHeight="true" outlineLevel="0" collapsed="false">
      <c r="A62" s="26" t="s">
        <v>126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customFormat="false" ht="12.75" hidden="false" customHeight="true" outlineLevel="0" collapsed="false">
      <c r="A63" s="26" t="s">
        <v>127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6" customFormat="false" ht="15" hidden="false" customHeight="false" outlineLevel="0" collapsed="false">
      <c r="A66" s="3" t="s">
        <v>135</v>
      </c>
    </row>
    <row r="67" customFormat="false" ht="15" hidden="false" customHeight="false" outlineLevel="0" collapsed="false">
      <c r="A67" s="28" t="s">
        <v>94</v>
      </c>
      <c r="B67" s="29" t="s">
        <v>136</v>
      </c>
    </row>
    <row r="68" customFormat="false" ht="15" hidden="false" customHeight="false" outlineLevel="0" collapsed="false">
      <c r="A68" s="30" t="s">
        <v>100</v>
      </c>
      <c r="B68" s="29" t="s">
        <v>137</v>
      </c>
    </row>
    <row r="69" customFormat="false" ht="15" hidden="false" customHeight="false" outlineLevel="0" collapsed="false">
      <c r="A69" s="31" t="s">
        <v>111</v>
      </c>
      <c r="B69" s="29" t="s">
        <v>138</v>
      </c>
    </row>
    <row r="70" customFormat="false" ht="15" hidden="false" customHeight="false" outlineLevel="0" collapsed="false">
      <c r="A70" s="32" t="s">
        <v>139</v>
      </c>
      <c r="B70" s="29" t="s">
        <v>140</v>
      </c>
    </row>
    <row r="72" customFormat="false" ht="15" hidden="false" customHeight="false" outlineLevel="0" collapsed="false">
      <c r="BR72" s="11" t="s">
        <v>141</v>
      </c>
    </row>
  </sheetData>
  <mergeCells count="2">
    <mergeCell ref="A1:R1"/>
    <mergeCell ref="A2:R2"/>
  </mergeCells>
  <printOptions headings="false" gridLines="false" gridLinesSet="true" horizontalCentered="true" verticalCentered="false"/>
  <pageMargins left="0.35" right="0.35" top="0.4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Affaire 2024_06_264 - Vue des racks&amp;C&amp;7 &amp;D&amp;R&amp;7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6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3.4"/>
    <col collapsed="false" customWidth="true" hidden="false" outlineLevel="0" max="2" min="2" style="0" width="9.4"/>
    <col collapsed="false" customWidth="true" hidden="false" outlineLevel="0" max="3" min="3" style="0" width="7.4"/>
    <col collapsed="false" customWidth="true" hidden="false" outlineLevel="0" max="4" min="4" style="0" width="34"/>
    <col collapsed="false" customWidth="true" hidden="false" outlineLevel="0" max="5" min="5" style="0" width="8.4"/>
    <col collapsed="false" customWidth="true" hidden="false" outlineLevel="0" max="6" min="6" style="0" width="9.4"/>
    <col collapsed="false" customWidth="true" hidden="false" outlineLevel="0" max="7" min="7" style="0" width="14.4"/>
    <col collapsed="false" customWidth="true" hidden="false" outlineLevel="0" max="9" min="8" style="0" width="17.4"/>
    <col collapsed="false" customWidth="true" hidden="false" outlineLevel="0" max="10" min="10" style="0" width="16.39"/>
    <col collapsed="false" customWidth="true" hidden="true" outlineLevel="1" max="11" min="11" style="0" width="6"/>
    <col collapsed="false" customWidth="true" hidden="true" outlineLevel="1" max="12" min="12" style="0" width="7.4"/>
    <col collapsed="false" customWidth="true" hidden="true" outlineLevel="1" max="13" min="13" style="0" width="6"/>
    <col collapsed="false" customWidth="true" hidden="true" outlineLevel="1" max="14" min="14" style="0" width="7.4"/>
    <col collapsed="false" customWidth="true" hidden="true" outlineLevel="1" max="15" min="15" style="0" width="8.4"/>
    <col collapsed="false" customWidth="true" hidden="true" outlineLevel="1" max="17" min="16" style="0" width="6.39"/>
    <col collapsed="false" customWidth="true" hidden="true" outlineLevel="1" max="18" min="18" style="0" width="6"/>
    <col collapsed="false" customWidth="true" hidden="true" outlineLevel="1" max="19" min="19" style="0" width="7.4"/>
    <col collapsed="false" customWidth="true" hidden="true" outlineLevel="1" max="22" min="20" style="0" width="6"/>
    <col collapsed="false" customWidth="true" hidden="true" outlineLevel="1" max="24" min="23" style="0" width="6.39"/>
    <col collapsed="false" customWidth="true" hidden="true" outlineLevel="1" max="29" min="25" style="0" width="6"/>
    <col collapsed="false" customWidth="true" hidden="true" outlineLevel="1" max="30" min="30" style="0" width="7.4"/>
    <col collapsed="false" customWidth="true" hidden="true" outlineLevel="1" max="31" min="31" style="0" width="6.39"/>
    <col collapsed="false" customWidth="true" hidden="true" outlineLevel="1" max="35" min="32" style="0" width="6"/>
    <col collapsed="false" customWidth="true" hidden="true" outlineLevel="1" max="36" min="36" style="0" width="7.4"/>
    <col collapsed="false" customWidth="true" hidden="true" outlineLevel="1" max="37" min="37" style="0" width="6.39"/>
    <col collapsed="false" customWidth="true" hidden="true" outlineLevel="1" max="41" min="38" style="0" width="6"/>
    <col collapsed="false" customWidth="true" hidden="true" outlineLevel="1" max="42" min="42" style="0" width="7.4"/>
    <col collapsed="false" customWidth="true" hidden="true" outlineLevel="1" max="43" min="43" style="0" width="6.39"/>
    <col collapsed="false" customWidth="true" hidden="true" outlineLevel="1" max="47" min="44" style="0" width="6"/>
    <col collapsed="false" customWidth="true" hidden="true" outlineLevel="1" max="48" min="48" style="0" width="7.4"/>
    <col collapsed="false" customWidth="true" hidden="true" outlineLevel="1" max="49" min="49" style="0" width="6.39"/>
    <col collapsed="false" customWidth="true" hidden="false" outlineLevel="0" max="50" min="50" style="0" width="30"/>
  </cols>
  <sheetData>
    <row r="1" customFormat="false" ht="25.5" hidden="false" customHeight="true" outlineLevel="0" collapsed="false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customFormat="false" ht="15.75" hidden="false" customHeight="true" outlineLevel="0" collapsed="false">
      <c r="A2" s="2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customFormat="false" ht="15.75" hidden="false" customHeight="tru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.75" hidden="false" customHeight="true" outlineLevel="0" collapsed="false">
      <c r="A4" s="3" t="s">
        <v>6</v>
      </c>
      <c r="B4" s="4" t="s">
        <v>7</v>
      </c>
      <c r="D4" s="3" t="s">
        <v>8</v>
      </c>
      <c r="E4" s="4" t="s">
        <v>9</v>
      </c>
    </row>
    <row r="6" customFormat="false" ht="15" hidden="false" customHeight="true" outlineLevel="0" collapsed="false">
      <c r="A6" s="16" t="s">
        <v>144</v>
      </c>
      <c r="B6" s="16"/>
      <c r="C6" s="16"/>
      <c r="D6" s="16"/>
      <c r="E6" s="16"/>
      <c r="F6" s="16"/>
      <c r="G6" s="16"/>
      <c r="H6" s="16"/>
      <c r="I6" s="16"/>
      <c r="J6" s="16"/>
      <c r="K6" s="16" t="s">
        <v>145</v>
      </c>
      <c r="L6" s="16"/>
      <c r="M6" s="16"/>
      <c r="N6" s="16"/>
      <c r="O6" s="16"/>
      <c r="P6" s="16"/>
      <c r="Q6" s="18" t="s">
        <v>146</v>
      </c>
      <c r="R6" s="18"/>
      <c r="S6" s="18"/>
      <c r="T6" s="18"/>
      <c r="U6" s="18"/>
      <c r="V6" s="18"/>
      <c r="W6" s="18"/>
      <c r="X6" s="18"/>
      <c r="Y6" s="18"/>
      <c r="Z6" s="33" t="s">
        <v>147</v>
      </c>
      <c r="AA6" s="33"/>
      <c r="AB6" s="33"/>
      <c r="AC6" s="33"/>
      <c r="AD6" s="33"/>
      <c r="AE6" s="33"/>
      <c r="AF6" s="33" t="s">
        <v>148</v>
      </c>
      <c r="AG6" s="33"/>
      <c r="AH6" s="33"/>
      <c r="AI6" s="33"/>
      <c r="AJ6" s="33"/>
      <c r="AK6" s="33"/>
      <c r="AL6" s="33" t="s">
        <v>149</v>
      </c>
      <c r="AM6" s="33"/>
      <c r="AN6" s="33"/>
      <c r="AO6" s="33"/>
      <c r="AP6" s="33"/>
      <c r="AQ6" s="33"/>
      <c r="AR6" s="33" t="s">
        <v>150</v>
      </c>
      <c r="AS6" s="33"/>
      <c r="AT6" s="33"/>
      <c r="AU6" s="33"/>
      <c r="AV6" s="33"/>
      <c r="AW6" s="33"/>
      <c r="AX6" s="34" t="s">
        <v>65</v>
      </c>
    </row>
    <row r="7" customFormat="false" ht="30" hidden="false" customHeight="true" outlineLevel="0" collapsed="false">
      <c r="A7" s="20" t="s">
        <v>69</v>
      </c>
      <c r="B7" s="20" t="s">
        <v>62</v>
      </c>
      <c r="C7" s="20" t="s">
        <v>144</v>
      </c>
      <c r="D7" s="20" t="s">
        <v>151</v>
      </c>
      <c r="E7" s="20" t="s">
        <v>152</v>
      </c>
      <c r="F7" s="20" t="s">
        <v>153</v>
      </c>
      <c r="G7" s="20" t="s">
        <v>73</v>
      </c>
      <c r="H7" s="20" t="s">
        <v>154</v>
      </c>
      <c r="I7" s="20" t="s">
        <v>155</v>
      </c>
      <c r="J7" s="20" t="s">
        <v>156</v>
      </c>
      <c r="K7" s="20" t="s">
        <v>157</v>
      </c>
      <c r="L7" s="20" t="s">
        <v>158</v>
      </c>
      <c r="M7" s="20" t="s">
        <v>159</v>
      </c>
      <c r="N7" s="20" t="s">
        <v>160</v>
      </c>
      <c r="O7" s="20" t="s">
        <v>161</v>
      </c>
      <c r="P7" s="20" t="s">
        <v>162</v>
      </c>
      <c r="Q7" s="20" t="s">
        <v>163</v>
      </c>
      <c r="R7" s="20" t="s">
        <v>164</v>
      </c>
      <c r="S7" s="20" t="s">
        <v>165</v>
      </c>
      <c r="T7" s="20" t="s">
        <v>166</v>
      </c>
      <c r="U7" s="20" t="s">
        <v>167</v>
      </c>
      <c r="V7" s="20" t="s">
        <v>168</v>
      </c>
      <c r="W7" s="20" t="s">
        <v>169</v>
      </c>
      <c r="X7" s="20" t="s">
        <v>170</v>
      </c>
      <c r="Y7" s="20" t="s">
        <v>171</v>
      </c>
      <c r="Z7" s="20" t="s">
        <v>172</v>
      </c>
      <c r="AA7" s="20" t="s">
        <v>173</v>
      </c>
      <c r="AB7" s="20" t="s">
        <v>174</v>
      </c>
      <c r="AC7" s="20" t="s">
        <v>175</v>
      </c>
      <c r="AD7" s="20" t="s">
        <v>176</v>
      </c>
      <c r="AE7" s="20" t="s">
        <v>177</v>
      </c>
      <c r="AF7" s="20" t="s">
        <v>178</v>
      </c>
      <c r="AG7" s="20" t="s">
        <v>179</v>
      </c>
      <c r="AH7" s="20" t="s">
        <v>180</v>
      </c>
      <c r="AI7" s="20" t="s">
        <v>181</v>
      </c>
      <c r="AJ7" s="20" t="s">
        <v>182</v>
      </c>
      <c r="AK7" s="20" t="s">
        <v>183</v>
      </c>
      <c r="AL7" s="20" t="s">
        <v>184</v>
      </c>
      <c r="AM7" s="20" t="s">
        <v>185</v>
      </c>
      <c r="AN7" s="20" t="s">
        <v>186</v>
      </c>
      <c r="AO7" s="20" t="s">
        <v>187</v>
      </c>
      <c r="AP7" s="20" t="s">
        <v>188</v>
      </c>
      <c r="AQ7" s="20" t="s">
        <v>189</v>
      </c>
      <c r="AR7" s="20" t="s">
        <v>190</v>
      </c>
      <c r="AS7" s="20" t="s">
        <v>191</v>
      </c>
      <c r="AT7" s="20" t="s">
        <v>192</v>
      </c>
      <c r="AU7" s="20" t="s">
        <v>193</v>
      </c>
      <c r="AV7" s="20" t="s">
        <v>194</v>
      </c>
      <c r="AW7" s="20" t="s">
        <v>195</v>
      </c>
      <c r="AX7" s="20" t="s">
        <v>81</v>
      </c>
    </row>
    <row r="8" customFormat="false" ht="12.75" hidden="false" customHeight="true" outlineLevel="0" collapsed="false">
      <c r="A8" s="21" t="s">
        <v>196</v>
      </c>
      <c r="B8" s="21" t="s">
        <v>85</v>
      </c>
      <c r="C8" s="21" t="s">
        <v>197</v>
      </c>
      <c r="D8" s="21" t="s">
        <v>198</v>
      </c>
      <c r="E8" s="21" t="s">
        <v>199</v>
      </c>
      <c r="F8" s="21"/>
      <c r="G8" s="21"/>
      <c r="H8" s="21" t="s">
        <v>200</v>
      </c>
      <c r="I8" s="21"/>
      <c r="J8" s="21" t="s">
        <v>201</v>
      </c>
      <c r="K8" s="21" t="s">
        <v>202</v>
      </c>
      <c r="L8" s="21" t="s">
        <v>203</v>
      </c>
      <c r="M8" s="21" t="s">
        <v>202</v>
      </c>
      <c r="N8" s="21" t="s">
        <v>204</v>
      </c>
      <c r="O8" s="21" t="s">
        <v>203</v>
      </c>
      <c r="P8" s="21" t="s">
        <v>205</v>
      </c>
      <c r="Q8" s="21"/>
      <c r="R8" s="21" t="s">
        <v>206</v>
      </c>
      <c r="S8" s="21" t="s">
        <v>206</v>
      </c>
      <c r="T8" s="21"/>
      <c r="U8" s="21"/>
      <c r="V8" s="21" t="s">
        <v>202</v>
      </c>
      <c r="W8" s="21"/>
      <c r="X8" s="21" t="s">
        <v>207</v>
      </c>
      <c r="Y8" s="21" t="s">
        <v>208</v>
      </c>
      <c r="Z8" s="21" t="s">
        <v>202</v>
      </c>
      <c r="AA8" s="21" t="s">
        <v>209</v>
      </c>
      <c r="AB8" s="21"/>
      <c r="AC8" s="21"/>
      <c r="AD8" s="21" t="s">
        <v>203</v>
      </c>
      <c r="AE8" s="21" t="s">
        <v>205</v>
      </c>
      <c r="AF8" s="21" t="s">
        <v>202</v>
      </c>
      <c r="AG8" s="21" t="s">
        <v>209</v>
      </c>
      <c r="AH8" s="21"/>
      <c r="AI8" s="21"/>
      <c r="AJ8" s="21" t="s">
        <v>203</v>
      </c>
      <c r="AK8" s="21" t="s">
        <v>205</v>
      </c>
      <c r="AL8" s="21" t="s">
        <v>202</v>
      </c>
      <c r="AM8" s="21" t="s">
        <v>209</v>
      </c>
      <c r="AN8" s="21"/>
      <c r="AO8" s="21"/>
      <c r="AP8" s="21" t="s">
        <v>203</v>
      </c>
      <c r="AQ8" s="21" t="s">
        <v>205</v>
      </c>
      <c r="AR8" s="21" t="s">
        <v>202</v>
      </c>
      <c r="AS8" s="21" t="s">
        <v>209</v>
      </c>
      <c r="AT8" s="21"/>
      <c r="AU8" s="21"/>
      <c r="AV8" s="21" t="s">
        <v>203</v>
      </c>
      <c r="AW8" s="21" t="s">
        <v>205</v>
      </c>
      <c r="AX8" s="21"/>
    </row>
    <row r="9" customFormat="false" ht="15" hidden="false" customHeight="true" outlineLevel="0" collapsed="false">
      <c r="A9" s="22"/>
      <c r="B9" s="22"/>
      <c r="C9" s="4"/>
      <c r="D9" s="4"/>
      <c r="E9" s="4"/>
      <c r="F9" s="23" t="str">
        <f aca="false">IFERROR(IF(OR($B9="",$C9=""),"",INDEX('Cartes API'!$J:$J,MATCH($B9,'Cartes API'!$A:$A,0))&amp;INDEX('Cartes API'!$B:$B,MATCH($B9,'Cartes API'!$A:$A,0))&amp;"."&amp;INDEX('Cartes API'!$C:$C,MATCH($B9,'Cartes API'!$A:$A,0))&amp;"."&amp;$C9),"")</f>
        <v/>
      </c>
      <c r="G9" s="23" t="str">
        <f aca="false">IFERROR(IF($B9="","",INDEX('Cartes API'!$H:$H,MATCH($B9,'Cartes API'!$A:$A,0))),"")</f>
        <v/>
      </c>
      <c r="H9" s="4"/>
      <c r="I9" s="23" t="str">
        <f aca="false">IF(OR($G9="",$H9=""),"",$G9&amp;"["&amp;$H9&amp;"]")</f>
        <v/>
      </c>
      <c r="J9" s="23" t="str">
        <f aca="false">IFERROR(INDEX(Cablage!$A:$A,MATCH($I9,Cablage!$F:$F,0)),"")</f>
        <v/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customFormat="false" ht="15" hidden="false" customHeight="true" outlineLevel="0" collapsed="false">
      <c r="A10" s="22"/>
      <c r="B10" s="22"/>
      <c r="C10" s="4"/>
      <c r="D10" s="4"/>
      <c r="E10" s="4"/>
      <c r="F10" s="23" t="str">
        <f aca="false">IFERROR(IF(OR($B10="",$C10=""),"",INDEX('Cartes API'!$J:$J,MATCH($B10,'Cartes API'!$A:$A,0))&amp;INDEX('Cartes API'!$B:$B,MATCH($B10,'Cartes API'!$A:$A,0))&amp;"."&amp;INDEX('Cartes API'!$C:$C,MATCH($B10,'Cartes API'!$A:$A,0))&amp;"."&amp;$C10),"")</f>
        <v/>
      </c>
      <c r="G10" s="23" t="str">
        <f aca="false">IFERROR(IF($B10="","",INDEX('Cartes API'!$H:$H,MATCH($B10,'Cartes API'!$A:$A,0))),"")</f>
        <v/>
      </c>
      <c r="H10" s="4"/>
      <c r="I10" s="23" t="str">
        <f aca="false">IF(OR($G10="",$H10=""),"",$G10&amp;"["&amp;$H10&amp;"]")</f>
        <v/>
      </c>
      <c r="J10" s="23" t="str">
        <f aca="false">IFERROR(INDEX(Cablage!$A:$A,MATCH($I10,Cablage!$F:$F,0)),"")</f>
        <v/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customFormat="false" ht="15" hidden="false" customHeight="true" outlineLevel="0" collapsed="false">
      <c r="A11" s="22"/>
      <c r="B11" s="22"/>
      <c r="C11" s="4"/>
      <c r="D11" s="4"/>
      <c r="E11" s="4"/>
      <c r="F11" s="23" t="str">
        <f aca="false">IFERROR(IF(OR($B11="",$C11=""),"",INDEX('Cartes API'!$J:$J,MATCH($B11,'Cartes API'!$A:$A,0))&amp;INDEX('Cartes API'!$B:$B,MATCH($B11,'Cartes API'!$A:$A,0))&amp;"."&amp;INDEX('Cartes API'!$C:$C,MATCH($B11,'Cartes API'!$A:$A,0))&amp;"."&amp;$C11),"")</f>
        <v/>
      </c>
      <c r="G11" s="23" t="str">
        <f aca="false">IFERROR(IF($B11="","",INDEX('Cartes API'!$H:$H,MATCH($B11,'Cartes API'!$A:$A,0))),"")</f>
        <v/>
      </c>
      <c r="H11" s="4"/>
      <c r="I11" s="23" t="str">
        <f aca="false">IF(OR($G11="",$H11=""),"",$G11&amp;"["&amp;$H11&amp;"]")</f>
        <v/>
      </c>
      <c r="J11" s="23" t="str">
        <f aca="false">IFERROR(INDEX(Cablage!$A:$A,MATCH($I11,Cablage!$F:$F,0)),"")</f>
        <v/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customFormat="false" ht="15" hidden="false" customHeight="true" outlineLevel="0" collapsed="false">
      <c r="A12" s="22"/>
      <c r="B12" s="22"/>
      <c r="C12" s="4"/>
      <c r="D12" s="4"/>
      <c r="E12" s="4"/>
      <c r="F12" s="23" t="str">
        <f aca="false">IFERROR(IF(OR($B12="",$C12=""),"",INDEX('Cartes API'!$J:$J,MATCH($B12,'Cartes API'!$A:$A,0))&amp;INDEX('Cartes API'!$B:$B,MATCH($B12,'Cartes API'!$A:$A,0))&amp;"."&amp;INDEX('Cartes API'!$C:$C,MATCH($B12,'Cartes API'!$A:$A,0))&amp;"."&amp;$C12),"")</f>
        <v/>
      </c>
      <c r="G12" s="23" t="str">
        <f aca="false">IFERROR(IF($B12="","",INDEX('Cartes API'!$H:$H,MATCH($B12,'Cartes API'!$A:$A,0))),"")</f>
        <v/>
      </c>
      <c r="H12" s="4"/>
      <c r="I12" s="23" t="str">
        <f aca="false">IF(OR($G12="",$H12=""),"",$G12&amp;"["&amp;$H12&amp;"]")</f>
        <v/>
      </c>
      <c r="J12" s="23" t="str">
        <f aca="false">IFERROR(INDEX(Cablage!$A:$A,MATCH($I12,Cablage!$F:$F,0)),"")</f>
        <v/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customFormat="false" ht="15" hidden="false" customHeight="true" outlineLevel="0" collapsed="false">
      <c r="A13" s="22"/>
      <c r="B13" s="22"/>
      <c r="C13" s="4"/>
      <c r="D13" s="4"/>
      <c r="E13" s="4"/>
      <c r="F13" s="23" t="str">
        <f aca="false">IFERROR(IF(OR($B13="",$C13=""),"",INDEX('Cartes API'!$J:$J,MATCH($B13,'Cartes API'!$A:$A,0))&amp;INDEX('Cartes API'!$B:$B,MATCH($B13,'Cartes API'!$A:$A,0))&amp;"."&amp;INDEX('Cartes API'!$C:$C,MATCH($B13,'Cartes API'!$A:$A,0))&amp;"."&amp;$C13),"")</f>
        <v/>
      </c>
      <c r="G13" s="23" t="str">
        <f aca="false">IFERROR(IF($B13="","",INDEX('Cartes API'!$H:$H,MATCH($B13,'Cartes API'!$A:$A,0))),"")</f>
        <v/>
      </c>
      <c r="H13" s="4"/>
      <c r="I13" s="23" t="str">
        <f aca="false">IF(OR($G13="",$H13=""),"",$G13&amp;"["&amp;$H13&amp;"]")</f>
        <v/>
      </c>
      <c r="J13" s="23" t="str">
        <f aca="false">IFERROR(INDEX(Cablage!$A:$A,MATCH($I13,Cablage!$F:$F,0)),"")</f>
        <v/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customFormat="false" ht="15" hidden="false" customHeight="true" outlineLevel="0" collapsed="false">
      <c r="A14" s="22"/>
      <c r="B14" s="22"/>
      <c r="C14" s="4"/>
      <c r="D14" s="4"/>
      <c r="E14" s="4"/>
      <c r="F14" s="23" t="str">
        <f aca="false">IFERROR(IF(OR($B14="",$C14=""),"",INDEX('Cartes API'!$J:$J,MATCH($B14,'Cartes API'!$A:$A,0))&amp;INDEX('Cartes API'!$B:$B,MATCH($B14,'Cartes API'!$A:$A,0))&amp;"."&amp;INDEX('Cartes API'!$C:$C,MATCH($B14,'Cartes API'!$A:$A,0))&amp;"."&amp;$C14),"")</f>
        <v/>
      </c>
      <c r="G14" s="23" t="str">
        <f aca="false">IFERROR(IF($B14="","",INDEX('Cartes API'!$H:$H,MATCH($B14,'Cartes API'!$A:$A,0))),"")</f>
        <v/>
      </c>
      <c r="H14" s="4"/>
      <c r="I14" s="23" t="str">
        <f aca="false">IF(OR($G14="",$H14=""),"",$G14&amp;"["&amp;$H14&amp;"]")</f>
        <v/>
      </c>
      <c r="J14" s="23" t="str">
        <f aca="false">IFERROR(INDEX(Cablage!$A:$A,MATCH($I14,Cablage!$F:$F,0)),"")</f>
        <v/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customFormat="false" ht="15" hidden="false" customHeight="true" outlineLevel="0" collapsed="false">
      <c r="A15" s="22"/>
      <c r="B15" s="22"/>
      <c r="C15" s="4"/>
      <c r="D15" s="4"/>
      <c r="E15" s="4"/>
      <c r="F15" s="23" t="str">
        <f aca="false">IFERROR(IF(OR($B15="",$C15=""),"",INDEX('Cartes API'!$J:$J,MATCH($B15,'Cartes API'!$A:$A,0))&amp;INDEX('Cartes API'!$B:$B,MATCH($B15,'Cartes API'!$A:$A,0))&amp;"."&amp;INDEX('Cartes API'!$C:$C,MATCH($B15,'Cartes API'!$A:$A,0))&amp;"."&amp;$C15),"")</f>
        <v/>
      </c>
      <c r="G15" s="23" t="str">
        <f aca="false">IFERROR(IF($B15="","",INDEX('Cartes API'!$H:$H,MATCH($B15,'Cartes API'!$A:$A,0))),"")</f>
        <v/>
      </c>
      <c r="H15" s="4"/>
      <c r="I15" s="23" t="str">
        <f aca="false">IF(OR($G15="",$H15=""),"",$G15&amp;"["&amp;$H15&amp;"]")</f>
        <v/>
      </c>
      <c r="J15" s="23" t="str">
        <f aca="false">IFERROR(INDEX(Cablage!$A:$A,MATCH($I15,Cablage!$F:$F,0)),"")</f>
        <v/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customFormat="false" ht="15" hidden="false" customHeight="true" outlineLevel="0" collapsed="false">
      <c r="A16" s="22"/>
      <c r="B16" s="22"/>
      <c r="C16" s="4"/>
      <c r="D16" s="4"/>
      <c r="E16" s="4"/>
      <c r="F16" s="23" t="str">
        <f aca="false">IFERROR(IF(OR($B16="",$C16=""),"",INDEX('Cartes API'!$J:$J,MATCH($B16,'Cartes API'!$A:$A,0))&amp;INDEX('Cartes API'!$B:$B,MATCH($B16,'Cartes API'!$A:$A,0))&amp;"."&amp;INDEX('Cartes API'!$C:$C,MATCH($B16,'Cartes API'!$A:$A,0))&amp;"."&amp;$C16),"")</f>
        <v/>
      </c>
      <c r="G16" s="23" t="str">
        <f aca="false">IFERROR(IF($B16="","",INDEX('Cartes API'!$H:$H,MATCH($B16,'Cartes API'!$A:$A,0))),"")</f>
        <v/>
      </c>
      <c r="H16" s="4"/>
      <c r="I16" s="23" t="str">
        <f aca="false">IF(OR($G16="",$H16=""),"",$G16&amp;"["&amp;$H16&amp;"]")</f>
        <v/>
      </c>
      <c r="J16" s="23" t="str">
        <f aca="false">IFERROR(INDEX(Cablage!$A:$A,MATCH($I16,Cablage!$F:$F,0)),"")</f>
        <v/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customFormat="false" ht="15" hidden="false" customHeight="true" outlineLevel="0" collapsed="false">
      <c r="A17" s="22"/>
      <c r="B17" s="22"/>
      <c r="C17" s="4"/>
      <c r="D17" s="4"/>
      <c r="E17" s="4"/>
      <c r="F17" s="23" t="str">
        <f aca="false">IFERROR(IF(OR($B17="",$C17=""),"",INDEX('Cartes API'!$J:$J,MATCH($B17,'Cartes API'!$A:$A,0))&amp;INDEX('Cartes API'!$B:$B,MATCH($B17,'Cartes API'!$A:$A,0))&amp;"."&amp;INDEX('Cartes API'!$C:$C,MATCH($B17,'Cartes API'!$A:$A,0))&amp;"."&amp;$C17),"")</f>
        <v/>
      </c>
      <c r="G17" s="23" t="str">
        <f aca="false">IFERROR(IF($B17="","",INDEX('Cartes API'!$H:$H,MATCH($B17,'Cartes API'!$A:$A,0))),"")</f>
        <v/>
      </c>
      <c r="H17" s="4"/>
      <c r="I17" s="23" t="str">
        <f aca="false">IF(OR($G17="",$H17=""),"",$G17&amp;"["&amp;$H17&amp;"]")</f>
        <v/>
      </c>
      <c r="J17" s="23" t="str">
        <f aca="false">IFERROR(INDEX(Cablage!$A:$A,MATCH($I17,Cablage!$F:$F,0)),"")</f>
        <v/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customFormat="false" ht="15" hidden="false" customHeight="true" outlineLevel="0" collapsed="false">
      <c r="A18" s="22"/>
      <c r="B18" s="22"/>
      <c r="C18" s="4"/>
      <c r="D18" s="4"/>
      <c r="E18" s="4"/>
      <c r="F18" s="23" t="str">
        <f aca="false">IFERROR(IF(OR($B18="",$C18=""),"",INDEX('Cartes API'!$J:$J,MATCH($B18,'Cartes API'!$A:$A,0))&amp;INDEX('Cartes API'!$B:$B,MATCH($B18,'Cartes API'!$A:$A,0))&amp;"."&amp;INDEX('Cartes API'!$C:$C,MATCH($B18,'Cartes API'!$A:$A,0))&amp;"."&amp;$C18),"")</f>
        <v/>
      </c>
      <c r="G18" s="23" t="str">
        <f aca="false">IFERROR(IF($B18="","",INDEX('Cartes API'!$H:$H,MATCH($B18,'Cartes API'!$A:$A,0))),"")</f>
        <v/>
      </c>
      <c r="H18" s="4"/>
      <c r="I18" s="23" t="str">
        <f aca="false">IF(OR($G18="",$H18=""),"",$G18&amp;"["&amp;$H18&amp;"]")</f>
        <v/>
      </c>
      <c r="J18" s="23" t="str">
        <f aca="false">IFERROR(INDEX(Cablage!$A:$A,MATCH($I18,Cablage!$F:$F,0)),"")</f>
        <v/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customFormat="false" ht="15" hidden="false" customHeight="true" outlineLevel="0" collapsed="false">
      <c r="A19" s="22"/>
      <c r="B19" s="22"/>
      <c r="C19" s="4"/>
      <c r="D19" s="4"/>
      <c r="E19" s="4"/>
      <c r="F19" s="23" t="str">
        <f aca="false">IFERROR(IF(OR($B19="",$C19=""),"",INDEX('Cartes API'!$J:$J,MATCH($B19,'Cartes API'!$A:$A,0))&amp;INDEX('Cartes API'!$B:$B,MATCH($B19,'Cartes API'!$A:$A,0))&amp;"."&amp;INDEX('Cartes API'!$C:$C,MATCH($B19,'Cartes API'!$A:$A,0))&amp;"."&amp;$C19),"")</f>
        <v/>
      </c>
      <c r="G19" s="23" t="str">
        <f aca="false">IFERROR(IF($B19="","",INDEX('Cartes API'!$H:$H,MATCH($B19,'Cartes API'!$A:$A,0))),"")</f>
        <v/>
      </c>
      <c r="H19" s="4"/>
      <c r="I19" s="23" t="str">
        <f aca="false">IF(OR($G19="",$H19=""),"",$G19&amp;"["&amp;$H19&amp;"]")</f>
        <v/>
      </c>
      <c r="J19" s="23" t="str">
        <f aca="false">IFERROR(INDEX(Cablage!$A:$A,MATCH($I19,Cablage!$F:$F,0)),"")</f>
        <v/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customFormat="false" ht="15" hidden="false" customHeight="true" outlineLevel="0" collapsed="false">
      <c r="A20" s="22"/>
      <c r="B20" s="22"/>
      <c r="C20" s="4"/>
      <c r="D20" s="4"/>
      <c r="E20" s="4"/>
      <c r="F20" s="23" t="str">
        <f aca="false">IFERROR(IF(OR($B20="",$C20=""),"",INDEX('Cartes API'!$J:$J,MATCH($B20,'Cartes API'!$A:$A,0))&amp;INDEX('Cartes API'!$B:$B,MATCH($B20,'Cartes API'!$A:$A,0))&amp;"."&amp;INDEX('Cartes API'!$C:$C,MATCH($B20,'Cartes API'!$A:$A,0))&amp;"."&amp;$C20),"")</f>
        <v/>
      </c>
      <c r="G20" s="23" t="str">
        <f aca="false">IFERROR(IF($B20="","",INDEX('Cartes API'!$H:$H,MATCH($B20,'Cartes API'!$A:$A,0))),"")</f>
        <v/>
      </c>
      <c r="H20" s="4"/>
      <c r="I20" s="23" t="str">
        <f aca="false">IF(OR($G20="",$H20=""),"",$G20&amp;"["&amp;$H20&amp;"]")</f>
        <v/>
      </c>
      <c r="J20" s="23" t="str">
        <f aca="false">IFERROR(INDEX(Cablage!$A:$A,MATCH($I20,Cablage!$F:$F,0)),"")</f>
        <v/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customFormat="false" ht="15" hidden="false" customHeight="true" outlineLevel="0" collapsed="false">
      <c r="A21" s="22"/>
      <c r="B21" s="22"/>
      <c r="C21" s="4"/>
      <c r="D21" s="4"/>
      <c r="E21" s="4"/>
      <c r="F21" s="23" t="str">
        <f aca="false">IFERROR(IF(OR($B21="",$C21=""),"",INDEX('Cartes API'!$J:$J,MATCH($B21,'Cartes API'!$A:$A,0))&amp;INDEX('Cartes API'!$B:$B,MATCH($B21,'Cartes API'!$A:$A,0))&amp;"."&amp;INDEX('Cartes API'!$C:$C,MATCH($B21,'Cartes API'!$A:$A,0))&amp;"."&amp;$C21),"")</f>
        <v/>
      </c>
      <c r="G21" s="23" t="str">
        <f aca="false">IFERROR(IF($B21="","",INDEX('Cartes API'!$H:$H,MATCH($B21,'Cartes API'!$A:$A,0))),"")</f>
        <v/>
      </c>
      <c r="H21" s="4"/>
      <c r="I21" s="23" t="str">
        <f aca="false">IF(OR($G21="",$H21=""),"",$G21&amp;"["&amp;$H21&amp;"]")</f>
        <v/>
      </c>
      <c r="J21" s="23" t="str">
        <f aca="false">IFERROR(INDEX(Cablage!$A:$A,MATCH($I21,Cablage!$F:$F,0)),"")</f>
        <v/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customFormat="false" ht="15" hidden="false" customHeight="true" outlineLevel="0" collapsed="false">
      <c r="A22" s="22"/>
      <c r="B22" s="22"/>
      <c r="C22" s="4"/>
      <c r="D22" s="4"/>
      <c r="E22" s="4"/>
      <c r="F22" s="23" t="str">
        <f aca="false">IFERROR(IF(OR($B22="",$C22=""),"",INDEX('Cartes API'!$J:$J,MATCH($B22,'Cartes API'!$A:$A,0))&amp;INDEX('Cartes API'!$B:$B,MATCH($B22,'Cartes API'!$A:$A,0))&amp;"."&amp;INDEX('Cartes API'!$C:$C,MATCH($B22,'Cartes API'!$A:$A,0))&amp;"."&amp;$C22),"")</f>
        <v/>
      </c>
      <c r="G22" s="23" t="str">
        <f aca="false">IFERROR(IF($B22="","",INDEX('Cartes API'!$H:$H,MATCH($B22,'Cartes API'!$A:$A,0))),"")</f>
        <v/>
      </c>
      <c r="H22" s="4"/>
      <c r="I22" s="23" t="str">
        <f aca="false">IF(OR($G22="",$H22=""),"",$G22&amp;"["&amp;$H22&amp;"]")</f>
        <v/>
      </c>
      <c r="J22" s="23" t="str">
        <f aca="false">IFERROR(INDEX(Cablage!$A:$A,MATCH($I22,Cablage!$F:$F,0)),"")</f>
        <v/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customFormat="false" ht="15" hidden="false" customHeight="true" outlineLevel="0" collapsed="false">
      <c r="A23" s="22"/>
      <c r="B23" s="22"/>
      <c r="C23" s="4"/>
      <c r="D23" s="4"/>
      <c r="E23" s="4"/>
      <c r="F23" s="23" t="str">
        <f aca="false">IFERROR(IF(OR($B23="",$C23=""),"",INDEX('Cartes API'!$J:$J,MATCH($B23,'Cartes API'!$A:$A,0))&amp;INDEX('Cartes API'!$B:$B,MATCH($B23,'Cartes API'!$A:$A,0))&amp;"."&amp;INDEX('Cartes API'!$C:$C,MATCH($B23,'Cartes API'!$A:$A,0))&amp;"."&amp;$C23),"")</f>
        <v/>
      </c>
      <c r="G23" s="23" t="str">
        <f aca="false">IFERROR(IF($B23="","",INDEX('Cartes API'!$H:$H,MATCH($B23,'Cartes API'!$A:$A,0))),"")</f>
        <v/>
      </c>
      <c r="H23" s="4"/>
      <c r="I23" s="23" t="str">
        <f aca="false">IF(OR($G23="",$H23=""),"",$G23&amp;"["&amp;$H23&amp;"]")</f>
        <v/>
      </c>
      <c r="J23" s="23" t="str">
        <f aca="false">IFERROR(INDEX(Cablage!$A:$A,MATCH($I23,Cablage!$F:$F,0)),"")</f>
        <v/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customFormat="false" ht="15" hidden="false" customHeight="true" outlineLevel="0" collapsed="false">
      <c r="A24" s="22"/>
      <c r="B24" s="22"/>
      <c r="C24" s="4"/>
      <c r="D24" s="4"/>
      <c r="E24" s="4"/>
      <c r="F24" s="23" t="str">
        <f aca="false">IFERROR(IF(OR($B24="",$C24=""),"",INDEX('Cartes API'!$J:$J,MATCH($B24,'Cartes API'!$A:$A,0))&amp;INDEX('Cartes API'!$B:$B,MATCH($B24,'Cartes API'!$A:$A,0))&amp;"."&amp;INDEX('Cartes API'!$C:$C,MATCH($B24,'Cartes API'!$A:$A,0))&amp;"."&amp;$C24),"")</f>
        <v/>
      </c>
      <c r="G24" s="23" t="str">
        <f aca="false">IFERROR(IF($B24="","",INDEX('Cartes API'!$H:$H,MATCH($B24,'Cartes API'!$A:$A,0))),"")</f>
        <v/>
      </c>
      <c r="H24" s="4"/>
      <c r="I24" s="23" t="str">
        <f aca="false">IF(OR($G24="",$H24=""),"",$G24&amp;"["&amp;$H24&amp;"]")</f>
        <v/>
      </c>
      <c r="J24" s="23" t="str">
        <f aca="false">IFERROR(INDEX(Cablage!$A:$A,MATCH($I24,Cablage!$F:$F,0)),"")</f>
        <v/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customFormat="false" ht="15" hidden="false" customHeight="true" outlineLevel="0" collapsed="false">
      <c r="A25" s="22"/>
      <c r="B25" s="22"/>
      <c r="C25" s="4"/>
      <c r="D25" s="4"/>
      <c r="E25" s="4"/>
      <c r="F25" s="23" t="str">
        <f aca="false">IFERROR(IF(OR($B25="",$C25=""),"",INDEX('Cartes API'!$J:$J,MATCH($B25,'Cartes API'!$A:$A,0))&amp;INDEX('Cartes API'!$B:$B,MATCH($B25,'Cartes API'!$A:$A,0))&amp;"."&amp;INDEX('Cartes API'!$C:$C,MATCH($B25,'Cartes API'!$A:$A,0))&amp;"."&amp;$C25),"")</f>
        <v/>
      </c>
      <c r="G25" s="23" t="str">
        <f aca="false">IFERROR(IF($B25="","",INDEX('Cartes API'!$H:$H,MATCH($B25,'Cartes API'!$A:$A,0))),"")</f>
        <v/>
      </c>
      <c r="H25" s="4"/>
      <c r="I25" s="23" t="str">
        <f aca="false">IF(OR($G25="",$H25=""),"",$G25&amp;"["&amp;$H25&amp;"]")</f>
        <v/>
      </c>
      <c r="J25" s="23" t="str">
        <f aca="false">IFERROR(INDEX(Cablage!$A:$A,MATCH($I25,Cablage!$F:$F,0)),"")</f>
        <v/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customFormat="false" ht="15" hidden="false" customHeight="true" outlineLevel="0" collapsed="false">
      <c r="A26" s="22"/>
      <c r="B26" s="22"/>
      <c r="C26" s="4"/>
      <c r="D26" s="4"/>
      <c r="E26" s="4"/>
      <c r="F26" s="23" t="str">
        <f aca="false">IFERROR(IF(OR($B26="",$C26=""),"",INDEX('Cartes API'!$J:$J,MATCH($B26,'Cartes API'!$A:$A,0))&amp;INDEX('Cartes API'!$B:$B,MATCH($B26,'Cartes API'!$A:$A,0))&amp;"."&amp;INDEX('Cartes API'!$C:$C,MATCH($B26,'Cartes API'!$A:$A,0))&amp;"."&amp;$C26),"")</f>
        <v/>
      </c>
      <c r="G26" s="23" t="str">
        <f aca="false">IFERROR(IF($B26="","",INDEX('Cartes API'!$H:$H,MATCH($B26,'Cartes API'!$A:$A,0))),"")</f>
        <v/>
      </c>
      <c r="H26" s="4"/>
      <c r="I26" s="23" t="str">
        <f aca="false">IF(OR($G26="",$H26=""),"",$G26&amp;"["&amp;$H26&amp;"]")</f>
        <v/>
      </c>
      <c r="J26" s="23" t="str">
        <f aca="false">IFERROR(INDEX(Cablage!$A:$A,MATCH($I26,Cablage!$F:$F,0)),"")</f>
        <v/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customFormat="false" ht="15" hidden="false" customHeight="true" outlineLevel="0" collapsed="false">
      <c r="A27" s="22"/>
      <c r="B27" s="22"/>
      <c r="C27" s="4"/>
      <c r="D27" s="4"/>
      <c r="E27" s="4"/>
      <c r="F27" s="23" t="str">
        <f aca="false">IFERROR(IF(OR($B27="",$C27=""),"",INDEX('Cartes API'!$J:$J,MATCH($B27,'Cartes API'!$A:$A,0))&amp;INDEX('Cartes API'!$B:$B,MATCH($B27,'Cartes API'!$A:$A,0))&amp;"."&amp;INDEX('Cartes API'!$C:$C,MATCH($B27,'Cartes API'!$A:$A,0))&amp;"."&amp;$C27),"")</f>
        <v/>
      </c>
      <c r="G27" s="23" t="str">
        <f aca="false">IFERROR(IF($B27="","",INDEX('Cartes API'!$H:$H,MATCH($B27,'Cartes API'!$A:$A,0))),"")</f>
        <v/>
      </c>
      <c r="H27" s="4"/>
      <c r="I27" s="23" t="str">
        <f aca="false">IF(OR($G27="",$H27=""),"",$G27&amp;"["&amp;$H27&amp;"]")</f>
        <v/>
      </c>
      <c r="J27" s="23" t="str">
        <f aca="false">IFERROR(INDEX(Cablage!$A:$A,MATCH($I27,Cablage!$F:$F,0)),"")</f>
        <v/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customFormat="false" ht="15" hidden="false" customHeight="true" outlineLevel="0" collapsed="false">
      <c r="A28" s="22"/>
      <c r="B28" s="22"/>
      <c r="C28" s="4"/>
      <c r="D28" s="4"/>
      <c r="E28" s="4"/>
      <c r="F28" s="23" t="str">
        <f aca="false">IFERROR(IF(OR($B28="",$C28=""),"",INDEX('Cartes API'!$J:$J,MATCH($B28,'Cartes API'!$A:$A,0))&amp;INDEX('Cartes API'!$B:$B,MATCH($B28,'Cartes API'!$A:$A,0))&amp;"."&amp;INDEX('Cartes API'!$C:$C,MATCH($B28,'Cartes API'!$A:$A,0))&amp;"."&amp;$C28),"")</f>
        <v/>
      </c>
      <c r="G28" s="23" t="str">
        <f aca="false">IFERROR(IF($B28="","",INDEX('Cartes API'!$H:$H,MATCH($B28,'Cartes API'!$A:$A,0))),"")</f>
        <v/>
      </c>
      <c r="H28" s="4"/>
      <c r="I28" s="23" t="str">
        <f aca="false">IF(OR($G28="",$H28=""),"",$G28&amp;"["&amp;$H28&amp;"]")</f>
        <v/>
      </c>
      <c r="J28" s="23" t="str">
        <f aca="false">IFERROR(INDEX(Cablage!$A:$A,MATCH($I28,Cablage!$F:$F,0)),"")</f>
        <v/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customFormat="false" ht="15" hidden="false" customHeight="true" outlineLevel="0" collapsed="false">
      <c r="A29" s="22"/>
      <c r="B29" s="22"/>
      <c r="C29" s="4"/>
      <c r="D29" s="4"/>
      <c r="E29" s="4"/>
      <c r="F29" s="23" t="str">
        <f aca="false">IFERROR(IF(OR($B29="",$C29=""),"",INDEX('Cartes API'!$J:$J,MATCH($B29,'Cartes API'!$A:$A,0))&amp;INDEX('Cartes API'!$B:$B,MATCH($B29,'Cartes API'!$A:$A,0))&amp;"."&amp;INDEX('Cartes API'!$C:$C,MATCH($B29,'Cartes API'!$A:$A,0))&amp;"."&amp;$C29),"")</f>
        <v/>
      </c>
      <c r="G29" s="23" t="str">
        <f aca="false">IFERROR(IF($B29="","",INDEX('Cartes API'!$H:$H,MATCH($B29,'Cartes API'!$A:$A,0))),"")</f>
        <v/>
      </c>
      <c r="H29" s="4"/>
      <c r="I29" s="23" t="str">
        <f aca="false">IF(OR($G29="",$H29=""),"",$G29&amp;"["&amp;$H29&amp;"]")</f>
        <v/>
      </c>
      <c r="J29" s="23" t="str">
        <f aca="false">IFERROR(INDEX(Cablage!$A:$A,MATCH($I29,Cablage!$F:$F,0)),"")</f>
        <v/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customFormat="false" ht="15" hidden="false" customHeight="true" outlineLevel="0" collapsed="false">
      <c r="A30" s="22"/>
      <c r="B30" s="22"/>
      <c r="C30" s="4"/>
      <c r="D30" s="4"/>
      <c r="E30" s="4"/>
      <c r="F30" s="23" t="str">
        <f aca="false">IFERROR(IF(OR($B30="",$C30=""),"",INDEX('Cartes API'!$J:$J,MATCH($B30,'Cartes API'!$A:$A,0))&amp;INDEX('Cartes API'!$B:$B,MATCH($B30,'Cartes API'!$A:$A,0))&amp;"."&amp;INDEX('Cartes API'!$C:$C,MATCH($B30,'Cartes API'!$A:$A,0))&amp;"."&amp;$C30),"")</f>
        <v/>
      </c>
      <c r="G30" s="23" t="str">
        <f aca="false">IFERROR(IF($B30="","",INDEX('Cartes API'!$H:$H,MATCH($B30,'Cartes API'!$A:$A,0))),"")</f>
        <v/>
      </c>
      <c r="H30" s="4"/>
      <c r="I30" s="23" t="str">
        <f aca="false">IF(OR($G30="",$H30=""),"",$G30&amp;"["&amp;$H30&amp;"]")</f>
        <v/>
      </c>
      <c r="J30" s="23" t="str">
        <f aca="false">IFERROR(INDEX(Cablage!$A:$A,MATCH($I30,Cablage!$F:$F,0)),"")</f>
        <v/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customFormat="false" ht="15" hidden="false" customHeight="true" outlineLevel="0" collapsed="false">
      <c r="A31" s="22"/>
      <c r="B31" s="22"/>
      <c r="C31" s="4"/>
      <c r="D31" s="4"/>
      <c r="E31" s="4"/>
      <c r="F31" s="23" t="str">
        <f aca="false">IFERROR(IF(OR($B31="",$C31=""),"",INDEX('Cartes API'!$J:$J,MATCH($B31,'Cartes API'!$A:$A,0))&amp;INDEX('Cartes API'!$B:$B,MATCH($B31,'Cartes API'!$A:$A,0))&amp;"."&amp;INDEX('Cartes API'!$C:$C,MATCH($B31,'Cartes API'!$A:$A,0))&amp;"."&amp;$C31),"")</f>
        <v/>
      </c>
      <c r="G31" s="23" t="str">
        <f aca="false">IFERROR(IF($B31="","",INDEX('Cartes API'!$H:$H,MATCH($B31,'Cartes API'!$A:$A,0))),"")</f>
        <v/>
      </c>
      <c r="H31" s="4"/>
      <c r="I31" s="23" t="str">
        <f aca="false">IF(OR($G31="",$H31=""),"",$G31&amp;"["&amp;$H31&amp;"]")</f>
        <v/>
      </c>
      <c r="J31" s="23" t="str">
        <f aca="false">IFERROR(INDEX(Cablage!$A:$A,MATCH($I31,Cablage!$F:$F,0)),"")</f>
        <v/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customFormat="false" ht="15" hidden="false" customHeight="true" outlineLevel="0" collapsed="false">
      <c r="A32" s="22"/>
      <c r="B32" s="22"/>
      <c r="C32" s="4"/>
      <c r="D32" s="4"/>
      <c r="E32" s="4"/>
      <c r="F32" s="23" t="str">
        <f aca="false">IFERROR(IF(OR($B32="",$C32=""),"",INDEX('Cartes API'!$J:$J,MATCH($B32,'Cartes API'!$A:$A,0))&amp;INDEX('Cartes API'!$B:$B,MATCH($B32,'Cartes API'!$A:$A,0))&amp;"."&amp;INDEX('Cartes API'!$C:$C,MATCH($B32,'Cartes API'!$A:$A,0))&amp;"."&amp;$C32),"")</f>
        <v/>
      </c>
      <c r="G32" s="23" t="str">
        <f aca="false">IFERROR(IF($B32="","",INDEX('Cartes API'!$H:$H,MATCH($B32,'Cartes API'!$A:$A,0))),"")</f>
        <v/>
      </c>
      <c r="H32" s="4"/>
      <c r="I32" s="23" t="str">
        <f aca="false">IF(OR($G32="",$H32=""),"",$G32&amp;"["&amp;$H32&amp;"]")</f>
        <v/>
      </c>
      <c r="J32" s="23" t="str">
        <f aca="false">IFERROR(INDEX(Cablage!$A:$A,MATCH($I32,Cablage!$F:$F,0)),"")</f>
        <v/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customFormat="false" ht="15" hidden="false" customHeight="true" outlineLevel="0" collapsed="false">
      <c r="A33" s="22"/>
      <c r="B33" s="22"/>
      <c r="C33" s="4"/>
      <c r="D33" s="4"/>
      <c r="E33" s="4"/>
      <c r="F33" s="23" t="str">
        <f aca="false">IFERROR(IF(OR($B33="",$C33=""),"",INDEX('Cartes API'!$J:$J,MATCH($B33,'Cartes API'!$A:$A,0))&amp;INDEX('Cartes API'!$B:$B,MATCH($B33,'Cartes API'!$A:$A,0))&amp;"."&amp;INDEX('Cartes API'!$C:$C,MATCH($B33,'Cartes API'!$A:$A,0))&amp;"."&amp;$C33),"")</f>
        <v/>
      </c>
      <c r="G33" s="23" t="str">
        <f aca="false">IFERROR(IF($B33="","",INDEX('Cartes API'!$H:$H,MATCH($B33,'Cartes API'!$A:$A,0))),"")</f>
        <v/>
      </c>
      <c r="H33" s="4"/>
      <c r="I33" s="23" t="str">
        <f aca="false">IF(OR($G33="",$H33=""),"",$G33&amp;"["&amp;$H33&amp;"]")</f>
        <v/>
      </c>
      <c r="J33" s="23" t="str">
        <f aca="false">IFERROR(INDEX(Cablage!$A:$A,MATCH($I33,Cablage!$F:$F,0)),"")</f>
        <v/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customFormat="false" ht="15" hidden="false" customHeight="true" outlineLevel="0" collapsed="false">
      <c r="A34" s="22"/>
      <c r="B34" s="22"/>
      <c r="C34" s="4"/>
      <c r="D34" s="4"/>
      <c r="E34" s="4"/>
      <c r="F34" s="23" t="str">
        <f aca="false">IFERROR(IF(OR($B34="",$C34=""),"",INDEX('Cartes API'!$J:$J,MATCH($B34,'Cartes API'!$A:$A,0))&amp;INDEX('Cartes API'!$B:$B,MATCH($B34,'Cartes API'!$A:$A,0))&amp;"."&amp;INDEX('Cartes API'!$C:$C,MATCH($B34,'Cartes API'!$A:$A,0))&amp;"."&amp;$C34),"")</f>
        <v/>
      </c>
      <c r="G34" s="23" t="str">
        <f aca="false">IFERROR(IF($B34="","",INDEX('Cartes API'!$H:$H,MATCH($B34,'Cartes API'!$A:$A,0))),"")</f>
        <v/>
      </c>
      <c r="H34" s="4"/>
      <c r="I34" s="23" t="str">
        <f aca="false">IF(OR($G34="",$H34=""),"",$G34&amp;"["&amp;$H34&amp;"]")</f>
        <v/>
      </c>
      <c r="J34" s="23" t="str">
        <f aca="false">IFERROR(INDEX(Cablage!$A:$A,MATCH($I34,Cablage!$F:$F,0)),"")</f>
        <v/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customFormat="false" ht="15" hidden="false" customHeight="true" outlineLevel="0" collapsed="false">
      <c r="A35" s="22"/>
      <c r="B35" s="22"/>
      <c r="C35" s="4"/>
      <c r="D35" s="4"/>
      <c r="E35" s="4"/>
      <c r="F35" s="23" t="str">
        <f aca="false">IFERROR(IF(OR($B35="",$C35=""),"",INDEX('Cartes API'!$J:$J,MATCH($B35,'Cartes API'!$A:$A,0))&amp;INDEX('Cartes API'!$B:$B,MATCH($B35,'Cartes API'!$A:$A,0))&amp;"."&amp;INDEX('Cartes API'!$C:$C,MATCH($B35,'Cartes API'!$A:$A,0))&amp;"."&amp;$C35),"")</f>
        <v/>
      </c>
      <c r="G35" s="23" t="str">
        <f aca="false">IFERROR(IF($B35="","",INDEX('Cartes API'!$H:$H,MATCH($B35,'Cartes API'!$A:$A,0))),"")</f>
        <v/>
      </c>
      <c r="H35" s="4"/>
      <c r="I35" s="23" t="str">
        <f aca="false">IF(OR($G35="",$H35=""),"",$G35&amp;"["&amp;$H35&amp;"]")</f>
        <v/>
      </c>
      <c r="J35" s="23" t="str">
        <f aca="false">IFERROR(INDEX(Cablage!$A:$A,MATCH($I35,Cablage!$F:$F,0)),"")</f>
        <v/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customFormat="false" ht="15" hidden="false" customHeight="true" outlineLevel="0" collapsed="false">
      <c r="A36" s="22"/>
      <c r="B36" s="22"/>
      <c r="C36" s="4"/>
      <c r="D36" s="4"/>
      <c r="E36" s="4"/>
      <c r="F36" s="23" t="str">
        <f aca="false">IFERROR(IF(OR($B36="",$C36=""),"",INDEX('Cartes API'!$J:$J,MATCH($B36,'Cartes API'!$A:$A,0))&amp;INDEX('Cartes API'!$B:$B,MATCH($B36,'Cartes API'!$A:$A,0))&amp;"."&amp;INDEX('Cartes API'!$C:$C,MATCH($B36,'Cartes API'!$A:$A,0))&amp;"."&amp;$C36),"")</f>
        <v/>
      </c>
      <c r="G36" s="23" t="str">
        <f aca="false">IFERROR(IF($B36="","",INDEX('Cartes API'!$H:$H,MATCH($B36,'Cartes API'!$A:$A,0))),"")</f>
        <v/>
      </c>
      <c r="H36" s="4"/>
      <c r="I36" s="23" t="str">
        <f aca="false">IF(OR($G36="",$H36=""),"",$G36&amp;"["&amp;$H36&amp;"]")</f>
        <v/>
      </c>
      <c r="J36" s="23" t="str">
        <f aca="false">IFERROR(INDEX(Cablage!$A:$A,MATCH($I36,Cablage!$F:$F,0)),"")</f>
        <v/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customFormat="false" ht="15" hidden="false" customHeight="true" outlineLevel="0" collapsed="false">
      <c r="A37" s="22"/>
      <c r="B37" s="22"/>
      <c r="C37" s="4"/>
      <c r="D37" s="4"/>
      <c r="E37" s="4"/>
      <c r="F37" s="23" t="str">
        <f aca="false">IFERROR(IF(OR($B37="",$C37=""),"",INDEX('Cartes API'!$J:$J,MATCH($B37,'Cartes API'!$A:$A,0))&amp;INDEX('Cartes API'!$B:$B,MATCH($B37,'Cartes API'!$A:$A,0))&amp;"."&amp;INDEX('Cartes API'!$C:$C,MATCH($B37,'Cartes API'!$A:$A,0))&amp;"."&amp;$C37),"")</f>
        <v/>
      </c>
      <c r="G37" s="23" t="str">
        <f aca="false">IFERROR(IF($B37="","",INDEX('Cartes API'!$H:$H,MATCH($B37,'Cartes API'!$A:$A,0))),"")</f>
        <v/>
      </c>
      <c r="H37" s="4"/>
      <c r="I37" s="23" t="str">
        <f aca="false">IF(OR($G37="",$H37=""),"",$G37&amp;"["&amp;$H37&amp;"]")</f>
        <v/>
      </c>
      <c r="J37" s="23" t="str">
        <f aca="false">IFERROR(INDEX(Cablage!$A:$A,MATCH($I37,Cablage!$F:$F,0)),"")</f>
        <v/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customFormat="false" ht="15" hidden="false" customHeight="true" outlineLevel="0" collapsed="false">
      <c r="A38" s="22"/>
      <c r="B38" s="22"/>
      <c r="C38" s="4"/>
      <c r="D38" s="4"/>
      <c r="E38" s="4"/>
      <c r="F38" s="23" t="str">
        <f aca="false">IFERROR(IF(OR($B38="",$C38=""),"",INDEX('Cartes API'!$J:$J,MATCH($B38,'Cartes API'!$A:$A,0))&amp;INDEX('Cartes API'!$B:$B,MATCH($B38,'Cartes API'!$A:$A,0))&amp;"."&amp;INDEX('Cartes API'!$C:$C,MATCH($B38,'Cartes API'!$A:$A,0))&amp;"."&amp;$C38),"")</f>
        <v/>
      </c>
      <c r="G38" s="23" t="str">
        <f aca="false">IFERROR(IF($B38="","",INDEX('Cartes API'!$H:$H,MATCH($B38,'Cartes API'!$A:$A,0))),"")</f>
        <v/>
      </c>
      <c r="H38" s="4"/>
      <c r="I38" s="23" t="str">
        <f aca="false">IF(OR($G38="",$H38=""),"",$G38&amp;"["&amp;$H38&amp;"]")</f>
        <v/>
      </c>
      <c r="J38" s="23" t="str">
        <f aca="false">IFERROR(INDEX(Cablage!$A:$A,MATCH($I38,Cablage!$F:$F,0)),"")</f>
        <v/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customFormat="false" ht="15" hidden="false" customHeight="true" outlineLevel="0" collapsed="false">
      <c r="A39" s="22"/>
      <c r="B39" s="22"/>
      <c r="C39" s="4"/>
      <c r="D39" s="4"/>
      <c r="E39" s="4"/>
      <c r="F39" s="23" t="str">
        <f aca="false">IFERROR(IF(OR($B39="",$C39=""),"",INDEX('Cartes API'!$J:$J,MATCH($B39,'Cartes API'!$A:$A,0))&amp;INDEX('Cartes API'!$B:$B,MATCH($B39,'Cartes API'!$A:$A,0))&amp;"."&amp;INDEX('Cartes API'!$C:$C,MATCH($B39,'Cartes API'!$A:$A,0))&amp;"."&amp;$C39),"")</f>
        <v/>
      </c>
      <c r="G39" s="23" t="str">
        <f aca="false">IFERROR(IF($B39="","",INDEX('Cartes API'!$H:$H,MATCH($B39,'Cartes API'!$A:$A,0))),"")</f>
        <v/>
      </c>
      <c r="H39" s="4"/>
      <c r="I39" s="23" t="str">
        <f aca="false">IF(OR($G39="",$H39=""),"",$G39&amp;"["&amp;$H39&amp;"]")</f>
        <v/>
      </c>
      <c r="J39" s="23" t="str">
        <f aca="false">IFERROR(INDEX(Cablage!$A:$A,MATCH($I39,Cablage!$F:$F,0)),"")</f>
        <v/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customFormat="false" ht="15" hidden="false" customHeight="true" outlineLevel="0" collapsed="false">
      <c r="A40" s="22"/>
      <c r="B40" s="22"/>
      <c r="C40" s="4"/>
      <c r="D40" s="4"/>
      <c r="E40" s="4"/>
      <c r="F40" s="23" t="str">
        <f aca="false">IFERROR(IF(OR($B40="",$C40=""),"",INDEX('Cartes API'!$J:$J,MATCH($B40,'Cartes API'!$A:$A,0))&amp;INDEX('Cartes API'!$B:$B,MATCH($B40,'Cartes API'!$A:$A,0))&amp;"."&amp;INDEX('Cartes API'!$C:$C,MATCH($B40,'Cartes API'!$A:$A,0))&amp;"."&amp;$C40),"")</f>
        <v/>
      </c>
      <c r="G40" s="23" t="str">
        <f aca="false">IFERROR(IF($B40="","",INDEX('Cartes API'!$H:$H,MATCH($B40,'Cartes API'!$A:$A,0))),"")</f>
        <v/>
      </c>
      <c r="H40" s="4"/>
      <c r="I40" s="23" t="str">
        <f aca="false">IF(OR($G40="",$H40=""),"",$G40&amp;"["&amp;$H40&amp;"]")</f>
        <v/>
      </c>
      <c r="J40" s="23" t="str">
        <f aca="false">IFERROR(INDEX(Cablage!$A:$A,MATCH($I40,Cablage!$F:$F,0)),"")</f>
        <v/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customFormat="false" ht="15" hidden="false" customHeight="true" outlineLevel="0" collapsed="false">
      <c r="A41" s="22"/>
      <c r="B41" s="22"/>
      <c r="C41" s="4"/>
      <c r="D41" s="4"/>
      <c r="E41" s="4"/>
      <c r="F41" s="23" t="str">
        <f aca="false">IFERROR(IF(OR($B41="",$C41=""),"",INDEX('Cartes API'!$J:$J,MATCH($B41,'Cartes API'!$A:$A,0))&amp;INDEX('Cartes API'!$B:$B,MATCH($B41,'Cartes API'!$A:$A,0))&amp;"."&amp;INDEX('Cartes API'!$C:$C,MATCH($B41,'Cartes API'!$A:$A,0))&amp;"."&amp;$C41),"")</f>
        <v/>
      </c>
      <c r="G41" s="23" t="str">
        <f aca="false">IFERROR(IF($B41="","",INDEX('Cartes API'!$H:$H,MATCH($B41,'Cartes API'!$A:$A,0))),"")</f>
        <v/>
      </c>
      <c r="H41" s="4"/>
      <c r="I41" s="23" t="str">
        <f aca="false">IF(OR($G41="",$H41=""),"",$G41&amp;"["&amp;$H41&amp;"]")</f>
        <v/>
      </c>
      <c r="J41" s="23" t="str">
        <f aca="false">IFERROR(INDEX(Cablage!$A:$A,MATCH($I41,Cablage!$F:$F,0)),"")</f>
        <v/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customFormat="false" ht="15" hidden="false" customHeight="true" outlineLevel="0" collapsed="false">
      <c r="A42" s="22"/>
      <c r="B42" s="22"/>
      <c r="C42" s="4"/>
      <c r="D42" s="4"/>
      <c r="E42" s="4"/>
      <c r="F42" s="23" t="str">
        <f aca="false">IFERROR(IF(OR($B42="",$C42=""),"",INDEX('Cartes API'!$J:$J,MATCH($B42,'Cartes API'!$A:$A,0))&amp;INDEX('Cartes API'!$B:$B,MATCH($B42,'Cartes API'!$A:$A,0))&amp;"."&amp;INDEX('Cartes API'!$C:$C,MATCH($B42,'Cartes API'!$A:$A,0))&amp;"."&amp;$C42),"")</f>
        <v/>
      </c>
      <c r="G42" s="23" t="str">
        <f aca="false">IFERROR(IF($B42="","",INDEX('Cartes API'!$H:$H,MATCH($B42,'Cartes API'!$A:$A,0))),"")</f>
        <v/>
      </c>
      <c r="H42" s="4"/>
      <c r="I42" s="23" t="str">
        <f aca="false">IF(OR($G42="",$H42=""),"",$G42&amp;"["&amp;$H42&amp;"]")</f>
        <v/>
      </c>
      <c r="J42" s="23" t="str">
        <f aca="false">IFERROR(INDEX(Cablage!$A:$A,MATCH($I42,Cablage!$F:$F,0)),"")</f>
        <v/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customFormat="false" ht="15" hidden="false" customHeight="true" outlineLevel="0" collapsed="false">
      <c r="A43" s="22"/>
      <c r="B43" s="22"/>
      <c r="C43" s="4"/>
      <c r="D43" s="4"/>
      <c r="E43" s="4"/>
      <c r="F43" s="23" t="str">
        <f aca="false">IFERROR(IF(OR($B43="",$C43=""),"",INDEX('Cartes API'!$J:$J,MATCH($B43,'Cartes API'!$A:$A,0))&amp;INDEX('Cartes API'!$B:$B,MATCH($B43,'Cartes API'!$A:$A,0))&amp;"."&amp;INDEX('Cartes API'!$C:$C,MATCH($B43,'Cartes API'!$A:$A,0))&amp;"."&amp;$C43),"")</f>
        <v/>
      </c>
      <c r="G43" s="23" t="str">
        <f aca="false">IFERROR(IF($B43="","",INDEX('Cartes API'!$H:$H,MATCH($B43,'Cartes API'!$A:$A,0))),"")</f>
        <v/>
      </c>
      <c r="H43" s="4"/>
      <c r="I43" s="23" t="str">
        <f aca="false">IF(OR($G43="",$H43=""),"",$G43&amp;"["&amp;$H43&amp;"]")</f>
        <v/>
      </c>
      <c r="J43" s="23" t="str">
        <f aca="false">IFERROR(INDEX(Cablage!$A:$A,MATCH($I43,Cablage!$F:$F,0)),"")</f>
        <v/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customFormat="false" ht="15" hidden="false" customHeight="true" outlineLevel="0" collapsed="false">
      <c r="A44" s="22"/>
      <c r="B44" s="22"/>
      <c r="C44" s="4"/>
      <c r="D44" s="4"/>
      <c r="E44" s="4"/>
      <c r="F44" s="23" t="str">
        <f aca="false">IFERROR(IF(OR($B44="",$C44=""),"",INDEX('Cartes API'!$J:$J,MATCH($B44,'Cartes API'!$A:$A,0))&amp;INDEX('Cartes API'!$B:$B,MATCH($B44,'Cartes API'!$A:$A,0))&amp;"."&amp;INDEX('Cartes API'!$C:$C,MATCH($B44,'Cartes API'!$A:$A,0))&amp;"."&amp;$C44),"")</f>
        <v/>
      </c>
      <c r="G44" s="23" t="str">
        <f aca="false">IFERROR(IF($B44="","",INDEX('Cartes API'!$H:$H,MATCH($B44,'Cartes API'!$A:$A,0))),"")</f>
        <v/>
      </c>
      <c r="H44" s="4"/>
      <c r="I44" s="23" t="str">
        <f aca="false">IF(OR($G44="",$H44=""),"",$G44&amp;"["&amp;$H44&amp;"]")</f>
        <v/>
      </c>
      <c r="J44" s="23" t="str">
        <f aca="false">IFERROR(INDEX(Cablage!$A:$A,MATCH($I44,Cablage!$F:$F,0)),"")</f>
        <v/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customFormat="false" ht="15" hidden="false" customHeight="true" outlineLevel="0" collapsed="false">
      <c r="A45" s="22"/>
      <c r="B45" s="22"/>
      <c r="C45" s="4"/>
      <c r="D45" s="4"/>
      <c r="E45" s="4"/>
      <c r="F45" s="23" t="str">
        <f aca="false">IFERROR(IF(OR($B45="",$C45=""),"",INDEX('Cartes API'!$J:$J,MATCH($B45,'Cartes API'!$A:$A,0))&amp;INDEX('Cartes API'!$B:$B,MATCH($B45,'Cartes API'!$A:$A,0))&amp;"."&amp;INDEX('Cartes API'!$C:$C,MATCH($B45,'Cartes API'!$A:$A,0))&amp;"."&amp;$C45),"")</f>
        <v/>
      </c>
      <c r="G45" s="23" t="str">
        <f aca="false">IFERROR(IF($B45="","",INDEX('Cartes API'!$H:$H,MATCH($B45,'Cartes API'!$A:$A,0))),"")</f>
        <v/>
      </c>
      <c r="H45" s="4"/>
      <c r="I45" s="23" t="str">
        <f aca="false">IF(OR($G45="",$H45=""),"",$G45&amp;"["&amp;$H45&amp;"]")</f>
        <v/>
      </c>
      <c r="J45" s="23" t="str">
        <f aca="false">IFERROR(INDEX(Cablage!$A:$A,MATCH($I45,Cablage!$F:$F,0)),"")</f>
        <v/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customFormat="false" ht="15" hidden="false" customHeight="true" outlineLevel="0" collapsed="false">
      <c r="A46" s="22"/>
      <c r="B46" s="22"/>
      <c r="C46" s="4"/>
      <c r="D46" s="4"/>
      <c r="E46" s="4"/>
      <c r="F46" s="23" t="str">
        <f aca="false">IFERROR(IF(OR($B46="",$C46=""),"",INDEX('Cartes API'!$J:$J,MATCH($B46,'Cartes API'!$A:$A,0))&amp;INDEX('Cartes API'!$B:$B,MATCH($B46,'Cartes API'!$A:$A,0))&amp;"."&amp;INDEX('Cartes API'!$C:$C,MATCH($B46,'Cartes API'!$A:$A,0))&amp;"."&amp;$C46),"")</f>
        <v/>
      </c>
      <c r="G46" s="23" t="str">
        <f aca="false">IFERROR(IF($B46="","",INDEX('Cartes API'!$H:$H,MATCH($B46,'Cartes API'!$A:$A,0))),"")</f>
        <v/>
      </c>
      <c r="H46" s="4"/>
      <c r="I46" s="23" t="str">
        <f aca="false">IF(OR($G46="",$H46=""),"",$G46&amp;"["&amp;$H46&amp;"]")</f>
        <v/>
      </c>
      <c r="J46" s="23" t="str">
        <f aca="false">IFERROR(INDEX(Cablage!$A:$A,MATCH($I46,Cablage!$F:$F,0)),"")</f>
        <v/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customFormat="false" ht="15" hidden="false" customHeight="true" outlineLevel="0" collapsed="false">
      <c r="A47" s="22"/>
      <c r="B47" s="22"/>
      <c r="C47" s="4"/>
      <c r="D47" s="4"/>
      <c r="E47" s="4"/>
      <c r="F47" s="23" t="str">
        <f aca="false">IFERROR(IF(OR($B47="",$C47=""),"",INDEX('Cartes API'!$J:$J,MATCH($B47,'Cartes API'!$A:$A,0))&amp;INDEX('Cartes API'!$B:$B,MATCH($B47,'Cartes API'!$A:$A,0))&amp;"."&amp;INDEX('Cartes API'!$C:$C,MATCH($B47,'Cartes API'!$A:$A,0))&amp;"."&amp;$C47),"")</f>
        <v/>
      </c>
      <c r="G47" s="23" t="str">
        <f aca="false">IFERROR(IF($B47="","",INDEX('Cartes API'!$H:$H,MATCH($B47,'Cartes API'!$A:$A,0))),"")</f>
        <v/>
      </c>
      <c r="H47" s="4"/>
      <c r="I47" s="23" t="str">
        <f aca="false">IF(OR($G47="",$H47=""),"",$G47&amp;"["&amp;$H47&amp;"]")</f>
        <v/>
      </c>
      <c r="J47" s="23" t="str">
        <f aca="false">IFERROR(INDEX(Cablage!$A:$A,MATCH($I47,Cablage!$F:$F,0)),"")</f>
        <v/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customFormat="false" ht="15" hidden="false" customHeight="true" outlineLevel="0" collapsed="false">
      <c r="A48" s="22"/>
      <c r="B48" s="22"/>
      <c r="C48" s="4"/>
      <c r="D48" s="4"/>
      <c r="E48" s="4"/>
      <c r="F48" s="23" t="str">
        <f aca="false">IFERROR(IF(OR($B48="",$C48=""),"",INDEX('Cartes API'!$J:$J,MATCH($B48,'Cartes API'!$A:$A,0))&amp;INDEX('Cartes API'!$B:$B,MATCH($B48,'Cartes API'!$A:$A,0))&amp;"."&amp;INDEX('Cartes API'!$C:$C,MATCH($B48,'Cartes API'!$A:$A,0))&amp;"."&amp;$C48),"")</f>
        <v/>
      </c>
      <c r="G48" s="23" t="str">
        <f aca="false">IFERROR(IF($B48="","",INDEX('Cartes API'!$H:$H,MATCH($B48,'Cartes API'!$A:$A,0))),"")</f>
        <v/>
      </c>
      <c r="H48" s="4"/>
      <c r="I48" s="23" t="str">
        <f aca="false">IF(OR($G48="",$H48=""),"",$G48&amp;"["&amp;$H48&amp;"]")</f>
        <v/>
      </c>
      <c r="J48" s="23" t="str">
        <f aca="false">IFERROR(INDEX(Cablage!$A:$A,MATCH($I48,Cablage!$F:$F,0)),"")</f>
        <v/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customFormat="false" ht="15" hidden="false" customHeight="true" outlineLevel="0" collapsed="false">
      <c r="A49" s="22"/>
      <c r="B49" s="22"/>
      <c r="C49" s="4"/>
      <c r="D49" s="4"/>
      <c r="E49" s="4"/>
      <c r="F49" s="23" t="str">
        <f aca="false">IFERROR(IF(OR($B49="",$C49=""),"",INDEX('Cartes API'!$J:$J,MATCH($B49,'Cartes API'!$A:$A,0))&amp;INDEX('Cartes API'!$B:$B,MATCH($B49,'Cartes API'!$A:$A,0))&amp;"."&amp;INDEX('Cartes API'!$C:$C,MATCH($B49,'Cartes API'!$A:$A,0))&amp;"."&amp;$C49),"")</f>
        <v/>
      </c>
      <c r="G49" s="23" t="str">
        <f aca="false">IFERROR(IF($B49="","",INDEX('Cartes API'!$H:$H,MATCH($B49,'Cartes API'!$A:$A,0))),"")</f>
        <v/>
      </c>
      <c r="H49" s="4"/>
      <c r="I49" s="23" t="str">
        <f aca="false">IF(OR($G49="",$H49=""),"",$G49&amp;"["&amp;$H49&amp;"]")</f>
        <v/>
      </c>
      <c r="J49" s="23" t="str">
        <f aca="false">IFERROR(INDEX(Cablage!$A:$A,MATCH($I49,Cablage!$F:$F,0)),"")</f>
        <v/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customFormat="false" ht="15" hidden="false" customHeight="true" outlineLevel="0" collapsed="false">
      <c r="A50" s="22"/>
      <c r="B50" s="22"/>
      <c r="C50" s="4"/>
      <c r="D50" s="4"/>
      <c r="E50" s="4"/>
      <c r="F50" s="23" t="str">
        <f aca="false">IFERROR(IF(OR($B50="",$C50=""),"",INDEX('Cartes API'!$J:$J,MATCH($B50,'Cartes API'!$A:$A,0))&amp;INDEX('Cartes API'!$B:$B,MATCH($B50,'Cartes API'!$A:$A,0))&amp;"."&amp;INDEX('Cartes API'!$C:$C,MATCH($B50,'Cartes API'!$A:$A,0))&amp;"."&amp;$C50),"")</f>
        <v/>
      </c>
      <c r="G50" s="23" t="str">
        <f aca="false">IFERROR(IF($B50="","",INDEX('Cartes API'!$H:$H,MATCH($B50,'Cartes API'!$A:$A,0))),"")</f>
        <v/>
      </c>
      <c r="H50" s="4"/>
      <c r="I50" s="23" t="str">
        <f aca="false">IF(OR($G50="",$H50=""),"",$G50&amp;"["&amp;$H50&amp;"]")</f>
        <v/>
      </c>
      <c r="J50" s="23" t="str">
        <f aca="false">IFERROR(INDEX(Cablage!$A:$A,MATCH($I50,Cablage!$F:$F,0)),"")</f>
        <v/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customFormat="false" ht="15" hidden="false" customHeight="true" outlineLevel="0" collapsed="false">
      <c r="A51" s="22"/>
      <c r="B51" s="22"/>
      <c r="C51" s="4"/>
      <c r="D51" s="4"/>
      <c r="E51" s="4"/>
      <c r="F51" s="23" t="str">
        <f aca="false">IFERROR(IF(OR($B51="",$C51=""),"",INDEX('Cartes API'!$J:$J,MATCH($B51,'Cartes API'!$A:$A,0))&amp;INDEX('Cartes API'!$B:$B,MATCH($B51,'Cartes API'!$A:$A,0))&amp;"."&amp;INDEX('Cartes API'!$C:$C,MATCH($B51,'Cartes API'!$A:$A,0))&amp;"."&amp;$C51),"")</f>
        <v/>
      </c>
      <c r="G51" s="23" t="str">
        <f aca="false">IFERROR(IF($B51="","",INDEX('Cartes API'!$H:$H,MATCH($B51,'Cartes API'!$A:$A,0))),"")</f>
        <v/>
      </c>
      <c r="H51" s="4"/>
      <c r="I51" s="23" t="str">
        <f aca="false">IF(OR($G51="",$H51=""),"",$G51&amp;"["&amp;$H51&amp;"]")</f>
        <v/>
      </c>
      <c r="J51" s="23" t="str">
        <f aca="false">IFERROR(INDEX(Cablage!$A:$A,MATCH($I51,Cablage!$F:$F,0)),"")</f>
        <v/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customFormat="false" ht="15" hidden="false" customHeight="true" outlineLevel="0" collapsed="false">
      <c r="A52" s="22"/>
      <c r="B52" s="22"/>
      <c r="C52" s="4"/>
      <c r="D52" s="4"/>
      <c r="E52" s="4"/>
      <c r="F52" s="23" t="str">
        <f aca="false">IFERROR(IF(OR($B52="",$C52=""),"",INDEX('Cartes API'!$J:$J,MATCH($B52,'Cartes API'!$A:$A,0))&amp;INDEX('Cartes API'!$B:$B,MATCH($B52,'Cartes API'!$A:$A,0))&amp;"."&amp;INDEX('Cartes API'!$C:$C,MATCH($B52,'Cartes API'!$A:$A,0))&amp;"."&amp;$C52),"")</f>
        <v/>
      </c>
      <c r="G52" s="23" t="str">
        <f aca="false">IFERROR(IF($B52="","",INDEX('Cartes API'!$H:$H,MATCH($B52,'Cartes API'!$A:$A,0))),"")</f>
        <v/>
      </c>
      <c r="H52" s="4"/>
      <c r="I52" s="23" t="str">
        <f aca="false">IF(OR($G52="",$H52=""),"",$G52&amp;"["&amp;$H52&amp;"]")</f>
        <v/>
      </c>
      <c r="J52" s="23" t="str">
        <f aca="false">IFERROR(INDEX(Cablage!$A:$A,MATCH($I52,Cablage!$F:$F,0)),"")</f>
        <v/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customFormat="false" ht="15" hidden="false" customHeight="true" outlineLevel="0" collapsed="false">
      <c r="A53" s="22"/>
      <c r="B53" s="22"/>
      <c r="C53" s="4"/>
      <c r="D53" s="4"/>
      <c r="E53" s="4"/>
      <c r="F53" s="23" t="str">
        <f aca="false">IFERROR(IF(OR($B53="",$C53=""),"",INDEX('Cartes API'!$J:$J,MATCH($B53,'Cartes API'!$A:$A,0))&amp;INDEX('Cartes API'!$B:$B,MATCH($B53,'Cartes API'!$A:$A,0))&amp;"."&amp;INDEX('Cartes API'!$C:$C,MATCH($B53,'Cartes API'!$A:$A,0))&amp;"."&amp;$C53),"")</f>
        <v/>
      </c>
      <c r="G53" s="23" t="str">
        <f aca="false">IFERROR(IF($B53="","",INDEX('Cartes API'!$H:$H,MATCH($B53,'Cartes API'!$A:$A,0))),"")</f>
        <v/>
      </c>
      <c r="H53" s="4"/>
      <c r="I53" s="23" t="str">
        <f aca="false">IF(OR($G53="",$H53=""),"",$G53&amp;"["&amp;$H53&amp;"]")</f>
        <v/>
      </c>
      <c r="J53" s="23" t="str">
        <f aca="false">IFERROR(INDEX(Cablage!$A:$A,MATCH($I53,Cablage!$F:$F,0)),"")</f>
        <v/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customFormat="false" ht="15" hidden="false" customHeight="true" outlineLevel="0" collapsed="false">
      <c r="A54" s="22"/>
      <c r="B54" s="22"/>
      <c r="C54" s="4"/>
      <c r="D54" s="4"/>
      <c r="E54" s="4"/>
      <c r="F54" s="23" t="str">
        <f aca="false">IFERROR(IF(OR($B54="",$C54=""),"",INDEX('Cartes API'!$J:$J,MATCH($B54,'Cartes API'!$A:$A,0))&amp;INDEX('Cartes API'!$B:$B,MATCH($B54,'Cartes API'!$A:$A,0))&amp;"."&amp;INDEX('Cartes API'!$C:$C,MATCH($B54,'Cartes API'!$A:$A,0))&amp;"."&amp;$C54),"")</f>
        <v/>
      </c>
      <c r="G54" s="23" t="str">
        <f aca="false">IFERROR(IF($B54="","",INDEX('Cartes API'!$H:$H,MATCH($B54,'Cartes API'!$A:$A,0))),"")</f>
        <v/>
      </c>
      <c r="H54" s="4"/>
      <c r="I54" s="23" t="str">
        <f aca="false">IF(OR($G54="",$H54=""),"",$G54&amp;"["&amp;$H54&amp;"]")</f>
        <v/>
      </c>
      <c r="J54" s="23" t="str">
        <f aca="false">IFERROR(INDEX(Cablage!$A:$A,MATCH($I54,Cablage!$F:$F,0)),"")</f>
        <v/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customFormat="false" ht="15" hidden="false" customHeight="true" outlineLevel="0" collapsed="false">
      <c r="A55" s="22"/>
      <c r="B55" s="22"/>
      <c r="C55" s="4"/>
      <c r="D55" s="4"/>
      <c r="E55" s="4"/>
      <c r="F55" s="23" t="str">
        <f aca="false">IFERROR(IF(OR($B55="",$C55=""),"",INDEX('Cartes API'!$J:$J,MATCH($B55,'Cartes API'!$A:$A,0))&amp;INDEX('Cartes API'!$B:$B,MATCH($B55,'Cartes API'!$A:$A,0))&amp;"."&amp;INDEX('Cartes API'!$C:$C,MATCH($B55,'Cartes API'!$A:$A,0))&amp;"."&amp;$C55),"")</f>
        <v/>
      </c>
      <c r="G55" s="23" t="str">
        <f aca="false">IFERROR(IF($B55="","",INDEX('Cartes API'!$H:$H,MATCH($B55,'Cartes API'!$A:$A,0))),"")</f>
        <v/>
      </c>
      <c r="H55" s="4"/>
      <c r="I55" s="23" t="str">
        <f aca="false">IF(OR($G55="",$H55=""),"",$G55&amp;"["&amp;$H55&amp;"]")</f>
        <v/>
      </c>
      <c r="J55" s="23" t="str">
        <f aca="false">IFERROR(INDEX(Cablage!$A:$A,MATCH($I55,Cablage!$F:$F,0)),"")</f>
        <v/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customFormat="false" ht="15" hidden="false" customHeight="true" outlineLevel="0" collapsed="false">
      <c r="A56" s="22"/>
      <c r="B56" s="22"/>
      <c r="C56" s="4"/>
      <c r="D56" s="4"/>
      <c r="E56" s="4"/>
      <c r="F56" s="23" t="str">
        <f aca="false">IFERROR(IF(OR($B56="",$C56=""),"",INDEX('Cartes API'!$J:$J,MATCH($B56,'Cartes API'!$A:$A,0))&amp;INDEX('Cartes API'!$B:$B,MATCH($B56,'Cartes API'!$A:$A,0))&amp;"."&amp;INDEX('Cartes API'!$C:$C,MATCH($B56,'Cartes API'!$A:$A,0))&amp;"."&amp;$C56),"")</f>
        <v/>
      </c>
      <c r="G56" s="23" t="str">
        <f aca="false">IFERROR(IF($B56="","",INDEX('Cartes API'!$H:$H,MATCH($B56,'Cartes API'!$A:$A,0))),"")</f>
        <v/>
      </c>
      <c r="H56" s="4"/>
      <c r="I56" s="23" t="str">
        <f aca="false">IF(OR($G56="",$H56=""),"",$G56&amp;"["&amp;$H56&amp;"]")</f>
        <v/>
      </c>
      <c r="J56" s="23" t="str">
        <f aca="false">IFERROR(INDEX(Cablage!$A:$A,MATCH($I56,Cablage!$F:$F,0)),"")</f>
        <v/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customFormat="false" ht="15" hidden="false" customHeight="true" outlineLevel="0" collapsed="false">
      <c r="A57" s="22"/>
      <c r="B57" s="22"/>
      <c r="C57" s="4"/>
      <c r="D57" s="4"/>
      <c r="E57" s="4"/>
      <c r="F57" s="23" t="str">
        <f aca="false">IFERROR(IF(OR($B57="",$C57=""),"",INDEX('Cartes API'!$J:$J,MATCH($B57,'Cartes API'!$A:$A,0))&amp;INDEX('Cartes API'!$B:$B,MATCH($B57,'Cartes API'!$A:$A,0))&amp;"."&amp;INDEX('Cartes API'!$C:$C,MATCH($B57,'Cartes API'!$A:$A,0))&amp;"."&amp;$C57),"")</f>
        <v/>
      </c>
      <c r="G57" s="23" t="str">
        <f aca="false">IFERROR(IF($B57="","",INDEX('Cartes API'!$H:$H,MATCH($B57,'Cartes API'!$A:$A,0))),"")</f>
        <v/>
      </c>
      <c r="H57" s="4"/>
      <c r="I57" s="23" t="str">
        <f aca="false">IF(OR($G57="",$H57=""),"",$G57&amp;"["&amp;$H57&amp;"]")</f>
        <v/>
      </c>
      <c r="J57" s="23" t="str">
        <f aca="false">IFERROR(INDEX(Cablage!$A:$A,MATCH($I57,Cablage!$F:$F,0)),"")</f>
        <v/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customFormat="false" ht="15" hidden="false" customHeight="true" outlineLevel="0" collapsed="false">
      <c r="A58" s="22"/>
      <c r="B58" s="22"/>
      <c r="C58" s="4"/>
      <c r="D58" s="4"/>
      <c r="E58" s="4"/>
      <c r="F58" s="23" t="str">
        <f aca="false">IFERROR(IF(OR($B58="",$C58=""),"",INDEX('Cartes API'!$J:$J,MATCH($B58,'Cartes API'!$A:$A,0))&amp;INDEX('Cartes API'!$B:$B,MATCH($B58,'Cartes API'!$A:$A,0))&amp;"."&amp;INDEX('Cartes API'!$C:$C,MATCH($B58,'Cartes API'!$A:$A,0))&amp;"."&amp;$C58),"")</f>
        <v/>
      </c>
      <c r="G58" s="23" t="str">
        <f aca="false">IFERROR(IF($B58="","",INDEX('Cartes API'!$H:$H,MATCH($B58,'Cartes API'!$A:$A,0))),"")</f>
        <v/>
      </c>
      <c r="H58" s="4"/>
      <c r="I58" s="23" t="str">
        <f aca="false">IF(OR($G58="",$H58=""),"",$G58&amp;"["&amp;$H58&amp;"]")</f>
        <v/>
      </c>
      <c r="J58" s="23" t="str">
        <f aca="false">IFERROR(INDEX(Cablage!$A:$A,MATCH($I58,Cablage!$F:$F,0)),"")</f>
        <v/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customFormat="false" ht="15" hidden="false" customHeight="true" outlineLevel="0" collapsed="false">
      <c r="A59" s="22"/>
      <c r="B59" s="22"/>
      <c r="C59" s="4"/>
      <c r="D59" s="4"/>
      <c r="E59" s="4"/>
      <c r="F59" s="23" t="str">
        <f aca="false">IFERROR(IF(OR($B59="",$C59=""),"",INDEX('Cartes API'!$J:$J,MATCH($B59,'Cartes API'!$A:$A,0))&amp;INDEX('Cartes API'!$B:$B,MATCH($B59,'Cartes API'!$A:$A,0))&amp;"."&amp;INDEX('Cartes API'!$C:$C,MATCH($B59,'Cartes API'!$A:$A,0))&amp;"."&amp;$C59),"")</f>
        <v/>
      </c>
      <c r="G59" s="23" t="str">
        <f aca="false">IFERROR(IF($B59="","",INDEX('Cartes API'!$H:$H,MATCH($B59,'Cartes API'!$A:$A,0))),"")</f>
        <v/>
      </c>
      <c r="H59" s="4"/>
      <c r="I59" s="23" t="str">
        <f aca="false">IF(OR($G59="",$H59=""),"",$G59&amp;"["&amp;$H59&amp;"]")</f>
        <v/>
      </c>
      <c r="J59" s="23" t="str">
        <f aca="false">IFERROR(INDEX(Cablage!$A:$A,MATCH($I59,Cablage!$F:$F,0)),"")</f>
        <v/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customFormat="false" ht="15" hidden="false" customHeight="true" outlineLevel="0" collapsed="false">
      <c r="A60" s="22"/>
      <c r="B60" s="22"/>
      <c r="C60" s="4"/>
      <c r="D60" s="4"/>
      <c r="E60" s="4"/>
      <c r="F60" s="23" t="str">
        <f aca="false">IFERROR(IF(OR($B60="",$C60=""),"",INDEX('Cartes API'!$J:$J,MATCH($B60,'Cartes API'!$A:$A,0))&amp;INDEX('Cartes API'!$B:$B,MATCH($B60,'Cartes API'!$A:$A,0))&amp;"."&amp;INDEX('Cartes API'!$C:$C,MATCH($B60,'Cartes API'!$A:$A,0))&amp;"."&amp;$C60),"")</f>
        <v/>
      </c>
      <c r="G60" s="23" t="str">
        <f aca="false">IFERROR(IF($B60="","",INDEX('Cartes API'!$H:$H,MATCH($B60,'Cartes API'!$A:$A,0))),"")</f>
        <v/>
      </c>
      <c r="H60" s="4"/>
      <c r="I60" s="23" t="str">
        <f aca="false">IF(OR($G60="",$H60=""),"",$G60&amp;"["&amp;$H60&amp;"]")</f>
        <v/>
      </c>
      <c r="J60" s="23" t="str">
        <f aca="false">IFERROR(INDEX(Cablage!$A:$A,MATCH($I60,Cablage!$F:$F,0)),"")</f>
        <v/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customFormat="false" ht="15" hidden="false" customHeight="true" outlineLevel="0" collapsed="false">
      <c r="A61" s="22"/>
      <c r="B61" s="22"/>
      <c r="C61" s="4"/>
      <c r="D61" s="4"/>
      <c r="E61" s="4"/>
      <c r="F61" s="23" t="str">
        <f aca="false">IFERROR(IF(OR($B61="",$C61=""),"",INDEX('Cartes API'!$J:$J,MATCH($B61,'Cartes API'!$A:$A,0))&amp;INDEX('Cartes API'!$B:$B,MATCH($B61,'Cartes API'!$A:$A,0))&amp;"."&amp;INDEX('Cartes API'!$C:$C,MATCH($B61,'Cartes API'!$A:$A,0))&amp;"."&amp;$C61),"")</f>
        <v/>
      </c>
      <c r="G61" s="23" t="str">
        <f aca="false">IFERROR(IF($B61="","",INDEX('Cartes API'!$H:$H,MATCH($B61,'Cartes API'!$A:$A,0))),"")</f>
        <v/>
      </c>
      <c r="H61" s="4"/>
      <c r="I61" s="23" t="str">
        <f aca="false">IF(OR($G61="",$H61=""),"",$G61&amp;"["&amp;$H61&amp;"]")</f>
        <v/>
      </c>
      <c r="J61" s="23" t="str">
        <f aca="false">IFERROR(INDEX(Cablage!$A:$A,MATCH($I61,Cablage!$F:$F,0)),"")</f>
        <v/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customFormat="false" ht="15" hidden="false" customHeight="true" outlineLevel="0" collapsed="false">
      <c r="A62" s="22"/>
      <c r="B62" s="22"/>
      <c r="C62" s="4"/>
      <c r="D62" s="4"/>
      <c r="E62" s="4"/>
      <c r="F62" s="23" t="str">
        <f aca="false">IFERROR(IF(OR($B62="",$C62=""),"",INDEX('Cartes API'!$J:$J,MATCH($B62,'Cartes API'!$A:$A,0))&amp;INDEX('Cartes API'!$B:$B,MATCH($B62,'Cartes API'!$A:$A,0))&amp;"."&amp;INDEX('Cartes API'!$C:$C,MATCH($B62,'Cartes API'!$A:$A,0))&amp;"."&amp;$C62),"")</f>
        <v/>
      </c>
      <c r="G62" s="23" t="str">
        <f aca="false">IFERROR(IF($B62="","",INDEX('Cartes API'!$H:$H,MATCH($B62,'Cartes API'!$A:$A,0))),"")</f>
        <v/>
      </c>
      <c r="H62" s="4"/>
      <c r="I62" s="23" t="str">
        <f aca="false">IF(OR($G62="",$H62=""),"",$G62&amp;"["&amp;$H62&amp;"]")</f>
        <v/>
      </c>
      <c r="J62" s="23" t="str">
        <f aca="false">IFERROR(INDEX(Cablage!$A:$A,MATCH($I62,Cablage!$F:$F,0)),"")</f>
        <v/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customFormat="false" ht="15" hidden="false" customHeight="true" outlineLevel="0" collapsed="false">
      <c r="A63" s="22"/>
      <c r="B63" s="22"/>
      <c r="C63" s="4"/>
      <c r="D63" s="4"/>
      <c r="E63" s="4"/>
      <c r="F63" s="23" t="str">
        <f aca="false">IFERROR(IF(OR($B63="",$C63=""),"",INDEX('Cartes API'!$J:$J,MATCH($B63,'Cartes API'!$A:$A,0))&amp;INDEX('Cartes API'!$B:$B,MATCH($B63,'Cartes API'!$A:$A,0))&amp;"."&amp;INDEX('Cartes API'!$C:$C,MATCH($B63,'Cartes API'!$A:$A,0))&amp;"."&amp;$C63),"")</f>
        <v/>
      </c>
      <c r="G63" s="23" t="str">
        <f aca="false">IFERROR(IF($B63="","",INDEX('Cartes API'!$H:$H,MATCH($B63,'Cartes API'!$A:$A,0))),"")</f>
        <v/>
      </c>
      <c r="H63" s="4"/>
      <c r="I63" s="23" t="str">
        <f aca="false">IF(OR($G63="",$H63=""),"",$G63&amp;"["&amp;$H63&amp;"]")</f>
        <v/>
      </c>
      <c r="J63" s="23" t="str">
        <f aca="false">IFERROR(INDEX(Cablage!$A:$A,MATCH($I63,Cablage!$F:$F,0)),"")</f>
        <v/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customFormat="false" ht="15" hidden="false" customHeight="true" outlineLevel="0" collapsed="false">
      <c r="A64" s="22"/>
      <c r="B64" s="22"/>
      <c r="C64" s="4"/>
      <c r="D64" s="4"/>
      <c r="E64" s="4"/>
      <c r="F64" s="23" t="str">
        <f aca="false">IFERROR(IF(OR($B64="",$C64=""),"",INDEX('Cartes API'!$J:$J,MATCH($B64,'Cartes API'!$A:$A,0))&amp;INDEX('Cartes API'!$B:$B,MATCH($B64,'Cartes API'!$A:$A,0))&amp;"."&amp;INDEX('Cartes API'!$C:$C,MATCH($B64,'Cartes API'!$A:$A,0))&amp;"."&amp;$C64),"")</f>
        <v/>
      </c>
      <c r="G64" s="23" t="str">
        <f aca="false">IFERROR(IF($B64="","",INDEX('Cartes API'!$H:$H,MATCH($B64,'Cartes API'!$A:$A,0))),"")</f>
        <v/>
      </c>
      <c r="H64" s="4"/>
      <c r="I64" s="23" t="str">
        <f aca="false">IF(OR($G64="",$H64=""),"",$G64&amp;"["&amp;$H64&amp;"]")</f>
        <v/>
      </c>
      <c r="J64" s="23" t="str">
        <f aca="false">IFERROR(INDEX(Cablage!$A:$A,MATCH($I64,Cablage!$F:$F,0)),"")</f>
        <v/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customFormat="false" ht="15" hidden="false" customHeight="true" outlineLevel="0" collapsed="false">
      <c r="A65" s="22"/>
      <c r="B65" s="22"/>
      <c r="C65" s="4"/>
      <c r="D65" s="4"/>
      <c r="E65" s="4"/>
      <c r="F65" s="23" t="str">
        <f aca="false">IFERROR(IF(OR($B65="",$C65=""),"",INDEX('Cartes API'!$J:$J,MATCH($B65,'Cartes API'!$A:$A,0))&amp;INDEX('Cartes API'!$B:$B,MATCH($B65,'Cartes API'!$A:$A,0))&amp;"."&amp;INDEX('Cartes API'!$C:$C,MATCH($B65,'Cartes API'!$A:$A,0))&amp;"."&amp;$C65),"")</f>
        <v/>
      </c>
      <c r="G65" s="23" t="str">
        <f aca="false">IFERROR(IF($B65="","",INDEX('Cartes API'!$H:$H,MATCH($B65,'Cartes API'!$A:$A,0))),"")</f>
        <v/>
      </c>
      <c r="H65" s="4"/>
      <c r="I65" s="23" t="str">
        <f aca="false">IF(OR($G65="",$H65=""),"",$G65&amp;"["&amp;$H65&amp;"]")</f>
        <v/>
      </c>
      <c r="J65" s="23" t="str">
        <f aca="false">IFERROR(INDEX(Cablage!$A:$A,MATCH($I65,Cablage!$F:$F,0)),"")</f>
        <v/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customFormat="false" ht="15" hidden="false" customHeight="true" outlineLevel="0" collapsed="false">
      <c r="A66" s="22"/>
      <c r="B66" s="22"/>
      <c r="C66" s="4"/>
      <c r="D66" s="4"/>
      <c r="E66" s="4"/>
      <c r="F66" s="23" t="str">
        <f aca="false">IFERROR(IF(OR($B66="",$C66=""),"",INDEX('Cartes API'!$J:$J,MATCH($B66,'Cartes API'!$A:$A,0))&amp;INDEX('Cartes API'!$B:$B,MATCH($B66,'Cartes API'!$A:$A,0))&amp;"."&amp;INDEX('Cartes API'!$C:$C,MATCH($B66,'Cartes API'!$A:$A,0))&amp;"."&amp;$C66),"")</f>
        <v/>
      </c>
      <c r="G66" s="23" t="str">
        <f aca="false">IFERROR(IF($B66="","",INDEX('Cartes API'!$H:$H,MATCH($B66,'Cartes API'!$A:$A,0))),"")</f>
        <v/>
      </c>
      <c r="H66" s="4"/>
      <c r="I66" s="23" t="str">
        <f aca="false">IF(OR($G66="",$H66=""),"",$G66&amp;"["&amp;$H66&amp;"]")</f>
        <v/>
      </c>
      <c r="J66" s="23" t="str">
        <f aca="false">IFERROR(INDEX(Cablage!$A:$A,MATCH($I66,Cablage!$F:$F,0)),"")</f>
        <v/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customFormat="false" ht="15" hidden="false" customHeight="true" outlineLevel="0" collapsed="false">
      <c r="A67" s="22"/>
      <c r="B67" s="22"/>
      <c r="C67" s="4"/>
      <c r="D67" s="4"/>
      <c r="E67" s="4"/>
      <c r="F67" s="23" t="str">
        <f aca="false">IFERROR(IF(OR($B67="",$C67=""),"",INDEX('Cartes API'!$J:$J,MATCH($B67,'Cartes API'!$A:$A,0))&amp;INDEX('Cartes API'!$B:$B,MATCH($B67,'Cartes API'!$A:$A,0))&amp;"."&amp;INDEX('Cartes API'!$C:$C,MATCH($B67,'Cartes API'!$A:$A,0))&amp;"."&amp;$C67),"")</f>
        <v/>
      </c>
      <c r="G67" s="23" t="str">
        <f aca="false">IFERROR(IF($B67="","",INDEX('Cartes API'!$H:$H,MATCH($B67,'Cartes API'!$A:$A,0))),"")</f>
        <v/>
      </c>
      <c r="H67" s="4"/>
      <c r="I67" s="23" t="str">
        <f aca="false">IF(OR($G67="",$H67=""),"",$G67&amp;"["&amp;$H67&amp;"]")</f>
        <v/>
      </c>
      <c r="J67" s="23" t="str">
        <f aca="false">IFERROR(INDEX(Cablage!$A:$A,MATCH($I67,Cablage!$F:$F,0)),"")</f>
        <v/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customFormat="false" ht="15" hidden="false" customHeight="true" outlineLevel="0" collapsed="false">
      <c r="A68" s="22"/>
      <c r="B68" s="22"/>
      <c r="C68" s="4"/>
      <c r="D68" s="4"/>
      <c r="E68" s="4"/>
      <c r="F68" s="23" t="str">
        <f aca="false">IFERROR(IF(OR($B68="",$C68=""),"",INDEX('Cartes API'!$J:$J,MATCH($B68,'Cartes API'!$A:$A,0))&amp;INDEX('Cartes API'!$B:$B,MATCH($B68,'Cartes API'!$A:$A,0))&amp;"."&amp;INDEX('Cartes API'!$C:$C,MATCH($B68,'Cartes API'!$A:$A,0))&amp;"."&amp;$C68),"")</f>
        <v/>
      </c>
      <c r="G68" s="23" t="str">
        <f aca="false">IFERROR(IF($B68="","",INDEX('Cartes API'!$H:$H,MATCH($B68,'Cartes API'!$A:$A,0))),"")</f>
        <v/>
      </c>
      <c r="H68" s="4"/>
      <c r="I68" s="23" t="str">
        <f aca="false">IF(OR($G68="",$H68=""),"",$G68&amp;"["&amp;$H68&amp;"]")</f>
        <v/>
      </c>
      <c r="J68" s="23" t="str">
        <f aca="false">IFERROR(INDEX(Cablage!$A:$A,MATCH($I68,Cablage!$F:$F,0)),"")</f>
        <v/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customFormat="false" ht="15" hidden="false" customHeight="true" outlineLevel="0" collapsed="false">
      <c r="A69" s="22"/>
      <c r="B69" s="22"/>
      <c r="C69" s="4"/>
      <c r="D69" s="4"/>
      <c r="E69" s="4"/>
      <c r="F69" s="23" t="str">
        <f aca="false">IFERROR(IF(OR($B69="",$C69=""),"",INDEX('Cartes API'!$J:$J,MATCH($B69,'Cartes API'!$A:$A,0))&amp;INDEX('Cartes API'!$B:$B,MATCH($B69,'Cartes API'!$A:$A,0))&amp;"."&amp;INDEX('Cartes API'!$C:$C,MATCH($B69,'Cartes API'!$A:$A,0))&amp;"."&amp;$C69),"")</f>
        <v/>
      </c>
      <c r="G69" s="23" t="str">
        <f aca="false">IFERROR(IF($B69="","",INDEX('Cartes API'!$H:$H,MATCH($B69,'Cartes API'!$A:$A,0))),"")</f>
        <v/>
      </c>
      <c r="H69" s="4"/>
      <c r="I69" s="23" t="str">
        <f aca="false">IF(OR($G69="",$H69=""),"",$G69&amp;"["&amp;$H69&amp;"]")</f>
        <v/>
      </c>
      <c r="J69" s="23" t="str">
        <f aca="false">IFERROR(INDEX(Cablage!$A:$A,MATCH($I69,Cablage!$F:$F,0)),"")</f>
        <v/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customFormat="false" ht="15" hidden="false" customHeight="true" outlineLevel="0" collapsed="false">
      <c r="A70" s="22"/>
      <c r="B70" s="22"/>
      <c r="C70" s="4"/>
      <c r="D70" s="4"/>
      <c r="E70" s="4"/>
      <c r="F70" s="23" t="str">
        <f aca="false">IFERROR(IF(OR($B70="",$C70=""),"",INDEX('Cartes API'!$J:$J,MATCH($B70,'Cartes API'!$A:$A,0))&amp;INDEX('Cartes API'!$B:$B,MATCH($B70,'Cartes API'!$A:$A,0))&amp;"."&amp;INDEX('Cartes API'!$C:$C,MATCH($B70,'Cartes API'!$A:$A,0))&amp;"."&amp;$C70),"")</f>
        <v/>
      </c>
      <c r="G70" s="23" t="str">
        <f aca="false">IFERROR(IF($B70="","",INDEX('Cartes API'!$H:$H,MATCH($B70,'Cartes API'!$A:$A,0))),"")</f>
        <v/>
      </c>
      <c r="H70" s="4"/>
      <c r="I70" s="23" t="str">
        <f aca="false">IF(OR($G70="",$H70=""),"",$G70&amp;"["&amp;$H70&amp;"]")</f>
        <v/>
      </c>
      <c r="J70" s="23" t="str">
        <f aca="false">IFERROR(INDEX(Cablage!$A:$A,MATCH($I70,Cablage!$F:$F,0)),"")</f>
        <v/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customFormat="false" ht="15" hidden="false" customHeight="true" outlineLevel="0" collapsed="false">
      <c r="A71" s="22"/>
      <c r="B71" s="22"/>
      <c r="C71" s="4"/>
      <c r="D71" s="4"/>
      <c r="E71" s="4"/>
      <c r="F71" s="23" t="str">
        <f aca="false">IFERROR(IF(OR($B71="",$C71=""),"",INDEX('Cartes API'!$J:$J,MATCH($B71,'Cartes API'!$A:$A,0))&amp;INDEX('Cartes API'!$B:$B,MATCH($B71,'Cartes API'!$A:$A,0))&amp;"."&amp;INDEX('Cartes API'!$C:$C,MATCH($B71,'Cartes API'!$A:$A,0))&amp;"."&amp;$C71),"")</f>
        <v/>
      </c>
      <c r="G71" s="23" t="str">
        <f aca="false">IFERROR(IF($B71="","",INDEX('Cartes API'!$H:$H,MATCH($B71,'Cartes API'!$A:$A,0))),"")</f>
        <v/>
      </c>
      <c r="H71" s="4"/>
      <c r="I71" s="23" t="str">
        <f aca="false">IF(OR($G71="",$H71=""),"",$G71&amp;"["&amp;$H71&amp;"]")</f>
        <v/>
      </c>
      <c r="J71" s="23" t="str">
        <f aca="false">IFERROR(INDEX(Cablage!$A:$A,MATCH($I71,Cablage!$F:$F,0)),"")</f>
        <v/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customFormat="false" ht="15" hidden="false" customHeight="true" outlineLevel="0" collapsed="false">
      <c r="A72" s="22"/>
      <c r="B72" s="22"/>
      <c r="C72" s="4"/>
      <c r="D72" s="4"/>
      <c r="E72" s="4"/>
      <c r="F72" s="23" t="str">
        <f aca="false">IFERROR(IF(OR($B72="",$C72=""),"",INDEX('Cartes API'!$J:$J,MATCH($B72,'Cartes API'!$A:$A,0))&amp;INDEX('Cartes API'!$B:$B,MATCH($B72,'Cartes API'!$A:$A,0))&amp;"."&amp;INDEX('Cartes API'!$C:$C,MATCH($B72,'Cartes API'!$A:$A,0))&amp;"."&amp;$C72),"")</f>
        <v/>
      </c>
      <c r="G72" s="23" t="str">
        <f aca="false">IFERROR(IF($B72="","",INDEX('Cartes API'!$H:$H,MATCH($B72,'Cartes API'!$A:$A,0))),"")</f>
        <v/>
      </c>
      <c r="H72" s="4"/>
      <c r="I72" s="23" t="str">
        <f aca="false">IF(OR($G72="",$H72=""),"",$G72&amp;"["&amp;$H72&amp;"]")</f>
        <v/>
      </c>
      <c r="J72" s="23" t="str">
        <f aca="false">IFERROR(INDEX(Cablage!$A:$A,MATCH($I72,Cablage!$F:$F,0)),"")</f>
        <v/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customFormat="false" ht="15" hidden="false" customHeight="true" outlineLevel="0" collapsed="false">
      <c r="A73" s="22"/>
      <c r="B73" s="22"/>
      <c r="C73" s="4"/>
      <c r="D73" s="4"/>
      <c r="E73" s="4"/>
      <c r="F73" s="23" t="str">
        <f aca="false">IFERROR(IF(OR($B73="",$C73=""),"",INDEX('Cartes API'!$J:$J,MATCH($B73,'Cartes API'!$A:$A,0))&amp;INDEX('Cartes API'!$B:$B,MATCH($B73,'Cartes API'!$A:$A,0))&amp;"."&amp;INDEX('Cartes API'!$C:$C,MATCH($B73,'Cartes API'!$A:$A,0))&amp;"."&amp;$C73),"")</f>
        <v/>
      </c>
      <c r="G73" s="23" t="str">
        <f aca="false">IFERROR(IF($B73="","",INDEX('Cartes API'!$H:$H,MATCH($B73,'Cartes API'!$A:$A,0))),"")</f>
        <v/>
      </c>
      <c r="H73" s="4"/>
      <c r="I73" s="23" t="str">
        <f aca="false">IF(OR($G73="",$H73=""),"",$G73&amp;"["&amp;$H73&amp;"]")</f>
        <v/>
      </c>
      <c r="J73" s="23" t="str">
        <f aca="false">IFERROR(INDEX(Cablage!$A:$A,MATCH($I73,Cablage!$F:$F,0)),"")</f>
        <v/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customFormat="false" ht="15" hidden="false" customHeight="true" outlineLevel="0" collapsed="false">
      <c r="A74" s="22"/>
      <c r="B74" s="22"/>
      <c r="C74" s="4"/>
      <c r="D74" s="4"/>
      <c r="E74" s="4"/>
      <c r="F74" s="23" t="str">
        <f aca="false">IFERROR(IF(OR($B74="",$C74=""),"",INDEX('Cartes API'!$J:$J,MATCH($B74,'Cartes API'!$A:$A,0))&amp;INDEX('Cartes API'!$B:$B,MATCH($B74,'Cartes API'!$A:$A,0))&amp;"."&amp;INDEX('Cartes API'!$C:$C,MATCH($B74,'Cartes API'!$A:$A,0))&amp;"."&amp;$C74),"")</f>
        <v/>
      </c>
      <c r="G74" s="23" t="str">
        <f aca="false">IFERROR(IF($B74="","",INDEX('Cartes API'!$H:$H,MATCH($B74,'Cartes API'!$A:$A,0))),"")</f>
        <v/>
      </c>
      <c r="H74" s="4"/>
      <c r="I74" s="23" t="str">
        <f aca="false">IF(OR($G74="",$H74=""),"",$G74&amp;"["&amp;$H74&amp;"]")</f>
        <v/>
      </c>
      <c r="J74" s="23" t="str">
        <f aca="false">IFERROR(INDEX(Cablage!$A:$A,MATCH($I74,Cablage!$F:$F,0)),"")</f>
        <v/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customFormat="false" ht="15" hidden="false" customHeight="true" outlineLevel="0" collapsed="false">
      <c r="A75" s="22"/>
      <c r="B75" s="22"/>
      <c r="C75" s="4"/>
      <c r="D75" s="4"/>
      <c r="E75" s="4"/>
      <c r="F75" s="23" t="str">
        <f aca="false">IFERROR(IF(OR($B75="",$C75=""),"",INDEX('Cartes API'!$J:$J,MATCH($B75,'Cartes API'!$A:$A,0))&amp;INDEX('Cartes API'!$B:$B,MATCH($B75,'Cartes API'!$A:$A,0))&amp;"."&amp;INDEX('Cartes API'!$C:$C,MATCH($B75,'Cartes API'!$A:$A,0))&amp;"."&amp;$C75),"")</f>
        <v/>
      </c>
      <c r="G75" s="23" t="str">
        <f aca="false">IFERROR(IF($B75="","",INDEX('Cartes API'!$H:$H,MATCH($B75,'Cartes API'!$A:$A,0))),"")</f>
        <v/>
      </c>
      <c r="H75" s="4"/>
      <c r="I75" s="23" t="str">
        <f aca="false">IF(OR($G75="",$H75=""),"",$G75&amp;"["&amp;$H75&amp;"]")</f>
        <v/>
      </c>
      <c r="J75" s="23" t="str">
        <f aca="false">IFERROR(INDEX(Cablage!$A:$A,MATCH($I75,Cablage!$F:$F,0)),"")</f>
        <v/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customFormat="false" ht="15" hidden="false" customHeight="true" outlineLevel="0" collapsed="false">
      <c r="A76" s="22"/>
      <c r="B76" s="22"/>
      <c r="C76" s="4"/>
      <c r="D76" s="4"/>
      <c r="E76" s="4"/>
      <c r="F76" s="23" t="str">
        <f aca="false">IFERROR(IF(OR($B76="",$C76=""),"",INDEX('Cartes API'!$J:$J,MATCH($B76,'Cartes API'!$A:$A,0))&amp;INDEX('Cartes API'!$B:$B,MATCH($B76,'Cartes API'!$A:$A,0))&amp;"."&amp;INDEX('Cartes API'!$C:$C,MATCH($B76,'Cartes API'!$A:$A,0))&amp;"."&amp;$C76),"")</f>
        <v/>
      </c>
      <c r="G76" s="23" t="str">
        <f aca="false">IFERROR(IF($B76="","",INDEX('Cartes API'!$H:$H,MATCH($B76,'Cartes API'!$A:$A,0))),"")</f>
        <v/>
      </c>
      <c r="H76" s="4"/>
      <c r="I76" s="23" t="str">
        <f aca="false">IF(OR($G76="",$H76=""),"",$G76&amp;"["&amp;$H76&amp;"]")</f>
        <v/>
      </c>
      <c r="J76" s="23" t="str">
        <f aca="false">IFERROR(INDEX(Cablage!$A:$A,MATCH($I76,Cablage!$F:$F,0)),"")</f>
        <v/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customFormat="false" ht="15" hidden="false" customHeight="true" outlineLevel="0" collapsed="false">
      <c r="A77" s="22"/>
      <c r="B77" s="22"/>
      <c r="C77" s="4"/>
      <c r="D77" s="4"/>
      <c r="E77" s="4"/>
      <c r="F77" s="23" t="str">
        <f aca="false">IFERROR(IF(OR($B77="",$C77=""),"",INDEX('Cartes API'!$J:$J,MATCH($B77,'Cartes API'!$A:$A,0))&amp;INDEX('Cartes API'!$B:$B,MATCH($B77,'Cartes API'!$A:$A,0))&amp;"."&amp;INDEX('Cartes API'!$C:$C,MATCH($B77,'Cartes API'!$A:$A,0))&amp;"."&amp;$C77),"")</f>
        <v/>
      </c>
      <c r="G77" s="23" t="str">
        <f aca="false">IFERROR(IF($B77="","",INDEX('Cartes API'!$H:$H,MATCH($B77,'Cartes API'!$A:$A,0))),"")</f>
        <v/>
      </c>
      <c r="H77" s="4"/>
      <c r="I77" s="23" t="str">
        <f aca="false">IF(OR($G77="",$H77=""),"",$G77&amp;"["&amp;$H77&amp;"]")</f>
        <v/>
      </c>
      <c r="J77" s="23" t="str">
        <f aca="false">IFERROR(INDEX(Cablage!$A:$A,MATCH($I77,Cablage!$F:$F,0)),"")</f>
        <v/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customFormat="false" ht="15" hidden="false" customHeight="true" outlineLevel="0" collapsed="false">
      <c r="A78" s="22"/>
      <c r="B78" s="22"/>
      <c r="C78" s="4"/>
      <c r="D78" s="4"/>
      <c r="E78" s="4"/>
      <c r="F78" s="23" t="str">
        <f aca="false">IFERROR(IF(OR($B78="",$C78=""),"",INDEX('Cartes API'!$J:$J,MATCH($B78,'Cartes API'!$A:$A,0))&amp;INDEX('Cartes API'!$B:$B,MATCH($B78,'Cartes API'!$A:$A,0))&amp;"."&amp;INDEX('Cartes API'!$C:$C,MATCH($B78,'Cartes API'!$A:$A,0))&amp;"."&amp;$C78),"")</f>
        <v/>
      </c>
      <c r="G78" s="23" t="str">
        <f aca="false">IFERROR(IF($B78="","",INDEX('Cartes API'!$H:$H,MATCH($B78,'Cartes API'!$A:$A,0))),"")</f>
        <v/>
      </c>
      <c r="H78" s="4"/>
      <c r="I78" s="23" t="str">
        <f aca="false">IF(OR($G78="",$H78=""),"",$G78&amp;"["&amp;$H78&amp;"]")</f>
        <v/>
      </c>
      <c r="J78" s="23" t="str">
        <f aca="false">IFERROR(INDEX(Cablage!$A:$A,MATCH($I78,Cablage!$F:$F,0)),"")</f>
        <v/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customFormat="false" ht="15" hidden="false" customHeight="true" outlineLevel="0" collapsed="false">
      <c r="A79" s="22"/>
      <c r="B79" s="22"/>
      <c r="C79" s="4"/>
      <c r="D79" s="4"/>
      <c r="E79" s="4"/>
      <c r="F79" s="23" t="str">
        <f aca="false">IFERROR(IF(OR($B79="",$C79=""),"",INDEX('Cartes API'!$J:$J,MATCH($B79,'Cartes API'!$A:$A,0))&amp;INDEX('Cartes API'!$B:$B,MATCH($B79,'Cartes API'!$A:$A,0))&amp;"."&amp;INDEX('Cartes API'!$C:$C,MATCH($B79,'Cartes API'!$A:$A,0))&amp;"."&amp;$C79),"")</f>
        <v/>
      </c>
      <c r="G79" s="23" t="str">
        <f aca="false">IFERROR(IF($B79="","",INDEX('Cartes API'!$H:$H,MATCH($B79,'Cartes API'!$A:$A,0))),"")</f>
        <v/>
      </c>
      <c r="H79" s="4"/>
      <c r="I79" s="23" t="str">
        <f aca="false">IF(OR($G79="",$H79=""),"",$G79&amp;"["&amp;$H79&amp;"]")</f>
        <v/>
      </c>
      <c r="J79" s="23" t="str">
        <f aca="false">IFERROR(INDEX(Cablage!$A:$A,MATCH($I79,Cablage!$F:$F,0)),"")</f>
        <v/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customFormat="false" ht="15" hidden="false" customHeight="true" outlineLevel="0" collapsed="false">
      <c r="A80" s="22"/>
      <c r="B80" s="22"/>
      <c r="C80" s="4"/>
      <c r="D80" s="4"/>
      <c r="E80" s="4"/>
      <c r="F80" s="23" t="str">
        <f aca="false">IFERROR(IF(OR($B80="",$C80=""),"",INDEX('Cartes API'!$J:$J,MATCH($B80,'Cartes API'!$A:$A,0))&amp;INDEX('Cartes API'!$B:$B,MATCH($B80,'Cartes API'!$A:$A,0))&amp;"."&amp;INDEX('Cartes API'!$C:$C,MATCH($B80,'Cartes API'!$A:$A,0))&amp;"."&amp;$C80),"")</f>
        <v/>
      </c>
      <c r="G80" s="23" t="str">
        <f aca="false">IFERROR(IF($B80="","",INDEX('Cartes API'!$H:$H,MATCH($B80,'Cartes API'!$A:$A,0))),"")</f>
        <v/>
      </c>
      <c r="H80" s="4"/>
      <c r="I80" s="23" t="str">
        <f aca="false">IF(OR($G80="",$H80=""),"",$G80&amp;"["&amp;$H80&amp;"]")</f>
        <v/>
      </c>
      <c r="J80" s="23" t="str">
        <f aca="false">IFERROR(INDEX(Cablage!$A:$A,MATCH($I80,Cablage!$F:$F,0)),"")</f>
        <v/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customFormat="false" ht="15" hidden="false" customHeight="true" outlineLevel="0" collapsed="false">
      <c r="A81" s="22"/>
      <c r="B81" s="22"/>
      <c r="C81" s="4"/>
      <c r="D81" s="4"/>
      <c r="E81" s="4"/>
      <c r="F81" s="23" t="str">
        <f aca="false">IFERROR(IF(OR($B81="",$C81=""),"",INDEX('Cartes API'!$J:$J,MATCH($B81,'Cartes API'!$A:$A,0))&amp;INDEX('Cartes API'!$B:$B,MATCH($B81,'Cartes API'!$A:$A,0))&amp;"."&amp;INDEX('Cartes API'!$C:$C,MATCH($B81,'Cartes API'!$A:$A,0))&amp;"."&amp;$C81),"")</f>
        <v/>
      </c>
      <c r="G81" s="23" t="str">
        <f aca="false">IFERROR(IF($B81="","",INDEX('Cartes API'!$H:$H,MATCH($B81,'Cartes API'!$A:$A,0))),"")</f>
        <v/>
      </c>
      <c r="H81" s="4"/>
      <c r="I81" s="23" t="str">
        <f aca="false">IF(OR($G81="",$H81=""),"",$G81&amp;"["&amp;$H81&amp;"]")</f>
        <v/>
      </c>
      <c r="J81" s="23" t="str">
        <f aca="false">IFERROR(INDEX(Cablage!$A:$A,MATCH($I81,Cablage!$F:$F,0)),"")</f>
        <v/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customFormat="false" ht="15" hidden="false" customHeight="true" outlineLevel="0" collapsed="false">
      <c r="A82" s="22"/>
      <c r="B82" s="22"/>
      <c r="C82" s="4"/>
      <c r="D82" s="4"/>
      <c r="E82" s="4"/>
      <c r="F82" s="23" t="str">
        <f aca="false">IFERROR(IF(OR($B82="",$C82=""),"",INDEX('Cartes API'!$J:$J,MATCH($B82,'Cartes API'!$A:$A,0))&amp;INDEX('Cartes API'!$B:$B,MATCH($B82,'Cartes API'!$A:$A,0))&amp;"."&amp;INDEX('Cartes API'!$C:$C,MATCH($B82,'Cartes API'!$A:$A,0))&amp;"."&amp;$C82),"")</f>
        <v/>
      </c>
      <c r="G82" s="23" t="str">
        <f aca="false">IFERROR(IF($B82="","",INDEX('Cartes API'!$H:$H,MATCH($B82,'Cartes API'!$A:$A,0))),"")</f>
        <v/>
      </c>
      <c r="H82" s="4"/>
      <c r="I82" s="23" t="str">
        <f aca="false">IF(OR($G82="",$H82=""),"",$G82&amp;"["&amp;$H82&amp;"]")</f>
        <v/>
      </c>
      <c r="J82" s="23" t="str">
        <f aca="false">IFERROR(INDEX(Cablage!$A:$A,MATCH($I82,Cablage!$F:$F,0)),"")</f>
        <v/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customFormat="false" ht="15" hidden="false" customHeight="true" outlineLevel="0" collapsed="false">
      <c r="A83" s="22"/>
      <c r="B83" s="22"/>
      <c r="C83" s="4"/>
      <c r="D83" s="4"/>
      <c r="E83" s="4"/>
      <c r="F83" s="23" t="str">
        <f aca="false">IFERROR(IF(OR($B83="",$C83=""),"",INDEX('Cartes API'!$J:$J,MATCH($B83,'Cartes API'!$A:$A,0))&amp;INDEX('Cartes API'!$B:$B,MATCH($B83,'Cartes API'!$A:$A,0))&amp;"."&amp;INDEX('Cartes API'!$C:$C,MATCH($B83,'Cartes API'!$A:$A,0))&amp;"."&amp;$C83),"")</f>
        <v/>
      </c>
      <c r="G83" s="23" t="str">
        <f aca="false">IFERROR(IF($B83="","",INDEX('Cartes API'!$H:$H,MATCH($B83,'Cartes API'!$A:$A,0))),"")</f>
        <v/>
      </c>
      <c r="H83" s="4"/>
      <c r="I83" s="23" t="str">
        <f aca="false">IF(OR($G83="",$H83=""),"",$G83&amp;"["&amp;$H83&amp;"]")</f>
        <v/>
      </c>
      <c r="J83" s="23" t="str">
        <f aca="false">IFERROR(INDEX(Cablage!$A:$A,MATCH($I83,Cablage!$F:$F,0)),"")</f>
        <v/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customFormat="false" ht="15" hidden="false" customHeight="true" outlineLevel="0" collapsed="false">
      <c r="A84" s="22"/>
      <c r="B84" s="22"/>
      <c r="C84" s="4"/>
      <c r="D84" s="4"/>
      <c r="E84" s="4"/>
      <c r="F84" s="23" t="str">
        <f aca="false">IFERROR(IF(OR($B84="",$C84=""),"",INDEX('Cartes API'!$J:$J,MATCH($B84,'Cartes API'!$A:$A,0))&amp;INDEX('Cartes API'!$B:$B,MATCH($B84,'Cartes API'!$A:$A,0))&amp;"."&amp;INDEX('Cartes API'!$C:$C,MATCH($B84,'Cartes API'!$A:$A,0))&amp;"."&amp;$C84),"")</f>
        <v/>
      </c>
      <c r="G84" s="23" t="str">
        <f aca="false">IFERROR(IF($B84="","",INDEX('Cartes API'!$H:$H,MATCH($B84,'Cartes API'!$A:$A,0))),"")</f>
        <v/>
      </c>
      <c r="H84" s="4"/>
      <c r="I84" s="23" t="str">
        <f aca="false">IF(OR($G84="",$H84=""),"",$G84&amp;"["&amp;$H84&amp;"]")</f>
        <v/>
      </c>
      <c r="J84" s="23" t="str">
        <f aca="false">IFERROR(INDEX(Cablage!$A:$A,MATCH($I84,Cablage!$F:$F,0)),"")</f>
        <v/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customFormat="false" ht="15" hidden="false" customHeight="true" outlineLevel="0" collapsed="false">
      <c r="A85" s="22"/>
      <c r="B85" s="22"/>
      <c r="C85" s="4"/>
      <c r="D85" s="4"/>
      <c r="E85" s="4"/>
      <c r="F85" s="23" t="str">
        <f aca="false">IFERROR(IF(OR($B85="",$C85=""),"",INDEX('Cartes API'!$J:$J,MATCH($B85,'Cartes API'!$A:$A,0))&amp;INDEX('Cartes API'!$B:$B,MATCH($B85,'Cartes API'!$A:$A,0))&amp;"."&amp;INDEX('Cartes API'!$C:$C,MATCH($B85,'Cartes API'!$A:$A,0))&amp;"."&amp;$C85),"")</f>
        <v/>
      </c>
      <c r="G85" s="23" t="str">
        <f aca="false">IFERROR(IF($B85="","",INDEX('Cartes API'!$H:$H,MATCH($B85,'Cartes API'!$A:$A,0))),"")</f>
        <v/>
      </c>
      <c r="H85" s="4"/>
      <c r="I85" s="23" t="str">
        <f aca="false">IF(OR($G85="",$H85=""),"",$G85&amp;"["&amp;$H85&amp;"]")</f>
        <v/>
      </c>
      <c r="J85" s="23" t="str">
        <f aca="false">IFERROR(INDEX(Cablage!$A:$A,MATCH($I85,Cablage!$F:$F,0)),"")</f>
        <v/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customFormat="false" ht="15" hidden="false" customHeight="true" outlineLevel="0" collapsed="false">
      <c r="A86" s="22"/>
      <c r="B86" s="22"/>
      <c r="C86" s="4"/>
      <c r="D86" s="4"/>
      <c r="E86" s="4"/>
      <c r="F86" s="23" t="str">
        <f aca="false">IFERROR(IF(OR($B86="",$C86=""),"",INDEX('Cartes API'!$J:$J,MATCH($B86,'Cartes API'!$A:$A,0))&amp;INDEX('Cartes API'!$B:$B,MATCH($B86,'Cartes API'!$A:$A,0))&amp;"."&amp;INDEX('Cartes API'!$C:$C,MATCH($B86,'Cartes API'!$A:$A,0))&amp;"."&amp;$C86),"")</f>
        <v/>
      </c>
      <c r="G86" s="23" t="str">
        <f aca="false">IFERROR(IF($B86="","",INDEX('Cartes API'!$H:$H,MATCH($B86,'Cartes API'!$A:$A,0))),"")</f>
        <v/>
      </c>
      <c r="H86" s="4"/>
      <c r="I86" s="23" t="str">
        <f aca="false">IF(OR($G86="",$H86=""),"",$G86&amp;"["&amp;$H86&amp;"]")</f>
        <v/>
      </c>
      <c r="J86" s="23" t="str">
        <f aca="false">IFERROR(INDEX(Cablage!$A:$A,MATCH($I86,Cablage!$F:$F,0)),"")</f>
        <v/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customFormat="false" ht="15" hidden="false" customHeight="true" outlineLevel="0" collapsed="false">
      <c r="A87" s="22"/>
      <c r="B87" s="22"/>
      <c r="C87" s="4"/>
      <c r="D87" s="4"/>
      <c r="E87" s="4"/>
      <c r="F87" s="23" t="str">
        <f aca="false">IFERROR(IF(OR($B87="",$C87=""),"",INDEX('Cartes API'!$J:$J,MATCH($B87,'Cartes API'!$A:$A,0))&amp;INDEX('Cartes API'!$B:$B,MATCH($B87,'Cartes API'!$A:$A,0))&amp;"."&amp;INDEX('Cartes API'!$C:$C,MATCH($B87,'Cartes API'!$A:$A,0))&amp;"."&amp;$C87),"")</f>
        <v/>
      </c>
      <c r="G87" s="23" t="str">
        <f aca="false">IFERROR(IF($B87="","",INDEX('Cartes API'!$H:$H,MATCH($B87,'Cartes API'!$A:$A,0))),"")</f>
        <v/>
      </c>
      <c r="H87" s="4"/>
      <c r="I87" s="23" t="str">
        <f aca="false">IF(OR($G87="",$H87=""),"",$G87&amp;"["&amp;$H87&amp;"]")</f>
        <v/>
      </c>
      <c r="J87" s="23" t="str">
        <f aca="false">IFERROR(INDEX(Cablage!$A:$A,MATCH($I87,Cablage!$F:$F,0)),"")</f>
        <v/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customFormat="false" ht="15" hidden="false" customHeight="true" outlineLevel="0" collapsed="false">
      <c r="A88" s="22"/>
      <c r="B88" s="22"/>
      <c r="C88" s="4"/>
      <c r="D88" s="4"/>
      <c r="E88" s="4"/>
      <c r="F88" s="23" t="str">
        <f aca="false">IFERROR(IF(OR($B88="",$C88=""),"",INDEX('Cartes API'!$J:$J,MATCH($B88,'Cartes API'!$A:$A,0))&amp;INDEX('Cartes API'!$B:$B,MATCH($B88,'Cartes API'!$A:$A,0))&amp;"."&amp;INDEX('Cartes API'!$C:$C,MATCH($B88,'Cartes API'!$A:$A,0))&amp;"."&amp;$C88),"")</f>
        <v/>
      </c>
      <c r="G88" s="23" t="str">
        <f aca="false">IFERROR(IF($B88="","",INDEX('Cartes API'!$H:$H,MATCH($B88,'Cartes API'!$A:$A,0))),"")</f>
        <v/>
      </c>
      <c r="H88" s="4"/>
      <c r="I88" s="23" t="str">
        <f aca="false">IF(OR($G88="",$H88=""),"",$G88&amp;"["&amp;$H88&amp;"]")</f>
        <v/>
      </c>
      <c r="J88" s="23" t="str">
        <f aca="false">IFERROR(INDEX(Cablage!$A:$A,MATCH($I88,Cablage!$F:$F,0)),"")</f>
        <v/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customFormat="false" ht="15" hidden="false" customHeight="true" outlineLevel="0" collapsed="false">
      <c r="A89" s="22"/>
      <c r="B89" s="22"/>
      <c r="C89" s="4"/>
      <c r="D89" s="4"/>
      <c r="E89" s="4"/>
      <c r="F89" s="23" t="str">
        <f aca="false">IFERROR(IF(OR($B89="",$C89=""),"",INDEX('Cartes API'!$J:$J,MATCH($B89,'Cartes API'!$A:$A,0))&amp;INDEX('Cartes API'!$B:$B,MATCH($B89,'Cartes API'!$A:$A,0))&amp;"."&amp;INDEX('Cartes API'!$C:$C,MATCH($B89,'Cartes API'!$A:$A,0))&amp;"."&amp;$C89),"")</f>
        <v/>
      </c>
      <c r="G89" s="23" t="str">
        <f aca="false">IFERROR(IF($B89="","",INDEX('Cartes API'!$H:$H,MATCH($B89,'Cartes API'!$A:$A,0))),"")</f>
        <v/>
      </c>
      <c r="H89" s="4"/>
      <c r="I89" s="23" t="str">
        <f aca="false">IF(OR($G89="",$H89=""),"",$G89&amp;"["&amp;$H89&amp;"]")</f>
        <v/>
      </c>
      <c r="J89" s="23" t="str">
        <f aca="false">IFERROR(INDEX(Cablage!$A:$A,MATCH($I89,Cablage!$F:$F,0)),"")</f>
        <v/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customFormat="false" ht="15" hidden="false" customHeight="true" outlineLevel="0" collapsed="false">
      <c r="A90" s="22"/>
      <c r="B90" s="22"/>
      <c r="C90" s="4"/>
      <c r="D90" s="4"/>
      <c r="E90" s="4"/>
      <c r="F90" s="23" t="str">
        <f aca="false">IFERROR(IF(OR($B90="",$C90=""),"",INDEX('Cartes API'!$J:$J,MATCH($B90,'Cartes API'!$A:$A,0))&amp;INDEX('Cartes API'!$B:$B,MATCH($B90,'Cartes API'!$A:$A,0))&amp;"."&amp;INDEX('Cartes API'!$C:$C,MATCH($B90,'Cartes API'!$A:$A,0))&amp;"."&amp;$C90),"")</f>
        <v/>
      </c>
      <c r="G90" s="23" t="str">
        <f aca="false">IFERROR(IF($B90="","",INDEX('Cartes API'!$H:$H,MATCH($B90,'Cartes API'!$A:$A,0))),"")</f>
        <v/>
      </c>
      <c r="H90" s="4"/>
      <c r="I90" s="23" t="str">
        <f aca="false">IF(OR($G90="",$H90=""),"",$G90&amp;"["&amp;$H90&amp;"]")</f>
        <v/>
      </c>
      <c r="J90" s="23" t="str">
        <f aca="false">IFERROR(INDEX(Cablage!$A:$A,MATCH($I90,Cablage!$F:$F,0)),"")</f>
        <v/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customFormat="false" ht="15" hidden="false" customHeight="true" outlineLevel="0" collapsed="false">
      <c r="A91" s="22"/>
      <c r="B91" s="22"/>
      <c r="C91" s="4"/>
      <c r="D91" s="4"/>
      <c r="E91" s="4"/>
      <c r="F91" s="23" t="str">
        <f aca="false">IFERROR(IF(OR($B91="",$C91=""),"",INDEX('Cartes API'!$J:$J,MATCH($B91,'Cartes API'!$A:$A,0))&amp;INDEX('Cartes API'!$B:$B,MATCH($B91,'Cartes API'!$A:$A,0))&amp;"."&amp;INDEX('Cartes API'!$C:$C,MATCH($B91,'Cartes API'!$A:$A,0))&amp;"."&amp;$C91),"")</f>
        <v/>
      </c>
      <c r="G91" s="23" t="str">
        <f aca="false">IFERROR(IF($B91="","",INDEX('Cartes API'!$H:$H,MATCH($B91,'Cartes API'!$A:$A,0))),"")</f>
        <v/>
      </c>
      <c r="H91" s="4"/>
      <c r="I91" s="23" t="str">
        <f aca="false">IF(OR($G91="",$H91=""),"",$G91&amp;"["&amp;$H91&amp;"]")</f>
        <v/>
      </c>
      <c r="J91" s="23" t="str">
        <f aca="false">IFERROR(INDEX(Cablage!$A:$A,MATCH($I91,Cablage!$F:$F,0)),"")</f>
        <v/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customFormat="false" ht="15" hidden="false" customHeight="true" outlineLevel="0" collapsed="false">
      <c r="A92" s="22"/>
      <c r="B92" s="22"/>
      <c r="C92" s="4"/>
      <c r="D92" s="4"/>
      <c r="E92" s="4"/>
      <c r="F92" s="23" t="str">
        <f aca="false">IFERROR(IF(OR($B92="",$C92=""),"",INDEX('Cartes API'!$J:$J,MATCH($B92,'Cartes API'!$A:$A,0))&amp;INDEX('Cartes API'!$B:$B,MATCH($B92,'Cartes API'!$A:$A,0))&amp;"."&amp;INDEX('Cartes API'!$C:$C,MATCH($B92,'Cartes API'!$A:$A,0))&amp;"."&amp;$C92),"")</f>
        <v/>
      </c>
      <c r="G92" s="23" t="str">
        <f aca="false">IFERROR(IF($B92="","",INDEX('Cartes API'!$H:$H,MATCH($B92,'Cartes API'!$A:$A,0))),"")</f>
        <v/>
      </c>
      <c r="H92" s="4"/>
      <c r="I92" s="23" t="str">
        <f aca="false">IF(OR($G92="",$H92=""),"",$G92&amp;"["&amp;$H92&amp;"]")</f>
        <v/>
      </c>
      <c r="J92" s="23" t="str">
        <f aca="false">IFERROR(INDEX(Cablage!$A:$A,MATCH($I92,Cablage!$F:$F,0)),"")</f>
        <v/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customFormat="false" ht="15" hidden="false" customHeight="true" outlineLevel="0" collapsed="false">
      <c r="A93" s="22"/>
      <c r="B93" s="22"/>
      <c r="C93" s="4"/>
      <c r="D93" s="4"/>
      <c r="E93" s="4"/>
      <c r="F93" s="23" t="str">
        <f aca="false">IFERROR(IF(OR($B93="",$C93=""),"",INDEX('Cartes API'!$J:$J,MATCH($B93,'Cartes API'!$A:$A,0))&amp;INDEX('Cartes API'!$B:$B,MATCH($B93,'Cartes API'!$A:$A,0))&amp;"."&amp;INDEX('Cartes API'!$C:$C,MATCH($B93,'Cartes API'!$A:$A,0))&amp;"."&amp;$C93),"")</f>
        <v/>
      </c>
      <c r="G93" s="23" t="str">
        <f aca="false">IFERROR(IF($B93="","",INDEX('Cartes API'!$H:$H,MATCH($B93,'Cartes API'!$A:$A,0))),"")</f>
        <v/>
      </c>
      <c r="H93" s="4"/>
      <c r="I93" s="23" t="str">
        <f aca="false">IF(OR($G93="",$H93=""),"",$G93&amp;"["&amp;$H93&amp;"]")</f>
        <v/>
      </c>
      <c r="J93" s="23" t="str">
        <f aca="false">IFERROR(INDEX(Cablage!$A:$A,MATCH($I93,Cablage!$F:$F,0)),"")</f>
        <v/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customFormat="false" ht="15" hidden="false" customHeight="true" outlineLevel="0" collapsed="false">
      <c r="A94" s="22"/>
      <c r="B94" s="22"/>
      <c r="C94" s="4"/>
      <c r="D94" s="4"/>
      <c r="E94" s="4"/>
      <c r="F94" s="23" t="str">
        <f aca="false">IFERROR(IF(OR($B94="",$C94=""),"",INDEX('Cartes API'!$J:$J,MATCH($B94,'Cartes API'!$A:$A,0))&amp;INDEX('Cartes API'!$B:$B,MATCH($B94,'Cartes API'!$A:$A,0))&amp;"."&amp;INDEX('Cartes API'!$C:$C,MATCH($B94,'Cartes API'!$A:$A,0))&amp;"."&amp;$C94),"")</f>
        <v/>
      </c>
      <c r="G94" s="23" t="str">
        <f aca="false">IFERROR(IF($B94="","",INDEX('Cartes API'!$H:$H,MATCH($B94,'Cartes API'!$A:$A,0))),"")</f>
        <v/>
      </c>
      <c r="H94" s="4"/>
      <c r="I94" s="23" t="str">
        <f aca="false">IF(OR($G94="",$H94=""),"",$G94&amp;"["&amp;$H94&amp;"]")</f>
        <v/>
      </c>
      <c r="J94" s="23" t="str">
        <f aca="false">IFERROR(INDEX(Cablage!$A:$A,MATCH($I94,Cablage!$F:$F,0)),"")</f>
        <v/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customFormat="false" ht="15" hidden="false" customHeight="true" outlineLevel="0" collapsed="false">
      <c r="A95" s="22"/>
      <c r="B95" s="22"/>
      <c r="C95" s="4"/>
      <c r="D95" s="4"/>
      <c r="E95" s="4"/>
      <c r="F95" s="23" t="str">
        <f aca="false">IFERROR(IF(OR($B95="",$C95=""),"",INDEX('Cartes API'!$J:$J,MATCH($B95,'Cartes API'!$A:$A,0))&amp;INDEX('Cartes API'!$B:$B,MATCH($B95,'Cartes API'!$A:$A,0))&amp;"."&amp;INDEX('Cartes API'!$C:$C,MATCH($B95,'Cartes API'!$A:$A,0))&amp;"."&amp;$C95),"")</f>
        <v/>
      </c>
      <c r="G95" s="23" t="str">
        <f aca="false">IFERROR(IF($B95="","",INDEX('Cartes API'!$H:$H,MATCH($B95,'Cartes API'!$A:$A,0))),"")</f>
        <v/>
      </c>
      <c r="H95" s="4"/>
      <c r="I95" s="23" t="str">
        <f aca="false">IF(OR($G95="",$H95=""),"",$G95&amp;"["&amp;$H95&amp;"]")</f>
        <v/>
      </c>
      <c r="J95" s="23" t="str">
        <f aca="false">IFERROR(INDEX(Cablage!$A:$A,MATCH($I95,Cablage!$F:$F,0)),"")</f>
        <v/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customFormat="false" ht="15" hidden="false" customHeight="true" outlineLevel="0" collapsed="false">
      <c r="A96" s="22"/>
      <c r="B96" s="22"/>
      <c r="C96" s="4"/>
      <c r="D96" s="4"/>
      <c r="E96" s="4"/>
      <c r="F96" s="23" t="str">
        <f aca="false">IFERROR(IF(OR($B96="",$C96=""),"",INDEX('Cartes API'!$J:$J,MATCH($B96,'Cartes API'!$A:$A,0))&amp;INDEX('Cartes API'!$B:$B,MATCH($B96,'Cartes API'!$A:$A,0))&amp;"."&amp;INDEX('Cartes API'!$C:$C,MATCH($B96,'Cartes API'!$A:$A,0))&amp;"."&amp;$C96),"")</f>
        <v/>
      </c>
      <c r="G96" s="23" t="str">
        <f aca="false">IFERROR(IF($B96="","",INDEX('Cartes API'!$H:$H,MATCH($B96,'Cartes API'!$A:$A,0))),"")</f>
        <v/>
      </c>
      <c r="H96" s="4"/>
      <c r="I96" s="23" t="str">
        <f aca="false">IF(OR($G96="",$H96=""),"",$G96&amp;"["&amp;$H96&amp;"]")</f>
        <v/>
      </c>
      <c r="J96" s="23" t="str">
        <f aca="false">IFERROR(INDEX(Cablage!$A:$A,MATCH($I96,Cablage!$F:$F,0)),"")</f>
        <v/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customFormat="false" ht="15" hidden="false" customHeight="true" outlineLevel="0" collapsed="false">
      <c r="A97" s="22"/>
      <c r="B97" s="22"/>
      <c r="C97" s="4"/>
      <c r="D97" s="4"/>
      <c r="E97" s="4"/>
      <c r="F97" s="23" t="str">
        <f aca="false">IFERROR(IF(OR($B97="",$C97=""),"",INDEX('Cartes API'!$J:$J,MATCH($B97,'Cartes API'!$A:$A,0))&amp;INDEX('Cartes API'!$B:$B,MATCH($B97,'Cartes API'!$A:$A,0))&amp;"."&amp;INDEX('Cartes API'!$C:$C,MATCH($B97,'Cartes API'!$A:$A,0))&amp;"."&amp;$C97),"")</f>
        <v/>
      </c>
      <c r="G97" s="23" t="str">
        <f aca="false">IFERROR(IF($B97="","",INDEX('Cartes API'!$H:$H,MATCH($B97,'Cartes API'!$A:$A,0))),"")</f>
        <v/>
      </c>
      <c r="H97" s="4"/>
      <c r="I97" s="23" t="str">
        <f aca="false">IF(OR($G97="",$H97=""),"",$G97&amp;"["&amp;$H97&amp;"]")</f>
        <v/>
      </c>
      <c r="J97" s="23" t="str">
        <f aca="false">IFERROR(INDEX(Cablage!$A:$A,MATCH($I97,Cablage!$F:$F,0)),"")</f>
        <v/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customFormat="false" ht="15" hidden="false" customHeight="true" outlineLevel="0" collapsed="false">
      <c r="A98" s="22"/>
      <c r="B98" s="22"/>
      <c r="C98" s="4"/>
      <c r="D98" s="4"/>
      <c r="E98" s="4"/>
      <c r="F98" s="23" t="str">
        <f aca="false">IFERROR(IF(OR($B98="",$C98=""),"",INDEX('Cartes API'!$J:$J,MATCH($B98,'Cartes API'!$A:$A,0))&amp;INDEX('Cartes API'!$B:$B,MATCH($B98,'Cartes API'!$A:$A,0))&amp;"."&amp;INDEX('Cartes API'!$C:$C,MATCH($B98,'Cartes API'!$A:$A,0))&amp;"."&amp;$C98),"")</f>
        <v/>
      </c>
      <c r="G98" s="23" t="str">
        <f aca="false">IFERROR(IF($B98="","",INDEX('Cartes API'!$H:$H,MATCH($B98,'Cartes API'!$A:$A,0))),"")</f>
        <v/>
      </c>
      <c r="H98" s="4"/>
      <c r="I98" s="23" t="str">
        <f aca="false">IF(OR($G98="",$H98=""),"",$G98&amp;"["&amp;$H98&amp;"]")</f>
        <v/>
      </c>
      <c r="J98" s="23" t="str">
        <f aca="false">IFERROR(INDEX(Cablage!$A:$A,MATCH($I98,Cablage!$F:$F,0)),"")</f>
        <v/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customFormat="false" ht="15" hidden="false" customHeight="true" outlineLevel="0" collapsed="false">
      <c r="A99" s="22"/>
      <c r="B99" s="22"/>
      <c r="C99" s="4"/>
      <c r="D99" s="4"/>
      <c r="E99" s="4"/>
      <c r="F99" s="23" t="str">
        <f aca="false">IFERROR(IF(OR($B99="",$C99=""),"",INDEX('Cartes API'!$J:$J,MATCH($B99,'Cartes API'!$A:$A,0))&amp;INDEX('Cartes API'!$B:$B,MATCH($B99,'Cartes API'!$A:$A,0))&amp;"."&amp;INDEX('Cartes API'!$C:$C,MATCH($B99,'Cartes API'!$A:$A,0))&amp;"."&amp;$C99),"")</f>
        <v/>
      </c>
      <c r="G99" s="23" t="str">
        <f aca="false">IFERROR(IF($B99="","",INDEX('Cartes API'!$H:$H,MATCH($B99,'Cartes API'!$A:$A,0))),"")</f>
        <v/>
      </c>
      <c r="H99" s="4"/>
      <c r="I99" s="23" t="str">
        <f aca="false">IF(OR($G99="",$H99=""),"",$G99&amp;"["&amp;$H99&amp;"]")</f>
        <v/>
      </c>
      <c r="J99" s="23" t="str">
        <f aca="false">IFERROR(INDEX(Cablage!$A:$A,MATCH($I99,Cablage!$F:$F,0)),"")</f>
        <v/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customFormat="false" ht="15" hidden="false" customHeight="true" outlineLevel="0" collapsed="false">
      <c r="A100" s="22"/>
      <c r="B100" s="22"/>
      <c r="C100" s="4"/>
      <c r="D100" s="4"/>
      <c r="E100" s="4"/>
      <c r="F100" s="23" t="str">
        <f aca="false">IFERROR(IF(OR($B100="",$C100=""),"",INDEX('Cartes API'!$J:$J,MATCH($B100,'Cartes API'!$A:$A,0))&amp;INDEX('Cartes API'!$B:$B,MATCH($B100,'Cartes API'!$A:$A,0))&amp;"."&amp;INDEX('Cartes API'!$C:$C,MATCH($B100,'Cartes API'!$A:$A,0))&amp;"."&amp;$C100),"")</f>
        <v/>
      </c>
      <c r="G100" s="23" t="str">
        <f aca="false">IFERROR(IF($B100="","",INDEX('Cartes API'!$H:$H,MATCH($B100,'Cartes API'!$A:$A,0))),"")</f>
        <v/>
      </c>
      <c r="H100" s="4"/>
      <c r="I100" s="23" t="str">
        <f aca="false">IF(OR($G100="",$H100=""),"",$G100&amp;"["&amp;$H100&amp;"]")</f>
        <v/>
      </c>
      <c r="J100" s="23" t="str">
        <f aca="false">IFERROR(INDEX(Cablage!$A:$A,MATCH($I100,Cablage!$F:$F,0)),"")</f>
        <v/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customFormat="false" ht="15" hidden="false" customHeight="true" outlineLevel="0" collapsed="false">
      <c r="A101" s="22"/>
      <c r="B101" s="22"/>
      <c r="C101" s="4"/>
      <c r="D101" s="4"/>
      <c r="E101" s="4"/>
      <c r="F101" s="23" t="str">
        <f aca="false">IFERROR(IF(OR($B101="",$C101=""),"",INDEX('Cartes API'!$J:$J,MATCH($B101,'Cartes API'!$A:$A,0))&amp;INDEX('Cartes API'!$B:$B,MATCH($B101,'Cartes API'!$A:$A,0))&amp;"."&amp;INDEX('Cartes API'!$C:$C,MATCH($B101,'Cartes API'!$A:$A,0))&amp;"."&amp;$C101),"")</f>
        <v/>
      </c>
      <c r="G101" s="23" t="str">
        <f aca="false">IFERROR(IF($B101="","",INDEX('Cartes API'!$H:$H,MATCH($B101,'Cartes API'!$A:$A,0))),"")</f>
        <v/>
      </c>
      <c r="H101" s="4"/>
      <c r="I101" s="23" t="str">
        <f aca="false">IF(OR($G101="",$H101=""),"",$G101&amp;"["&amp;$H101&amp;"]")</f>
        <v/>
      </c>
      <c r="J101" s="23" t="str">
        <f aca="false">IFERROR(INDEX(Cablage!$A:$A,MATCH($I101,Cablage!$F:$F,0)),"")</f>
        <v/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customFormat="false" ht="15" hidden="false" customHeight="true" outlineLevel="0" collapsed="false">
      <c r="A102" s="22"/>
      <c r="B102" s="22"/>
      <c r="C102" s="4"/>
      <c r="D102" s="4"/>
      <c r="E102" s="4"/>
      <c r="F102" s="23" t="str">
        <f aca="false">IFERROR(IF(OR($B102="",$C102=""),"",INDEX('Cartes API'!$J:$J,MATCH($B102,'Cartes API'!$A:$A,0))&amp;INDEX('Cartes API'!$B:$B,MATCH($B102,'Cartes API'!$A:$A,0))&amp;"."&amp;INDEX('Cartes API'!$C:$C,MATCH($B102,'Cartes API'!$A:$A,0))&amp;"."&amp;$C102),"")</f>
        <v/>
      </c>
      <c r="G102" s="23" t="str">
        <f aca="false">IFERROR(IF($B102="","",INDEX('Cartes API'!$H:$H,MATCH($B102,'Cartes API'!$A:$A,0))),"")</f>
        <v/>
      </c>
      <c r="H102" s="4"/>
      <c r="I102" s="23" t="str">
        <f aca="false">IF(OR($G102="",$H102=""),"",$G102&amp;"["&amp;$H102&amp;"]")</f>
        <v/>
      </c>
      <c r="J102" s="23" t="str">
        <f aca="false">IFERROR(INDEX(Cablage!$A:$A,MATCH($I102,Cablage!$F:$F,0)),"")</f>
        <v/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customFormat="false" ht="15" hidden="false" customHeight="true" outlineLevel="0" collapsed="false">
      <c r="A103" s="22"/>
      <c r="B103" s="22"/>
      <c r="C103" s="4"/>
      <c r="D103" s="4"/>
      <c r="E103" s="4"/>
      <c r="F103" s="23" t="str">
        <f aca="false">IFERROR(IF(OR($B103="",$C103=""),"",INDEX('Cartes API'!$J:$J,MATCH($B103,'Cartes API'!$A:$A,0))&amp;INDEX('Cartes API'!$B:$B,MATCH($B103,'Cartes API'!$A:$A,0))&amp;"."&amp;INDEX('Cartes API'!$C:$C,MATCH($B103,'Cartes API'!$A:$A,0))&amp;"."&amp;$C103),"")</f>
        <v/>
      </c>
      <c r="G103" s="23" t="str">
        <f aca="false">IFERROR(IF($B103="","",INDEX('Cartes API'!$H:$H,MATCH($B103,'Cartes API'!$A:$A,0))),"")</f>
        <v/>
      </c>
      <c r="H103" s="4"/>
      <c r="I103" s="23" t="str">
        <f aca="false">IF(OR($G103="",$H103=""),"",$G103&amp;"["&amp;$H103&amp;"]")</f>
        <v/>
      </c>
      <c r="J103" s="23" t="str">
        <f aca="false">IFERROR(INDEX(Cablage!$A:$A,MATCH($I103,Cablage!$F:$F,0)),"")</f>
        <v/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customFormat="false" ht="15" hidden="false" customHeight="true" outlineLevel="0" collapsed="false">
      <c r="A104" s="22"/>
      <c r="B104" s="22"/>
      <c r="C104" s="4"/>
      <c r="D104" s="4"/>
      <c r="E104" s="4"/>
      <c r="F104" s="23" t="str">
        <f aca="false">IFERROR(IF(OR($B104="",$C104=""),"",INDEX('Cartes API'!$J:$J,MATCH($B104,'Cartes API'!$A:$A,0))&amp;INDEX('Cartes API'!$B:$B,MATCH($B104,'Cartes API'!$A:$A,0))&amp;"."&amp;INDEX('Cartes API'!$C:$C,MATCH($B104,'Cartes API'!$A:$A,0))&amp;"."&amp;$C104),"")</f>
        <v/>
      </c>
      <c r="G104" s="23" t="str">
        <f aca="false">IFERROR(IF($B104="","",INDEX('Cartes API'!$H:$H,MATCH($B104,'Cartes API'!$A:$A,0))),"")</f>
        <v/>
      </c>
      <c r="H104" s="4"/>
      <c r="I104" s="23" t="str">
        <f aca="false">IF(OR($G104="",$H104=""),"",$G104&amp;"["&amp;$H104&amp;"]")</f>
        <v/>
      </c>
      <c r="J104" s="23" t="str">
        <f aca="false">IFERROR(INDEX(Cablage!$A:$A,MATCH($I104,Cablage!$F:$F,0)),"")</f>
        <v/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customFormat="false" ht="15" hidden="false" customHeight="true" outlineLevel="0" collapsed="false">
      <c r="A105" s="22"/>
      <c r="B105" s="22"/>
      <c r="C105" s="4"/>
      <c r="D105" s="4"/>
      <c r="E105" s="4"/>
      <c r="F105" s="23" t="str">
        <f aca="false">IFERROR(IF(OR($B105="",$C105=""),"",INDEX('Cartes API'!$J:$J,MATCH($B105,'Cartes API'!$A:$A,0))&amp;INDEX('Cartes API'!$B:$B,MATCH($B105,'Cartes API'!$A:$A,0))&amp;"."&amp;INDEX('Cartes API'!$C:$C,MATCH($B105,'Cartes API'!$A:$A,0))&amp;"."&amp;$C105),"")</f>
        <v/>
      </c>
      <c r="G105" s="23" t="str">
        <f aca="false">IFERROR(IF($B105="","",INDEX('Cartes API'!$H:$H,MATCH($B105,'Cartes API'!$A:$A,0))),"")</f>
        <v/>
      </c>
      <c r="H105" s="4"/>
      <c r="I105" s="23" t="str">
        <f aca="false">IF(OR($G105="",$H105=""),"",$G105&amp;"["&amp;$H105&amp;"]")</f>
        <v/>
      </c>
      <c r="J105" s="23" t="str">
        <f aca="false">IFERROR(INDEX(Cablage!$A:$A,MATCH($I105,Cablage!$F:$F,0)),"")</f>
        <v/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customFormat="false" ht="15" hidden="false" customHeight="true" outlineLevel="0" collapsed="false">
      <c r="A106" s="22"/>
      <c r="B106" s="22"/>
      <c r="C106" s="4"/>
      <c r="D106" s="4"/>
      <c r="E106" s="4"/>
      <c r="F106" s="23" t="str">
        <f aca="false">IFERROR(IF(OR($B106="",$C106=""),"",INDEX('Cartes API'!$J:$J,MATCH($B106,'Cartes API'!$A:$A,0))&amp;INDEX('Cartes API'!$B:$B,MATCH($B106,'Cartes API'!$A:$A,0))&amp;"."&amp;INDEX('Cartes API'!$C:$C,MATCH($B106,'Cartes API'!$A:$A,0))&amp;"."&amp;$C106),"")</f>
        <v/>
      </c>
      <c r="G106" s="23" t="str">
        <f aca="false">IFERROR(IF($B106="","",INDEX('Cartes API'!$H:$H,MATCH($B106,'Cartes API'!$A:$A,0))),"")</f>
        <v/>
      </c>
      <c r="H106" s="4"/>
      <c r="I106" s="23" t="str">
        <f aca="false">IF(OR($G106="",$H106=""),"",$G106&amp;"["&amp;$H106&amp;"]")</f>
        <v/>
      </c>
      <c r="J106" s="23" t="str">
        <f aca="false">IFERROR(INDEX(Cablage!$A:$A,MATCH($I106,Cablage!$F:$F,0)),"")</f>
        <v/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customFormat="false" ht="15" hidden="false" customHeight="true" outlineLevel="0" collapsed="false">
      <c r="A107" s="22"/>
      <c r="B107" s="22"/>
      <c r="C107" s="4"/>
      <c r="D107" s="4"/>
      <c r="E107" s="4"/>
      <c r="F107" s="23" t="str">
        <f aca="false">IFERROR(IF(OR($B107="",$C107=""),"",INDEX('Cartes API'!$J:$J,MATCH($B107,'Cartes API'!$A:$A,0))&amp;INDEX('Cartes API'!$B:$B,MATCH($B107,'Cartes API'!$A:$A,0))&amp;"."&amp;INDEX('Cartes API'!$C:$C,MATCH($B107,'Cartes API'!$A:$A,0))&amp;"."&amp;$C107),"")</f>
        <v/>
      </c>
      <c r="G107" s="23" t="str">
        <f aca="false">IFERROR(IF($B107="","",INDEX('Cartes API'!$H:$H,MATCH($B107,'Cartes API'!$A:$A,0))),"")</f>
        <v/>
      </c>
      <c r="H107" s="4"/>
      <c r="I107" s="23" t="str">
        <f aca="false">IF(OR($G107="",$H107=""),"",$G107&amp;"["&amp;$H107&amp;"]")</f>
        <v/>
      </c>
      <c r="J107" s="23" t="str">
        <f aca="false">IFERROR(INDEX(Cablage!$A:$A,MATCH($I107,Cablage!$F:$F,0)),"")</f>
        <v/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customFormat="false" ht="15" hidden="false" customHeight="true" outlineLevel="0" collapsed="false">
      <c r="A108" s="22"/>
      <c r="B108" s="22"/>
      <c r="C108" s="4"/>
      <c r="D108" s="4"/>
      <c r="E108" s="4"/>
      <c r="F108" s="23" t="str">
        <f aca="false">IFERROR(IF(OR($B108="",$C108=""),"",INDEX('Cartes API'!$J:$J,MATCH($B108,'Cartes API'!$A:$A,0))&amp;INDEX('Cartes API'!$B:$B,MATCH($B108,'Cartes API'!$A:$A,0))&amp;"."&amp;INDEX('Cartes API'!$C:$C,MATCH($B108,'Cartes API'!$A:$A,0))&amp;"."&amp;$C108),"")</f>
        <v/>
      </c>
      <c r="G108" s="23" t="str">
        <f aca="false">IFERROR(IF($B108="","",INDEX('Cartes API'!$H:$H,MATCH($B108,'Cartes API'!$A:$A,0))),"")</f>
        <v/>
      </c>
      <c r="H108" s="4"/>
      <c r="I108" s="23" t="str">
        <f aca="false">IF(OR($G108="",$H108=""),"",$G108&amp;"["&amp;$H108&amp;"]")</f>
        <v/>
      </c>
      <c r="J108" s="23" t="str">
        <f aca="false">IFERROR(INDEX(Cablage!$A:$A,MATCH($I108,Cablage!$F:$F,0)),"")</f>
        <v/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customFormat="false" ht="15" hidden="false" customHeight="true" outlineLevel="0" collapsed="false">
      <c r="A109" s="22"/>
      <c r="B109" s="22"/>
      <c r="C109" s="4"/>
      <c r="D109" s="4"/>
      <c r="E109" s="4"/>
      <c r="F109" s="23" t="str">
        <f aca="false">IFERROR(IF(OR($B109="",$C109=""),"",INDEX('Cartes API'!$J:$J,MATCH($B109,'Cartes API'!$A:$A,0))&amp;INDEX('Cartes API'!$B:$B,MATCH($B109,'Cartes API'!$A:$A,0))&amp;"."&amp;INDEX('Cartes API'!$C:$C,MATCH($B109,'Cartes API'!$A:$A,0))&amp;"."&amp;$C109),"")</f>
        <v/>
      </c>
      <c r="G109" s="23" t="str">
        <f aca="false">IFERROR(IF($B109="","",INDEX('Cartes API'!$H:$H,MATCH($B109,'Cartes API'!$A:$A,0))),"")</f>
        <v/>
      </c>
      <c r="H109" s="4"/>
      <c r="I109" s="23" t="str">
        <f aca="false">IF(OR($G109="",$H109=""),"",$G109&amp;"["&amp;$H109&amp;"]")</f>
        <v/>
      </c>
      <c r="J109" s="23" t="str">
        <f aca="false">IFERROR(INDEX(Cablage!$A:$A,MATCH($I109,Cablage!$F:$F,0)),"")</f>
        <v/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customFormat="false" ht="15" hidden="false" customHeight="true" outlineLevel="0" collapsed="false">
      <c r="A110" s="22"/>
      <c r="B110" s="22"/>
      <c r="C110" s="4"/>
      <c r="D110" s="4"/>
      <c r="E110" s="4"/>
      <c r="F110" s="23" t="str">
        <f aca="false">IFERROR(IF(OR($B110="",$C110=""),"",INDEX('Cartes API'!$J:$J,MATCH($B110,'Cartes API'!$A:$A,0))&amp;INDEX('Cartes API'!$B:$B,MATCH($B110,'Cartes API'!$A:$A,0))&amp;"."&amp;INDEX('Cartes API'!$C:$C,MATCH($B110,'Cartes API'!$A:$A,0))&amp;"."&amp;$C110),"")</f>
        <v/>
      </c>
      <c r="G110" s="23" t="str">
        <f aca="false">IFERROR(IF($B110="","",INDEX('Cartes API'!$H:$H,MATCH($B110,'Cartes API'!$A:$A,0))),"")</f>
        <v/>
      </c>
      <c r="H110" s="4"/>
      <c r="I110" s="23" t="str">
        <f aca="false">IF(OR($G110="",$H110=""),"",$G110&amp;"["&amp;$H110&amp;"]")</f>
        <v/>
      </c>
      <c r="J110" s="23" t="str">
        <f aca="false">IFERROR(INDEX(Cablage!$A:$A,MATCH($I110,Cablage!$F:$F,0)),"")</f>
        <v/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customFormat="false" ht="15" hidden="false" customHeight="true" outlineLevel="0" collapsed="false">
      <c r="A111" s="22"/>
      <c r="B111" s="22"/>
      <c r="C111" s="4"/>
      <c r="D111" s="4"/>
      <c r="E111" s="4"/>
      <c r="F111" s="23" t="str">
        <f aca="false">IFERROR(IF(OR($B111="",$C111=""),"",INDEX('Cartes API'!$J:$J,MATCH($B111,'Cartes API'!$A:$A,0))&amp;INDEX('Cartes API'!$B:$B,MATCH($B111,'Cartes API'!$A:$A,0))&amp;"."&amp;INDEX('Cartes API'!$C:$C,MATCH($B111,'Cartes API'!$A:$A,0))&amp;"."&amp;$C111),"")</f>
        <v/>
      </c>
      <c r="G111" s="23" t="str">
        <f aca="false">IFERROR(IF($B111="","",INDEX('Cartes API'!$H:$H,MATCH($B111,'Cartes API'!$A:$A,0))),"")</f>
        <v/>
      </c>
      <c r="H111" s="4"/>
      <c r="I111" s="23" t="str">
        <f aca="false">IF(OR($G111="",$H111=""),"",$G111&amp;"["&amp;$H111&amp;"]")</f>
        <v/>
      </c>
      <c r="J111" s="23" t="str">
        <f aca="false">IFERROR(INDEX(Cablage!$A:$A,MATCH($I111,Cablage!$F:$F,0)),"")</f>
        <v/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customFormat="false" ht="15" hidden="false" customHeight="true" outlineLevel="0" collapsed="false">
      <c r="A112" s="22"/>
      <c r="B112" s="22"/>
      <c r="C112" s="4"/>
      <c r="D112" s="4"/>
      <c r="E112" s="4"/>
      <c r="F112" s="23" t="str">
        <f aca="false">IFERROR(IF(OR($B112="",$C112=""),"",INDEX('Cartes API'!$J:$J,MATCH($B112,'Cartes API'!$A:$A,0))&amp;INDEX('Cartes API'!$B:$B,MATCH($B112,'Cartes API'!$A:$A,0))&amp;"."&amp;INDEX('Cartes API'!$C:$C,MATCH($B112,'Cartes API'!$A:$A,0))&amp;"."&amp;$C112),"")</f>
        <v/>
      </c>
      <c r="G112" s="23" t="str">
        <f aca="false">IFERROR(IF($B112="","",INDEX('Cartes API'!$H:$H,MATCH($B112,'Cartes API'!$A:$A,0))),"")</f>
        <v/>
      </c>
      <c r="H112" s="4"/>
      <c r="I112" s="23" t="str">
        <f aca="false">IF(OR($G112="",$H112=""),"",$G112&amp;"["&amp;$H112&amp;"]")</f>
        <v/>
      </c>
      <c r="J112" s="23" t="str">
        <f aca="false">IFERROR(INDEX(Cablage!$A:$A,MATCH($I112,Cablage!$F:$F,0)),"")</f>
        <v/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customFormat="false" ht="15" hidden="false" customHeight="true" outlineLevel="0" collapsed="false">
      <c r="A113" s="22"/>
      <c r="B113" s="22"/>
      <c r="C113" s="4"/>
      <c r="D113" s="4"/>
      <c r="E113" s="4"/>
      <c r="F113" s="23" t="str">
        <f aca="false">IFERROR(IF(OR($B113="",$C113=""),"",INDEX('Cartes API'!$J:$J,MATCH($B113,'Cartes API'!$A:$A,0))&amp;INDEX('Cartes API'!$B:$B,MATCH($B113,'Cartes API'!$A:$A,0))&amp;"."&amp;INDEX('Cartes API'!$C:$C,MATCH($B113,'Cartes API'!$A:$A,0))&amp;"."&amp;$C113),"")</f>
        <v/>
      </c>
      <c r="G113" s="23" t="str">
        <f aca="false">IFERROR(IF($B113="","",INDEX('Cartes API'!$H:$H,MATCH($B113,'Cartes API'!$A:$A,0))),"")</f>
        <v/>
      </c>
      <c r="H113" s="4"/>
      <c r="I113" s="23" t="str">
        <f aca="false">IF(OR($G113="",$H113=""),"",$G113&amp;"["&amp;$H113&amp;"]")</f>
        <v/>
      </c>
      <c r="J113" s="23" t="str">
        <f aca="false">IFERROR(INDEX(Cablage!$A:$A,MATCH($I113,Cablage!$F:$F,0)),"")</f>
        <v/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customFormat="false" ht="15" hidden="false" customHeight="true" outlineLevel="0" collapsed="false">
      <c r="A114" s="22"/>
      <c r="B114" s="22"/>
      <c r="C114" s="4"/>
      <c r="D114" s="4"/>
      <c r="E114" s="4"/>
      <c r="F114" s="23" t="str">
        <f aca="false">IFERROR(IF(OR($B114="",$C114=""),"",INDEX('Cartes API'!$J:$J,MATCH($B114,'Cartes API'!$A:$A,0))&amp;INDEX('Cartes API'!$B:$B,MATCH($B114,'Cartes API'!$A:$A,0))&amp;"."&amp;INDEX('Cartes API'!$C:$C,MATCH($B114,'Cartes API'!$A:$A,0))&amp;"."&amp;$C114),"")</f>
        <v/>
      </c>
      <c r="G114" s="23" t="str">
        <f aca="false">IFERROR(IF($B114="","",INDEX('Cartes API'!$H:$H,MATCH($B114,'Cartes API'!$A:$A,0))),"")</f>
        <v/>
      </c>
      <c r="H114" s="4"/>
      <c r="I114" s="23" t="str">
        <f aca="false">IF(OR($G114="",$H114=""),"",$G114&amp;"["&amp;$H114&amp;"]")</f>
        <v/>
      </c>
      <c r="J114" s="23" t="str">
        <f aca="false">IFERROR(INDEX(Cablage!$A:$A,MATCH($I114,Cablage!$F:$F,0)),"")</f>
        <v/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customFormat="false" ht="15" hidden="false" customHeight="true" outlineLevel="0" collapsed="false">
      <c r="A115" s="22"/>
      <c r="B115" s="22"/>
      <c r="C115" s="4"/>
      <c r="D115" s="4"/>
      <c r="E115" s="4"/>
      <c r="F115" s="23" t="str">
        <f aca="false">IFERROR(IF(OR($B115="",$C115=""),"",INDEX('Cartes API'!$J:$J,MATCH($B115,'Cartes API'!$A:$A,0))&amp;INDEX('Cartes API'!$B:$B,MATCH($B115,'Cartes API'!$A:$A,0))&amp;"."&amp;INDEX('Cartes API'!$C:$C,MATCH($B115,'Cartes API'!$A:$A,0))&amp;"."&amp;$C115),"")</f>
        <v/>
      </c>
      <c r="G115" s="23" t="str">
        <f aca="false">IFERROR(IF($B115="","",INDEX('Cartes API'!$H:$H,MATCH($B115,'Cartes API'!$A:$A,0))),"")</f>
        <v/>
      </c>
      <c r="H115" s="4"/>
      <c r="I115" s="23" t="str">
        <f aca="false">IF(OR($G115="",$H115=""),"",$G115&amp;"["&amp;$H115&amp;"]")</f>
        <v/>
      </c>
      <c r="J115" s="23" t="str">
        <f aca="false">IFERROR(INDEX(Cablage!$A:$A,MATCH($I115,Cablage!$F:$F,0)),"")</f>
        <v/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customFormat="false" ht="15" hidden="false" customHeight="true" outlineLevel="0" collapsed="false">
      <c r="A116" s="22"/>
      <c r="B116" s="22"/>
      <c r="C116" s="4"/>
      <c r="D116" s="4"/>
      <c r="E116" s="4"/>
      <c r="F116" s="23" t="str">
        <f aca="false">IFERROR(IF(OR($B116="",$C116=""),"",INDEX('Cartes API'!$J:$J,MATCH($B116,'Cartes API'!$A:$A,0))&amp;INDEX('Cartes API'!$B:$B,MATCH($B116,'Cartes API'!$A:$A,0))&amp;"."&amp;INDEX('Cartes API'!$C:$C,MATCH($B116,'Cartes API'!$A:$A,0))&amp;"."&amp;$C116),"")</f>
        <v/>
      </c>
      <c r="G116" s="23" t="str">
        <f aca="false">IFERROR(IF($B116="","",INDEX('Cartes API'!$H:$H,MATCH($B116,'Cartes API'!$A:$A,0))),"")</f>
        <v/>
      </c>
      <c r="H116" s="4"/>
      <c r="I116" s="23" t="str">
        <f aca="false">IF(OR($G116="",$H116=""),"",$G116&amp;"["&amp;$H116&amp;"]")</f>
        <v/>
      </c>
      <c r="J116" s="23" t="str">
        <f aca="false">IFERROR(INDEX(Cablage!$A:$A,MATCH($I116,Cablage!$F:$F,0)),"")</f>
        <v/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customFormat="false" ht="15" hidden="false" customHeight="true" outlineLevel="0" collapsed="false">
      <c r="A117" s="22"/>
      <c r="B117" s="22"/>
      <c r="C117" s="4"/>
      <c r="D117" s="4"/>
      <c r="E117" s="4"/>
      <c r="F117" s="23" t="str">
        <f aca="false">IFERROR(IF(OR($B117="",$C117=""),"",INDEX('Cartes API'!$J:$J,MATCH($B117,'Cartes API'!$A:$A,0))&amp;INDEX('Cartes API'!$B:$B,MATCH($B117,'Cartes API'!$A:$A,0))&amp;"."&amp;INDEX('Cartes API'!$C:$C,MATCH($B117,'Cartes API'!$A:$A,0))&amp;"."&amp;$C117),"")</f>
        <v/>
      </c>
      <c r="G117" s="23" t="str">
        <f aca="false">IFERROR(IF($B117="","",INDEX('Cartes API'!$H:$H,MATCH($B117,'Cartes API'!$A:$A,0))),"")</f>
        <v/>
      </c>
      <c r="H117" s="4"/>
      <c r="I117" s="23" t="str">
        <f aca="false">IF(OR($G117="",$H117=""),"",$G117&amp;"["&amp;$H117&amp;"]")</f>
        <v/>
      </c>
      <c r="J117" s="23" t="str">
        <f aca="false">IFERROR(INDEX(Cablage!$A:$A,MATCH($I117,Cablage!$F:$F,0)),"")</f>
        <v/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customFormat="false" ht="15" hidden="false" customHeight="true" outlineLevel="0" collapsed="false">
      <c r="A118" s="22"/>
      <c r="B118" s="22"/>
      <c r="C118" s="4"/>
      <c r="D118" s="4"/>
      <c r="E118" s="4"/>
      <c r="F118" s="23" t="str">
        <f aca="false">IFERROR(IF(OR($B118="",$C118=""),"",INDEX('Cartes API'!$J:$J,MATCH($B118,'Cartes API'!$A:$A,0))&amp;INDEX('Cartes API'!$B:$B,MATCH($B118,'Cartes API'!$A:$A,0))&amp;"."&amp;INDEX('Cartes API'!$C:$C,MATCH($B118,'Cartes API'!$A:$A,0))&amp;"."&amp;$C118),"")</f>
        <v/>
      </c>
      <c r="G118" s="23" t="str">
        <f aca="false">IFERROR(IF($B118="","",INDEX('Cartes API'!$H:$H,MATCH($B118,'Cartes API'!$A:$A,0))),"")</f>
        <v/>
      </c>
      <c r="H118" s="4"/>
      <c r="I118" s="23" t="str">
        <f aca="false">IF(OR($G118="",$H118=""),"",$G118&amp;"["&amp;$H118&amp;"]")</f>
        <v/>
      </c>
      <c r="J118" s="23" t="str">
        <f aca="false">IFERROR(INDEX(Cablage!$A:$A,MATCH($I118,Cablage!$F:$F,0)),"")</f>
        <v/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customFormat="false" ht="15" hidden="false" customHeight="true" outlineLevel="0" collapsed="false">
      <c r="A119" s="22"/>
      <c r="B119" s="22"/>
      <c r="C119" s="4"/>
      <c r="D119" s="4"/>
      <c r="E119" s="4"/>
      <c r="F119" s="23" t="str">
        <f aca="false">IFERROR(IF(OR($B119="",$C119=""),"",INDEX('Cartes API'!$J:$J,MATCH($B119,'Cartes API'!$A:$A,0))&amp;INDEX('Cartes API'!$B:$B,MATCH($B119,'Cartes API'!$A:$A,0))&amp;"."&amp;INDEX('Cartes API'!$C:$C,MATCH($B119,'Cartes API'!$A:$A,0))&amp;"."&amp;$C119),"")</f>
        <v/>
      </c>
      <c r="G119" s="23" t="str">
        <f aca="false">IFERROR(IF($B119="","",INDEX('Cartes API'!$H:$H,MATCH($B119,'Cartes API'!$A:$A,0))),"")</f>
        <v/>
      </c>
      <c r="H119" s="4"/>
      <c r="I119" s="23" t="str">
        <f aca="false">IF(OR($G119="",$H119=""),"",$G119&amp;"["&amp;$H119&amp;"]")</f>
        <v/>
      </c>
      <c r="J119" s="23" t="str">
        <f aca="false">IFERROR(INDEX(Cablage!$A:$A,MATCH($I119,Cablage!$F:$F,0)),"")</f>
        <v/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customFormat="false" ht="15" hidden="false" customHeight="true" outlineLevel="0" collapsed="false">
      <c r="A120" s="22"/>
      <c r="B120" s="22"/>
      <c r="C120" s="4"/>
      <c r="D120" s="4"/>
      <c r="E120" s="4"/>
      <c r="F120" s="23" t="str">
        <f aca="false">IFERROR(IF(OR($B120="",$C120=""),"",INDEX('Cartes API'!$J:$J,MATCH($B120,'Cartes API'!$A:$A,0))&amp;INDEX('Cartes API'!$B:$B,MATCH($B120,'Cartes API'!$A:$A,0))&amp;"."&amp;INDEX('Cartes API'!$C:$C,MATCH($B120,'Cartes API'!$A:$A,0))&amp;"."&amp;$C120),"")</f>
        <v/>
      </c>
      <c r="G120" s="23" t="str">
        <f aca="false">IFERROR(IF($B120="","",INDEX('Cartes API'!$H:$H,MATCH($B120,'Cartes API'!$A:$A,0))),"")</f>
        <v/>
      </c>
      <c r="H120" s="4"/>
      <c r="I120" s="23" t="str">
        <f aca="false">IF(OR($G120="",$H120=""),"",$G120&amp;"["&amp;$H120&amp;"]")</f>
        <v/>
      </c>
      <c r="J120" s="23" t="str">
        <f aca="false">IFERROR(INDEX(Cablage!$A:$A,MATCH($I120,Cablage!$F:$F,0)),"")</f>
        <v/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customFormat="false" ht="15" hidden="false" customHeight="true" outlineLevel="0" collapsed="false">
      <c r="A121" s="22"/>
      <c r="B121" s="22"/>
      <c r="C121" s="4"/>
      <c r="D121" s="4"/>
      <c r="E121" s="4"/>
      <c r="F121" s="23" t="str">
        <f aca="false">IFERROR(IF(OR($B121="",$C121=""),"",INDEX('Cartes API'!$J:$J,MATCH($B121,'Cartes API'!$A:$A,0))&amp;INDEX('Cartes API'!$B:$B,MATCH($B121,'Cartes API'!$A:$A,0))&amp;"."&amp;INDEX('Cartes API'!$C:$C,MATCH($B121,'Cartes API'!$A:$A,0))&amp;"."&amp;$C121),"")</f>
        <v/>
      </c>
      <c r="G121" s="23" t="str">
        <f aca="false">IFERROR(IF($B121="","",INDEX('Cartes API'!$H:$H,MATCH($B121,'Cartes API'!$A:$A,0))),"")</f>
        <v/>
      </c>
      <c r="H121" s="4"/>
      <c r="I121" s="23" t="str">
        <f aca="false">IF(OR($G121="",$H121=""),"",$G121&amp;"["&amp;$H121&amp;"]")</f>
        <v/>
      </c>
      <c r="J121" s="23" t="str">
        <f aca="false">IFERROR(INDEX(Cablage!$A:$A,MATCH($I121,Cablage!$F:$F,0)),"")</f>
        <v/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customFormat="false" ht="15" hidden="false" customHeight="true" outlineLevel="0" collapsed="false">
      <c r="A122" s="22"/>
      <c r="B122" s="22"/>
      <c r="C122" s="4"/>
      <c r="D122" s="4"/>
      <c r="E122" s="4"/>
      <c r="F122" s="23" t="str">
        <f aca="false">IFERROR(IF(OR($B122="",$C122=""),"",INDEX('Cartes API'!$J:$J,MATCH($B122,'Cartes API'!$A:$A,0))&amp;INDEX('Cartes API'!$B:$B,MATCH($B122,'Cartes API'!$A:$A,0))&amp;"."&amp;INDEX('Cartes API'!$C:$C,MATCH($B122,'Cartes API'!$A:$A,0))&amp;"."&amp;$C122),"")</f>
        <v/>
      </c>
      <c r="G122" s="23" t="str">
        <f aca="false">IFERROR(IF($B122="","",INDEX('Cartes API'!$H:$H,MATCH($B122,'Cartes API'!$A:$A,0))),"")</f>
        <v/>
      </c>
      <c r="H122" s="4"/>
      <c r="I122" s="23" t="str">
        <f aca="false">IF(OR($G122="",$H122=""),"",$G122&amp;"["&amp;$H122&amp;"]")</f>
        <v/>
      </c>
      <c r="J122" s="23" t="str">
        <f aca="false">IFERROR(INDEX(Cablage!$A:$A,MATCH($I122,Cablage!$F:$F,0)),"")</f>
        <v/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customFormat="false" ht="15" hidden="false" customHeight="true" outlineLevel="0" collapsed="false">
      <c r="A123" s="22"/>
      <c r="B123" s="22"/>
      <c r="C123" s="4"/>
      <c r="D123" s="4"/>
      <c r="E123" s="4"/>
      <c r="F123" s="23" t="str">
        <f aca="false">IFERROR(IF(OR($B123="",$C123=""),"",INDEX('Cartes API'!$J:$J,MATCH($B123,'Cartes API'!$A:$A,0))&amp;INDEX('Cartes API'!$B:$B,MATCH($B123,'Cartes API'!$A:$A,0))&amp;"."&amp;INDEX('Cartes API'!$C:$C,MATCH($B123,'Cartes API'!$A:$A,0))&amp;"."&amp;$C123),"")</f>
        <v/>
      </c>
      <c r="G123" s="23" t="str">
        <f aca="false">IFERROR(IF($B123="","",INDEX('Cartes API'!$H:$H,MATCH($B123,'Cartes API'!$A:$A,0))),"")</f>
        <v/>
      </c>
      <c r="H123" s="4"/>
      <c r="I123" s="23" t="str">
        <f aca="false">IF(OR($G123="",$H123=""),"",$G123&amp;"["&amp;$H123&amp;"]")</f>
        <v/>
      </c>
      <c r="J123" s="23" t="str">
        <f aca="false">IFERROR(INDEX(Cablage!$A:$A,MATCH($I123,Cablage!$F:$F,0)),"")</f>
        <v/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customFormat="false" ht="15" hidden="false" customHeight="true" outlineLevel="0" collapsed="false">
      <c r="A124" s="22"/>
      <c r="B124" s="22"/>
      <c r="C124" s="4"/>
      <c r="D124" s="4"/>
      <c r="E124" s="4"/>
      <c r="F124" s="23" t="str">
        <f aca="false">IFERROR(IF(OR($B124="",$C124=""),"",INDEX('Cartes API'!$J:$J,MATCH($B124,'Cartes API'!$A:$A,0))&amp;INDEX('Cartes API'!$B:$B,MATCH($B124,'Cartes API'!$A:$A,0))&amp;"."&amp;INDEX('Cartes API'!$C:$C,MATCH($B124,'Cartes API'!$A:$A,0))&amp;"."&amp;$C124),"")</f>
        <v/>
      </c>
      <c r="G124" s="23" t="str">
        <f aca="false">IFERROR(IF($B124="","",INDEX('Cartes API'!$H:$H,MATCH($B124,'Cartes API'!$A:$A,0))),"")</f>
        <v/>
      </c>
      <c r="H124" s="4"/>
      <c r="I124" s="23" t="str">
        <f aca="false">IF(OR($G124="",$H124=""),"",$G124&amp;"["&amp;$H124&amp;"]")</f>
        <v/>
      </c>
      <c r="J124" s="23" t="str">
        <f aca="false">IFERROR(INDEX(Cablage!$A:$A,MATCH($I124,Cablage!$F:$F,0)),"")</f>
        <v/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customFormat="false" ht="15" hidden="false" customHeight="true" outlineLevel="0" collapsed="false">
      <c r="A125" s="22"/>
      <c r="B125" s="22"/>
      <c r="C125" s="4"/>
      <c r="D125" s="4"/>
      <c r="E125" s="4"/>
      <c r="F125" s="23" t="str">
        <f aca="false">IFERROR(IF(OR($B125="",$C125=""),"",INDEX('Cartes API'!$J:$J,MATCH($B125,'Cartes API'!$A:$A,0))&amp;INDEX('Cartes API'!$B:$B,MATCH($B125,'Cartes API'!$A:$A,0))&amp;"."&amp;INDEX('Cartes API'!$C:$C,MATCH($B125,'Cartes API'!$A:$A,0))&amp;"."&amp;$C125),"")</f>
        <v/>
      </c>
      <c r="G125" s="23" t="str">
        <f aca="false">IFERROR(IF($B125="","",INDEX('Cartes API'!$H:$H,MATCH($B125,'Cartes API'!$A:$A,0))),"")</f>
        <v/>
      </c>
      <c r="H125" s="4"/>
      <c r="I125" s="23" t="str">
        <f aca="false">IF(OR($G125="",$H125=""),"",$G125&amp;"["&amp;$H125&amp;"]")</f>
        <v/>
      </c>
      <c r="J125" s="23" t="str">
        <f aca="false">IFERROR(INDEX(Cablage!$A:$A,MATCH($I125,Cablage!$F:$F,0)),"")</f>
        <v/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customFormat="false" ht="15" hidden="false" customHeight="true" outlineLevel="0" collapsed="false">
      <c r="A126" s="22"/>
      <c r="B126" s="22"/>
      <c r="C126" s="4"/>
      <c r="D126" s="4"/>
      <c r="E126" s="4"/>
      <c r="F126" s="23" t="str">
        <f aca="false">IFERROR(IF(OR($B126="",$C126=""),"",INDEX('Cartes API'!$J:$J,MATCH($B126,'Cartes API'!$A:$A,0))&amp;INDEX('Cartes API'!$B:$B,MATCH($B126,'Cartes API'!$A:$A,0))&amp;"."&amp;INDEX('Cartes API'!$C:$C,MATCH($B126,'Cartes API'!$A:$A,0))&amp;"."&amp;$C126),"")</f>
        <v/>
      </c>
      <c r="G126" s="23" t="str">
        <f aca="false">IFERROR(IF($B126="","",INDEX('Cartes API'!$H:$H,MATCH($B126,'Cartes API'!$A:$A,0))),"")</f>
        <v/>
      </c>
      <c r="H126" s="4"/>
      <c r="I126" s="23" t="str">
        <f aca="false">IF(OR($G126="",$H126=""),"",$G126&amp;"["&amp;$H126&amp;"]")</f>
        <v/>
      </c>
      <c r="J126" s="23" t="str">
        <f aca="false">IFERROR(INDEX(Cablage!$A:$A,MATCH($I126,Cablage!$F:$F,0)),"")</f>
        <v/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customFormat="false" ht="15" hidden="false" customHeight="true" outlineLevel="0" collapsed="false">
      <c r="A127" s="22"/>
      <c r="B127" s="22"/>
      <c r="C127" s="4"/>
      <c r="D127" s="4"/>
      <c r="E127" s="4"/>
      <c r="F127" s="23" t="str">
        <f aca="false">IFERROR(IF(OR($B127="",$C127=""),"",INDEX('Cartes API'!$J:$J,MATCH($B127,'Cartes API'!$A:$A,0))&amp;INDEX('Cartes API'!$B:$B,MATCH($B127,'Cartes API'!$A:$A,0))&amp;"."&amp;INDEX('Cartes API'!$C:$C,MATCH($B127,'Cartes API'!$A:$A,0))&amp;"."&amp;$C127),"")</f>
        <v/>
      </c>
      <c r="G127" s="23" t="str">
        <f aca="false">IFERROR(IF($B127="","",INDEX('Cartes API'!$H:$H,MATCH($B127,'Cartes API'!$A:$A,0))),"")</f>
        <v/>
      </c>
      <c r="H127" s="4"/>
      <c r="I127" s="23" t="str">
        <f aca="false">IF(OR($G127="",$H127=""),"",$G127&amp;"["&amp;$H127&amp;"]")</f>
        <v/>
      </c>
      <c r="J127" s="23" t="str">
        <f aca="false">IFERROR(INDEX(Cablage!$A:$A,MATCH($I127,Cablage!$F:$F,0)),"")</f>
        <v/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customFormat="false" ht="15" hidden="false" customHeight="true" outlineLevel="0" collapsed="false">
      <c r="A128" s="22"/>
      <c r="B128" s="22"/>
      <c r="C128" s="4"/>
      <c r="D128" s="4"/>
      <c r="E128" s="4"/>
      <c r="F128" s="23" t="str">
        <f aca="false">IFERROR(IF(OR($B128="",$C128=""),"",INDEX('Cartes API'!$J:$J,MATCH($B128,'Cartes API'!$A:$A,0))&amp;INDEX('Cartes API'!$B:$B,MATCH($B128,'Cartes API'!$A:$A,0))&amp;"."&amp;INDEX('Cartes API'!$C:$C,MATCH($B128,'Cartes API'!$A:$A,0))&amp;"."&amp;$C128),"")</f>
        <v/>
      </c>
      <c r="G128" s="23" t="str">
        <f aca="false">IFERROR(IF($B128="","",INDEX('Cartes API'!$H:$H,MATCH($B128,'Cartes API'!$A:$A,0))),"")</f>
        <v/>
      </c>
      <c r="H128" s="4"/>
      <c r="I128" s="23" t="str">
        <f aca="false">IF(OR($G128="",$H128=""),"",$G128&amp;"["&amp;$H128&amp;"]")</f>
        <v/>
      </c>
      <c r="J128" s="23" t="str">
        <f aca="false">IFERROR(INDEX(Cablage!$A:$A,MATCH($I128,Cablage!$F:$F,0)),"")</f>
        <v/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customFormat="false" ht="15" hidden="false" customHeight="true" outlineLevel="0" collapsed="false">
      <c r="A129" s="22"/>
      <c r="B129" s="22"/>
      <c r="C129" s="4"/>
      <c r="D129" s="4"/>
      <c r="E129" s="4"/>
      <c r="F129" s="23" t="str">
        <f aca="false">IFERROR(IF(OR($B129="",$C129=""),"",INDEX('Cartes API'!$J:$J,MATCH($B129,'Cartes API'!$A:$A,0))&amp;INDEX('Cartes API'!$B:$B,MATCH($B129,'Cartes API'!$A:$A,0))&amp;"."&amp;INDEX('Cartes API'!$C:$C,MATCH($B129,'Cartes API'!$A:$A,0))&amp;"."&amp;$C129),"")</f>
        <v/>
      </c>
      <c r="G129" s="23" t="str">
        <f aca="false">IFERROR(IF($B129="","",INDEX('Cartes API'!$H:$H,MATCH($B129,'Cartes API'!$A:$A,0))),"")</f>
        <v/>
      </c>
      <c r="H129" s="4"/>
      <c r="I129" s="23" t="str">
        <f aca="false">IF(OR($G129="",$H129=""),"",$G129&amp;"["&amp;$H129&amp;"]")</f>
        <v/>
      </c>
      <c r="J129" s="23" t="str">
        <f aca="false">IFERROR(INDEX(Cablage!$A:$A,MATCH($I129,Cablage!$F:$F,0)),"")</f>
        <v/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customFormat="false" ht="15" hidden="false" customHeight="true" outlineLevel="0" collapsed="false">
      <c r="A130" s="22"/>
      <c r="B130" s="22"/>
      <c r="C130" s="4"/>
      <c r="D130" s="4"/>
      <c r="E130" s="4"/>
      <c r="F130" s="23" t="str">
        <f aca="false">IFERROR(IF(OR($B130="",$C130=""),"",INDEX('Cartes API'!$J:$J,MATCH($B130,'Cartes API'!$A:$A,0))&amp;INDEX('Cartes API'!$B:$B,MATCH($B130,'Cartes API'!$A:$A,0))&amp;"."&amp;INDEX('Cartes API'!$C:$C,MATCH($B130,'Cartes API'!$A:$A,0))&amp;"."&amp;$C130),"")</f>
        <v/>
      </c>
      <c r="G130" s="23" t="str">
        <f aca="false">IFERROR(IF($B130="","",INDEX('Cartes API'!$H:$H,MATCH($B130,'Cartes API'!$A:$A,0))),"")</f>
        <v/>
      </c>
      <c r="H130" s="4"/>
      <c r="I130" s="23" t="str">
        <f aca="false">IF(OR($G130="",$H130=""),"",$G130&amp;"["&amp;$H130&amp;"]")</f>
        <v/>
      </c>
      <c r="J130" s="23" t="str">
        <f aca="false">IFERROR(INDEX(Cablage!$A:$A,MATCH($I130,Cablage!$F:$F,0)),"")</f>
        <v/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customFormat="false" ht="15" hidden="false" customHeight="true" outlineLevel="0" collapsed="false">
      <c r="A131" s="22"/>
      <c r="B131" s="22"/>
      <c r="C131" s="4"/>
      <c r="D131" s="4"/>
      <c r="E131" s="4"/>
      <c r="F131" s="23" t="str">
        <f aca="false">IFERROR(IF(OR($B131="",$C131=""),"",INDEX('Cartes API'!$J:$J,MATCH($B131,'Cartes API'!$A:$A,0))&amp;INDEX('Cartes API'!$B:$B,MATCH($B131,'Cartes API'!$A:$A,0))&amp;"."&amp;INDEX('Cartes API'!$C:$C,MATCH($B131,'Cartes API'!$A:$A,0))&amp;"."&amp;$C131),"")</f>
        <v/>
      </c>
      <c r="G131" s="23" t="str">
        <f aca="false">IFERROR(IF($B131="","",INDEX('Cartes API'!$H:$H,MATCH($B131,'Cartes API'!$A:$A,0))),"")</f>
        <v/>
      </c>
      <c r="H131" s="4"/>
      <c r="I131" s="23" t="str">
        <f aca="false">IF(OR($G131="",$H131=""),"",$G131&amp;"["&amp;$H131&amp;"]")</f>
        <v/>
      </c>
      <c r="J131" s="23" t="str">
        <f aca="false">IFERROR(INDEX(Cablage!$A:$A,MATCH($I131,Cablage!$F:$F,0)),"")</f>
        <v/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customFormat="false" ht="15" hidden="false" customHeight="true" outlineLevel="0" collapsed="false">
      <c r="A132" s="22"/>
      <c r="B132" s="22"/>
      <c r="C132" s="4"/>
      <c r="D132" s="4"/>
      <c r="E132" s="4"/>
      <c r="F132" s="23" t="str">
        <f aca="false">IFERROR(IF(OR($B132="",$C132=""),"",INDEX('Cartes API'!$J:$J,MATCH($B132,'Cartes API'!$A:$A,0))&amp;INDEX('Cartes API'!$B:$B,MATCH($B132,'Cartes API'!$A:$A,0))&amp;"."&amp;INDEX('Cartes API'!$C:$C,MATCH($B132,'Cartes API'!$A:$A,0))&amp;"."&amp;$C132),"")</f>
        <v/>
      </c>
      <c r="G132" s="23" t="str">
        <f aca="false">IFERROR(IF($B132="","",INDEX('Cartes API'!$H:$H,MATCH($B132,'Cartes API'!$A:$A,0))),"")</f>
        <v/>
      </c>
      <c r="H132" s="4"/>
      <c r="I132" s="23" t="str">
        <f aca="false">IF(OR($G132="",$H132=""),"",$G132&amp;"["&amp;$H132&amp;"]")</f>
        <v/>
      </c>
      <c r="J132" s="23" t="str">
        <f aca="false">IFERROR(INDEX(Cablage!$A:$A,MATCH($I132,Cablage!$F:$F,0)),"")</f>
        <v/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customFormat="false" ht="15" hidden="false" customHeight="true" outlineLevel="0" collapsed="false">
      <c r="A133" s="22"/>
      <c r="B133" s="22"/>
      <c r="C133" s="4"/>
      <c r="D133" s="4"/>
      <c r="E133" s="4"/>
      <c r="F133" s="23" t="str">
        <f aca="false">IFERROR(IF(OR($B133="",$C133=""),"",INDEX('Cartes API'!$J:$J,MATCH($B133,'Cartes API'!$A:$A,0))&amp;INDEX('Cartes API'!$B:$B,MATCH($B133,'Cartes API'!$A:$A,0))&amp;"."&amp;INDEX('Cartes API'!$C:$C,MATCH($B133,'Cartes API'!$A:$A,0))&amp;"."&amp;$C133),"")</f>
        <v/>
      </c>
      <c r="G133" s="23" t="str">
        <f aca="false">IFERROR(IF($B133="","",INDEX('Cartes API'!$H:$H,MATCH($B133,'Cartes API'!$A:$A,0))),"")</f>
        <v/>
      </c>
      <c r="H133" s="4"/>
      <c r="I133" s="23" t="str">
        <f aca="false">IF(OR($G133="",$H133=""),"",$G133&amp;"["&amp;$H133&amp;"]")</f>
        <v/>
      </c>
      <c r="J133" s="23" t="str">
        <f aca="false">IFERROR(INDEX(Cablage!$A:$A,MATCH($I133,Cablage!$F:$F,0)),"")</f>
        <v/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customFormat="false" ht="15" hidden="false" customHeight="true" outlineLevel="0" collapsed="false">
      <c r="A134" s="22"/>
      <c r="B134" s="22"/>
      <c r="C134" s="4"/>
      <c r="D134" s="4"/>
      <c r="E134" s="4"/>
      <c r="F134" s="23" t="str">
        <f aca="false">IFERROR(IF(OR($B134="",$C134=""),"",INDEX('Cartes API'!$J:$J,MATCH($B134,'Cartes API'!$A:$A,0))&amp;INDEX('Cartes API'!$B:$B,MATCH($B134,'Cartes API'!$A:$A,0))&amp;"."&amp;INDEX('Cartes API'!$C:$C,MATCH($B134,'Cartes API'!$A:$A,0))&amp;"."&amp;$C134),"")</f>
        <v/>
      </c>
      <c r="G134" s="23" t="str">
        <f aca="false">IFERROR(IF($B134="","",INDEX('Cartes API'!$H:$H,MATCH($B134,'Cartes API'!$A:$A,0))),"")</f>
        <v/>
      </c>
      <c r="H134" s="4"/>
      <c r="I134" s="23" t="str">
        <f aca="false">IF(OR($G134="",$H134=""),"",$G134&amp;"["&amp;$H134&amp;"]")</f>
        <v/>
      </c>
      <c r="J134" s="23" t="str">
        <f aca="false">IFERROR(INDEX(Cablage!$A:$A,MATCH($I134,Cablage!$F:$F,0)),"")</f>
        <v/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customFormat="false" ht="15" hidden="false" customHeight="true" outlineLevel="0" collapsed="false">
      <c r="A135" s="22"/>
      <c r="B135" s="22"/>
      <c r="C135" s="4"/>
      <c r="D135" s="4"/>
      <c r="E135" s="4"/>
      <c r="F135" s="23" t="str">
        <f aca="false">IFERROR(IF(OR($B135="",$C135=""),"",INDEX('Cartes API'!$J:$J,MATCH($B135,'Cartes API'!$A:$A,0))&amp;INDEX('Cartes API'!$B:$B,MATCH($B135,'Cartes API'!$A:$A,0))&amp;"."&amp;INDEX('Cartes API'!$C:$C,MATCH($B135,'Cartes API'!$A:$A,0))&amp;"."&amp;$C135),"")</f>
        <v/>
      </c>
      <c r="G135" s="23" t="str">
        <f aca="false">IFERROR(IF($B135="","",INDEX('Cartes API'!$H:$H,MATCH($B135,'Cartes API'!$A:$A,0))),"")</f>
        <v/>
      </c>
      <c r="H135" s="4"/>
      <c r="I135" s="23" t="str">
        <f aca="false">IF(OR($G135="",$H135=""),"",$G135&amp;"["&amp;$H135&amp;"]")</f>
        <v/>
      </c>
      <c r="J135" s="23" t="str">
        <f aca="false">IFERROR(INDEX(Cablage!$A:$A,MATCH($I135,Cablage!$F:$F,0)),"")</f>
        <v/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customFormat="false" ht="15" hidden="false" customHeight="true" outlineLevel="0" collapsed="false">
      <c r="A136" s="22"/>
      <c r="B136" s="22"/>
      <c r="C136" s="4"/>
      <c r="D136" s="4"/>
      <c r="E136" s="4"/>
      <c r="F136" s="23" t="str">
        <f aca="false">IFERROR(IF(OR($B136="",$C136=""),"",INDEX('Cartes API'!$J:$J,MATCH($B136,'Cartes API'!$A:$A,0))&amp;INDEX('Cartes API'!$B:$B,MATCH($B136,'Cartes API'!$A:$A,0))&amp;"."&amp;INDEX('Cartes API'!$C:$C,MATCH($B136,'Cartes API'!$A:$A,0))&amp;"."&amp;$C136),"")</f>
        <v/>
      </c>
      <c r="G136" s="23" t="str">
        <f aca="false">IFERROR(IF($B136="","",INDEX('Cartes API'!$H:$H,MATCH($B136,'Cartes API'!$A:$A,0))),"")</f>
        <v/>
      </c>
      <c r="H136" s="4"/>
      <c r="I136" s="23" t="str">
        <f aca="false">IF(OR($G136="",$H136=""),"",$G136&amp;"["&amp;$H136&amp;"]")</f>
        <v/>
      </c>
      <c r="J136" s="23" t="str">
        <f aca="false">IFERROR(INDEX(Cablage!$A:$A,MATCH($I136,Cablage!$F:$F,0)),"")</f>
        <v/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customFormat="false" ht="15" hidden="false" customHeight="true" outlineLevel="0" collapsed="false">
      <c r="A137" s="22"/>
      <c r="B137" s="22"/>
      <c r="C137" s="4"/>
      <c r="D137" s="4"/>
      <c r="E137" s="4"/>
      <c r="F137" s="23" t="str">
        <f aca="false">IFERROR(IF(OR($B137="",$C137=""),"",INDEX('Cartes API'!$J:$J,MATCH($B137,'Cartes API'!$A:$A,0))&amp;INDEX('Cartes API'!$B:$B,MATCH($B137,'Cartes API'!$A:$A,0))&amp;"."&amp;INDEX('Cartes API'!$C:$C,MATCH($B137,'Cartes API'!$A:$A,0))&amp;"."&amp;$C137),"")</f>
        <v/>
      </c>
      <c r="G137" s="23" t="str">
        <f aca="false">IFERROR(IF($B137="","",INDEX('Cartes API'!$H:$H,MATCH($B137,'Cartes API'!$A:$A,0))),"")</f>
        <v/>
      </c>
      <c r="H137" s="4"/>
      <c r="I137" s="23" t="str">
        <f aca="false">IF(OR($G137="",$H137=""),"",$G137&amp;"["&amp;$H137&amp;"]")</f>
        <v/>
      </c>
      <c r="J137" s="23" t="str">
        <f aca="false">IFERROR(INDEX(Cablage!$A:$A,MATCH($I137,Cablage!$F:$F,0)),"")</f>
        <v/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customFormat="false" ht="15" hidden="false" customHeight="true" outlineLevel="0" collapsed="false">
      <c r="A138" s="22"/>
      <c r="B138" s="22"/>
      <c r="C138" s="4"/>
      <c r="D138" s="4"/>
      <c r="E138" s="4"/>
      <c r="F138" s="23" t="str">
        <f aca="false">IFERROR(IF(OR($B138="",$C138=""),"",INDEX('Cartes API'!$J:$J,MATCH($B138,'Cartes API'!$A:$A,0))&amp;INDEX('Cartes API'!$B:$B,MATCH($B138,'Cartes API'!$A:$A,0))&amp;"."&amp;INDEX('Cartes API'!$C:$C,MATCH($B138,'Cartes API'!$A:$A,0))&amp;"."&amp;$C138),"")</f>
        <v/>
      </c>
      <c r="G138" s="23" t="str">
        <f aca="false">IFERROR(IF($B138="","",INDEX('Cartes API'!$H:$H,MATCH($B138,'Cartes API'!$A:$A,0))),"")</f>
        <v/>
      </c>
      <c r="H138" s="4"/>
      <c r="I138" s="23" t="str">
        <f aca="false">IF(OR($G138="",$H138=""),"",$G138&amp;"["&amp;$H138&amp;"]")</f>
        <v/>
      </c>
      <c r="J138" s="23" t="str">
        <f aca="false">IFERROR(INDEX(Cablage!$A:$A,MATCH($I138,Cablage!$F:$F,0)),"")</f>
        <v/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customFormat="false" ht="15" hidden="false" customHeight="true" outlineLevel="0" collapsed="false">
      <c r="A139" s="22"/>
      <c r="B139" s="22"/>
      <c r="C139" s="4"/>
      <c r="D139" s="4"/>
      <c r="E139" s="4"/>
      <c r="F139" s="23" t="str">
        <f aca="false">IFERROR(IF(OR($B139="",$C139=""),"",INDEX('Cartes API'!$J:$J,MATCH($B139,'Cartes API'!$A:$A,0))&amp;INDEX('Cartes API'!$B:$B,MATCH($B139,'Cartes API'!$A:$A,0))&amp;"."&amp;INDEX('Cartes API'!$C:$C,MATCH($B139,'Cartes API'!$A:$A,0))&amp;"."&amp;$C139),"")</f>
        <v/>
      </c>
      <c r="G139" s="23" t="str">
        <f aca="false">IFERROR(IF($B139="","",INDEX('Cartes API'!$H:$H,MATCH($B139,'Cartes API'!$A:$A,0))),"")</f>
        <v/>
      </c>
      <c r="H139" s="4"/>
      <c r="I139" s="23" t="str">
        <f aca="false">IF(OR($G139="",$H139=""),"",$G139&amp;"["&amp;$H139&amp;"]")</f>
        <v/>
      </c>
      <c r="J139" s="23" t="str">
        <f aca="false">IFERROR(INDEX(Cablage!$A:$A,MATCH($I139,Cablage!$F:$F,0)),"")</f>
        <v/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customFormat="false" ht="15" hidden="false" customHeight="true" outlineLevel="0" collapsed="false">
      <c r="A140" s="22"/>
      <c r="B140" s="22"/>
      <c r="C140" s="4"/>
      <c r="D140" s="4"/>
      <c r="E140" s="4"/>
      <c r="F140" s="23" t="str">
        <f aca="false">IFERROR(IF(OR($B140="",$C140=""),"",INDEX('Cartes API'!$J:$J,MATCH($B140,'Cartes API'!$A:$A,0))&amp;INDEX('Cartes API'!$B:$B,MATCH($B140,'Cartes API'!$A:$A,0))&amp;"."&amp;INDEX('Cartes API'!$C:$C,MATCH($B140,'Cartes API'!$A:$A,0))&amp;"."&amp;$C140),"")</f>
        <v/>
      </c>
      <c r="G140" s="23" t="str">
        <f aca="false">IFERROR(IF($B140="","",INDEX('Cartes API'!$H:$H,MATCH($B140,'Cartes API'!$A:$A,0))),"")</f>
        <v/>
      </c>
      <c r="H140" s="4"/>
      <c r="I140" s="23" t="str">
        <f aca="false">IF(OR($G140="",$H140=""),"",$G140&amp;"["&amp;$H140&amp;"]")</f>
        <v/>
      </c>
      <c r="J140" s="23" t="str">
        <f aca="false">IFERROR(INDEX(Cablage!$A:$A,MATCH($I140,Cablage!$F:$F,0)),"")</f>
        <v/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customFormat="false" ht="15" hidden="false" customHeight="true" outlineLevel="0" collapsed="false">
      <c r="A141" s="22"/>
      <c r="B141" s="22"/>
      <c r="C141" s="4"/>
      <c r="D141" s="4"/>
      <c r="E141" s="4"/>
      <c r="F141" s="23" t="str">
        <f aca="false">IFERROR(IF(OR($B141="",$C141=""),"",INDEX('Cartes API'!$J:$J,MATCH($B141,'Cartes API'!$A:$A,0))&amp;INDEX('Cartes API'!$B:$B,MATCH($B141,'Cartes API'!$A:$A,0))&amp;"."&amp;INDEX('Cartes API'!$C:$C,MATCH($B141,'Cartes API'!$A:$A,0))&amp;"."&amp;$C141),"")</f>
        <v/>
      </c>
      <c r="G141" s="23" t="str">
        <f aca="false">IFERROR(IF($B141="","",INDEX('Cartes API'!$H:$H,MATCH($B141,'Cartes API'!$A:$A,0))),"")</f>
        <v/>
      </c>
      <c r="H141" s="4"/>
      <c r="I141" s="23" t="str">
        <f aca="false">IF(OR($G141="",$H141=""),"",$G141&amp;"["&amp;$H141&amp;"]")</f>
        <v/>
      </c>
      <c r="J141" s="23" t="str">
        <f aca="false">IFERROR(INDEX(Cablage!$A:$A,MATCH($I141,Cablage!$F:$F,0)),"")</f>
        <v/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customFormat="false" ht="15" hidden="false" customHeight="true" outlineLevel="0" collapsed="false">
      <c r="A142" s="22"/>
      <c r="B142" s="22"/>
      <c r="C142" s="4"/>
      <c r="D142" s="4"/>
      <c r="E142" s="4"/>
      <c r="F142" s="23" t="str">
        <f aca="false">IFERROR(IF(OR($B142="",$C142=""),"",INDEX('Cartes API'!$J:$J,MATCH($B142,'Cartes API'!$A:$A,0))&amp;INDEX('Cartes API'!$B:$B,MATCH($B142,'Cartes API'!$A:$A,0))&amp;"."&amp;INDEX('Cartes API'!$C:$C,MATCH($B142,'Cartes API'!$A:$A,0))&amp;"."&amp;$C142),"")</f>
        <v/>
      </c>
      <c r="G142" s="23" t="str">
        <f aca="false">IFERROR(IF($B142="","",INDEX('Cartes API'!$H:$H,MATCH($B142,'Cartes API'!$A:$A,0))),"")</f>
        <v/>
      </c>
      <c r="H142" s="4"/>
      <c r="I142" s="23" t="str">
        <f aca="false">IF(OR($G142="",$H142=""),"",$G142&amp;"["&amp;$H142&amp;"]")</f>
        <v/>
      </c>
      <c r="J142" s="23" t="str">
        <f aca="false">IFERROR(INDEX(Cablage!$A:$A,MATCH($I142,Cablage!$F:$F,0)),"")</f>
        <v/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customFormat="false" ht="15" hidden="false" customHeight="true" outlineLevel="0" collapsed="false">
      <c r="A143" s="22"/>
      <c r="B143" s="22"/>
      <c r="C143" s="4"/>
      <c r="D143" s="4"/>
      <c r="E143" s="4"/>
      <c r="F143" s="23" t="str">
        <f aca="false">IFERROR(IF(OR($B143="",$C143=""),"",INDEX('Cartes API'!$J:$J,MATCH($B143,'Cartes API'!$A:$A,0))&amp;INDEX('Cartes API'!$B:$B,MATCH($B143,'Cartes API'!$A:$A,0))&amp;"."&amp;INDEX('Cartes API'!$C:$C,MATCH($B143,'Cartes API'!$A:$A,0))&amp;"."&amp;$C143),"")</f>
        <v/>
      </c>
      <c r="G143" s="23" t="str">
        <f aca="false">IFERROR(IF($B143="","",INDEX('Cartes API'!$H:$H,MATCH($B143,'Cartes API'!$A:$A,0))),"")</f>
        <v/>
      </c>
      <c r="H143" s="4"/>
      <c r="I143" s="23" t="str">
        <f aca="false">IF(OR($G143="",$H143=""),"",$G143&amp;"["&amp;$H143&amp;"]")</f>
        <v/>
      </c>
      <c r="J143" s="23" t="str">
        <f aca="false">IFERROR(INDEX(Cablage!$A:$A,MATCH($I143,Cablage!$F:$F,0)),"")</f>
        <v/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customFormat="false" ht="15" hidden="false" customHeight="true" outlineLevel="0" collapsed="false">
      <c r="A144" s="22"/>
      <c r="B144" s="22"/>
      <c r="C144" s="4"/>
      <c r="D144" s="4"/>
      <c r="E144" s="4"/>
      <c r="F144" s="23" t="str">
        <f aca="false">IFERROR(IF(OR($B144="",$C144=""),"",INDEX('Cartes API'!$J:$J,MATCH($B144,'Cartes API'!$A:$A,0))&amp;INDEX('Cartes API'!$B:$B,MATCH($B144,'Cartes API'!$A:$A,0))&amp;"."&amp;INDEX('Cartes API'!$C:$C,MATCH($B144,'Cartes API'!$A:$A,0))&amp;"."&amp;$C144),"")</f>
        <v/>
      </c>
      <c r="G144" s="23" t="str">
        <f aca="false">IFERROR(IF($B144="","",INDEX('Cartes API'!$H:$H,MATCH($B144,'Cartes API'!$A:$A,0))),"")</f>
        <v/>
      </c>
      <c r="H144" s="4"/>
      <c r="I144" s="23" t="str">
        <f aca="false">IF(OR($G144="",$H144=""),"",$G144&amp;"["&amp;$H144&amp;"]")</f>
        <v/>
      </c>
      <c r="J144" s="23" t="str">
        <f aca="false">IFERROR(INDEX(Cablage!$A:$A,MATCH($I144,Cablage!$F:$F,0)),"")</f>
        <v/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customFormat="false" ht="15" hidden="false" customHeight="true" outlineLevel="0" collapsed="false">
      <c r="A145" s="22"/>
      <c r="B145" s="22"/>
      <c r="C145" s="4"/>
      <c r="D145" s="4"/>
      <c r="E145" s="4"/>
      <c r="F145" s="23" t="str">
        <f aca="false">IFERROR(IF(OR($B145="",$C145=""),"",INDEX('Cartes API'!$J:$J,MATCH($B145,'Cartes API'!$A:$A,0))&amp;INDEX('Cartes API'!$B:$B,MATCH($B145,'Cartes API'!$A:$A,0))&amp;"."&amp;INDEX('Cartes API'!$C:$C,MATCH($B145,'Cartes API'!$A:$A,0))&amp;"."&amp;$C145),"")</f>
        <v/>
      </c>
      <c r="G145" s="23" t="str">
        <f aca="false">IFERROR(IF($B145="","",INDEX('Cartes API'!$H:$H,MATCH($B145,'Cartes API'!$A:$A,0))),"")</f>
        <v/>
      </c>
      <c r="H145" s="4"/>
      <c r="I145" s="23" t="str">
        <f aca="false">IF(OR($G145="",$H145=""),"",$G145&amp;"["&amp;$H145&amp;"]")</f>
        <v/>
      </c>
      <c r="J145" s="23" t="str">
        <f aca="false">IFERROR(INDEX(Cablage!$A:$A,MATCH($I145,Cablage!$F:$F,0)),"")</f>
        <v/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customFormat="false" ht="15" hidden="false" customHeight="true" outlineLevel="0" collapsed="false">
      <c r="A146" s="22"/>
      <c r="B146" s="22"/>
      <c r="C146" s="4"/>
      <c r="D146" s="4"/>
      <c r="E146" s="4"/>
      <c r="F146" s="23" t="str">
        <f aca="false">IFERROR(IF(OR($B146="",$C146=""),"",INDEX('Cartes API'!$J:$J,MATCH($B146,'Cartes API'!$A:$A,0))&amp;INDEX('Cartes API'!$B:$B,MATCH($B146,'Cartes API'!$A:$A,0))&amp;"."&amp;INDEX('Cartes API'!$C:$C,MATCH($B146,'Cartes API'!$A:$A,0))&amp;"."&amp;$C146),"")</f>
        <v/>
      </c>
      <c r="G146" s="23" t="str">
        <f aca="false">IFERROR(IF($B146="","",INDEX('Cartes API'!$H:$H,MATCH($B146,'Cartes API'!$A:$A,0))),"")</f>
        <v/>
      </c>
      <c r="H146" s="4"/>
      <c r="I146" s="23" t="str">
        <f aca="false">IF(OR($G146="",$H146=""),"",$G146&amp;"["&amp;$H146&amp;"]")</f>
        <v/>
      </c>
      <c r="J146" s="23" t="str">
        <f aca="false">IFERROR(INDEX(Cablage!$A:$A,MATCH($I146,Cablage!$F:$F,0)),"")</f>
        <v/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customFormat="false" ht="15" hidden="false" customHeight="true" outlineLevel="0" collapsed="false">
      <c r="A147" s="22"/>
      <c r="B147" s="22"/>
      <c r="C147" s="4"/>
      <c r="D147" s="4"/>
      <c r="E147" s="4"/>
      <c r="F147" s="23" t="str">
        <f aca="false">IFERROR(IF(OR($B147="",$C147=""),"",INDEX('Cartes API'!$J:$J,MATCH($B147,'Cartes API'!$A:$A,0))&amp;INDEX('Cartes API'!$B:$B,MATCH($B147,'Cartes API'!$A:$A,0))&amp;"."&amp;INDEX('Cartes API'!$C:$C,MATCH($B147,'Cartes API'!$A:$A,0))&amp;"."&amp;$C147),"")</f>
        <v/>
      </c>
      <c r="G147" s="23" t="str">
        <f aca="false">IFERROR(IF($B147="","",INDEX('Cartes API'!$H:$H,MATCH($B147,'Cartes API'!$A:$A,0))),"")</f>
        <v/>
      </c>
      <c r="H147" s="4"/>
      <c r="I147" s="23" t="str">
        <f aca="false">IF(OR($G147="",$H147=""),"",$G147&amp;"["&amp;$H147&amp;"]")</f>
        <v/>
      </c>
      <c r="J147" s="23" t="str">
        <f aca="false">IFERROR(INDEX(Cablage!$A:$A,MATCH($I147,Cablage!$F:$F,0)),"")</f>
        <v/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customFormat="false" ht="15" hidden="false" customHeight="true" outlineLevel="0" collapsed="false">
      <c r="A148" s="22"/>
      <c r="B148" s="22"/>
      <c r="C148" s="4"/>
      <c r="D148" s="4"/>
      <c r="E148" s="4"/>
      <c r="F148" s="23" t="str">
        <f aca="false">IFERROR(IF(OR($B148="",$C148=""),"",INDEX('Cartes API'!$J:$J,MATCH($B148,'Cartes API'!$A:$A,0))&amp;INDEX('Cartes API'!$B:$B,MATCH($B148,'Cartes API'!$A:$A,0))&amp;"."&amp;INDEX('Cartes API'!$C:$C,MATCH($B148,'Cartes API'!$A:$A,0))&amp;"."&amp;$C148),"")</f>
        <v/>
      </c>
      <c r="G148" s="23" t="str">
        <f aca="false">IFERROR(IF($B148="","",INDEX('Cartes API'!$H:$H,MATCH($B148,'Cartes API'!$A:$A,0))),"")</f>
        <v/>
      </c>
      <c r="H148" s="4"/>
      <c r="I148" s="23" t="str">
        <f aca="false">IF(OR($G148="",$H148=""),"",$G148&amp;"["&amp;$H148&amp;"]")</f>
        <v/>
      </c>
      <c r="J148" s="23" t="str">
        <f aca="false">IFERROR(INDEX(Cablage!$A:$A,MATCH($I148,Cablage!$F:$F,0)),"")</f>
        <v/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customFormat="false" ht="15" hidden="false" customHeight="true" outlineLevel="0" collapsed="false">
      <c r="A149" s="22"/>
      <c r="B149" s="22"/>
      <c r="C149" s="4"/>
      <c r="D149" s="4"/>
      <c r="E149" s="4"/>
      <c r="F149" s="23" t="str">
        <f aca="false">IFERROR(IF(OR($B149="",$C149=""),"",INDEX('Cartes API'!$J:$J,MATCH($B149,'Cartes API'!$A:$A,0))&amp;INDEX('Cartes API'!$B:$B,MATCH($B149,'Cartes API'!$A:$A,0))&amp;"."&amp;INDEX('Cartes API'!$C:$C,MATCH($B149,'Cartes API'!$A:$A,0))&amp;"."&amp;$C149),"")</f>
        <v/>
      </c>
      <c r="G149" s="23" t="str">
        <f aca="false">IFERROR(IF($B149="","",INDEX('Cartes API'!$H:$H,MATCH($B149,'Cartes API'!$A:$A,0))),"")</f>
        <v/>
      </c>
      <c r="H149" s="4"/>
      <c r="I149" s="23" t="str">
        <f aca="false">IF(OR($G149="",$H149=""),"",$G149&amp;"["&amp;$H149&amp;"]")</f>
        <v/>
      </c>
      <c r="J149" s="23" t="str">
        <f aca="false">IFERROR(INDEX(Cablage!$A:$A,MATCH($I149,Cablage!$F:$F,0)),"")</f>
        <v/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customFormat="false" ht="15" hidden="false" customHeight="true" outlineLevel="0" collapsed="false">
      <c r="A150" s="22"/>
      <c r="B150" s="22"/>
      <c r="C150" s="4"/>
      <c r="D150" s="4"/>
      <c r="E150" s="4"/>
      <c r="F150" s="23" t="str">
        <f aca="false">IFERROR(IF(OR($B150="",$C150=""),"",INDEX('Cartes API'!$J:$J,MATCH($B150,'Cartes API'!$A:$A,0))&amp;INDEX('Cartes API'!$B:$B,MATCH($B150,'Cartes API'!$A:$A,0))&amp;"."&amp;INDEX('Cartes API'!$C:$C,MATCH($B150,'Cartes API'!$A:$A,0))&amp;"."&amp;$C150),"")</f>
        <v/>
      </c>
      <c r="G150" s="23" t="str">
        <f aca="false">IFERROR(IF($B150="","",INDEX('Cartes API'!$H:$H,MATCH($B150,'Cartes API'!$A:$A,0))),"")</f>
        <v/>
      </c>
      <c r="H150" s="4"/>
      <c r="I150" s="23" t="str">
        <f aca="false">IF(OR($G150="",$H150=""),"",$G150&amp;"["&amp;$H150&amp;"]")</f>
        <v/>
      </c>
      <c r="J150" s="23" t="str">
        <f aca="false">IFERROR(INDEX(Cablage!$A:$A,MATCH($I150,Cablage!$F:$F,0)),"")</f>
        <v/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customFormat="false" ht="15" hidden="false" customHeight="true" outlineLevel="0" collapsed="false">
      <c r="A151" s="22"/>
      <c r="B151" s="22"/>
      <c r="C151" s="4"/>
      <c r="D151" s="4"/>
      <c r="E151" s="4"/>
      <c r="F151" s="23" t="str">
        <f aca="false">IFERROR(IF(OR($B151="",$C151=""),"",INDEX('Cartes API'!$J:$J,MATCH($B151,'Cartes API'!$A:$A,0))&amp;INDEX('Cartes API'!$B:$B,MATCH($B151,'Cartes API'!$A:$A,0))&amp;"."&amp;INDEX('Cartes API'!$C:$C,MATCH($B151,'Cartes API'!$A:$A,0))&amp;"."&amp;$C151),"")</f>
        <v/>
      </c>
      <c r="G151" s="23" t="str">
        <f aca="false">IFERROR(IF($B151="","",INDEX('Cartes API'!$H:$H,MATCH($B151,'Cartes API'!$A:$A,0))),"")</f>
        <v/>
      </c>
      <c r="H151" s="4"/>
      <c r="I151" s="23" t="str">
        <f aca="false">IF(OR($G151="",$H151=""),"",$G151&amp;"["&amp;$H151&amp;"]")</f>
        <v/>
      </c>
      <c r="J151" s="23" t="str">
        <f aca="false">IFERROR(INDEX(Cablage!$A:$A,MATCH($I151,Cablage!$F:$F,0)),"")</f>
        <v/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customFormat="false" ht="15" hidden="false" customHeight="true" outlineLevel="0" collapsed="false">
      <c r="A152" s="22"/>
      <c r="B152" s="22"/>
      <c r="C152" s="4"/>
      <c r="D152" s="4"/>
      <c r="E152" s="4"/>
      <c r="F152" s="23" t="str">
        <f aca="false">IFERROR(IF(OR($B152="",$C152=""),"",INDEX('Cartes API'!$J:$J,MATCH($B152,'Cartes API'!$A:$A,0))&amp;INDEX('Cartes API'!$B:$B,MATCH($B152,'Cartes API'!$A:$A,0))&amp;"."&amp;INDEX('Cartes API'!$C:$C,MATCH($B152,'Cartes API'!$A:$A,0))&amp;"."&amp;$C152),"")</f>
        <v/>
      </c>
      <c r="G152" s="23" t="str">
        <f aca="false">IFERROR(IF($B152="","",INDEX('Cartes API'!$H:$H,MATCH($B152,'Cartes API'!$A:$A,0))),"")</f>
        <v/>
      </c>
      <c r="H152" s="4"/>
      <c r="I152" s="23" t="str">
        <f aca="false">IF(OR($G152="",$H152=""),"",$G152&amp;"["&amp;$H152&amp;"]")</f>
        <v/>
      </c>
      <c r="J152" s="23" t="str">
        <f aca="false">IFERROR(INDEX(Cablage!$A:$A,MATCH($I152,Cablage!$F:$F,0)),"")</f>
        <v/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customFormat="false" ht="15" hidden="false" customHeight="true" outlineLevel="0" collapsed="false">
      <c r="A153" s="22"/>
      <c r="B153" s="22"/>
      <c r="C153" s="4"/>
      <c r="D153" s="4"/>
      <c r="E153" s="4"/>
      <c r="F153" s="23" t="str">
        <f aca="false">IFERROR(IF(OR($B153="",$C153=""),"",INDEX('Cartes API'!$J:$J,MATCH($B153,'Cartes API'!$A:$A,0))&amp;INDEX('Cartes API'!$B:$B,MATCH($B153,'Cartes API'!$A:$A,0))&amp;"."&amp;INDEX('Cartes API'!$C:$C,MATCH($B153,'Cartes API'!$A:$A,0))&amp;"."&amp;$C153),"")</f>
        <v/>
      </c>
      <c r="G153" s="23" t="str">
        <f aca="false">IFERROR(IF($B153="","",INDEX('Cartes API'!$H:$H,MATCH($B153,'Cartes API'!$A:$A,0))),"")</f>
        <v/>
      </c>
      <c r="H153" s="4"/>
      <c r="I153" s="23" t="str">
        <f aca="false">IF(OR($G153="",$H153=""),"",$G153&amp;"["&amp;$H153&amp;"]")</f>
        <v/>
      </c>
      <c r="J153" s="23" t="str">
        <f aca="false">IFERROR(INDEX(Cablage!$A:$A,MATCH($I153,Cablage!$F:$F,0)),"")</f>
        <v/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customFormat="false" ht="15" hidden="false" customHeight="true" outlineLevel="0" collapsed="false">
      <c r="A154" s="22"/>
      <c r="B154" s="22"/>
      <c r="C154" s="4"/>
      <c r="D154" s="4"/>
      <c r="E154" s="4"/>
      <c r="F154" s="23" t="str">
        <f aca="false">IFERROR(IF(OR($B154="",$C154=""),"",INDEX('Cartes API'!$J:$J,MATCH($B154,'Cartes API'!$A:$A,0))&amp;INDEX('Cartes API'!$B:$B,MATCH($B154,'Cartes API'!$A:$A,0))&amp;"."&amp;INDEX('Cartes API'!$C:$C,MATCH($B154,'Cartes API'!$A:$A,0))&amp;"."&amp;$C154),"")</f>
        <v/>
      </c>
      <c r="G154" s="23" t="str">
        <f aca="false">IFERROR(IF($B154="","",INDEX('Cartes API'!$H:$H,MATCH($B154,'Cartes API'!$A:$A,0))),"")</f>
        <v/>
      </c>
      <c r="H154" s="4"/>
      <c r="I154" s="23" t="str">
        <f aca="false">IF(OR($G154="",$H154=""),"",$G154&amp;"["&amp;$H154&amp;"]")</f>
        <v/>
      </c>
      <c r="J154" s="23" t="str">
        <f aca="false">IFERROR(INDEX(Cablage!$A:$A,MATCH($I154,Cablage!$F:$F,0)),"")</f>
        <v/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customFormat="false" ht="15" hidden="false" customHeight="true" outlineLevel="0" collapsed="false">
      <c r="A155" s="22"/>
      <c r="B155" s="22"/>
      <c r="C155" s="4"/>
      <c r="D155" s="4"/>
      <c r="E155" s="4"/>
      <c r="F155" s="23" t="str">
        <f aca="false">IFERROR(IF(OR($B155="",$C155=""),"",INDEX('Cartes API'!$J:$J,MATCH($B155,'Cartes API'!$A:$A,0))&amp;INDEX('Cartes API'!$B:$B,MATCH($B155,'Cartes API'!$A:$A,0))&amp;"."&amp;INDEX('Cartes API'!$C:$C,MATCH($B155,'Cartes API'!$A:$A,0))&amp;"."&amp;$C155),"")</f>
        <v/>
      </c>
      <c r="G155" s="23" t="str">
        <f aca="false">IFERROR(IF($B155="","",INDEX('Cartes API'!$H:$H,MATCH($B155,'Cartes API'!$A:$A,0))),"")</f>
        <v/>
      </c>
      <c r="H155" s="4"/>
      <c r="I155" s="23" t="str">
        <f aca="false">IF(OR($G155="",$H155=""),"",$G155&amp;"["&amp;$H155&amp;"]")</f>
        <v/>
      </c>
      <c r="J155" s="23" t="str">
        <f aca="false">IFERROR(INDEX(Cablage!$A:$A,MATCH($I155,Cablage!$F:$F,0)),"")</f>
        <v/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customFormat="false" ht="15" hidden="false" customHeight="true" outlineLevel="0" collapsed="false">
      <c r="A156" s="22"/>
      <c r="B156" s="22"/>
      <c r="C156" s="4"/>
      <c r="D156" s="4"/>
      <c r="E156" s="4"/>
      <c r="F156" s="23" t="str">
        <f aca="false">IFERROR(IF(OR($B156="",$C156=""),"",INDEX('Cartes API'!$J:$J,MATCH($B156,'Cartes API'!$A:$A,0))&amp;INDEX('Cartes API'!$B:$B,MATCH($B156,'Cartes API'!$A:$A,0))&amp;"."&amp;INDEX('Cartes API'!$C:$C,MATCH($B156,'Cartes API'!$A:$A,0))&amp;"."&amp;$C156),"")</f>
        <v/>
      </c>
      <c r="G156" s="23" t="str">
        <f aca="false">IFERROR(IF($B156="","",INDEX('Cartes API'!$H:$H,MATCH($B156,'Cartes API'!$A:$A,0))),"")</f>
        <v/>
      </c>
      <c r="H156" s="4"/>
      <c r="I156" s="23" t="str">
        <f aca="false">IF(OR($G156="",$H156=""),"",$G156&amp;"["&amp;$H156&amp;"]")</f>
        <v/>
      </c>
      <c r="J156" s="23" t="str">
        <f aca="false">IFERROR(INDEX(Cablage!$A:$A,MATCH($I156,Cablage!$F:$F,0)),"")</f>
        <v/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customFormat="false" ht="15" hidden="false" customHeight="true" outlineLevel="0" collapsed="false">
      <c r="A157" s="22"/>
      <c r="B157" s="22"/>
      <c r="C157" s="4"/>
      <c r="D157" s="4"/>
      <c r="E157" s="4"/>
      <c r="F157" s="23" t="str">
        <f aca="false">IFERROR(IF(OR($B157="",$C157=""),"",INDEX('Cartes API'!$J:$J,MATCH($B157,'Cartes API'!$A:$A,0))&amp;INDEX('Cartes API'!$B:$B,MATCH($B157,'Cartes API'!$A:$A,0))&amp;"."&amp;INDEX('Cartes API'!$C:$C,MATCH($B157,'Cartes API'!$A:$A,0))&amp;"."&amp;$C157),"")</f>
        <v/>
      </c>
      <c r="G157" s="23" t="str">
        <f aca="false">IFERROR(IF($B157="","",INDEX('Cartes API'!$H:$H,MATCH($B157,'Cartes API'!$A:$A,0))),"")</f>
        <v/>
      </c>
      <c r="H157" s="4"/>
      <c r="I157" s="23" t="str">
        <f aca="false">IF(OR($G157="",$H157=""),"",$G157&amp;"["&amp;$H157&amp;"]")</f>
        <v/>
      </c>
      <c r="J157" s="23" t="str">
        <f aca="false">IFERROR(INDEX(Cablage!$A:$A,MATCH($I157,Cablage!$F:$F,0)),"")</f>
        <v/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customFormat="false" ht="15" hidden="false" customHeight="true" outlineLevel="0" collapsed="false">
      <c r="A158" s="22"/>
      <c r="B158" s="22"/>
      <c r="C158" s="4"/>
      <c r="D158" s="4"/>
      <c r="E158" s="4"/>
      <c r="F158" s="23" t="str">
        <f aca="false">IFERROR(IF(OR($B158="",$C158=""),"",INDEX('Cartes API'!$J:$J,MATCH($B158,'Cartes API'!$A:$A,0))&amp;INDEX('Cartes API'!$B:$B,MATCH($B158,'Cartes API'!$A:$A,0))&amp;"."&amp;INDEX('Cartes API'!$C:$C,MATCH($B158,'Cartes API'!$A:$A,0))&amp;"."&amp;$C158),"")</f>
        <v/>
      </c>
      <c r="G158" s="23" t="str">
        <f aca="false">IFERROR(IF($B158="","",INDEX('Cartes API'!$H:$H,MATCH($B158,'Cartes API'!$A:$A,0))),"")</f>
        <v/>
      </c>
      <c r="H158" s="4"/>
      <c r="I158" s="23" t="str">
        <f aca="false">IF(OR($G158="",$H158=""),"",$G158&amp;"["&amp;$H158&amp;"]")</f>
        <v/>
      </c>
      <c r="J158" s="23" t="str">
        <f aca="false">IFERROR(INDEX(Cablage!$A:$A,MATCH($I158,Cablage!$F:$F,0)),"")</f>
        <v/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customFormat="false" ht="15" hidden="false" customHeight="true" outlineLevel="0" collapsed="false">
      <c r="A159" s="22"/>
      <c r="B159" s="22"/>
      <c r="C159" s="4"/>
      <c r="D159" s="4"/>
      <c r="E159" s="4"/>
      <c r="F159" s="23" t="str">
        <f aca="false">IFERROR(IF(OR($B159="",$C159=""),"",INDEX('Cartes API'!$J:$J,MATCH($B159,'Cartes API'!$A:$A,0))&amp;INDEX('Cartes API'!$B:$B,MATCH($B159,'Cartes API'!$A:$A,0))&amp;"."&amp;INDEX('Cartes API'!$C:$C,MATCH($B159,'Cartes API'!$A:$A,0))&amp;"."&amp;$C159),"")</f>
        <v/>
      </c>
      <c r="G159" s="23" t="str">
        <f aca="false">IFERROR(IF($B159="","",INDEX('Cartes API'!$H:$H,MATCH($B159,'Cartes API'!$A:$A,0))),"")</f>
        <v/>
      </c>
      <c r="H159" s="4"/>
      <c r="I159" s="23" t="str">
        <f aca="false">IF(OR($G159="",$H159=""),"",$G159&amp;"["&amp;$H159&amp;"]")</f>
        <v/>
      </c>
      <c r="J159" s="23" t="str">
        <f aca="false">IFERROR(INDEX(Cablage!$A:$A,MATCH($I159,Cablage!$F:$F,0)),"")</f>
        <v/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customFormat="false" ht="15" hidden="false" customHeight="true" outlineLevel="0" collapsed="false">
      <c r="A160" s="22"/>
      <c r="B160" s="22"/>
      <c r="C160" s="4"/>
      <c r="D160" s="4"/>
      <c r="E160" s="4"/>
      <c r="F160" s="23" t="str">
        <f aca="false">IFERROR(IF(OR($B160="",$C160=""),"",INDEX('Cartes API'!$J:$J,MATCH($B160,'Cartes API'!$A:$A,0))&amp;INDEX('Cartes API'!$B:$B,MATCH($B160,'Cartes API'!$A:$A,0))&amp;"."&amp;INDEX('Cartes API'!$C:$C,MATCH($B160,'Cartes API'!$A:$A,0))&amp;"."&amp;$C160),"")</f>
        <v/>
      </c>
      <c r="G160" s="23" t="str">
        <f aca="false">IFERROR(IF($B160="","",INDEX('Cartes API'!$H:$H,MATCH($B160,'Cartes API'!$A:$A,0))),"")</f>
        <v/>
      </c>
      <c r="H160" s="4"/>
      <c r="I160" s="23" t="str">
        <f aca="false">IF(OR($G160="",$H160=""),"",$G160&amp;"["&amp;$H160&amp;"]")</f>
        <v/>
      </c>
      <c r="J160" s="23" t="str">
        <f aca="false">IFERROR(INDEX(Cablage!$A:$A,MATCH($I160,Cablage!$F:$F,0)),"")</f>
        <v/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customFormat="false" ht="15" hidden="false" customHeight="true" outlineLevel="0" collapsed="false">
      <c r="A161" s="22"/>
      <c r="B161" s="22"/>
      <c r="C161" s="4"/>
      <c r="D161" s="4"/>
      <c r="E161" s="4"/>
      <c r="F161" s="23" t="str">
        <f aca="false">IFERROR(IF(OR($B161="",$C161=""),"",INDEX('Cartes API'!$J:$J,MATCH($B161,'Cartes API'!$A:$A,0))&amp;INDEX('Cartes API'!$B:$B,MATCH($B161,'Cartes API'!$A:$A,0))&amp;"."&amp;INDEX('Cartes API'!$C:$C,MATCH($B161,'Cartes API'!$A:$A,0))&amp;"."&amp;$C161),"")</f>
        <v/>
      </c>
      <c r="G161" s="23" t="str">
        <f aca="false">IFERROR(IF($B161="","",INDEX('Cartes API'!$H:$H,MATCH($B161,'Cartes API'!$A:$A,0))),"")</f>
        <v/>
      </c>
      <c r="H161" s="4"/>
      <c r="I161" s="23" t="str">
        <f aca="false">IF(OR($G161="",$H161=""),"",$G161&amp;"["&amp;$H161&amp;"]")</f>
        <v/>
      </c>
      <c r="J161" s="23" t="str">
        <f aca="false">IFERROR(INDEX(Cablage!$A:$A,MATCH($I161,Cablage!$F:$F,0)),"")</f>
        <v/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customFormat="false" ht="15" hidden="false" customHeight="true" outlineLevel="0" collapsed="false">
      <c r="A162" s="22"/>
      <c r="B162" s="22"/>
      <c r="C162" s="4"/>
      <c r="D162" s="4"/>
      <c r="E162" s="4"/>
      <c r="F162" s="23" t="str">
        <f aca="false">IFERROR(IF(OR($B162="",$C162=""),"",INDEX('Cartes API'!$J:$J,MATCH($B162,'Cartes API'!$A:$A,0))&amp;INDEX('Cartes API'!$B:$B,MATCH($B162,'Cartes API'!$A:$A,0))&amp;"."&amp;INDEX('Cartes API'!$C:$C,MATCH($B162,'Cartes API'!$A:$A,0))&amp;"."&amp;$C162),"")</f>
        <v/>
      </c>
      <c r="G162" s="23" t="str">
        <f aca="false">IFERROR(IF($B162="","",INDEX('Cartes API'!$H:$H,MATCH($B162,'Cartes API'!$A:$A,0))),"")</f>
        <v/>
      </c>
      <c r="H162" s="4"/>
      <c r="I162" s="23" t="str">
        <f aca="false">IF(OR($G162="",$H162=""),"",$G162&amp;"["&amp;$H162&amp;"]")</f>
        <v/>
      </c>
      <c r="J162" s="23" t="str">
        <f aca="false">IFERROR(INDEX(Cablage!$A:$A,MATCH($I162,Cablage!$F:$F,0)),"")</f>
        <v/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customFormat="false" ht="15" hidden="false" customHeight="true" outlineLevel="0" collapsed="false">
      <c r="A163" s="22"/>
      <c r="B163" s="22"/>
      <c r="C163" s="4"/>
      <c r="D163" s="4"/>
      <c r="E163" s="4"/>
      <c r="F163" s="23" t="str">
        <f aca="false">IFERROR(IF(OR($B163="",$C163=""),"",INDEX('Cartes API'!$J:$J,MATCH($B163,'Cartes API'!$A:$A,0))&amp;INDEX('Cartes API'!$B:$B,MATCH($B163,'Cartes API'!$A:$A,0))&amp;"."&amp;INDEX('Cartes API'!$C:$C,MATCH($B163,'Cartes API'!$A:$A,0))&amp;"."&amp;$C163),"")</f>
        <v/>
      </c>
      <c r="G163" s="23" t="str">
        <f aca="false">IFERROR(IF($B163="","",INDEX('Cartes API'!$H:$H,MATCH($B163,'Cartes API'!$A:$A,0))),"")</f>
        <v/>
      </c>
      <c r="H163" s="4"/>
      <c r="I163" s="23" t="str">
        <f aca="false">IF(OR($G163="",$H163=""),"",$G163&amp;"["&amp;$H163&amp;"]")</f>
        <v/>
      </c>
      <c r="J163" s="23" t="str">
        <f aca="false">IFERROR(INDEX(Cablage!$A:$A,MATCH($I163,Cablage!$F:$F,0)),"")</f>
        <v/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customFormat="false" ht="15" hidden="false" customHeight="true" outlineLevel="0" collapsed="false">
      <c r="A164" s="22"/>
      <c r="B164" s="22"/>
      <c r="C164" s="4"/>
      <c r="D164" s="4"/>
      <c r="E164" s="4"/>
      <c r="F164" s="23" t="str">
        <f aca="false">IFERROR(IF(OR($B164="",$C164=""),"",INDEX('Cartes API'!$J:$J,MATCH($B164,'Cartes API'!$A:$A,0))&amp;INDEX('Cartes API'!$B:$B,MATCH($B164,'Cartes API'!$A:$A,0))&amp;"."&amp;INDEX('Cartes API'!$C:$C,MATCH($B164,'Cartes API'!$A:$A,0))&amp;"."&amp;$C164),"")</f>
        <v/>
      </c>
      <c r="G164" s="23" t="str">
        <f aca="false">IFERROR(IF($B164="","",INDEX('Cartes API'!$H:$H,MATCH($B164,'Cartes API'!$A:$A,0))),"")</f>
        <v/>
      </c>
      <c r="H164" s="4"/>
      <c r="I164" s="23" t="str">
        <f aca="false">IF(OR($G164="",$H164=""),"",$G164&amp;"["&amp;$H164&amp;"]")</f>
        <v/>
      </c>
      <c r="J164" s="23" t="str">
        <f aca="false">IFERROR(INDEX(Cablage!$A:$A,MATCH($I164,Cablage!$F:$F,0)),"")</f>
        <v/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customFormat="false" ht="15" hidden="false" customHeight="true" outlineLevel="0" collapsed="false">
      <c r="A165" s="22"/>
      <c r="B165" s="22"/>
      <c r="C165" s="4"/>
      <c r="D165" s="4"/>
      <c r="E165" s="4"/>
      <c r="F165" s="23" t="str">
        <f aca="false">IFERROR(IF(OR($B165="",$C165=""),"",INDEX('Cartes API'!$J:$J,MATCH($B165,'Cartes API'!$A:$A,0))&amp;INDEX('Cartes API'!$B:$B,MATCH($B165,'Cartes API'!$A:$A,0))&amp;"."&amp;INDEX('Cartes API'!$C:$C,MATCH($B165,'Cartes API'!$A:$A,0))&amp;"."&amp;$C165),"")</f>
        <v/>
      </c>
      <c r="G165" s="23" t="str">
        <f aca="false">IFERROR(IF($B165="","",INDEX('Cartes API'!$H:$H,MATCH($B165,'Cartes API'!$A:$A,0))),"")</f>
        <v/>
      </c>
      <c r="H165" s="4"/>
      <c r="I165" s="23" t="str">
        <f aca="false">IF(OR($G165="",$H165=""),"",$G165&amp;"["&amp;$H165&amp;"]")</f>
        <v/>
      </c>
      <c r="J165" s="23" t="str">
        <f aca="false">IFERROR(INDEX(Cablage!$A:$A,MATCH($I165,Cablage!$F:$F,0)),"")</f>
        <v/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customFormat="false" ht="15" hidden="false" customHeight="true" outlineLevel="0" collapsed="false">
      <c r="A166" s="22"/>
      <c r="B166" s="22"/>
      <c r="C166" s="4"/>
      <c r="D166" s="4"/>
      <c r="E166" s="4"/>
      <c r="F166" s="23" t="str">
        <f aca="false">IFERROR(IF(OR($B166="",$C166=""),"",INDEX('Cartes API'!$J:$J,MATCH($B166,'Cartes API'!$A:$A,0))&amp;INDEX('Cartes API'!$B:$B,MATCH($B166,'Cartes API'!$A:$A,0))&amp;"."&amp;INDEX('Cartes API'!$C:$C,MATCH($B166,'Cartes API'!$A:$A,0))&amp;"."&amp;$C166),"")</f>
        <v/>
      </c>
      <c r="G166" s="23" t="str">
        <f aca="false">IFERROR(IF($B166="","",INDEX('Cartes API'!$H:$H,MATCH($B166,'Cartes API'!$A:$A,0))),"")</f>
        <v/>
      </c>
      <c r="H166" s="4"/>
      <c r="I166" s="23" t="str">
        <f aca="false">IF(OR($G166="",$H166=""),"",$G166&amp;"["&amp;$H166&amp;"]")</f>
        <v/>
      </c>
      <c r="J166" s="23" t="str">
        <f aca="false">IFERROR(INDEX(Cablage!$A:$A,MATCH($I166,Cablage!$F:$F,0)),"")</f>
        <v/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customFormat="false" ht="15" hidden="false" customHeight="true" outlineLevel="0" collapsed="false">
      <c r="A167" s="22"/>
      <c r="B167" s="22"/>
      <c r="C167" s="4"/>
      <c r="D167" s="4"/>
      <c r="E167" s="4"/>
      <c r="F167" s="23" t="str">
        <f aca="false">IFERROR(IF(OR($B167="",$C167=""),"",INDEX('Cartes API'!$J:$J,MATCH($B167,'Cartes API'!$A:$A,0))&amp;INDEX('Cartes API'!$B:$B,MATCH($B167,'Cartes API'!$A:$A,0))&amp;"."&amp;INDEX('Cartes API'!$C:$C,MATCH($B167,'Cartes API'!$A:$A,0))&amp;"."&amp;$C167),"")</f>
        <v/>
      </c>
      <c r="G167" s="23" t="str">
        <f aca="false">IFERROR(IF($B167="","",INDEX('Cartes API'!$H:$H,MATCH($B167,'Cartes API'!$A:$A,0))),"")</f>
        <v/>
      </c>
      <c r="H167" s="4"/>
      <c r="I167" s="23" t="str">
        <f aca="false">IF(OR($G167="",$H167=""),"",$G167&amp;"["&amp;$H167&amp;"]")</f>
        <v/>
      </c>
      <c r="J167" s="23" t="str">
        <f aca="false">IFERROR(INDEX(Cablage!$A:$A,MATCH($I167,Cablage!$F:$F,0)),"")</f>
        <v/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customFormat="false" ht="15" hidden="false" customHeight="true" outlineLevel="0" collapsed="false">
      <c r="A168" s="22"/>
      <c r="B168" s="22"/>
      <c r="C168" s="4"/>
      <c r="D168" s="4"/>
      <c r="E168" s="4"/>
      <c r="F168" s="23" t="str">
        <f aca="false">IFERROR(IF(OR($B168="",$C168=""),"",INDEX('Cartes API'!$J:$J,MATCH($B168,'Cartes API'!$A:$A,0))&amp;INDEX('Cartes API'!$B:$B,MATCH($B168,'Cartes API'!$A:$A,0))&amp;"."&amp;INDEX('Cartes API'!$C:$C,MATCH($B168,'Cartes API'!$A:$A,0))&amp;"."&amp;$C168),"")</f>
        <v/>
      </c>
      <c r="G168" s="23" t="str">
        <f aca="false">IFERROR(IF($B168="","",INDEX('Cartes API'!$H:$H,MATCH($B168,'Cartes API'!$A:$A,0))),"")</f>
        <v/>
      </c>
      <c r="H168" s="4"/>
      <c r="I168" s="23" t="str">
        <f aca="false">IF(OR($G168="",$H168=""),"",$G168&amp;"["&amp;$H168&amp;"]")</f>
        <v/>
      </c>
      <c r="J168" s="23" t="str">
        <f aca="false">IFERROR(INDEX(Cablage!$A:$A,MATCH($I168,Cablage!$F:$F,0)),"")</f>
        <v/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customFormat="false" ht="15" hidden="false" customHeight="true" outlineLevel="0" collapsed="false">
      <c r="A169" s="22"/>
      <c r="B169" s="22"/>
      <c r="C169" s="4"/>
      <c r="D169" s="4"/>
      <c r="E169" s="4"/>
      <c r="F169" s="23" t="str">
        <f aca="false">IFERROR(IF(OR($B169="",$C169=""),"",INDEX('Cartes API'!$J:$J,MATCH($B169,'Cartes API'!$A:$A,0))&amp;INDEX('Cartes API'!$B:$B,MATCH($B169,'Cartes API'!$A:$A,0))&amp;"."&amp;INDEX('Cartes API'!$C:$C,MATCH($B169,'Cartes API'!$A:$A,0))&amp;"."&amp;$C169),"")</f>
        <v/>
      </c>
      <c r="G169" s="23" t="str">
        <f aca="false">IFERROR(IF($B169="","",INDEX('Cartes API'!$H:$H,MATCH($B169,'Cartes API'!$A:$A,0))),"")</f>
        <v/>
      </c>
      <c r="H169" s="4"/>
      <c r="I169" s="23" t="str">
        <f aca="false">IF(OR($G169="",$H169=""),"",$G169&amp;"["&amp;$H169&amp;"]")</f>
        <v/>
      </c>
      <c r="J169" s="23" t="str">
        <f aca="false">IFERROR(INDEX(Cablage!$A:$A,MATCH($I169,Cablage!$F:$F,0)),"")</f>
        <v/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customFormat="false" ht="15" hidden="false" customHeight="true" outlineLevel="0" collapsed="false">
      <c r="A170" s="22"/>
      <c r="B170" s="22"/>
      <c r="C170" s="4"/>
      <c r="D170" s="4"/>
      <c r="E170" s="4"/>
      <c r="F170" s="23" t="str">
        <f aca="false">IFERROR(IF(OR($B170="",$C170=""),"",INDEX('Cartes API'!$J:$J,MATCH($B170,'Cartes API'!$A:$A,0))&amp;INDEX('Cartes API'!$B:$B,MATCH($B170,'Cartes API'!$A:$A,0))&amp;"."&amp;INDEX('Cartes API'!$C:$C,MATCH($B170,'Cartes API'!$A:$A,0))&amp;"."&amp;$C170),"")</f>
        <v/>
      </c>
      <c r="G170" s="23" t="str">
        <f aca="false">IFERROR(IF($B170="","",INDEX('Cartes API'!$H:$H,MATCH($B170,'Cartes API'!$A:$A,0))),"")</f>
        <v/>
      </c>
      <c r="H170" s="4"/>
      <c r="I170" s="23" t="str">
        <f aca="false">IF(OR($G170="",$H170=""),"",$G170&amp;"["&amp;$H170&amp;"]")</f>
        <v/>
      </c>
      <c r="J170" s="23" t="str">
        <f aca="false">IFERROR(INDEX(Cablage!$A:$A,MATCH($I170,Cablage!$F:$F,0)),"")</f>
        <v/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customFormat="false" ht="15" hidden="false" customHeight="true" outlineLevel="0" collapsed="false">
      <c r="A171" s="22"/>
      <c r="B171" s="22"/>
      <c r="C171" s="4"/>
      <c r="D171" s="4"/>
      <c r="E171" s="4"/>
      <c r="F171" s="23" t="str">
        <f aca="false">IFERROR(IF(OR($B171="",$C171=""),"",INDEX('Cartes API'!$J:$J,MATCH($B171,'Cartes API'!$A:$A,0))&amp;INDEX('Cartes API'!$B:$B,MATCH($B171,'Cartes API'!$A:$A,0))&amp;"."&amp;INDEX('Cartes API'!$C:$C,MATCH($B171,'Cartes API'!$A:$A,0))&amp;"."&amp;$C171),"")</f>
        <v/>
      </c>
      <c r="G171" s="23" t="str">
        <f aca="false">IFERROR(IF($B171="","",INDEX('Cartes API'!$H:$H,MATCH($B171,'Cartes API'!$A:$A,0))),"")</f>
        <v/>
      </c>
      <c r="H171" s="4"/>
      <c r="I171" s="23" t="str">
        <f aca="false">IF(OR($G171="",$H171=""),"",$G171&amp;"["&amp;$H171&amp;"]")</f>
        <v/>
      </c>
      <c r="J171" s="23" t="str">
        <f aca="false">IFERROR(INDEX(Cablage!$A:$A,MATCH($I171,Cablage!$F:$F,0)),"")</f>
        <v/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customFormat="false" ht="15" hidden="false" customHeight="true" outlineLevel="0" collapsed="false">
      <c r="A172" s="22"/>
      <c r="B172" s="22"/>
      <c r="C172" s="4"/>
      <c r="D172" s="4"/>
      <c r="E172" s="4"/>
      <c r="F172" s="23" t="str">
        <f aca="false">IFERROR(IF(OR($B172="",$C172=""),"",INDEX('Cartes API'!$J:$J,MATCH($B172,'Cartes API'!$A:$A,0))&amp;INDEX('Cartes API'!$B:$B,MATCH($B172,'Cartes API'!$A:$A,0))&amp;"."&amp;INDEX('Cartes API'!$C:$C,MATCH($B172,'Cartes API'!$A:$A,0))&amp;"."&amp;$C172),"")</f>
        <v/>
      </c>
      <c r="G172" s="23" t="str">
        <f aca="false">IFERROR(IF($B172="","",INDEX('Cartes API'!$H:$H,MATCH($B172,'Cartes API'!$A:$A,0))),"")</f>
        <v/>
      </c>
      <c r="H172" s="4"/>
      <c r="I172" s="23" t="str">
        <f aca="false">IF(OR($G172="",$H172=""),"",$G172&amp;"["&amp;$H172&amp;"]")</f>
        <v/>
      </c>
      <c r="J172" s="23" t="str">
        <f aca="false">IFERROR(INDEX(Cablage!$A:$A,MATCH($I172,Cablage!$F:$F,0)),"")</f>
        <v/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customFormat="false" ht="15" hidden="false" customHeight="true" outlineLevel="0" collapsed="false">
      <c r="A173" s="22"/>
      <c r="B173" s="22"/>
      <c r="C173" s="4"/>
      <c r="D173" s="4"/>
      <c r="E173" s="4"/>
      <c r="F173" s="23" t="str">
        <f aca="false">IFERROR(IF(OR($B173="",$C173=""),"",INDEX('Cartes API'!$J:$J,MATCH($B173,'Cartes API'!$A:$A,0))&amp;INDEX('Cartes API'!$B:$B,MATCH($B173,'Cartes API'!$A:$A,0))&amp;"."&amp;INDEX('Cartes API'!$C:$C,MATCH($B173,'Cartes API'!$A:$A,0))&amp;"."&amp;$C173),"")</f>
        <v/>
      </c>
      <c r="G173" s="23" t="str">
        <f aca="false">IFERROR(IF($B173="","",INDEX('Cartes API'!$H:$H,MATCH($B173,'Cartes API'!$A:$A,0))),"")</f>
        <v/>
      </c>
      <c r="H173" s="4"/>
      <c r="I173" s="23" t="str">
        <f aca="false">IF(OR($G173="",$H173=""),"",$G173&amp;"["&amp;$H173&amp;"]")</f>
        <v/>
      </c>
      <c r="J173" s="23" t="str">
        <f aca="false">IFERROR(INDEX(Cablage!$A:$A,MATCH($I173,Cablage!$F:$F,0)),"")</f>
        <v/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customFormat="false" ht="15" hidden="false" customHeight="true" outlineLevel="0" collapsed="false">
      <c r="A174" s="22"/>
      <c r="B174" s="22"/>
      <c r="C174" s="4"/>
      <c r="D174" s="4"/>
      <c r="E174" s="4"/>
      <c r="F174" s="23" t="str">
        <f aca="false">IFERROR(IF(OR($B174="",$C174=""),"",INDEX('Cartes API'!$J:$J,MATCH($B174,'Cartes API'!$A:$A,0))&amp;INDEX('Cartes API'!$B:$B,MATCH($B174,'Cartes API'!$A:$A,0))&amp;"."&amp;INDEX('Cartes API'!$C:$C,MATCH($B174,'Cartes API'!$A:$A,0))&amp;"."&amp;$C174),"")</f>
        <v/>
      </c>
      <c r="G174" s="23" t="str">
        <f aca="false">IFERROR(IF($B174="","",INDEX('Cartes API'!$H:$H,MATCH($B174,'Cartes API'!$A:$A,0))),"")</f>
        <v/>
      </c>
      <c r="H174" s="4"/>
      <c r="I174" s="23" t="str">
        <f aca="false">IF(OR($G174="",$H174=""),"",$G174&amp;"["&amp;$H174&amp;"]")</f>
        <v/>
      </c>
      <c r="J174" s="23" t="str">
        <f aca="false">IFERROR(INDEX(Cablage!$A:$A,MATCH($I174,Cablage!$F:$F,0)),"")</f>
        <v/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customFormat="false" ht="15" hidden="false" customHeight="true" outlineLevel="0" collapsed="false">
      <c r="A175" s="22"/>
      <c r="B175" s="22"/>
      <c r="C175" s="4"/>
      <c r="D175" s="4"/>
      <c r="E175" s="4"/>
      <c r="F175" s="23" t="str">
        <f aca="false">IFERROR(IF(OR($B175="",$C175=""),"",INDEX('Cartes API'!$J:$J,MATCH($B175,'Cartes API'!$A:$A,0))&amp;INDEX('Cartes API'!$B:$B,MATCH($B175,'Cartes API'!$A:$A,0))&amp;"."&amp;INDEX('Cartes API'!$C:$C,MATCH($B175,'Cartes API'!$A:$A,0))&amp;"."&amp;$C175),"")</f>
        <v/>
      </c>
      <c r="G175" s="23" t="str">
        <f aca="false">IFERROR(IF($B175="","",INDEX('Cartes API'!$H:$H,MATCH($B175,'Cartes API'!$A:$A,0))),"")</f>
        <v/>
      </c>
      <c r="H175" s="4"/>
      <c r="I175" s="23" t="str">
        <f aca="false">IF(OR($G175="",$H175=""),"",$G175&amp;"["&amp;$H175&amp;"]")</f>
        <v/>
      </c>
      <c r="J175" s="23" t="str">
        <f aca="false">IFERROR(INDEX(Cablage!$A:$A,MATCH($I175,Cablage!$F:$F,0)),"")</f>
        <v/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customFormat="false" ht="15" hidden="false" customHeight="true" outlineLevel="0" collapsed="false">
      <c r="A176" s="22"/>
      <c r="B176" s="22"/>
      <c r="C176" s="4"/>
      <c r="D176" s="4"/>
      <c r="E176" s="4"/>
      <c r="F176" s="23" t="str">
        <f aca="false">IFERROR(IF(OR($B176="",$C176=""),"",INDEX('Cartes API'!$J:$J,MATCH($B176,'Cartes API'!$A:$A,0))&amp;INDEX('Cartes API'!$B:$B,MATCH($B176,'Cartes API'!$A:$A,0))&amp;"."&amp;INDEX('Cartes API'!$C:$C,MATCH($B176,'Cartes API'!$A:$A,0))&amp;"."&amp;$C176),"")</f>
        <v/>
      </c>
      <c r="G176" s="23" t="str">
        <f aca="false">IFERROR(IF($B176="","",INDEX('Cartes API'!$H:$H,MATCH($B176,'Cartes API'!$A:$A,0))),"")</f>
        <v/>
      </c>
      <c r="H176" s="4"/>
      <c r="I176" s="23" t="str">
        <f aca="false">IF(OR($G176="",$H176=""),"",$G176&amp;"["&amp;$H176&amp;"]")</f>
        <v/>
      </c>
      <c r="J176" s="23" t="str">
        <f aca="false">IFERROR(INDEX(Cablage!$A:$A,MATCH($I176,Cablage!$F:$F,0)),"")</f>
        <v/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customFormat="false" ht="15" hidden="false" customHeight="true" outlineLevel="0" collapsed="false">
      <c r="A177" s="22"/>
      <c r="B177" s="22"/>
      <c r="C177" s="4"/>
      <c r="D177" s="4"/>
      <c r="E177" s="4"/>
      <c r="F177" s="23" t="str">
        <f aca="false">IFERROR(IF(OR($B177="",$C177=""),"",INDEX('Cartes API'!$J:$J,MATCH($B177,'Cartes API'!$A:$A,0))&amp;INDEX('Cartes API'!$B:$B,MATCH($B177,'Cartes API'!$A:$A,0))&amp;"."&amp;INDEX('Cartes API'!$C:$C,MATCH($B177,'Cartes API'!$A:$A,0))&amp;"."&amp;$C177),"")</f>
        <v/>
      </c>
      <c r="G177" s="23" t="str">
        <f aca="false">IFERROR(IF($B177="","",INDEX('Cartes API'!$H:$H,MATCH($B177,'Cartes API'!$A:$A,0))),"")</f>
        <v/>
      </c>
      <c r="H177" s="4"/>
      <c r="I177" s="23" t="str">
        <f aca="false">IF(OR($G177="",$H177=""),"",$G177&amp;"["&amp;$H177&amp;"]")</f>
        <v/>
      </c>
      <c r="J177" s="23" t="str">
        <f aca="false">IFERROR(INDEX(Cablage!$A:$A,MATCH($I177,Cablage!$F:$F,0)),"")</f>
        <v/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customFormat="false" ht="15" hidden="false" customHeight="true" outlineLevel="0" collapsed="false">
      <c r="A178" s="22"/>
      <c r="B178" s="22"/>
      <c r="C178" s="4"/>
      <c r="D178" s="4"/>
      <c r="E178" s="4"/>
      <c r="F178" s="23" t="str">
        <f aca="false">IFERROR(IF(OR($B178="",$C178=""),"",INDEX('Cartes API'!$J:$J,MATCH($B178,'Cartes API'!$A:$A,0))&amp;INDEX('Cartes API'!$B:$B,MATCH($B178,'Cartes API'!$A:$A,0))&amp;"."&amp;INDEX('Cartes API'!$C:$C,MATCH($B178,'Cartes API'!$A:$A,0))&amp;"."&amp;$C178),"")</f>
        <v/>
      </c>
      <c r="G178" s="23" t="str">
        <f aca="false">IFERROR(IF($B178="","",INDEX('Cartes API'!$H:$H,MATCH($B178,'Cartes API'!$A:$A,0))),"")</f>
        <v/>
      </c>
      <c r="H178" s="4"/>
      <c r="I178" s="23" t="str">
        <f aca="false">IF(OR($G178="",$H178=""),"",$G178&amp;"["&amp;$H178&amp;"]")</f>
        <v/>
      </c>
      <c r="J178" s="23" t="str">
        <f aca="false">IFERROR(INDEX(Cablage!$A:$A,MATCH($I178,Cablage!$F:$F,0)),"")</f>
        <v/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customFormat="false" ht="15" hidden="false" customHeight="true" outlineLevel="0" collapsed="false">
      <c r="A179" s="22"/>
      <c r="B179" s="22"/>
      <c r="C179" s="4"/>
      <c r="D179" s="4"/>
      <c r="E179" s="4"/>
      <c r="F179" s="23" t="str">
        <f aca="false">IFERROR(IF(OR($B179="",$C179=""),"",INDEX('Cartes API'!$J:$J,MATCH($B179,'Cartes API'!$A:$A,0))&amp;INDEX('Cartes API'!$B:$B,MATCH($B179,'Cartes API'!$A:$A,0))&amp;"."&amp;INDEX('Cartes API'!$C:$C,MATCH($B179,'Cartes API'!$A:$A,0))&amp;"."&amp;$C179),"")</f>
        <v/>
      </c>
      <c r="G179" s="23" t="str">
        <f aca="false">IFERROR(IF($B179="","",INDEX('Cartes API'!$H:$H,MATCH($B179,'Cartes API'!$A:$A,0))),"")</f>
        <v/>
      </c>
      <c r="H179" s="4"/>
      <c r="I179" s="23" t="str">
        <f aca="false">IF(OR($G179="",$H179=""),"",$G179&amp;"["&amp;$H179&amp;"]")</f>
        <v/>
      </c>
      <c r="J179" s="23" t="str">
        <f aca="false">IFERROR(INDEX(Cablage!$A:$A,MATCH($I179,Cablage!$F:$F,0)),"")</f>
        <v/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customFormat="false" ht="15" hidden="false" customHeight="true" outlineLevel="0" collapsed="false">
      <c r="A180" s="22"/>
      <c r="B180" s="22"/>
      <c r="C180" s="4"/>
      <c r="D180" s="4"/>
      <c r="E180" s="4"/>
      <c r="F180" s="23" t="str">
        <f aca="false">IFERROR(IF(OR($B180="",$C180=""),"",INDEX('Cartes API'!$J:$J,MATCH($B180,'Cartes API'!$A:$A,0))&amp;INDEX('Cartes API'!$B:$B,MATCH($B180,'Cartes API'!$A:$A,0))&amp;"."&amp;INDEX('Cartes API'!$C:$C,MATCH($B180,'Cartes API'!$A:$A,0))&amp;"."&amp;$C180),"")</f>
        <v/>
      </c>
      <c r="G180" s="23" t="str">
        <f aca="false">IFERROR(IF($B180="","",INDEX('Cartes API'!$H:$H,MATCH($B180,'Cartes API'!$A:$A,0))),"")</f>
        <v/>
      </c>
      <c r="H180" s="4"/>
      <c r="I180" s="23" t="str">
        <f aca="false">IF(OR($G180="",$H180=""),"",$G180&amp;"["&amp;$H180&amp;"]")</f>
        <v/>
      </c>
      <c r="J180" s="23" t="str">
        <f aca="false">IFERROR(INDEX(Cablage!$A:$A,MATCH($I180,Cablage!$F:$F,0)),"")</f>
        <v/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customFormat="false" ht="15" hidden="false" customHeight="true" outlineLevel="0" collapsed="false">
      <c r="A181" s="22"/>
      <c r="B181" s="22"/>
      <c r="C181" s="4"/>
      <c r="D181" s="4"/>
      <c r="E181" s="4"/>
      <c r="F181" s="23" t="str">
        <f aca="false">IFERROR(IF(OR($B181="",$C181=""),"",INDEX('Cartes API'!$J:$J,MATCH($B181,'Cartes API'!$A:$A,0))&amp;INDEX('Cartes API'!$B:$B,MATCH($B181,'Cartes API'!$A:$A,0))&amp;"."&amp;INDEX('Cartes API'!$C:$C,MATCH($B181,'Cartes API'!$A:$A,0))&amp;"."&amp;$C181),"")</f>
        <v/>
      </c>
      <c r="G181" s="23" t="str">
        <f aca="false">IFERROR(IF($B181="","",INDEX('Cartes API'!$H:$H,MATCH($B181,'Cartes API'!$A:$A,0))),"")</f>
        <v/>
      </c>
      <c r="H181" s="4"/>
      <c r="I181" s="23" t="str">
        <f aca="false">IF(OR($G181="",$H181=""),"",$G181&amp;"["&amp;$H181&amp;"]")</f>
        <v/>
      </c>
      <c r="J181" s="23" t="str">
        <f aca="false">IFERROR(INDEX(Cablage!$A:$A,MATCH($I181,Cablage!$F:$F,0)),"")</f>
        <v/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customFormat="false" ht="15" hidden="false" customHeight="true" outlineLevel="0" collapsed="false">
      <c r="A182" s="22"/>
      <c r="B182" s="22"/>
      <c r="C182" s="4"/>
      <c r="D182" s="4"/>
      <c r="E182" s="4"/>
      <c r="F182" s="23" t="str">
        <f aca="false">IFERROR(IF(OR($B182="",$C182=""),"",INDEX('Cartes API'!$J:$J,MATCH($B182,'Cartes API'!$A:$A,0))&amp;INDEX('Cartes API'!$B:$B,MATCH($B182,'Cartes API'!$A:$A,0))&amp;"."&amp;INDEX('Cartes API'!$C:$C,MATCH($B182,'Cartes API'!$A:$A,0))&amp;"."&amp;$C182),"")</f>
        <v/>
      </c>
      <c r="G182" s="23" t="str">
        <f aca="false">IFERROR(IF($B182="","",INDEX('Cartes API'!$H:$H,MATCH($B182,'Cartes API'!$A:$A,0))),"")</f>
        <v/>
      </c>
      <c r="H182" s="4"/>
      <c r="I182" s="23" t="str">
        <f aca="false">IF(OR($G182="",$H182=""),"",$G182&amp;"["&amp;$H182&amp;"]")</f>
        <v/>
      </c>
      <c r="J182" s="23" t="str">
        <f aca="false">IFERROR(INDEX(Cablage!$A:$A,MATCH($I182,Cablage!$F:$F,0)),"")</f>
        <v/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customFormat="false" ht="15" hidden="false" customHeight="true" outlineLevel="0" collapsed="false">
      <c r="A183" s="22"/>
      <c r="B183" s="22"/>
      <c r="C183" s="4"/>
      <c r="D183" s="4"/>
      <c r="E183" s="4"/>
      <c r="F183" s="23" t="str">
        <f aca="false">IFERROR(IF(OR($B183="",$C183=""),"",INDEX('Cartes API'!$J:$J,MATCH($B183,'Cartes API'!$A:$A,0))&amp;INDEX('Cartes API'!$B:$B,MATCH($B183,'Cartes API'!$A:$A,0))&amp;"."&amp;INDEX('Cartes API'!$C:$C,MATCH($B183,'Cartes API'!$A:$A,0))&amp;"."&amp;$C183),"")</f>
        <v/>
      </c>
      <c r="G183" s="23" t="str">
        <f aca="false">IFERROR(IF($B183="","",INDEX('Cartes API'!$H:$H,MATCH($B183,'Cartes API'!$A:$A,0))),"")</f>
        <v/>
      </c>
      <c r="H183" s="4"/>
      <c r="I183" s="23" t="str">
        <f aca="false">IF(OR($G183="",$H183=""),"",$G183&amp;"["&amp;$H183&amp;"]")</f>
        <v/>
      </c>
      <c r="J183" s="23" t="str">
        <f aca="false">IFERROR(INDEX(Cablage!$A:$A,MATCH($I183,Cablage!$F:$F,0)),"")</f>
        <v/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customFormat="false" ht="15" hidden="false" customHeight="true" outlineLevel="0" collapsed="false">
      <c r="A184" s="22"/>
      <c r="B184" s="22"/>
      <c r="C184" s="4"/>
      <c r="D184" s="4"/>
      <c r="E184" s="4"/>
      <c r="F184" s="23" t="str">
        <f aca="false">IFERROR(IF(OR($B184="",$C184=""),"",INDEX('Cartes API'!$J:$J,MATCH($B184,'Cartes API'!$A:$A,0))&amp;INDEX('Cartes API'!$B:$B,MATCH($B184,'Cartes API'!$A:$A,0))&amp;"."&amp;INDEX('Cartes API'!$C:$C,MATCH($B184,'Cartes API'!$A:$A,0))&amp;"."&amp;$C184),"")</f>
        <v/>
      </c>
      <c r="G184" s="23" t="str">
        <f aca="false">IFERROR(IF($B184="","",INDEX('Cartes API'!$H:$H,MATCH($B184,'Cartes API'!$A:$A,0))),"")</f>
        <v/>
      </c>
      <c r="H184" s="4"/>
      <c r="I184" s="23" t="str">
        <f aca="false">IF(OR($G184="",$H184=""),"",$G184&amp;"["&amp;$H184&amp;"]")</f>
        <v/>
      </c>
      <c r="J184" s="23" t="str">
        <f aca="false">IFERROR(INDEX(Cablage!$A:$A,MATCH($I184,Cablage!$F:$F,0)),"")</f>
        <v/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customFormat="false" ht="15" hidden="false" customHeight="true" outlineLevel="0" collapsed="false">
      <c r="A185" s="22"/>
      <c r="B185" s="22"/>
      <c r="C185" s="4"/>
      <c r="D185" s="4"/>
      <c r="E185" s="4"/>
      <c r="F185" s="23" t="str">
        <f aca="false">IFERROR(IF(OR($B185="",$C185=""),"",INDEX('Cartes API'!$J:$J,MATCH($B185,'Cartes API'!$A:$A,0))&amp;INDEX('Cartes API'!$B:$B,MATCH($B185,'Cartes API'!$A:$A,0))&amp;"."&amp;INDEX('Cartes API'!$C:$C,MATCH($B185,'Cartes API'!$A:$A,0))&amp;"."&amp;$C185),"")</f>
        <v/>
      </c>
      <c r="G185" s="23" t="str">
        <f aca="false">IFERROR(IF($B185="","",INDEX('Cartes API'!$H:$H,MATCH($B185,'Cartes API'!$A:$A,0))),"")</f>
        <v/>
      </c>
      <c r="H185" s="4"/>
      <c r="I185" s="23" t="str">
        <f aca="false">IF(OR($G185="",$H185=""),"",$G185&amp;"["&amp;$H185&amp;"]")</f>
        <v/>
      </c>
      <c r="J185" s="23" t="str">
        <f aca="false">IFERROR(INDEX(Cablage!$A:$A,MATCH($I185,Cablage!$F:$F,0)),"")</f>
        <v/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customFormat="false" ht="15" hidden="false" customHeight="true" outlineLevel="0" collapsed="false">
      <c r="A186" s="22"/>
      <c r="B186" s="22"/>
      <c r="C186" s="4"/>
      <c r="D186" s="4"/>
      <c r="E186" s="4"/>
      <c r="F186" s="23" t="str">
        <f aca="false">IFERROR(IF(OR($B186="",$C186=""),"",INDEX('Cartes API'!$J:$J,MATCH($B186,'Cartes API'!$A:$A,0))&amp;INDEX('Cartes API'!$B:$B,MATCH($B186,'Cartes API'!$A:$A,0))&amp;"."&amp;INDEX('Cartes API'!$C:$C,MATCH($B186,'Cartes API'!$A:$A,0))&amp;"."&amp;$C186),"")</f>
        <v/>
      </c>
      <c r="G186" s="23" t="str">
        <f aca="false">IFERROR(IF($B186="","",INDEX('Cartes API'!$H:$H,MATCH($B186,'Cartes API'!$A:$A,0))),"")</f>
        <v/>
      </c>
      <c r="H186" s="4"/>
      <c r="I186" s="23" t="str">
        <f aca="false">IF(OR($G186="",$H186=""),"",$G186&amp;"["&amp;$H186&amp;"]")</f>
        <v/>
      </c>
      <c r="J186" s="23" t="str">
        <f aca="false">IFERROR(INDEX(Cablage!$A:$A,MATCH($I186,Cablage!$F:$F,0)),"")</f>
        <v/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customFormat="false" ht="15" hidden="false" customHeight="true" outlineLevel="0" collapsed="false">
      <c r="A187" s="22"/>
      <c r="B187" s="22"/>
      <c r="C187" s="4"/>
      <c r="D187" s="4"/>
      <c r="E187" s="4"/>
      <c r="F187" s="23" t="str">
        <f aca="false">IFERROR(IF(OR($B187="",$C187=""),"",INDEX('Cartes API'!$J:$J,MATCH($B187,'Cartes API'!$A:$A,0))&amp;INDEX('Cartes API'!$B:$B,MATCH($B187,'Cartes API'!$A:$A,0))&amp;"."&amp;INDEX('Cartes API'!$C:$C,MATCH($B187,'Cartes API'!$A:$A,0))&amp;"."&amp;$C187),"")</f>
        <v/>
      </c>
      <c r="G187" s="23" t="str">
        <f aca="false">IFERROR(IF($B187="","",INDEX('Cartes API'!$H:$H,MATCH($B187,'Cartes API'!$A:$A,0))),"")</f>
        <v/>
      </c>
      <c r="H187" s="4"/>
      <c r="I187" s="23" t="str">
        <f aca="false">IF(OR($G187="",$H187=""),"",$G187&amp;"["&amp;$H187&amp;"]")</f>
        <v/>
      </c>
      <c r="J187" s="23" t="str">
        <f aca="false">IFERROR(INDEX(Cablage!$A:$A,MATCH($I187,Cablage!$F:$F,0)),"")</f>
        <v/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customFormat="false" ht="15" hidden="false" customHeight="true" outlineLevel="0" collapsed="false">
      <c r="A188" s="22"/>
      <c r="B188" s="22"/>
      <c r="C188" s="4"/>
      <c r="D188" s="4"/>
      <c r="E188" s="4"/>
      <c r="F188" s="23" t="str">
        <f aca="false">IFERROR(IF(OR($B188="",$C188=""),"",INDEX('Cartes API'!$J:$J,MATCH($B188,'Cartes API'!$A:$A,0))&amp;INDEX('Cartes API'!$B:$B,MATCH($B188,'Cartes API'!$A:$A,0))&amp;"."&amp;INDEX('Cartes API'!$C:$C,MATCH($B188,'Cartes API'!$A:$A,0))&amp;"."&amp;$C188),"")</f>
        <v/>
      </c>
      <c r="G188" s="23" t="str">
        <f aca="false">IFERROR(IF($B188="","",INDEX('Cartes API'!$H:$H,MATCH($B188,'Cartes API'!$A:$A,0))),"")</f>
        <v/>
      </c>
      <c r="H188" s="4"/>
      <c r="I188" s="23" t="str">
        <f aca="false">IF(OR($G188="",$H188=""),"",$G188&amp;"["&amp;$H188&amp;"]")</f>
        <v/>
      </c>
      <c r="J188" s="23" t="str">
        <f aca="false">IFERROR(INDEX(Cablage!$A:$A,MATCH($I188,Cablage!$F:$F,0)),"")</f>
        <v/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customFormat="false" ht="15" hidden="false" customHeight="true" outlineLevel="0" collapsed="false">
      <c r="A189" s="22"/>
      <c r="B189" s="22"/>
      <c r="C189" s="4"/>
      <c r="D189" s="4"/>
      <c r="E189" s="4"/>
      <c r="F189" s="23" t="str">
        <f aca="false">IFERROR(IF(OR($B189="",$C189=""),"",INDEX('Cartes API'!$J:$J,MATCH($B189,'Cartes API'!$A:$A,0))&amp;INDEX('Cartes API'!$B:$B,MATCH($B189,'Cartes API'!$A:$A,0))&amp;"."&amp;INDEX('Cartes API'!$C:$C,MATCH($B189,'Cartes API'!$A:$A,0))&amp;"."&amp;$C189),"")</f>
        <v/>
      </c>
      <c r="G189" s="23" t="str">
        <f aca="false">IFERROR(IF($B189="","",INDEX('Cartes API'!$H:$H,MATCH($B189,'Cartes API'!$A:$A,0))),"")</f>
        <v/>
      </c>
      <c r="H189" s="4"/>
      <c r="I189" s="23" t="str">
        <f aca="false">IF(OR($G189="",$H189=""),"",$G189&amp;"["&amp;$H189&amp;"]")</f>
        <v/>
      </c>
      <c r="J189" s="23" t="str">
        <f aca="false">IFERROR(INDEX(Cablage!$A:$A,MATCH($I189,Cablage!$F:$F,0)),"")</f>
        <v/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customFormat="false" ht="15" hidden="false" customHeight="true" outlineLevel="0" collapsed="false">
      <c r="A190" s="22"/>
      <c r="B190" s="22"/>
      <c r="C190" s="4"/>
      <c r="D190" s="4"/>
      <c r="E190" s="4"/>
      <c r="F190" s="23" t="str">
        <f aca="false">IFERROR(IF(OR($B190="",$C190=""),"",INDEX('Cartes API'!$J:$J,MATCH($B190,'Cartes API'!$A:$A,0))&amp;INDEX('Cartes API'!$B:$B,MATCH($B190,'Cartes API'!$A:$A,0))&amp;"."&amp;INDEX('Cartes API'!$C:$C,MATCH($B190,'Cartes API'!$A:$A,0))&amp;"."&amp;$C190),"")</f>
        <v/>
      </c>
      <c r="G190" s="23" t="str">
        <f aca="false">IFERROR(IF($B190="","",INDEX('Cartes API'!$H:$H,MATCH($B190,'Cartes API'!$A:$A,0))),"")</f>
        <v/>
      </c>
      <c r="H190" s="4"/>
      <c r="I190" s="23" t="str">
        <f aca="false">IF(OR($G190="",$H190=""),"",$G190&amp;"["&amp;$H190&amp;"]")</f>
        <v/>
      </c>
      <c r="J190" s="23" t="str">
        <f aca="false">IFERROR(INDEX(Cablage!$A:$A,MATCH($I190,Cablage!$F:$F,0)),"")</f>
        <v/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customFormat="false" ht="15" hidden="false" customHeight="true" outlineLevel="0" collapsed="false">
      <c r="A191" s="22"/>
      <c r="B191" s="22"/>
      <c r="C191" s="4"/>
      <c r="D191" s="4"/>
      <c r="E191" s="4"/>
      <c r="F191" s="23" t="str">
        <f aca="false">IFERROR(IF(OR($B191="",$C191=""),"",INDEX('Cartes API'!$J:$J,MATCH($B191,'Cartes API'!$A:$A,0))&amp;INDEX('Cartes API'!$B:$B,MATCH($B191,'Cartes API'!$A:$A,0))&amp;"."&amp;INDEX('Cartes API'!$C:$C,MATCH($B191,'Cartes API'!$A:$A,0))&amp;"."&amp;$C191),"")</f>
        <v/>
      </c>
      <c r="G191" s="23" t="str">
        <f aca="false">IFERROR(IF($B191="","",INDEX('Cartes API'!$H:$H,MATCH($B191,'Cartes API'!$A:$A,0))),"")</f>
        <v/>
      </c>
      <c r="H191" s="4"/>
      <c r="I191" s="23" t="str">
        <f aca="false">IF(OR($G191="",$H191=""),"",$G191&amp;"["&amp;$H191&amp;"]")</f>
        <v/>
      </c>
      <c r="J191" s="23" t="str">
        <f aca="false">IFERROR(INDEX(Cablage!$A:$A,MATCH($I191,Cablage!$F:$F,0)),"")</f>
        <v/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customFormat="false" ht="15" hidden="false" customHeight="true" outlineLevel="0" collapsed="false">
      <c r="A192" s="22"/>
      <c r="B192" s="22"/>
      <c r="C192" s="4"/>
      <c r="D192" s="4"/>
      <c r="E192" s="4"/>
      <c r="F192" s="23" t="str">
        <f aca="false">IFERROR(IF(OR($B192="",$C192=""),"",INDEX('Cartes API'!$J:$J,MATCH($B192,'Cartes API'!$A:$A,0))&amp;INDEX('Cartes API'!$B:$B,MATCH($B192,'Cartes API'!$A:$A,0))&amp;"."&amp;INDEX('Cartes API'!$C:$C,MATCH($B192,'Cartes API'!$A:$A,0))&amp;"."&amp;$C192),"")</f>
        <v/>
      </c>
      <c r="G192" s="23" t="str">
        <f aca="false">IFERROR(IF($B192="","",INDEX('Cartes API'!$H:$H,MATCH($B192,'Cartes API'!$A:$A,0))),"")</f>
        <v/>
      </c>
      <c r="H192" s="4"/>
      <c r="I192" s="23" t="str">
        <f aca="false">IF(OR($G192="",$H192=""),"",$G192&amp;"["&amp;$H192&amp;"]")</f>
        <v/>
      </c>
      <c r="J192" s="23" t="str">
        <f aca="false">IFERROR(INDEX(Cablage!$A:$A,MATCH($I192,Cablage!$F:$F,0)),"")</f>
        <v/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customFormat="false" ht="15" hidden="false" customHeight="true" outlineLevel="0" collapsed="false">
      <c r="A193" s="22"/>
      <c r="B193" s="22"/>
      <c r="C193" s="4"/>
      <c r="D193" s="4"/>
      <c r="E193" s="4"/>
      <c r="F193" s="23" t="str">
        <f aca="false">IFERROR(IF(OR($B193="",$C193=""),"",INDEX('Cartes API'!$J:$J,MATCH($B193,'Cartes API'!$A:$A,0))&amp;INDEX('Cartes API'!$B:$B,MATCH($B193,'Cartes API'!$A:$A,0))&amp;"."&amp;INDEX('Cartes API'!$C:$C,MATCH($B193,'Cartes API'!$A:$A,0))&amp;"."&amp;$C193),"")</f>
        <v/>
      </c>
      <c r="G193" s="23" t="str">
        <f aca="false">IFERROR(IF($B193="","",INDEX('Cartes API'!$H:$H,MATCH($B193,'Cartes API'!$A:$A,0))),"")</f>
        <v/>
      </c>
      <c r="H193" s="4"/>
      <c r="I193" s="23" t="str">
        <f aca="false">IF(OR($G193="",$H193=""),"",$G193&amp;"["&amp;$H193&amp;"]")</f>
        <v/>
      </c>
      <c r="J193" s="23" t="str">
        <f aca="false">IFERROR(INDEX(Cablage!$A:$A,MATCH($I193,Cablage!$F:$F,0)),"")</f>
        <v/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customFormat="false" ht="15" hidden="false" customHeight="true" outlineLevel="0" collapsed="false">
      <c r="A194" s="22"/>
      <c r="B194" s="22"/>
      <c r="C194" s="4"/>
      <c r="D194" s="4"/>
      <c r="E194" s="4"/>
      <c r="F194" s="23" t="str">
        <f aca="false">IFERROR(IF(OR($B194="",$C194=""),"",INDEX('Cartes API'!$J:$J,MATCH($B194,'Cartes API'!$A:$A,0))&amp;INDEX('Cartes API'!$B:$B,MATCH($B194,'Cartes API'!$A:$A,0))&amp;"."&amp;INDEX('Cartes API'!$C:$C,MATCH($B194,'Cartes API'!$A:$A,0))&amp;"."&amp;$C194),"")</f>
        <v/>
      </c>
      <c r="G194" s="23" t="str">
        <f aca="false">IFERROR(IF($B194="","",INDEX('Cartes API'!$H:$H,MATCH($B194,'Cartes API'!$A:$A,0))),"")</f>
        <v/>
      </c>
      <c r="H194" s="4"/>
      <c r="I194" s="23" t="str">
        <f aca="false">IF(OR($G194="",$H194=""),"",$G194&amp;"["&amp;$H194&amp;"]")</f>
        <v/>
      </c>
      <c r="J194" s="23" t="str">
        <f aca="false">IFERROR(INDEX(Cablage!$A:$A,MATCH($I194,Cablage!$F:$F,0)),"")</f>
        <v/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customFormat="false" ht="15" hidden="false" customHeight="true" outlineLevel="0" collapsed="false">
      <c r="A195" s="22"/>
      <c r="B195" s="22"/>
      <c r="C195" s="4"/>
      <c r="D195" s="4"/>
      <c r="E195" s="4"/>
      <c r="F195" s="23" t="str">
        <f aca="false">IFERROR(IF(OR($B195="",$C195=""),"",INDEX('Cartes API'!$J:$J,MATCH($B195,'Cartes API'!$A:$A,0))&amp;INDEX('Cartes API'!$B:$B,MATCH($B195,'Cartes API'!$A:$A,0))&amp;"."&amp;INDEX('Cartes API'!$C:$C,MATCH($B195,'Cartes API'!$A:$A,0))&amp;"."&amp;$C195),"")</f>
        <v/>
      </c>
      <c r="G195" s="23" t="str">
        <f aca="false">IFERROR(IF($B195="","",INDEX('Cartes API'!$H:$H,MATCH($B195,'Cartes API'!$A:$A,0))),"")</f>
        <v/>
      </c>
      <c r="H195" s="4"/>
      <c r="I195" s="23" t="str">
        <f aca="false">IF(OR($G195="",$H195=""),"",$G195&amp;"["&amp;$H195&amp;"]")</f>
        <v/>
      </c>
      <c r="J195" s="23" t="str">
        <f aca="false">IFERROR(INDEX(Cablage!$A:$A,MATCH($I195,Cablage!$F:$F,0)),"")</f>
        <v/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customFormat="false" ht="15" hidden="false" customHeight="true" outlineLevel="0" collapsed="false">
      <c r="A196" s="22"/>
      <c r="B196" s="22"/>
      <c r="C196" s="4"/>
      <c r="D196" s="4"/>
      <c r="E196" s="4"/>
      <c r="F196" s="23" t="str">
        <f aca="false">IFERROR(IF(OR($B196="",$C196=""),"",INDEX('Cartes API'!$J:$J,MATCH($B196,'Cartes API'!$A:$A,0))&amp;INDEX('Cartes API'!$B:$B,MATCH($B196,'Cartes API'!$A:$A,0))&amp;"."&amp;INDEX('Cartes API'!$C:$C,MATCH($B196,'Cartes API'!$A:$A,0))&amp;"."&amp;$C196),"")</f>
        <v/>
      </c>
      <c r="G196" s="23" t="str">
        <f aca="false">IFERROR(IF($B196="","",INDEX('Cartes API'!$H:$H,MATCH($B196,'Cartes API'!$A:$A,0))),"")</f>
        <v/>
      </c>
      <c r="H196" s="4"/>
      <c r="I196" s="23" t="str">
        <f aca="false">IF(OR($G196="",$H196=""),"",$G196&amp;"["&amp;$H196&amp;"]")</f>
        <v/>
      </c>
      <c r="J196" s="23" t="str">
        <f aca="false">IFERROR(INDEX(Cablage!$A:$A,MATCH($I196,Cablage!$F:$F,0)),"")</f>
        <v/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customFormat="false" ht="15" hidden="false" customHeight="true" outlineLevel="0" collapsed="false">
      <c r="A197" s="22"/>
      <c r="B197" s="22"/>
      <c r="C197" s="4"/>
      <c r="D197" s="4"/>
      <c r="E197" s="4"/>
      <c r="F197" s="23" t="str">
        <f aca="false">IFERROR(IF(OR($B197="",$C197=""),"",INDEX('Cartes API'!$J:$J,MATCH($B197,'Cartes API'!$A:$A,0))&amp;INDEX('Cartes API'!$B:$B,MATCH($B197,'Cartes API'!$A:$A,0))&amp;"."&amp;INDEX('Cartes API'!$C:$C,MATCH($B197,'Cartes API'!$A:$A,0))&amp;"."&amp;$C197),"")</f>
        <v/>
      </c>
      <c r="G197" s="23" t="str">
        <f aca="false">IFERROR(IF($B197="","",INDEX('Cartes API'!$H:$H,MATCH($B197,'Cartes API'!$A:$A,0))),"")</f>
        <v/>
      </c>
      <c r="H197" s="4"/>
      <c r="I197" s="23" t="str">
        <f aca="false">IF(OR($G197="",$H197=""),"",$G197&amp;"["&amp;$H197&amp;"]")</f>
        <v/>
      </c>
      <c r="J197" s="23" t="str">
        <f aca="false">IFERROR(INDEX(Cablage!$A:$A,MATCH($I197,Cablage!$F:$F,0)),"")</f>
        <v/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customFormat="false" ht="15" hidden="false" customHeight="true" outlineLevel="0" collapsed="false">
      <c r="A198" s="22"/>
      <c r="B198" s="22"/>
      <c r="C198" s="4"/>
      <c r="D198" s="4"/>
      <c r="E198" s="4"/>
      <c r="F198" s="23" t="str">
        <f aca="false">IFERROR(IF(OR($B198="",$C198=""),"",INDEX('Cartes API'!$J:$J,MATCH($B198,'Cartes API'!$A:$A,0))&amp;INDEX('Cartes API'!$B:$B,MATCH($B198,'Cartes API'!$A:$A,0))&amp;"."&amp;INDEX('Cartes API'!$C:$C,MATCH($B198,'Cartes API'!$A:$A,0))&amp;"."&amp;$C198),"")</f>
        <v/>
      </c>
      <c r="G198" s="23" t="str">
        <f aca="false">IFERROR(IF($B198="","",INDEX('Cartes API'!$H:$H,MATCH($B198,'Cartes API'!$A:$A,0))),"")</f>
        <v/>
      </c>
      <c r="H198" s="4"/>
      <c r="I198" s="23" t="str">
        <f aca="false">IF(OR($G198="",$H198=""),"",$G198&amp;"["&amp;$H198&amp;"]")</f>
        <v/>
      </c>
      <c r="J198" s="23" t="str">
        <f aca="false">IFERROR(INDEX(Cablage!$A:$A,MATCH($I198,Cablage!$F:$F,0)),"")</f>
        <v/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customFormat="false" ht="15" hidden="false" customHeight="true" outlineLevel="0" collapsed="false">
      <c r="A199" s="22"/>
      <c r="B199" s="22"/>
      <c r="C199" s="4"/>
      <c r="D199" s="4"/>
      <c r="E199" s="4"/>
      <c r="F199" s="23" t="str">
        <f aca="false">IFERROR(IF(OR($B199="",$C199=""),"",INDEX('Cartes API'!$J:$J,MATCH($B199,'Cartes API'!$A:$A,0))&amp;INDEX('Cartes API'!$B:$B,MATCH($B199,'Cartes API'!$A:$A,0))&amp;"."&amp;INDEX('Cartes API'!$C:$C,MATCH($B199,'Cartes API'!$A:$A,0))&amp;"."&amp;$C199),"")</f>
        <v/>
      </c>
      <c r="G199" s="23" t="str">
        <f aca="false">IFERROR(IF($B199="","",INDEX('Cartes API'!$H:$H,MATCH($B199,'Cartes API'!$A:$A,0))),"")</f>
        <v/>
      </c>
      <c r="H199" s="4"/>
      <c r="I199" s="23" t="str">
        <f aca="false">IF(OR($G199="",$H199=""),"",$G199&amp;"["&amp;$H199&amp;"]")</f>
        <v/>
      </c>
      <c r="J199" s="23" t="str">
        <f aca="false">IFERROR(INDEX(Cablage!$A:$A,MATCH($I199,Cablage!$F:$F,0)),"")</f>
        <v/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customFormat="false" ht="15" hidden="false" customHeight="true" outlineLevel="0" collapsed="false">
      <c r="A200" s="22"/>
      <c r="B200" s="22"/>
      <c r="C200" s="4"/>
      <c r="D200" s="4"/>
      <c r="E200" s="4"/>
      <c r="F200" s="23" t="str">
        <f aca="false">IFERROR(IF(OR($B200="",$C200=""),"",INDEX('Cartes API'!$J:$J,MATCH($B200,'Cartes API'!$A:$A,0))&amp;INDEX('Cartes API'!$B:$B,MATCH($B200,'Cartes API'!$A:$A,0))&amp;"."&amp;INDEX('Cartes API'!$C:$C,MATCH($B200,'Cartes API'!$A:$A,0))&amp;"."&amp;$C200),"")</f>
        <v/>
      </c>
      <c r="G200" s="23" t="str">
        <f aca="false">IFERROR(IF($B200="","",INDEX('Cartes API'!$H:$H,MATCH($B200,'Cartes API'!$A:$A,0))),"")</f>
        <v/>
      </c>
      <c r="H200" s="4"/>
      <c r="I200" s="23" t="str">
        <f aca="false">IF(OR($G200="",$H200=""),"",$G200&amp;"["&amp;$H200&amp;"]")</f>
        <v/>
      </c>
      <c r="J200" s="23" t="str">
        <f aca="false">IFERROR(INDEX(Cablage!$A:$A,MATCH($I200,Cablage!$F:$F,0)),"")</f>
        <v/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customFormat="false" ht="15" hidden="false" customHeight="true" outlineLevel="0" collapsed="false">
      <c r="A201" s="22"/>
      <c r="B201" s="22"/>
      <c r="C201" s="4"/>
      <c r="D201" s="4"/>
      <c r="E201" s="4"/>
      <c r="F201" s="23" t="str">
        <f aca="false">IFERROR(IF(OR($B201="",$C201=""),"",INDEX('Cartes API'!$J:$J,MATCH($B201,'Cartes API'!$A:$A,0))&amp;INDEX('Cartes API'!$B:$B,MATCH($B201,'Cartes API'!$A:$A,0))&amp;"."&amp;INDEX('Cartes API'!$C:$C,MATCH($B201,'Cartes API'!$A:$A,0))&amp;"."&amp;$C201),"")</f>
        <v/>
      </c>
      <c r="G201" s="23" t="str">
        <f aca="false">IFERROR(IF($B201="","",INDEX('Cartes API'!$H:$H,MATCH($B201,'Cartes API'!$A:$A,0))),"")</f>
        <v/>
      </c>
      <c r="H201" s="4"/>
      <c r="I201" s="23" t="str">
        <f aca="false">IF(OR($G201="",$H201=""),"",$G201&amp;"["&amp;$H201&amp;"]")</f>
        <v/>
      </c>
      <c r="J201" s="23" t="str">
        <f aca="false">IFERROR(INDEX(Cablage!$A:$A,MATCH($I201,Cablage!$F:$F,0)),"")</f>
        <v/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customFormat="false" ht="15" hidden="false" customHeight="true" outlineLevel="0" collapsed="false">
      <c r="A202" s="22"/>
      <c r="B202" s="22"/>
      <c r="C202" s="4"/>
      <c r="D202" s="4"/>
      <c r="E202" s="4"/>
      <c r="F202" s="23" t="str">
        <f aca="false">IFERROR(IF(OR($B202="",$C202=""),"",INDEX('Cartes API'!$J:$J,MATCH($B202,'Cartes API'!$A:$A,0))&amp;INDEX('Cartes API'!$B:$B,MATCH($B202,'Cartes API'!$A:$A,0))&amp;"."&amp;INDEX('Cartes API'!$C:$C,MATCH($B202,'Cartes API'!$A:$A,0))&amp;"."&amp;$C202),"")</f>
        <v/>
      </c>
      <c r="G202" s="23" t="str">
        <f aca="false">IFERROR(IF($B202="","",INDEX('Cartes API'!$H:$H,MATCH($B202,'Cartes API'!$A:$A,0))),"")</f>
        <v/>
      </c>
      <c r="H202" s="4"/>
      <c r="I202" s="23" t="str">
        <f aca="false">IF(OR($G202="",$H202=""),"",$G202&amp;"["&amp;$H202&amp;"]")</f>
        <v/>
      </c>
      <c r="J202" s="23" t="str">
        <f aca="false">IFERROR(INDEX(Cablage!$A:$A,MATCH($I202,Cablage!$F:$F,0)),"")</f>
        <v/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customFormat="false" ht="15" hidden="false" customHeight="true" outlineLevel="0" collapsed="false">
      <c r="A203" s="22"/>
      <c r="B203" s="22"/>
      <c r="C203" s="4"/>
      <c r="D203" s="4"/>
      <c r="E203" s="4"/>
      <c r="F203" s="23" t="str">
        <f aca="false">IFERROR(IF(OR($B203="",$C203=""),"",INDEX('Cartes API'!$J:$J,MATCH($B203,'Cartes API'!$A:$A,0))&amp;INDEX('Cartes API'!$B:$B,MATCH($B203,'Cartes API'!$A:$A,0))&amp;"."&amp;INDEX('Cartes API'!$C:$C,MATCH($B203,'Cartes API'!$A:$A,0))&amp;"."&amp;$C203),"")</f>
        <v/>
      </c>
      <c r="G203" s="23" t="str">
        <f aca="false">IFERROR(IF($B203="","",INDEX('Cartes API'!$H:$H,MATCH($B203,'Cartes API'!$A:$A,0))),"")</f>
        <v/>
      </c>
      <c r="H203" s="4"/>
      <c r="I203" s="23" t="str">
        <f aca="false">IF(OR($G203="",$H203=""),"",$G203&amp;"["&amp;$H203&amp;"]")</f>
        <v/>
      </c>
      <c r="J203" s="23" t="str">
        <f aca="false">IFERROR(INDEX(Cablage!$A:$A,MATCH($I203,Cablage!$F:$F,0)),"")</f>
        <v/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customFormat="false" ht="15" hidden="false" customHeight="true" outlineLevel="0" collapsed="false">
      <c r="A204" s="22"/>
      <c r="B204" s="22"/>
      <c r="C204" s="4"/>
      <c r="D204" s="4"/>
      <c r="E204" s="4"/>
      <c r="F204" s="23" t="str">
        <f aca="false">IFERROR(IF(OR($B204="",$C204=""),"",INDEX('Cartes API'!$J:$J,MATCH($B204,'Cartes API'!$A:$A,0))&amp;INDEX('Cartes API'!$B:$B,MATCH($B204,'Cartes API'!$A:$A,0))&amp;"."&amp;INDEX('Cartes API'!$C:$C,MATCH($B204,'Cartes API'!$A:$A,0))&amp;"."&amp;$C204),"")</f>
        <v/>
      </c>
      <c r="G204" s="23" t="str">
        <f aca="false">IFERROR(IF($B204="","",INDEX('Cartes API'!$H:$H,MATCH($B204,'Cartes API'!$A:$A,0))),"")</f>
        <v/>
      </c>
      <c r="H204" s="4"/>
      <c r="I204" s="23" t="str">
        <f aca="false">IF(OR($G204="",$H204=""),"",$G204&amp;"["&amp;$H204&amp;"]")</f>
        <v/>
      </c>
      <c r="J204" s="23" t="str">
        <f aca="false">IFERROR(INDEX(Cablage!$A:$A,MATCH($I204,Cablage!$F:$F,0)),"")</f>
        <v/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customFormat="false" ht="15" hidden="false" customHeight="true" outlineLevel="0" collapsed="false">
      <c r="A205" s="22"/>
      <c r="B205" s="22"/>
      <c r="C205" s="4"/>
      <c r="D205" s="4"/>
      <c r="E205" s="4"/>
      <c r="F205" s="23" t="str">
        <f aca="false">IFERROR(IF(OR($B205="",$C205=""),"",INDEX('Cartes API'!$J:$J,MATCH($B205,'Cartes API'!$A:$A,0))&amp;INDEX('Cartes API'!$B:$B,MATCH($B205,'Cartes API'!$A:$A,0))&amp;"."&amp;INDEX('Cartes API'!$C:$C,MATCH($B205,'Cartes API'!$A:$A,0))&amp;"."&amp;$C205),"")</f>
        <v/>
      </c>
      <c r="G205" s="23" t="str">
        <f aca="false">IFERROR(IF($B205="","",INDEX('Cartes API'!$H:$H,MATCH($B205,'Cartes API'!$A:$A,0))),"")</f>
        <v/>
      </c>
      <c r="H205" s="4"/>
      <c r="I205" s="23" t="str">
        <f aca="false">IF(OR($G205="",$H205=""),"",$G205&amp;"["&amp;$H205&amp;"]")</f>
        <v/>
      </c>
      <c r="J205" s="23" t="str">
        <f aca="false">IFERROR(INDEX(Cablage!$A:$A,MATCH($I205,Cablage!$F:$F,0)),"")</f>
        <v/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customFormat="false" ht="15" hidden="false" customHeight="true" outlineLevel="0" collapsed="false">
      <c r="A206" s="22"/>
      <c r="B206" s="22"/>
      <c r="C206" s="4"/>
      <c r="D206" s="4"/>
      <c r="E206" s="4"/>
      <c r="F206" s="23" t="str">
        <f aca="false">IFERROR(IF(OR($B206="",$C206=""),"",INDEX('Cartes API'!$J:$J,MATCH($B206,'Cartes API'!$A:$A,0))&amp;INDEX('Cartes API'!$B:$B,MATCH($B206,'Cartes API'!$A:$A,0))&amp;"."&amp;INDEX('Cartes API'!$C:$C,MATCH($B206,'Cartes API'!$A:$A,0))&amp;"."&amp;$C206),"")</f>
        <v/>
      </c>
      <c r="G206" s="23" t="str">
        <f aca="false">IFERROR(IF($B206="","",INDEX('Cartes API'!$H:$H,MATCH($B206,'Cartes API'!$A:$A,0))),"")</f>
        <v/>
      </c>
      <c r="H206" s="4"/>
      <c r="I206" s="23" t="str">
        <f aca="false">IF(OR($G206="",$H206=""),"",$G206&amp;"["&amp;$H206&amp;"]")</f>
        <v/>
      </c>
      <c r="J206" s="23" t="str">
        <f aca="false">IFERROR(INDEX(Cablage!$A:$A,MATCH($I206,Cablage!$F:$F,0)),"")</f>
        <v/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customFormat="false" ht="15" hidden="false" customHeight="true" outlineLevel="0" collapsed="false">
      <c r="A207" s="22"/>
      <c r="B207" s="22"/>
      <c r="C207" s="4"/>
      <c r="D207" s="4"/>
      <c r="E207" s="4"/>
      <c r="F207" s="23" t="str">
        <f aca="false">IFERROR(IF(OR($B207="",$C207=""),"",INDEX('Cartes API'!$J:$J,MATCH($B207,'Cartes API'!$A:$A,0))&amp;INDEX('Cartes API'!$B:$B,MATCH($B207,'Cartes API'!$A:$A,0))&amp;"."&amp;INDEX('Cartes API'!$C:$C,MATCH($B207,'Cartes API'!$A:$A,0))&amp;"."&amp;$C207),"")</f>
        <v/>
      </c>
      <c r="G207" s="23" t="str">
        <f aca="false">IFERROR(IF($B207="","",INDEX('Cartes API'!$H:$H,MATCH($B207,'Cartes API'!$A:$A,0))),"")</f>
        <v/>
      </c>
      <c r="H207" s="4"/>
      <c r="I207" s="23" t="str">
        <f aca="false">IF(OR($G207="",$H207=""),"",$G207&amp;"["&amp;$H207&amp;"]")</f>
        <v/>
      </c>
      <c r="J207" s="23" t="str">
        <f aca="false">IFERROR(INDEX(Cablage!$A:$A,MATCH($I207,Cablage!$F:$F,0)),"")</f>
        <v/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customFormat="false" ht="15" hidden="false" customHeight="true" outlineLevel="0" collapsed="false">
      <c r="A208" s="22"/>
      <c r="B208" s="22"/>
      <c r="C208" s="4"/>
      <c r="D208" s="4"/>
      <c r="E208" s="4"/>
      <c r="F208" s="23" t="str">
        <f aca="false">IFERROR(IF(OR($B208="",$C208=""),"",INDEX('Cartes API'!$J:$J,MATCH($B208,'Cartes API'!$A:$A,0))&amp;INDEX('Cartes API'!$B:$B,MATCH($B208,'Cartes API'!$A:$A,0))&amp;"."&amp;INDEX('Cartes API'!$C:$C,MATCH($B208,'Cartes API'!$A:$A,0))&amp;"."&amp;$C208),"")</f>
        <v/>
      </c>
      <c r="G208" s="23" t="str">
        <f aca="false">IFERROR(IF($B208="","",INDEX('Cartes API'!$H:$H,MATCH($B208,'Cartes API'!$A:$A,0))),"")</f>
        <v/>
      </c>
      <c r="H208" s="4"/>
      <c r="I208" s="23" t="str">
        <f aca="false">IF(OR($G208="",$H208=""),"",$G208&amp;"["&amp;$H208&amp;"]")</f>
        <v/>
      </c>
      <c r="J208" s="23" t="str">
        <f aca="false">IFERROR(INDEX(Cablage!$A:$A,MATCH($I208,Cablage!$F:$F,0)),"")</f>
        <v/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customFormat="false" ht="15" hidden="false" customHeight="true" outlineLevel="0" collapsed="false">
      <c r="A209" s="22"/>
      <c r="B209" s="22"/>
      <c r="C209" s="4"/>
      <c r="D209" s="4"/>
      <c r="E209" s="4"/>
      <c r="F209" s="23" t="str">
        <f aca="false">IFERROR(IF(OR($B209="",$C209=""),"",INDEX('Cartes API'!$J:$J,MATCH($B209,'Cartes API'!$A:$A,0))&amp;INDEX('Cartes API'!$B:$B,MATCH($B209,'Cartes API'!$A:$A,0))&amp;"."&amp;INDEX('Cartes API'!$C:$C,MATCH($B209,'Cartes API'!$A:$A,0))&amp;"."&amp;$C209),"")</f>
        <v/>
      </c>
      <c r="G209" s="23" t="str">
        <f aca="false">IFERROR(IF($B209="","",INDEX('Cartes API'!$H:$H,MATCH($B209,'Cartes API'!$A:$A,0))),"")</f>
        <v/>
      </c>
      <c r="H209" s="4"/>
      <c r="I209" s="23" t="str">
        <f aca="false">IF(OR($G209="",$H209=""),"",$G209&amp;"["&amp;$H209&amp;"]")</f>
        <v/>
      </c>
      <c r="J209" s="23" t="str">
        <f aca="false">IFERROR(INDEX(Cablage!$A:$A,MATCH($I209,Cablage!$F:$F,0)),"")</f>
        <v/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customFormat="false" ht="15" hidden="false" customHeight="true" outlineLevel="0" collapsed="false">
      <c r="A210" s="22"/>
      <c r="B210" s="22"/>
      <c r="C210" s="4"/>
      <c r="D210" s="4"/>
      <c r="E210" s="4"/>
      <c r="F210" s="23" t="str">
        <f aca="false">IFERROR(IF(OR($B210="",$C210=""),"",INDEX('Cartes API'!$J:$J,MATCH($B210,'Cartes API'!$A:$A,0))&amp;INDEX('Cartes API'!$B:$B,MATCH($B210,'Cartes API'!$A:$A,0))&amp;"."&amp;INDEX('Cartes API'!$C:$C,MATCH($B210,'Cartes API'!$A:$A,0))&amp;"."&amp;$C210),"")</f>
        <v/>
      </c>
      <c r="G210" s="23" t="str">
        <f aca="false">IFERROR(IF($B210="","",INDEX('Cartes API'!$H:$H,MATCH($B210,'Cartes API'!$A:$A,0))),"")</f>
        <v/>
      </c>
      <c r="H210" s="4"/>
      <c r="I210" s="23" t="str">
        <f aca="false">IF(OR($G210="",$H210=""),"",$G210&amp;"["&amp;$H210&amp;"]")</f>
        <v/>
      </c>
      <c r="J210" s="23" t="str">
        <f aca="false">IFERROR(INDEX(Cablage!$A:$A,MATCH($I210,Cablage!$F:$F,0)),"")</f>
        <v/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customFormat="false" ht="15" hidden="false" customHeight="true" outlineLevel="0" collapsed="false">
      <c r="A211" s="22"/>
      <c r="B211" s="22"/>
      <c r="C211" s="4"/>
      <c r="D211" s="4"/>
      <c r="E211" s="4"/>
      <c r="F211" s="23" t="str">
        <f aca="false">IFERROR(IF(OR($B211="",$C211=""),"",INDEX('Cartes API'!$J:$J,MATCH($B211,'Cartes API'!$A:$A,0))&amp;INDEX('Cartes API'!$B:$B,MATCH($B211,'Cartes API'!$A:$A,0))&amp;"."&amp;INDEX('Cartes API'!$C:$C,MATCH($B211,'Cartes API'!$A:$A,0))&amp;"."&amp;$C211),"")</f>
        <v/>
      </c>
      <c r="G211" s="23" t="str">
        <f aca="false">IFERROR(IF($B211="","",INDEX('Cartes API'!$H:$H,MATCH($B211,'Cartes API'!$A:$A,0))),"")</f>
        <v/>
      </c>
      <c r="H211" s="4"/>
      <c r="I211" s="23" t="str">
        <f aca="false">IF(OR($G211="",$H211=""),"",$G211&amp;"["&amp;$H211&amp;"]")</f>
        <v/>
      </c>
      <c r="J211" s="23" t="str">
        <f aca="false">IFERROR(INDEX(Cablage!$A:$A,MATCH($I211,Cablage!$F:$F,0)),"")</f>
        <v/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customFormat="false" ht="15" hidden="false" customHeight="true" outlineLevel="0" collapsed="false">
      <c r="A212" s="22"/>
      <c r="B212" s="22"/>
      <c r="C212" s="4"/>
      <c r="D212" s="4"/>
      <c r="E212" s="4"/>
      <c r="F212" s="23" t="str">
        <f aca="false">IFERROR(IF(OR($B212="",$C212=""),"",INDEX('Cartes API'!$J:$J,MATCH($B212,'Cartes API'!$A:$A,0))&amp;INDEX('Cartes API'!$B:$B,MATCH($B212,'Cartes API'!$A:$A,0))&amp;"."&amp;INDEX('Cartes API'!$C:$C,MATCH($B212,'Cartes API'!$A:$A,0))&amp;"."&amp;$C212),"")</f>
        <v/>
      </c>
      <c r="G212" s="23" t="str">
        <f aca="false">IFERROR(IF($B212="","",INDEX('Cartes API'!$H:$H,MATCH($B212,'Cartes API'!$A:$A,0))),"")</f>
        <v/>
      </c>
      <c r="H212" s="4"/>
      <c r="I212" s="23" t="str">
        <f aca="false">IF(OR($G212="",$H212=""),"",$G212&amp;"["&amp;$H212&amp;"]")</f>
        <v/>
      </c>
      <c r="J212" s="23" t="str">
        <f aca="false">IFERROR(INDEX(Cablage!$A:$A,MATCH($I212,Cablage!$F:$F,0)),"")</f>
        <v/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customFormat="false" ht="15" hidden="false" customHeight="true" outlineLevel="0" collapsed="false">
      <c r="A213" s="22"/>
      <c r="B213" s="22"/>
      <c r="C213" s="4"/>
      <c r="D213" s="4"/>
      <c r="E213" s="4"/>
      <c r="F213" s="23" t="str">
        <f aca="false">IFERROR(IF(OR($B213="",$C213=""),"",INDEX('Cartes API'!$J:$J,MATCH($B213,'Cartes API'!$A:$A,0))&amp;INDEX('Cartes API'!$B:$B,MATCH($B213,'Cartes API'!$A:$A,0))&amp;"."&amp;INDEX('Cartes API'!$C:$C,MATCH($B213,'Cartes API'!$A:$A,0))&amp;"."&amp;$C213),"")</f>
        <v/>
      </c>
      <c r="G213" s="23" t="str">
        <f aca="false">IFERROR(IF($B213="","",INDEX('Cartes API'!$H:$H,MATCH($B213,'Cartes API'!$A:$A,0))),"")</f>
        <v/>
      </c>
      <c r="H213" s="4"/>
      <c r="I213" s="23" t="str">
        <f aca="false">IF(OR($G213="",$H213=""),"",$G213&amp;"["&amp;$H213&amp;"]")</f>
        <v/>
      </c>
      <c r="J213" s="23" t="str">
        <f aca="false">IFERROR(INDEX(Cablage!$A:$A,MATCH($I213,Cablage!$F:$F,0)),"")</f>
        <v/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customFormat="false" ht="15" hidden="false" customHeight="true" outlineLevel="0" collapsed="false">
      <c r="A214" s="22"/>
      <c r="B214" s="22"/>
      <c r="C214" s="4"/>
      <c r="D214" s="4"/>
      <c r="E214" s="4"/>
      <c r="F214" s="23" t="str">
        <f aca="false">IFERROR(IF(OR($B214="",$C214=""),"",INDEX('Cartes API'!$J:$J,MATCH($B214,'Cartes API'!$A:$A,0))&amp;INDEX('Cartes API'!$B:$B,MATCH($B214,'Cartes API'!$A:$A,0))&amp;"."&amp;INDEX('Cartes API'!$C:$C,MATCH($B214,'Cartes API'!$A:$A,0))&amp;"."&amp;$C214),"")</f>
        <v/>
      </c>
      <c r="G214" s="23" t="str">
        <f aca="false">IFERROR(IF($B214="","",INDEX('Cartes API'!$H:$H,MATCH($B214,'Cartes API'!$A:$A,0))),"")</f>
        <v/>
      </c>
      <c r="H214" s="4"/>
      <c r="I214" s="23" t="str">
        <f aca="false">IF(OR($G214="",$H214=""),"",$G214&amp;"["&amp;$H214&amp;"]")</f>
        <v/>
      </c>
      <c r="J214" s="23" t="str">
        <f aca="false">IFERROR(INDEX(Cablage!$A:$A,MATCH($I214,Cablage!$F:$F,0)),"")</f>
        <v/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customFormat="false" ht="15" hidden="false" customHeight="true" outlineLevel="0" collapsed="false">
      <c r="A215" s="22"/>
      <c r="B215" s="22"/>
      <c r="C215" s="4"/>
      <c r="D215" s="4"/>
      <c r="E215" s="4"/>
      <c r="F215" s="23" t="str">
        <f aca="false">IFERROR(IF(OR($B215="",$C215=""),"",INDEX('Cartes API'!$J:$J,MATCH($B215,'Cartes API'!$A:$A,0))&amp;INDEX('Cartes API'!$B:$B,MATCH($B215,'Cartes API'!$A:$A,0))&amp;"."&amp;INDEX('Cartes API'!$C:$C,MATCH($B215,'Cartes API'!$A:$A,0))&amp;"."&amp;$C215),"")</f>
        <v/>
      </c>
      <c r="G215" s="23" t="str">
        <f aca="false">IFERROR(IF($B215="","",INDEX('Cartes API'!$H:$H,MATCH($B215,'Cartes API'!$A:$A,0))),"")</f>
        <v/>
      </c>
      <c r="H215" s="4"/>
      <c r="I215" s="23" t="str">
        <f aca="false">IF(OR($G215="",$H215=""),"",$G215&amp;"["&amp;$H215&amp;"]")</f>
        <v/>
      </c>
      <c r="J215" s="23" t="str">
        <f aca="false">IFERROR(INDEX(Cablage!$A:$A,MATCH($I215,Cablage!$F:$F,0)),"")</f>
        <v/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customFormat="false" ht="15" hidden="false" customHeight="true" outlineLevel="0" collapsed="false">
      <c r="A216" s="22"/>
      <c r="B216" s="22"/>
      <c r="C216" s="4"/>
      <c r="D216" s="4"/>
      <c r="E216" s="4"/>
      <c r="F216" s="23" t="str">
        <f aca="false">IFERROR(IF(OR($B216="",$C216=""),"",INDEX('Cartes API'!$J:$J,MATCH($B216,'Cartes API'!$A:$A,0))&amp;INDEX('Cartes API'!$B:$B,MATCH($B216,'Cartes API'!$A:$A,0))&amp;"."&amp;INDEX('Cartes API'!$C:$C,MATCH($B216,'Cartes API'!$A:$A,0))&amp;"."&amp;$C216),"")</f>
        <v/>
      </c>
      <c r="G216" s="23" t="str">
        <f aca="false">IFERROR(IF($B216="","",INDEX('Cartes API'!$H:$H,MATCH($B216,'Cartes API'!$A:$A,0))),"")</f>
        <v/>
      </c>
      <c r="H216" s="4"/>
      <c r="I216" s="23" t="str">
        <f aca="false">IF(OR($G216="",$H216=""),"",$G216&amp;"["&amp;$H216&amp;"]")</f>
        <v/>
      </c>
      <c r="J216" s="23" t="str">
        <f aca="false">IFERROR(INDEX(Cablage!$A:$A,MATCH($I216,Cablage!$F:$F,0)),"")</f>
        <v/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customFormat="false" ht="15" hidden="false" customHeight="true" outlineLevel="0" collapsed="false">
      <c r="A217" s="22"/>
      <c r="B217" s="22"/>
      <c r="C217" s="4"/>
      <c r="D217" s="4"/>
      <c r="E217" s="4"/>
      <c r="F217" s="23" t="str">
        <f aca="false">IFERROR(IF(OR($B217="",$C217=""),"",INDEX('Cartes API'!$J:$J,MATCH($B217,'Cartes API'!$A:$A,0))&amp;INDEX('Cartes API'!$B:$B,MATCH($B217,'Cartes API'!$A:$A,0))&amp;"."&amp;INDEX('Cartes API'!$C:$C,MATCH($B217,'Cartes API'!$A:$A,0))&amp;"."&amp;$C217),"")</f>
        <v/>
      </c>
      <c r="G217" s="23" t="str">
        <f aca="false">IFERROR(IF($B217="","",INDEX('Cartes API'!$H:$H,MATCH($B217,'Cartes API'!$A:$A,0))),"")</f>
        <v/>
      </c>
      <c r="H217" s="4"/>
      <c r="I217" s="23" t="str">
        <f aca="false">IF(OR($G217="",$H217=""),"",$G217&amp;"["&amp;$H217&amp;"]")</f>
        <v/>
      </c>
      <c r="J217" s="23" t="str">
        <f aca="false">IFERROR(INDEX(Cablage!$A:$A,MATCH($I217,Cablage!$F:$F,0)),"")</f>
        <v/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customFormat="false" ht="15" hidden="false" customHeight="true" outlineLevel="0" collapsed="false">
      <c r="A218" s="22"/>
      <c r="B218" s="22"/>
      <c r="C218" s="4"/>
      <c r="D218" s="4"/>
      <c r="E218" s="4"/>
      <c r="F218" s="23" t="str">
        <f aca="false">IFERROR(IF(OR($B218="",$C218=""),"",INDEX('Cartes API'!$J:$J,MATCH($B218,'Cartes API'!$A:$A,0))&amp;INDEX('Cartes API'!$B:$B,MATCH($B218,'Cartes API'!$A:$A,0))&amp;"."&amp;INDEX('Cartes API'!$C:$C,MATCH($B218,'Cartes API'!$A:$A,0))&amp;"."&amp;$C218),"")</f>
        <v/>
      </c>
      <c r="G218" s="23" t="str">
        <f aca="false">IFERROR(IF($B218="","",INDEX('Cartes API'!$H:$H,MATCH($B218,'Cartes API'!$A:$A,0))),"")</f>
        <v/>
      </c>
      <c r="H218" s="4"/>
      <c r="I218" s="23" t="str">
        <f aca="false">IF(OR($G218="",$H218=""),"",$G218&amp;"["&amp;$H218&amp;"]")</f>
        <v/>
      </c>
      <c r="J218" s="23" t="str">
        <f aca="false">IFERROR(INDEX(Cablage!$A:$A,MATCH($I218,Cablage!$F:$F,0)),"")</f>
        <v/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customFormat="false" ht="15" hidden="false" customHeight="true" outlineLevel="0" collapsed="false">
      <c r="A219" s="22"/>
      <c r="B219" s="22"/>
      <c r="C219" s="4"/>
      <c r="D219" s="4"/>
      <c r="E219" s="4"/>
      <c r="F219" s="23" t="str">
        <f aca="false">IFERROR(IF(OR($B219="",$C219=""),"",INDEX('Cartes API'!$J:$J,MATCH($B219,'Cartes API'!$A:$A,0))&amp;INDEX('Cartes API'!$B:$B,MATCH($B219,'Cartes API'!$A:$A,0))&amp;"."&amp;INDEX('Cartes API'!$C:$C,MATCH($B219,'Cartes API'!$A:$A,0))&amp;"."&amp;$C219),"")</f>
        <v/>
      </c>
      <c r="G219" s="23" t="str">
        <f aca="false">IFERROR(IF($B219="","",INDEX('Cartes API'!$H:$H,MATCH($B219,'Cartes API'!$A:$A,0))),"")</f>
        <v/>
      </c>
      <c r="H219" s="4"/>
      <c r="I219" s="23" t="str">
        <f aca="false">IF(OR($G219="",$H219=""),"",$G219&amp;"["&amp;$H219&amp;"]")</f>
        <v/>
      </c>
      <c r="J219" s="23" t="str">
        <f aca="false">IFERROR(INDEX(Cablage!$A:$A,MATCH($I219,Cablage!$F:$F,0)),"")</f>
        <v/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customFormat="false" ht="15" hidden="false" customHeight="true" outlineLevel="0" collapsed="false">
      <c r="A220" s="22"/>
      <c r="B220" s="22"/>
      <c r="C220" s="4"/>
      <c r="D220" s="4"/>
      <c r="E220" s="4"/>
      <c r="F220" s="23" t="str">
        <f aca="false">IFERROR(IF(OR($B220="",$C220=""),"",INDEX('Cartes API'!$J:$J,MATCH($B220,'Cartes API'!$A:$A,0))&amp;INDEX('Cartes API'!$B:$B,MATCH($B220,'Cartes API'!$A:$A,0))&amp;"."&amp;INDEX('Cartes API'!$C:$C,MATCH($B220,'Cartes API'!$A:$A,0))&amp;"."&amp;$C220),"")</f>
        <v/>
      </c>
      <c r="G220" s="23" t="str">
        <f aca="false">IFERROR(IF($B220="","",INDEX('Cartes API'!$H:$H,MATCH($B220,'Cartes API'!$A:$A,0))),"")</f>
        <v/>
      </c>
      <c r="H220" s="4"/>
      <c r="I220" s="23" t="str">
        <f aca="false">IF(OR($G220="",$H220=""),"",$G220&amp;"["&amp;$H220&amp;"]")</f>
        <v/>
      </c>
      <c r="J220" s="23" t="str">
        <f aca="false">IFERROR(INDEX(Cablage!$A:$A,MATCH($I220,Cablage!$F:$F,0)),"")</f>
        <v/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customFormat="false" ht="15" hidden="false" customHeight="true" outlineLevel="0" collapsed="false">
      <c r="A221" s="22"/>
      <c r="B221" s="22"/>
      <c r="C221" s="4"/>
      <c r="D221" s="4"/>
      <c r="E221" s="4"/>
      <c r="F221" s="23" t="str">
        <f aca="false">IFERROR(IF(OR($B221="",$C221=""),"",INDEX('Cartes API'!$J:$J,MATCH($B221,'Cartes API'!$A:$A,0))&amp;INDEX('Cartes API'!$B:$B,MATCH($B221,'Cartes API'!$A:$A,0))&amp;"."&amp;INDEX('Cartes API'!$C:$C,MATCH($B221,'Cartes API'!$A:$A,0))&amp;"."&amp;$C221),"")</f>
        <v/>
      </c>
      <c r="G221" s="23" t="str">
        <f aca="false">IFERROR(IF($B221="","",INDEX('Cartes API'!$H:$H,MATCH($B221,'Cartes API'!$A:$A,0))),"")</f>
        <v/>
      </c>
      <c r="H221" s="4"/>
      <c r="I221" s="23" t="str">
        <f aca="false">IF(OR($G221="",$H221=""),"",$G221&amp;"["&amp;$H221&amp;"]")</f>
        <v/>
      </c>
      <c r="J221" s="23" t="str">
        <f aca="false">IFERROR(INDEX(Cablage!$A:$A,MATCH($I221,Cablage!$F:$F,0)),"")</f>
        <v/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customFormat="false" ht="15" hidden="false" customHeight="true" outlineLevel="0" collapsed="false">
      <c r="A222" s="22"/>
      <c r="B222" s="22"/>
      <c r="C222" s="4"/>
      <c r="D222" s="4"/>
      <c r="E222" s="4"/>
      <c r="F222" s="23" t="str">
        <f aca="false">IFERROR(IF(OR($B222="",$C222=""),"",INDEX('Cartes API'!$J:$J,MATCH($B222,'Cartes API'!$A:$A,0))&amp;INDEX('Cartes API'!$B:$B,MATCH($B222,'Cartes API'!$A:$A,0))&amp;"."&amp;INDEX('Cartes API'!$C:$C,MATCH($B222,'Cartes API'!$A:$A,0))&amp;"."&amp;$C222),"")</f>
        <v/>
      </c>
      <c r="G222" s="23" t="str">
        <f aca="false">IFERROR(IF($B222="","",INDEX('Cartes API'!$H:$H,MATCH($B222,'Cartes API'!$A:$A,0))),"")</f>
        <v/>
      </c>
      <c r="H222" s="4"/>
      <c r="I222" s="23" t="str">
        <f aca="false">IF(OR($G222="",$H222=""),"",$G222&amp;"["&amp;$H222&amp;"]")</f>
        <v/>
      </c>
      <c r="J222" s="23" t="str">
        <f aca="false">IFERROR(INDEX(Cablage!$A:$A,MATCH($I222,Cablage!$F:$F,0)),"")</f>
        <v/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customFormat="false" ht="15" hidden="false" customHeight="true" outlineLevel="0" collapsed="false">
      <c r="A223" s="22"/>
      <c r="B223" s="22"/>
      <c r="C223" s="4"/>
      <c r="D223" s="4"/>
      <c r="E223" s="4"/>
      <c r="F223" s="23" t="str">
        <f aca="false">IFERROR(IF(OR($B223="",$C223=""),"",INDEX('Cartes API'!$J:$J,MATCH($B223,'Cartes API'!$A:$A,0))&amp;INDEX('Cartes API'!$B:$B,MATCH($B223,'Cartes API'!$A:$A,0))&amp;"."&amp;INDEX('Cartes API'!$C:$C,MATCH($B223,'Cartes API'!$A:$A,0))&amp;"."&amp;$C223),"")</f>
        <v/>
      </c>
      <c r="G223" s="23" t="str">
        <f aca="false">IFERROR(IF($B223="","",INDEX('Cartes API'!$H:$H,MATCH($B223,'Cartes API'!$A:$A,0))),"")</f>
        <v/>
      </c>
      <c r="H223" s="4"/>
      <c r="I223" s="23" t="str">
        <f aca="false">IF(OR($G223="",$H223=""),"",$G223&amp;"["&amp;$H223&amp;"]")</f>
        <v/>
      </c>
      <c r="J223" s="23" t="str">
        <f aca="false">IFERROR(INDEX(Cablage!$A:$A,MATCH($I223,Cablage!$F:$F,0)),"")</f>
        <v/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customFormat="false" ht="15" hidden="false" customHeight="true" outlineLevel="0" collapsed="false">
      <c r="A224" s="22"/>
      <c r="B224" s="22"/>
      <c r="C224" s="4"/>
      <c r="D224" s="4"/>
      <c r="E224" s="4"/>
      <c r="F224" s="23" t="str">
        <f aca="false">IFERROR(IF(OR($B224="",$C224=""),"",INDEX('Cartes API'!$J:$J,MATCH($B224,'Cartes API'!$A:$A,0))&amp;INDEX('Cartes API'!$B:$B,MATCH($B224,'Cartes API'!$A:$A,0))&amp;"."&amp;INDEX('Cartes API'!$C:$C,MATCH($B224,'Cartes API'!$A:$A,0))&amp;"."&amp;$C224),"")</f>
        <v/>
      </c>
      <c r="G224" s="23" t="str">
        <f aca="false">IFERROR(IF($B224="","",INDEX('Cartes API'!$H:$H,MATCH($B224,'Cartes API'!$A:$A,0))),"")</f>
        <v/>
      </c>
      <c r="H224" s="4"/>
      <c r="I224" s="23" t="str">
        <f aca="false">IF(OR($G224="",$H224=""),"",$G224&amp;"["&amp;$H224&amp;"]")</f>
        <v/>
      </c>
      <c r="J224" s="23" t="str">
        <f aca="false">IFERROR(INDEX(Cablage!$A:$A,MATCH($I224,Cablage!$F:$F,0)),"")</f>
        <v/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customFormat="false" ht="15" hidden="false" customHeight="true" outlineLevel="0" collapsed="false">
      <c r="A225" s="22"/>
      <c r="B225" s="22"/>
      <c r="C225" s="4"/>
      <c r="D225" s="4"/>
      <c r="E225" s="4"/>
      <c r="F225" s="23" t="str">
        <f aca="false">IFERROR(IF(OR($B225="",$C225=""),"",INDEX('Cartes API'!$J:$J,MATCH($B225,'Cartes API'!$A:$A,0))&amp;INDEX('Cartes API'!$B:$B,MATCH($B225,'Cartes API'!$A:$A,0))&amp;"."&amp;INDEX('Cartes API'!$C:$C,MATCH($B225,'Cartes API'!$A:$A,0))&amp;"."&amp;$C225),"")</f>
        <v/>
      </c>
      <c r="G225" s="23" t="str">
        <f aca="false">IFERROR(IF($B225="","",INDEX('Cartes API'!$H:$H,MATCH($B225,'Cartes API'!$A:$A,0))),"")</f>
        <v/>
      </c>
      <c r="H225" s="4"/>
      <c r="I225" s="23" t="str">
        <f aca="false">IF(OR($G225="",$H225=""),"",$G225&amp;"["&amp;$H225&amp;"]")</f>
        <v/>
      </c>
      <c r="J225" s="23" t="str">
        <f aca="false">IFERROR(INDEX(Cablage!$A:$A,MATCH($I225,Cablage!$F:$F,0)),"")</f>
        <v/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customFormat="false" ht="15" hidden="false" customHeight="true" outlineLevel="0" collapsed="false">
      <c r="A226" s="22"/>
      <c r="B226" s="22"/>
      <c r="C226" s="4"/>
      <c r="D226" s="4"/>
      <c r="E226" s="4"/>
      <c r="F226" s="23" t="str">
        <f aca="false">IFERROR(IF(OR($B226="",$C226=""),"",INDEX('Cartes API'!$J:$J,MATCH($B226,'Cartes API'!$A:$A,0))&amp;INDEX('Cartes API'!$B:$B,MATCH($B226,'Cartes API'!$A:$A,0))&amp;"."&amp;INDEX('Cartes API'!$C:$C,MATCH($B226,'Cartes API'!$A:$A,0))&amp;"."&amp;$C226),"")</f>
        <v/>
      </c>
      <c r="G226" s="23" t="str">
        <f aca="false">IFERROR(IF($B226="","",INDEX('Cartes API'!$H:$H,MATCH($B226,'Cartes API'!$A:$A,0))),"")</f>
        <v/>
      </c>
      <c r="H226" s="4"/>
      <c r="I226" s="23" t="str">
        <f aca="false">IF(OR($G226="",$H226=""),"",$G226&amp;"["&amp;$H226&amp;"]")</f>
        <v/>
      </c>
      <c r="J226" s="23" t="str">
        <f aca="false">IFERROR(INDEX(Cablage!$A:$A,MATCH($I226,Cablage!$F:$F,0)),"")</f>
        <v/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customFormat="false" ht="15" hidden="false" customHeight="true" outlineLevel="0" collapsed="false">
      <c r="A227" s="22"/>
      <c r="B227" s="22"/>
      <c r="C227" s="4"/>
      <c r="D227" s="4"/>
      <c r="E227" s="4"/>
      <c r="F227" s="23" t="str">
        <f aca="false">IFERROR(IF(OR($B227="",$C227=""),"",INDEX('Cartes API'!$J:$J,MATCH($B227,'Cartes API'!$A:$A,0))&amp;INDEX('Cartes API'!$B:$B,MATCH($B227,'Cartes API'!$A:$A,0))&amp;"."&amp;INDEX('Cartes API'!$C:$C,MATCH($B227,'Cartes API'!$A:$A,0))&amp;"."&amp;$C227),"")</f>
        <v/>
      </c>
      <c r="G227" s="23" t="str">
        <f aca="false">IFERROR(IF($B227="","",INDEX('Cartes API'!$H:$H,MATCH($B227,'Cartes API'!$A:$A,0))),"")</f>
        <v/>
      </c>
      <c r="H227" s="4"/>
      <c r="I227" s="23" t="str">
        <f aca="false">IF(OR($G227="",$H227=""),"",$G227&amp;"["&amp;$H227&amp;"]")</f>
        <v/>
      </c>
      <c r="J227" s="23" t="str">
        <f aca="false">IFERROR(INDEX(Cablage!$A:$A,MATCH($I227,Cablage!$F:$F,0)),"")</f>
        <v/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customFormat="false" ht="15" hidden="false" customHeight="true" outlineLevel="0" collapsed="false">
      <c r="A228" s="22"/>
      <c r="B228" s="22"/>
      <c r="C228" s="4"/>
      <c r="D228" s="4"/>
      <c r="E228" s="4"/>
      <c r="F228" s="23" t="str">
        <f aca="false">IFERROR(IF(OR($B228="",$C228=""),"",INDEX('Cartes API'!$J:$J,MATCH($B228,'Cartes API'!$A:$A,0))&amp;INDEX('Cartes API'!$B:$B,MATCH($B228,'Cartes API'!$A:$A,0))&amp;"."&amp;INDEX('Cartes API'!$C:$C,MATCH($B228,'Cartes API'!$A:$A,0))&amp;"."&amp;$C228),"")</f>
        <v/>
      </c>
      <c r="G228" s="23" t="str">
        <f aca="false">IFERROR(IF($B228="","",INDEX('Cartes API'!$H:$H,MATCH($B228,'Cartes API'!$A:$A,0))),"")</f>
        <v/>
      </c>
      <c r="H228" s="4"/>
      <c r="I228" s="23" t="str">
        <f aca="false">IF(OR($G228="",$H228=""),"",$G228&amp;"["&amp;$H228&amp;"]")</f>
        <v/>
      </c>
      <c r="J228" s="23" t="str">
        <f aca="false">IFERROR(INDEX(Cablage!$A:$A,MATCH($I228,Cablage!$F:$F,0)),"")</f>
        <v/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customFormat="false" ht="15" hidden="false" customHeight="true" outlineLevel="0" collapsed="false">
      <c r="A229" s="22"/>
      <c r="B229" s="22"/>
      <c r="C229" s="4"/>
      <c r="D229" s="4"/>
      <c r="E229" s="4"/>
      <c r="F229" s="23" t="str">
        <f aca="false">IFERROR(IF(OR($B229="",$C229=""),"",INDEX('Cartes API'!$J:$J,MATCH($B229,'Cartes API'!$A:$A,0))&amp;INDEX('Cartes API'!$B:$B,MATCH($B229,'Cartes API'!$A:$A,0))&amp;"."&amp;INDEX('Cartes API'!$C:$C,MATCH($B229,'Cartes API'!$A:$A,0))&amp;"."&amp;$C229),"")</f>
        <v/>
      </c>
      <c r="G229" s="23" t="str">
        <f aca="false">IFERROR(IF($B229="","",INDEX('Cartes API'!$H:$H,MATCH($B229,'Cartes API'!$A:$A,0))),"")</f>
        <v/>
      </c>
      <c r="H229" s="4"/>
      <c r="I229" s="23" t="str">
        <f aca="false">IF(OR($G229="",$H229=""),"",$G229&amp;"["&amp;$H229&amp;"]")</f>
        <v/>
      </c>
      <c r="J229" s="23" t="str">
        <f aca="false">IFERROR(INDEX(Cablage!$A:$A,MATCH($I229,Cablage!$F:$F,0)),"")</f>
        <v/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customFormat="false" ht="15" hidden="false" customHeight="true" outlineLevel="0" collapsed="false">
      <c r="A230" s="22"/>
      <c r="B230" s="22"/>
      <c r="C230" s="4"/>
      <c r="D230" s="4"/>
      <c r="E230" s="4"/>
      <c r="F230" s="23" t="str">
        <f aca="false">IFERROR(IF(OR($B230="",$C230=""),"",INDEX('Cartes API'!$J:$J,MATCH($B230,'Cartes API'!$A:$A,0))&amp;INDEX('Cartes API'!$B:$B,MATCH($B230,'Cartes API'!$A:$A,0))&amp;"."&amp;INDEX('Cartes API'!$C:$C,MATCH($B230,'Cartes API'!$A:$A,0))&amp;"."&amp;$C230),"")</f>
        <v/>
      </c>
      <c r="G230" s="23" t="str">
        <f aca="false">IFERROR(IF($B230="","",INDEX('Cartes API'!$H:$H,MATCH($B230,'Cartes API'!$A:$A,0))),"")</f>
        <v/>
      </c>
      <c r="H230" s="4"/>
      <c r="I230" s="23" t="str">
        <f aca="false">IF(OR($G230="",$H230=""),"",$G230&amp;"["&amp;$H230&amp;"]")</f>
        <v/>
      </c>
      <c r="J230" s="23" t="str">
        <f aca="false">IFERROR(INDEX(Cablage!$A:$A,MATCH($I230,Cablage!$F:$F,0)),"")</f>
        <v/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customFormat="false" ht="15" hidden="false" customHeight="true" outlineLevel="0" collapsed="false">
      <c r="A231" s="22"/>
      <c r="B231" s="22"/>
      <c r="C231" s="4"/>
      <c r="D231" s="4"/>
      <c r="E231" s="4"/>
      <c r="F231" s="23" t="str">
        <f aca="false">IFERROR(IF(OR($B231="",$C231=""),"",INDEX('Cartes API'!$J:$J,MATCH($B231,'Cartes API'!$A:$A,0))&amp;INDEX('Cartes API'!$B:$B,MATCH($B231,'Cartes API'!$A:$A,0))&amp;"."&amp;INDEX('Cartes API'!$C:$C,MATCH($B231,'Cartes API'!$A:$A,0))&amp;"."&amp;$C231),"")</f>
        <v/>
      </c>
      <c r="G231" s="23" t="str">
        <f aca="false">IFERROR(IF($B231="","",INDEX('Cartes API'!$H:$H,MATCH($B231,'Cartes API'!$A:$A,0))),"")</f>
        <v/>
      </c>
      <c r="H231" s="4"/>
      <c r="I231" s="23" t="str">
        <f aca="false">IF(OR($G231="",$H231=""),"",$G231&amp;"["&amp;$H231&amp;"]")</f>
        <v/>
      </c>
      <c r="J231" s="23" t="str">
        <f aca="false">IFERROR(INDEX(Cablage!$A:$A,MATCH($I231,Cablage!$F:$F,0)),"")</f>
        <v/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customFormat="false" ht="15" hidden="false" customHeight="true" outlineLevel="0" collapsed="false">
      <c r="A232" s="22"/>
      <c r="B232" s="22"/>
      <c r="C232" s="4"/>
      <c r="D232" s="4"/>
      <c r="E232" s="4"/>
      <c r="F232" s="23" t="str">
        <f aca="false">IFERROR(IF(OR($B232="",$C232=""),"",INDEX('Cartes API'!$J:$J,MATCH($B232,'Cartes API'!$A:$A,0))&amp;INDEX('Cartes API'!$B:$B,MATCH($B232,'Cartes API'!$A:$A,0))&amp;"."&amp;INDEX('Cartes API'!$C:$C,MATCH($B232,'Cartes API'!$A:$A,0))&amp;"."&amp;$C232),"")</f>
        <v/>
      </c>
      <c r="G232" s="23" t="str">
        <f aca="false">IFERROR(IF($B232="","",INDEX('Cartes API'!$H:$H,MATCH($B232,'Cartes API'!$A:$A,0))),"")</f>
        <v/>
      </c>
      <c r="H232" s="4"/>
      <c r="I232" s="23" t="str">
        <f aca="false">IF(OR($G232="",$H232=""),"",$G232&amp;"["&amp;$H232&amp;"]")</f>
        <v/>
      </c>
      <c r="J232" s="23" t="str">
        <f aca="false">IFERROR(INDEX(Cablage!$A:$A,MATCH($I232,Cablage!$F:$F,0)),"")</f>
        <v/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customFormat="false" ht="15" hidden="false" customHeight="true" outlineLevel="0" collapsed="false">
      <c r="A233" s="22"/>
      <c r="B233" s="22"/>
      <c r="C233" s="4"/>
      <c r="D233" s="4"/>
      <c r="E233" s="4"/>
      <c r="F233" s="23" t="str">
        <f aca="false">IFERROR(IF(OR($B233="",$C233=""),"",INDEX('Cartes API'!$J:$J,MATCH($B233,'Cartes API'!$A:$A,0))&amp;INDEX('Cartes API'!$B:$B,MATCH($B233,'Cartes API'!$A:$A,0))&amp;"."&amp;INDEX('Cartes API'!$C:$C,MATCH($B233,'Cartes API'!$A:$A,0))&amp;"."&amp;$C233),"")</f>
        <v/>
      </c>
      <c r="G233" s="23" t="str">
        <f aca="false">IFERROR(IF($B233="","",INDEX('Cartes API'!$H:$H,MATCH($B233,'Cartes API'!$A:$A,0))),"")</f>
        <v/>
      </c>
      <c r="H233" s="4"/>
      <c r="I233" s="23" t="str">
        <f aca="false">IF(OR($G233="",$H233=""),"",$G233&amp;"["&amp;$H233&amp;"]")</f>
        <v/>
      </c>
      <c r="J233" s="23" t="str">
        <f aca="false">IFERROR(INDEX(Cablage!$A:$A,MATCH($I233,Cablage!$F:$F,0)),"")</f>
        <v/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customFormat="false" ht="15" hidden="false" customHeight="true" outlineLevel="0" collapsed="false">
      <c r="A234" s="22"/>
      <c r="B234" s="22"/>
      <c r="C234" s="4"/>
      <c r="D234" s="4"/>
      <c r="E234" s="4"/>
      <c r="F234" s="23" t="str">
        <f aca="false">IFERROR(IF(OR($B234="",$C234=""),"",INDEX('Cartes API'!$J:$J,MATCH($B234,'Cartes API'!$A:$A,0))&amp;INDEX('Cartes API'!$B:$B,MATCH($B234,'Cartes API'!$A:$A,0))&amp;"."&amp;INDEX('Cartes API'!$C:$C,MATCH($B234,'Cartes API'!$A:$A,0))&amp;"."&amp;$C234),"")</f>
        <v/>
      </c>
      <c r="G234" s="23" t="str">
        <f aca="false">IFERROR(IF($B234="","",INDEX('Cartes API'!$H:$H,MATCH($B234,'Cartes API'!$A:$A,0))),"")</f>
        <v/>
      </c>
      <c r="H234" s="4"/>
      <c r="I234" s="23" t="str">
        <f aca="false">IF(OR($G234="",$H234=""),"",$G234&amp;"["&amp;$H234&amp;"]")</f>
        <v/>
      </c>
      <c r="J234" s="23" t="str">
        <f aca="false">IFERROR(INDEX(Cablage!$A:$A,MATCH($I234,Cablage!$F:$F,0)),"")</f>
        <v/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customFormat="false" ht="15" hidden="false" customHeight="true" outlineLevel="0" collapsed="false">
      <c r="A235" s="22"/>
      <c r="B235" s="22"/>
      <c r="C235" s="4"/>
      <c r="D235" s="4"/>
      <c r="E235" s="4"/>
      <c r="F235" s="23" t="str">
        <f aca="false">IFERROR(IF(OR($B235="",$C235=""),"",INDEX('Cartes API'!$J:$J,MATCH($B235,'Cartes API'!$A:$A,0))&amp;INDEX('Cartes API'!$B:$B,MATCH($B235,'Cartes API'!$A:$A,0))&amp;"."&amp;INDEX('Cartes API'!$C:$C,MATCH($B235,'Cartes API'!$A:$A,0))&amp;"."&amp;$C235),"")</f>
        <v/>
      </c>
      <c r="G235" s="23" t="str">
        <f aca="false">IFERROR(IF($B235="","",INDEX('Cartes API'!$H:$H,MATCH($B235,'Cartes API'!$A:$A,0))),"")</f>
        <v/>
      </c>
      <c r="H235" s="4"/>
      <c r="I235" s="23" t="str">
        <f aca="false">IF(OR($G235="",$H235=""),"",$G235&amp;"["&amp;$H235&amp;"]")</f>
        <v/>
      </c>
      <c r="J235" s="23" t="str">
        <f aca="false">IFERROR(INDEX(Cablage!$A:$A,MATCH($I235,Cablage!$F:$F,0)),"")</f>
        <v/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customFormat="false" ht="15" hidden="false" customHeight="true" outlineLevel="0" collapsed="false">
      <c r="A236" s="22"/>
      <c r="B236" s="22"/>
      <c r="C236" s="4"/>
      <c r="D236" s="4"/>
      <c r="E236" s="4"/>
      <c r="F236" s="23" t="str">
        <f aca="false">IFERROR(IF(OR($B236="",$C236=""),"",INDEX('Cartes API'!$J:$J,MATCH($B236,'Cartes API'!$A:$A,0))&amp;INDEX('Cartes API'!$B:$B,MATCH($B236,'Cartes API'!$A:$A,0))&amp;"."&amp;INDEX('Cartes API'!$C:$C,MATCH($B236,'Cartes API'!$A:$A,0))&amp;"."&amp;$C236),"")</f>
        <v/>
      </c>
      <c r="G236" s="23" t="str">
        <f aca="false">IFERROR(IF($B236="","",INDEX('Cartes API'!$H:$H,MATCH($B236,'Cartes API'!$A:$A,0))),"")</f>
        <v/>
      </c>
      <c r="H236" s="4"/>
      <c r="I236" s="23" t="str">
        <f aca="false">IF(OR($G236="",$H236=""),"",$G236&amp;"["&amp;$H236&amp;"]")</f>
        <v/>
      </c>
      <c r="J236" s="23" t="str">
        <f aca="false">IFERROR(INDEX(Cablage!$A:$A,MATCH($I236,Cablage!$F:$F,0)),"")</f>
        <v/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customFormat="false" ht="15" hidden="false" customHeight="true" outlineLevel="0" collapsed="false">
      <c r="A237" s="22"/>
      <c r="B237" s="22"/>
      <c r="C237" s="4"/>
      <c r="D237" s="4"/>
      <c r="E237" s="4"/>
      <c r="F237" s="23" t="str">
        <f aca="false">IFERROR(IF(OR($B237="",$C237=""),"",INDEX('Cartes API'!$J:$J,MATCH($B237,'Cartes API'!$A:$A,0))&amp;INDEX('Cartes API'!$B:$B,MATCH($B237,'Cartes API'!$A:$A,0))&amp;"."&amp;INDEX('Cartes API'!$C:$C,MATCH($B237,'Cartes API'!$A:$A,0))&amp;"."&amp;$C237),"")</f>
        <v/>
      </c>
      <c r="G237" s="23" t="str">
        <f aca="false">IFERROR(IF($B237="","",INDEX('Cartes API'!$H:$H,MATCH($B237,'Cartes API'!$A:$A,0))),"")</f>
        <v/>
      </c>
      <c r="H237" s="4"/>
      <c r="I237" s="23" t="str">
        <f aca="false">IF(OR($G237="",$H237=""),"",$G237&amp;"["&amp;$H237&amp;"]")</f>
        <v/>
      </c>
      <c r="J237" s="23" t="str">
        <f aca="false">IFERROR(INDEX(Cablage!$A:$A,MATCH($I237,Cablage!$F:$F,0)),"")</f>
        <v/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customFormat="false" ht="15" hidden="false" customHeight="true" outlineLevel="0" collapsed="false">
      <c r="A238" s="22"/>
      <c r="B238" s="22"/>
      <c r="C238" s="4"/>
      <c r="D238" s="4"/>
      <c r="E238" s="4"/>
      <c r="F238" s="23" t="str">
        <f aca="false">IFERROR(IF(OR($B238="",$C238=""),"",INDEX('Cartes API'!$J:$J,MATCH($B238,'Cartes API'!$A:$A,0))&amp;INDEX('Cartes API'!$B:$B,MATCH($B238,'Cartes API'!$A:$A,0))&amp;"."&amp;INDEX('Cartes API'!$C:$C,MATCH($B238,'Cartes API'!$A:$A,0))&amp;"."&amp;$C238),"")</f>
        <v/>
      </c>
      <c r="G238" s="23" t="str">
        <f aca="false">IFERROR(IF($B238="","",INDEX('Cartes API'!$H:$H,MATCH($B238,'Cartes API'!$A:$A,0))),"")</f>
        <v/>
      </c>
      <c r="H238" s="4"/>
      <c r="I238" s="23" t="str">
        <f aca="false">IF(OR($G238="",$H238=""),"",$G238&amp;"["&amp;$H238&amp;"]")</f>
        <v/>
      </c>
      <c r="J238" s="23" t="str">
        <f aca="false">IFERROR(INDEX(Cablage!$A:$A,MATCH($I238,Cablage!$F:$F,0)),"")</f>
        <v/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customFormat="false" ht="15" hidden="false" customHeight="true" outlineLevel="0" collapsed="false">
      <c r="A239" s="22"/>
      <c r="B239" s="22"/>
      <c r="C239" s="4"/>
      <c r="D239" s="4"/>
      <c r="E239" s="4"/>
      <c r="F239" s="23" t="str">
        <f aca="false">IFERROR(IF(OR($B239="",$C239=""),"",INDEX('Cartes API'!$J:$J,MATCH($B239,'Cartes API'!$A:$A,0))&amp;INDEX('Cartes API'!$B:$B,MATCH($B239,'Cartes API'!$A:$A,0))&amp;"."&amp;INDEX('Cartes API'!$C:$C,MATCH($B239,'Cartes API'!$A:$A,0))&amp;"."&amp;$C239),"")</f>
        <v/>
      </c>
      <c r="G239" s="23" t="str">
        <f aca="false">IFERROR(IF($B239="","",INDEX('Cartes API'!$H:$H,MATCH($B239,'Cartes API'!$A:$A,0))),"")</f>
        <v/>
      </c>
      <c r="H239" s="4"/>
      <c r="I239" s="23" t="str">
        <f aca="false">IF(OR($G239="",$H239=""),"",$G239&amp;"["&amp;$H239&amp;"]")</f>
        <v/>
      </c>
      <c r="J239" s="23" t="str">
        <f aca="false">IFERROR(INDEX(Cablage!$A:$A,MATCH($I239,Cablage!$F:$F,0)),"")</f>
        <v/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customFormat="false" ht="15" hidden="false" customHeight="true" outlineLevel="0" collapsed="false">
      <c r="A240" s="22"/>
      <c r="B240" s="22"/>
      <c r="C240" s="4"/>
      <c r="D240" s="4"/>
      <c r="E240" s="4"/>
      <c r="F240" s="23" t="str">
        <f aca="false">IFERROR(IF(OR($B240="",$C240=""),"",INDEX('Cartes API'!$J:$J,MATCH($B240,'Cartes API'!$A:$A,0))&amp;INDEX('Cartes API'!$B:$B,MATCH($B240,'Cartes API'!$A:$A,0))&amp;"."&amp;INDEX('Cartes API'!$C:$C,MATCH($B240,'Cartes API'!$A:$A,0))&amp;"."&amp;$C240),"")</f>
        <v/>
      </c>
      <c r="G240" s="23" t="str">
        <f aca="false">IFERROR(IF($B240="","",INDEX('Cartes API'!$H:$H,MATCH($B240,'Cartes API'!$A:$A,0))),"")</f>
        <v/>
      </c>
      <c r="H240" s="4"/>
      <c r="I240" s="23" t="str">
        <f aca="false">IF(OR($G240="",$H240=""),"",$G240&amp;"["&amp;$H240&amp;"]")</f>
        <v/>
      </c>
      <c r="J240" s="23" t="str">
        <f aca="false">IFERROR(INDEX(Cablage!$A:$A,MATCH($I240,Cablage!$F:$F,0)),"")</f>
        <v/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customFormat="false" ht="15" hidden="false" customHeight="true" outlineLevel="0" collapsed="false">
      <c r="A241" s="22"/>
      <c r="B241" s="22"/>
      <c r="C241" s="4"/>
      <c r="D241" s="4"/>
      <c r="E241" s="4"/>
      <c r="F241" s="23" t="str">
        <f aca="false">IFERROR(IF(OR($B241="",$C241=""),"",INDEX('Cartes API'!$J:$J,MATCH($B241,'Cartes API'!$A:$A,0))&amp;INDEX('Cartes API'!$B:$B,MATCH($B241,'Cartes API'!$A:$A,0))&amp;"."&amp;INDEX('Cartes API'!$C:$C,MATCH($B241,'Cartes API'!$A:$A,0))&amp;"."&amp;$C241),"")</f>
        <v/>
      </c>
      <c r="G241" s="23" t="str">
        <f aca="false">IFERROR(IF($B241="","",INDEX('Cartes API'!$H:$H,MATCH($B241,'Cartes API'!$A:$A,0))),"")</f>
        <v/>
      </c>
      <c r="H241" s="4"/>
      <c r="I241" s="23" t="str">
        <f aca="false">IF(OR($G241="",$H241=""),"",$G241&amp;"["&amp;$H241&amp;"]")</f>
        <v/>
      </c>
      <c r="J241" s="23" t="str">
        <f aca="false">IFERROR(INDEX(Cablage!$A:$A,MATCH($I241,Cablage!$F:$F,0)),"")</f>
        <v/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customFormat="false" ht="15" hidden="false" customHeight="true" outlineLevel="0" collapsed="false">
      <c r="A242" s="22"/>
      <c r="B242" s="22"/>
      <c r="C242" s="4"/>
      <c r="D242" s="4"/>
      <c r="E242" s="4"/>
      <c r="F242" s="23" t="str">
        <f aca="false">IFERROR(IF(OR($B242="",$C242=""),"",INDEX('Cartes API'!$J:$J,MATCH($B242,'Cartes API'!$A:$A,0))&amp;INDEX('Cartes API'!$B:$B,MATCH($B242,'Cartes API'!$A:$A,0))&amp;"."&amp;INDEX('Cartes API'!$C:$C,MATCH($B242,'Cartes API'!$A:$A,0))&amp;"."&amp;$C242),"")</f>
        <v/>
      </c>
      <c r="G242" s="23" t="str">
        <f aca="false">IFERROR(IF($B242="","",INDEX('Cartes API'!$H:$H,MATCH($B242,'Cartes API'!$A:$A,0))),"")</f>
        <v/>
      </c>
      <c r="H242" s="4"/>
      <c r="I242" s="23" t="str">
        <f aca="false">IF(OR($G242="",$H242=""),"",$G242&amp;"["&amp;$H242&amp;"]")</f>
        <v/>
      </c>
      <c r="J242" s="23" t="str">
        <f aca="false">IFERROR(INDEX(Cablage!$A:$A,MATCH($I242,Cablage!$F:$F,0)),"")</f>
        <v/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customFormat="false" ht="15" hidden="false" customHeight="true" outlineLevel="0" collapsed="false">
      <c r="A243" s="22"/>
      <c r="B243" s="22"/>
      <c r="C243" s="4"/>
      <c r="D243" s="4"/>
      <c r="E243" s="4"/>
      <c r="F243" s="23" t="str">
        <f aca="false">IFERROR(IF(OR($B243="",$C243=""),"",INDEX('Cartes API'!$J:$J,MATCH($B243,'Cartes API'!$A:$A,0))&amp;INDEX('Cartes API'!$B:$B,MATCH($B243,'Cartes API'!$A:$A,0))&amp;"."&amp;INDEX('Cartes API'!$C:$C,MATCH($B243,'Cartes API'!$A:$A,0))&amp;"."&amp;$C243),"")</f>
        <v/>
      </c>
      <c r="G243" s="23" t="str">
        <f aca="false">IFERROR(IF($B243="","",INDEX('Cartes API'!$H:$H,MATCH($B243,'Cartes API'!$A:$A,0))),"")</f>
        <v/>
      </c>
      <c r="H243" s="4"/>
      <c r="I243" s="23" t="str">
        <f aca="false">IF(OR($G243="",$H243=""),"",$G243&amp;"["&amp;$H243&amp;"]")</f>
        <v/>
      </c>
      <c r="J243" s="23" t="str">
        <f aca="false">IFERROR(INDEX(Cablage!$A:$A,MATCH($I243,Cablage!$F:$F,0)),"")</f>
        <v/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customFormat="false" ht="15" hidden="false" customHeight="true" outlineLevel="0" collapsed="false">
      <c r="A244" s="22"/>
      <c r="B244" s="22"/>
      <c r="C244" s="4"/>
      <c r="D244" s="4"/>
      <c r="E244" s="4"/>
      <c r="F244" s="23" t="str">
        <f aca="false">IFERROR(IF(OR($B244="",$C244=""),"",INDEX('Cartes API'!$J:$J,MATCH($B244,'Cartes API'!$A:$A,0))&amp;INDEX('Cartes API'!$B:$B,MATCH($B244,'Cartes API'!$A:$A,0))&amp;"."&amp;INDEX('Cartes API'!$C:$C,MATCH($B244,'Cartes API'!$A:$A,0))&amp;"."&amp;$C244),"")</f>
        <v/>
      </c>
      <c r="G244" s="23" t="str">
        <f aca="false">IFERROR(IF($B244="","",INDEX('Cartes API'!$H:$H,MATCH($B244,'Cartes API'!$A:$A,0))),"")</f>
        <v/>
      </c>
      <c r="H244" s="4"/>
      <c r="I244" s="23" t="str">
        <f aca="false">IF(OR($G244="",$H244=""),"",$G244&amp;"["&amp;$H244&amp;"]")</f>
        <v/>
      </c>
      <c r="J244" s="23" t="str">
        <f aca="false">IFERROR(INDEX(Cablage!$A:$A,MATCH($I244,Cablage!$F:$F,0)),"")</f>
        <v/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customFormat="false" ht="15" hidden="false" customHeight="true" outlineLevel="0" collapsed="false">
      <c r="A245" s="22"/>
      <c r="B245" s="22"/>
      <c r="C245" s="4"/>
      <c r="D245" s="4"/>
      <c r="E245" s="4"/>
      <c r="F245" s="23" t="str">
        <f aca="false">IFERROR(IF(OR($B245="",$C245=""),"",INDEX('Cartes API'!$J:$J,MATCH($B245,'Cartes API'!$A:$A,0))&amp;INDEX('Cartes API'!$B:$B,MATCH($B245,'Cartes API'!$A:$A,0))&amp;"."&amp;INDEX('Cartes API'!$C:$C,MATCH($B245,'Cartes API'!$A:$A,0))&amp;"."&amp;$C245),"")</f>
        <v/>
      </c>
      <c r="G245" s="23" t="str">
        <f aca="false">IFERROR(IF($B245="","",INDEX('Cartes API'!$H:$H,MATCH($B245,'Cartes API'!$A:$A,0))),"")</f>
        <v/>
      </c>
      <c r="H245" s="4"/>
      <c r="I245" s="23" t="str">
        <f aca="false">IF(OR($G245="",$H245=""),"",$G245&amp;"["&amp;$H245&amp;"]")</f>
        <v/>
      </c>
      <c r="J245" s="23" t="str">
        <f aca="false">IFERROR(INDEX(Cablage!$A:$A,MATCH($I245,Cablage!$F:$F,0)),"")</f>
        <v/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customFormat="false" ht="15" hidden="false" customHeight="true" outlineLevel="0" collapsed="false">
      <c r="A246" s="22"/>
      <c r="B246" s="22"/>
      <c r="C246" s="4"/>
      <c r="D246" s="4"/>
      <c r="E246" s="4"/>
      <c r="F246" s="23" t="str">
        <f aca="false">IFERROR(IF(OR($B246="",$C246=""),"",INDEX('Cartes API'!$J:$J,MATCH($B246,'Cartes API'!$A:$A,0))&amp;INDEX('Cartes API'!$B:$B,MATCH($B246,'Cartes API'!$A:$A,0))&amp;"."&amp;INDEX('Cartes API'!$C:$C,MATCH($B246,'Cartes API'!$A:$A,0))&amp;"."&amp;$C246),"")</f>
        <v/>
      </c>
      <c r="G246" s="23" t="str">
        <f aca="false">IFERROR(IF($B246="","",INDEX('Cartes API'!$H:$H,MATCH($B246,'Cartes API'!$A:$A,0))),"")</f>
        <v/>
      </c>
      <c r="H246" s="4"/>
      <c r="I246" s="23" t="str">
        <f aca="false">IF(OR($G246="",$H246=""),"",$G246&amp;"["&amp;$H246&amp;"]")</f>
        <v/>
      </c>
      <c r="J246" s="23" t="str">
        <f aca="false">IFERROR(INDEX(Cablage!$A:$A,MATCH($I246,Cablage!$F:$F,0)),"")</f>
        <v/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customFormat="false" ht="15" hidden="false" customHeight="true" outlineLevel="0" collapsed="false">
      <c r="A247" s="22"/>
      <c r="B247" s="22"/>
      <c r="C247" s="4"/>
      <c r="D247" s="4"/>
      <c r="E247" s="4"/>
      <c r="F247" s="23" t="str">
        <f aca="false">IFERROR(IF(OR($B247="",$C247=""),"",INDEX('Cartes API'!$J:$J,MATCH($B247,'Cartes API'!$A:$A,0))&amp;INDEX('Cartes API'!$B:$B,MATCH($B247,'Cartes API'!$A:$A,0))&amp;"."&amp;INDEX('Cartes API'!$C:$C,MATCH($B247,'Cartes API'!$A:$A,0))&amp;"."&amp;$C247),"")</f>
        <v/>
      </c>
      <c r="G247" s="23" t="str">
        <f aca="false">IFERROR(IF($B247="","",INDEX('Cartes API'!$H:$H,MATCH($B247,'Cartes API'!$A:$A,0))),"")</f>
        <v/>
      </c>
      <c r="H247" s="4"/>
      <c r="I247" s="23" t="str">
        <f aca="false">IF(OR($G247="",$H247=""),"",$G247&amp;"["&amp;$H247&amp;"]")</f>
        <v/>
      </c>
      <c r="J247" s="23" t="str">
        <f aca="false">IFERROR(INDEX(Cablage!$A:$A,MATCH($I247,Cablage!$F:$F,0)),"")</f>
        <v/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customFormat="false" ht="15" hidden="false" customHeight="true" outlineLevel="0" collapsed="false">
      <c r="A248" s="22"/>
      <c r="B248" s="22"/>
      <c r="C248" s="4"/>
      <c r="D248" s="4"/>
      <c r="E248" s="4"/>
      <c r="F248" s="23" t="str">
        <f aca="false">IFERROR(IF(OR($B248="",$C248=""),"",INDEX('Cartes API'!$J:$J,MATCH($B248,'Cartes API'!$A:$A,0))&amp;INDEX('Cartes API'!$B:$B,MATCH($B248,'Cartes API'!$A:$A,0))&amp;"."&amp;INDEX('Cartes API'!$C:$C,MATCH($B248,'Cartes API'!$A:$A,0))&amp;"."&amp;$C248),"")</f>
        <v/>
      </c>
      <c r="G248" s="23" t="str">
        <f aca="false">IFERROR(IF($B248="","",INDEX('Cartes API'!$H:$H,MATCH($B248,'Cartes API'!$A:$A,0))),"")</f>
        <v/>
      </c>
      <c r="H248" s="4"/>
      <c r="I248" s="23" t="str">
        <f aca="false">IF(OR($G248="",$H248=""),"",$G248&amp;"["&amp;$H248&amp;"]")</f>
        <v/>
      </c>
      <c r="J248" s="23" t="str">
        <f aca="false">IFERROR(INDEX(Cablage!$A:$A,MATCH($I248,Cablage!$F:$F,0)),"")</f>
        <v/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customFormat="false" ht="15" hidden="false" customHeight="true" outlineLevel="0" collapsed="false">
      <c r="A249" s="22"/>
      <c r="B249" s="22"/>
      <c r="C249" s="4"/>
      <c r="D249" s="4"/>
      <c r="E249" s="4"/>
      <c r="F249" s="23" t="str">
        <f aca="false">IFERROR(IF(OR($B249="",$C249=""),"",INDEX('Cartes API'!$J:$J,MATCH($B249,'Cartes API'!$A:$A,0))&amp;INDEX('Cartes API'!$B:$B,MATCH($B249,'Cartes API'!$A:$A,0))&amp;"."&amp;INDEX('Cartes API'!$C:$C,MATCH($B249,'Cartes API'!$A:$A,0))&amp;"."&amp;$C249),"")</f>
        <v/>
      </c>
      <c r="G249" s="23" t="str">
        <f aca="false">IFERROR(IF($B249="","",INDEX('Cartes API'!$H:$H,MATCH($B249,'Cartes API'!$A:$A,0))),"")</f>
        <v/>
      </c>
      <c r="H249" s="4"/>
      <c r="I249" s="23" t="str">
        <f aca="false">IF(OR($G249="",$H249=""),"",$G249&amp;"["&amp;$H249&amp;"]")</f>
        <v/>
      </c>
      <c r="J249" s="23" t="str">
        <f aca="false">IFERROR(INDEX(Cablage!$A:$A,MATCH($I249,Cablage!$F:$F,0)),"")</f>
        <v/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customFormat="false" ht="15" hidden="false" customHeight="true" outlineLevel="0" collapsed="false">
      <c r="A250" s="22"/>
      <c r="B250" s="22"/>
      <c r="C250" s="4"/>
      <c r="D250" s="4"/>
      <c r="E250" s="4"/>
      <c r="F250" s="23" t="str">
        <f aca="false">IFERROR(IF(OR($B250="",$C250=""),"",INDEX('Cartes API'!$J:$J,MATCH($B250,'Cartes API'!$A:$A,0))&amp;INDEX('Cartes API'!$B:$B,MATCH($B250,'Cartes API'!$A:$A,0))&amp;"."&amp;INDEX('Cartes API'!$C:$C,MATCH($B250,'Cartes API'!$A:$A,0))&amp;"."&amp;$C250),"")</f>
        <v/>
      </c>
      <c r="G250" s="23" t="str">
        <f aca="false">IFERROR(IF($B250="","",INDEX('Cartes API'!$H:$H,MATCH($B250,'Cartes API'!$A:$A,0))),"")</f>
        <v/>
      </c>
      <c r="H250" s="4"/>
      <c r="I250" s="23" t="str">
        <f aca="false">IF(OR($G250="",$H250=""),"",$G250&amp;"["&amp;$H250&amp;"]")</f>
        <v/>
      </c>
      <c r="J250" s="23" t="str">
        <f aca="false">IFERROR(INDEX(Cablage!$A:$A,MATCH($I250,Cablage!$F:$F,0)),"")</f>
        <v/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customFormat="false" ht="15" hidden="false" customHeight="true" outlineLevel="0" collapsed="false">
      <c r="A251" s="22"/>
      <c r="B251" s="22"/>
      <c r="C251" s="4"/>
      <c r="D251" s="4"/>
      <c r="E251" s="4"/>
      <c r="F251" s="23" t="str">
        <f aca="false">IFERROR(IF(OR($B251="",$C251=""),"",INDEX('Cartes API'!$J:$J,MATCH($B251,'Cartes API'!$A:$A,0))&amp;INDEX('Cartes API'!$B:$B,MATCH($B251,'Cartes API'!$A:$A,0))&amp;"."&amp;INDEX('Cartes API'!$C:$C,MATCH($B251,'Cartes API'!$A:$A,0))&amp;"."&amp;$C251),"")</f>
        <v/>
      </c>
      <c r="G251" s="23" t="str">
        <f aca="false">IFERROR(IF($B251="","",INDEX('Cartes API'!$H:$H,MATCH($B251,'Cartes API'!$A:$A,0))),"")</f>
        <v/>
      </c>
      <c r="H251" s="4"/>
      <c r="I251" s="23" t="str">
        <f aca="false">IF(OR($G251="",$H251=""),"",$G251&amp;"["&amp;$H251&amp;"]")</f>
        <v/>
      </c>
      <c r="J251" s="23" t="str">
        <f aca="false">IFERROR(INDEX(Cablage!$A:$A,MATCH($I251,Cablage!$F:$F,0)),"")</f>
        <v/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customFormat="false" ht="15" hidden="false" customHeight="true" outlineLevel="0" collapsed="false">
      <c r="A252" s="22"/>
      <c r="B252" s="22"/>
      <c r="C252" s="4"/>
      <c r="D252" s="4"/>
      <c r="E252" s="4"/>
      <c r="F252" s="23" t="str">
        <f aca="false">IFERROR(IF(OR($B252="",$C252=""),"",INDEX('Cartes API'!$J:$J,MATCH($B252,'Cartes API'!$A:$A,0))&amp;INDEX('Cartes API'!$B:$B,MATCH($B252,'Cartes API'!$A:$A,0))&amp;"."&amp;INDEX('Cartes API'!$C:$C,MATCH($B252,'Cartes API'!$A:$A,0))&amp;"."&amp;$C252),"")</f>
        <v/>
      </c>
      <c r="G252" s="23" t="str">
        <f aca="false">IFERROR(IF($B252="","",INDEX('Cartes API'!$H:$H,MATCH($B252,'Cartes API'!$A:$A,0))),"")</f>
        <v/>
      </c>
      <c r="H252" s="4"/>
      <c r="I252" s="23" t="str">
        <f aca="false">IF(OR($G252="",$H252=""),"",$G252&amp;"["&amp;$H252&amp;"]")</f>
        <v/>
      </c>
      <c r="J252" s="23" t="str">
        <f aca="false">IFERROR(INDEX(Cablage!$A:$A,MATCH($I252,Cablage!$F:$F,0)),"")</f>
        <v/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customFormat="false" ht="15" hidden="false" customHeight="true" outlineLevel="0" collapsed="false">
      <c r="A253" s="22"/>
      <c r="B253" s="22"/>
      <c r="C253" s="4"/>
      <c r="D253" s="4"/>
      <c r="E253" s="4"/>
      <c r="F253" s="23" t="str">
        <f aca="false">IFERROR(IF(OR($B253="",$C253=""),"",INDEX('Cartes API'!$J:$J,MATCH($B253,'Cartes API'!$A:$A,0))&amp;INDEX('Cartes API'!$B:$B,MATCH($B253,'Cartes API'!$A:$A,0))&amp;"."&amp;INDEX('Cartes API'!$C:$C,MATCH($B253,'Cartes API'!$A:$A,0))&amp;"."&amp;$C253),"")</f>
        <v/>
      </c>
      <c r="G253" s="23" t="str">
        <f aca="false">IFERROR(IF($B253="","",INDEX('Cartes API'!$H:$H,MATCH($B253,'Cartes API'!$A:$A,0))),"")</f>
        <v/>
      </c>
      <c r="H253" s="4"/>
      <c r="I253" s="23" t="str">
        <f aca="false">IF(OR($G253="",$H253=""),"",$G253&amp;"["&amp;$H253&amp;"]")</f>
        <v/>
      </c>
      <c r="J253" s="23" t="str">
        <f aca="false">IFERROR(INDEX(Cablage!$A:$A,MATCH($I253,Cablage!$F:$F,0)),"")</f>
        <v/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customFormat="false" ht="15" hidden="false" customHeight="true" outlineLevel="0" collapsed="false">
      <c r="A254" s="22"/>
      <c r="B254" s="22"/>
      <c r="C254" s="4"/>
      <c r="D254" s="4"/>
      <c r="E254" s="4"/>
      <c r="F254" s="23" t="str">
        <f aca="false">IFERROR(IF(OR($B254="",$C254=""),"",INDEX('Cartes API'!$J:$J,MATCH($B254,'Cartes API'!$A:$A,0))&amp;INDEX('Cartes API'!$B:$B,MATCH($B254,'Cartes API'!$A:$A,0))&amp;"."&amp;INDEX('Cartes API'!$C:$C,MATCH($B254,'Cartes API'!$A:$A,0))&amp;"."&amp;$C254),"")</f>
        <v/>
      </c>
      <c r="G254" s="23" t="str">
        <f aca="false">IFERROR(IF($B254="","",INDEX('Cartes API'!$H:$H,MATCH($B254,'Cartes API'!$A:$A,0))),"")</f>
        <v/>
      </c>
      <c r="H254" s="4"/>
      <c r="I254" s="23" t="str">
        <f aca="false">IF(OR($G254="",$H254=""),"",$G254&amp;"["&amp;$H254&amp;"]")</f>
        <v/>
      </c>
      <c r="J254" s="23" t="str">
        <f aca="false">IFERROR(INDEX(Cablage!$A:$A,MATCH($I254,Cablage!$F:$F,0)),"")</f>
        <v/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customFormat="false" ht="15" hidden="false" customHeight="true" outlineLevel="0" collapsed="false">
      <c r="A255" s="22"/>
      <c r="B255" s="22"/>
      <c r="C255" s="4"/>
      <c r="D255" s="4"/>
      <c r="E255" s="4"/>
      <c r="F255" s="23" t="str">
        <f aca="false">IFERROR(IF(OR($B255="",$C255=""),"",INDEX('Cartes API'!$J:$J,MATCH($B255,'Cartes API'!$A:$A,0))&amp;INDEX('Cartes API'!$B:$B,MATCH($B255,'Cartes API'!$A:$A,0))&amp;"."&amp;INDEX('Cartes API'!$C:$C,MATCH($B255,'Cartes API'!$A:$A,0))&amp;"."&amp;$C255),"")</f>
        <v/>
      </c>
      <c r="G255" s="23" t="str">
        <f aca="false">IFERROR(IF($B255="","",INDEX('Cartes API'!$H:$H,MATCH($B255,'Cartes API'!$A:$A,0))),"")</f>
        <v/>
      </c>
      <c r="H255" s="4"/>
      <c r="I255" s="23" t="str">
        <f aca="false">IF(OR($G255="",$H255=""),"",$G255&amp;"["&amp;$H255&amp;"]")</f>
        <v/>
      </c>
      <c r="J255" s="23" t="str">
        <f aca="false">IFERROR(INDEX(Cablage!$A:$A,MATCH($I255,Cablage!$F:$F,0)),"")</f>
        <v/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customFormat="false" ht="15" hidden="false" customHeight="true" outlineLevel="0" collapsed="false">
      <c r="A256" s="22"/>
      <c r="B256" s="22"/>
      <c r="C256" s="4"/>
      <c r="D256" s="4"/>
      <c r="E256" s="4"/>
      <c r="F256" s="23" t="str">
        <f aca="false">IFERROR(IF(OR($B256="",$C256=""),"",INDEX('Cartes API'!$J:$J,MATCH($B256,'Cartes API'!$A:$A,0))&amp;INDEX('Cartes API'!$B:$B,MATCH($B256,'Cartes API'!$A:$A,0))&amp;"."&amp;INDEX('Cartes API'!$C:$C,MATCH($B256,'Cartes API'!$A:$A,0))&amp;"."&amp;$C256),"")</f>
        <v/>
      </c>
      <c r="G256" s="23" t="str">
        <f aca="false">IFERROR(IF($B256="","",INDEX('Cartes API'!$H:$H,MATCH($B256,'Cartes API'!$A:$A,0))),"")</f>
        <v/>
      </c>
      <c r="H256" s="4"/>
      <c r="I256" s="23" t="str">
        <f aca="false">IF(OR($G256="",$H256=""),"",$G256&amp;"["&amp;$H256&amp;"]")</f>
        <v/>
      </c>
      <c r="J256" s="23" t="str">
        <f aca="false">IFERROR(INDEX(Cablage!$A:$A,MATCH($I256,Cablage!$F:$F,0)),"")</f>
        <v/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customFormat="false" ht="15" hidden="false" customHeight="true" outlineLevel="0" collapsed="false">
      <c r="A257" s="22"/>
      <c r="B257" s="22"/>
      <c r="C257" s="4"/>
      <c r="D257" s="4"/>
      <c r="E257" s="4"/>
      <c r="F257" s="23" t="str">
        <f aca="false">IFERROR(IF(OR($B257="",$C257=""),"",INDEX('Cartes API'!$J:$J,MATCH($B257,'Cartes API'!$A:$A,0))&amp;INDEX('Cartes API'!$B:$B,MATCH($B257,'Cartes API'!$A:$A,0))&amp;"."&amp;INDEX('Cartes API'!$C:$C,MATCH($B257,'Cartes API'!$A:$A,0))&amp;"."&amp;$C257),"")</f>
        <v/>
      </c>
      <c r="G257" s="23" t="str">
        <f aca="false">IFERROR(IF($B257="","",INDEX('Cartes API'!$H:$H,MATCH($B257,'Cartes API'!$A:$A,0))),"")</f>
        <v/>
      </c>
      <c r="H257" s="4"/>
      <c r="I257" s="23" t="str">
        <f aca="false">IF(OR($G257="",$H257=""),"",$G257&amp;"["&amp;$H257&amp;"]")</f>
        <v/>
      </c>
      <c r="J257" s="23" t="str">
        <f aca="false">IFERROR(INDEX(Cablage!$A:$A,MATCH($I257,Cablage!$F:$F,0)),"")</f>
        <v/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customFormat="false" ht="15" hidden="false" customHeight="true" outlineLevel="0" collapsed="false">
      <c r="A258" s="22"/>
      <c r="B258" s="22"/>
      <c r="C258" s="4"/>
      <c r="D258" s="4"/>
      <c r="E258" s="4"/>
      <c r="F258" s="23" t="str">
        <f aca="false">IFERROR(IF(OR($B258="",$C258=""),"",INDEX('Cartes API'!$J:$J,MATCH($B258,'Cartes API'!$A:$A,0))&amp;INDEX('Cartes API'!$B:$B,MATCH($B258,'Cartes API'!$A:$A,0))&amp;"."&amp;INDEX('Cartes API'!$C:$C,MATCH($B258,'Cartes API'!$A:$A,0))&amp;"."&amp;$C258),"")</f>
        <v/>
      </c>
      <c r="G258" s="23" t="str">
        <f aca="false">IFERROR(IF($B258="","",INDEX('Cartes API'!$H:$H,MATCH($B258,'Cartes API'!$A:$A,0))),"")</f>
        <v/>
      </c>
      <c r="H258" s="4"/>
      <c r="I258" s="23" t="str">
        <f aca="false">IF(OR($G258="",$H258=""),"",$G258&amp;"["&amp;$H258&amp;"]")</f>
        <v/>
      </c>
      <c r="J258" s="23" t="str">
        <f aca="false">IFERROR(INDEX(Cablage!$A:$A,MATCH($I258,Cablage!$F:$F,0)),"")</f>
        <v/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customFormat="false" ht="15" hidden="false" customHeight="true" outlineLevel="0" collapsed="false">
      <c r="A259" s="22"/>
      <c r="B259" s="22"/>
      <c r="C259" s="4"/>
      <c r="D259" s="4"/>
      <c r="E259" s="4"/>
      <c r="F259" s="23" t="str">
        <f aca="false">IFERROR(IF(OR($B259="",$C259=""),"",INDEX('Cartes API'!$J:$J,MATCH($B259,'Cartes API'!$A:$A,0))&amp;INDEX('Cartes API'!$B:$B,MATCH($B259,'Cartes API'!$A:$A,0))&amp;"."&amp;INDEX('Cartes API'!$C:$C,MATCH($B259,'Cartes API'!$A:$A,0))&amp;"."&amp;$C259),"")</f>
        <v/>
      </c>
      <c r="G259" s="23" t="str">
        <f aca="false">IFERROR(IF($B259="","",INDEX('Cartes API'!$H:$H,MATCH($B259,'Cartes API'!$A:$A,0))),"")</f>
        <v/>
      </c>
      <c r="H259" s="4"/>
      <c r="I259" s="23" t="str">
        <f aca="false">IF(OR($G259="",$H259=""),"",$G259&amp;"["&amp;$H259&amp;"]")</f>
        <v/>
      </c>
      <c r="J259" s="23" t="str">
        <f aca="false">IFERROR(INDEX(Cablage!$A:$A,MATCH($I259,Cablage!$F:$F,0)),"")</f>
        <v/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customFormat="false" ht="15" hidden="false" customHeight="true" outlineLevel="0" collapsed="false">
      <c r="A260" s="22"/>
      <c r="B260" s="22"/>
      <c r="C260" s="4"/>
      <c r="D260" s="4"/>
      <c r="E260" s="4"/>
      <c r="F260" s="23" t="str">
        <f aca="false">IFERROR(IF(OR($B260="",$C260=""),"",INDEX('Cartes API'!$J:$J,MATCH($B260,'Cartes API'!$A:$A,0))&amp;INDEX('Cartes API'!$B:$B,MATCH($B260,'Cartes API'!$A:$A,0))&amp;"."&amp;INDEX('Cartes API'!$C:$C,MATCH($B260,'Cartes API'!$A:$A,0))&amp;"."&amp;$C260),"")</f>
        <v/>
      </c>
      <c r="G260" s="23" t="str">
        <f aca="false">IFERROR(IF($B260="","",INDEX('Cartes API'!$H:$H,MATCH($B260,'Cartes API'!$A:$A,0))),"")</f>
        <v/>
      </c>
      <c r="H260" s="4"/>
      <c r="I260" s="23" t="str">
        <f aca="false">IF(OR($G260="",$H260=""),"",$G260&amp;"["&amp;$H260&amp;"]")</f>
        <v/>
      </c>
      <c r="J260" s="23" t="str">
        <f aca="false">IFERROR(INDEX(Cablage!$A:$A,MATCH($I260,Cablage!$F:$F,0)),"")</f>
        <v/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customFormat="false" ht="15" hidden="false" customHeight="true" outlineLevel="0" collapsed="false">
      <c r="A261" s="22"/>
      <c r="B261" s="22"/>
      <c r="C261" s="4"/>
      <c r="D261" s="4"/>
      <c r="E261" s="4"/>
      <c r="F261" s="23" t="str">
        <f aca="false">IFERROR(IF(OR($B261="",$C261=""),"",INDEX('Cartes API'!$J:$J,MATCH($B261,'Cartes API'!$A:$A,0))&amp;INDEX('Cartes API'!$B:$B,MATCH($B261,'Cartes API'!$A:$A,0))&amp;"."&amp;INDEX('Cartes API'!$C:$C,MATCH($B261,'Cartes API'!$A:$A,0))&amp;"."&amp;$C261),"")</f>
        <v/>
      </c>
      <c r="G261" s="23" t="str">
        <f aca="false">IFERROR(IF($B261="","",INDEX('Cartes API'!$H:$H,MATCH($B261,'Cartes API'!$A:$A,0))),"")</f>
        <v/>
      </c>
      <c r="H261" s="4"/>
      <c r="I261" s="23" t="str">
        <f aca="false">IF(OR($G261="",$H261=""),"",$G261&amp;"["&amp;$H261&amp;"]")</f>
        <v/>
      </c>
      <c r="J261" s="23" t="str">
        <f aca="false">IFERROR(INDEX(Cablage!$A:$A,MATCH($I261,Cablage!$F:$F,0)),"")</f>
        <v/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customFormat="false" ht="15" hidden="false" customHeight="true" outlineLevel="0" collapsed="false">
      <c r="A262" s="22"/>
      <c r="B262" s="22"/>
      <c r="C262" s="4"/>
      <c r="D262" s="4"/>
      <c r="E262" s="4"/>
      <c r="F262" s="23" t="str">
        <f aca="false">IFERROR(IF(OR($B262="",$C262=""),"",INDEX('Cartes API'!$J:$J,MATCH($B262,'Cartes API'!$A:$A,0))&amp;INDEX('Cartes API'!$B:$B,MATCH($B262,'Cartes API'!$A:$A,0))&amp;"."&amp;INDEX('Cartes API'!$C:$C,MATCH($B262,'Cartes API'!$A:$A,0))&amp;"."&amp;$C262),"")</f>
        <v/>
      </c>
      <c r="G262" s="23" t="str">
        <f aca="false">IFERROR(IF($B262="","",INDEX('Cartes API'!$H:$H,MATCH($B262,'Cartes API'!$A:$A,0))),"")</f>
        <v/>
      </c>
      <c r="H262" s="4"/>
      <c r="I262" s="23" t="str">
        <f aca="false">IF(OR($G262="",$H262=""),"",$G262&amp;"["&amp;$H262&amp;"]")</f>
        <v/>
      </c>
      <c r="J262" s="23" t="str">
        <f aca="false">IFERROR(INDEX(Cablage!$A:$A,MATCH($I262,Cablage!$F:$F,0)),"")</f>
        <v/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customFormat="false" ht="15" hidden="false" customHeight="true" outlineLevel="0" collapsed="false">
      <c r="A263" s="22"/>
      <c r="B263" s="22"/>
      <c r="C263" s="4"/>
      <c r="D263" s="4"/>
      <c r="E263" s="4"/>
      <c r="F263" s="23" t="str">
        <f aca="false">IFERROR(IF(OR($B263="",$C263=""),"",INDEX('Cartes API'!$J:$J,MATCH($B263,'Cartes API'!$A:$A,0))&amp;INDEX('Cartes API'!$B:$B,MATCH($B263,'Cartes API'!$A:$A,0))&amp;"."&amp;INDEX('Cartes API'!$C:$C,MATCH($B263,'Cartes API'!$A:$A,0))&amp;"."&amp;$C263),"")</f>
        <v/>
      </c>
      <c r="G263" s="23" t="str">
        <f aca="false">IFERROR(IF($B263="","",INDEX('Cartes API'!$H:$H,MATCH($B263,'Cartes API'!$A:$A,0))),"")</f>
        <v/>
      </c>
      <c r="H263" s="4"/>
      <c r="I263" s="23" t="str">
        <f aca="false">IF(OR($G263="",$H263=""),"",$G263&amp;"["&amp;$H263&amp;"]")</f>
        <v/>
      </c>
      <c r="J263" s="23" t="str">
        <f aca="false">IFERROR(INDEX(Cablage!$A:$A,MATCH($I263,Cablage!$F:$F,0)),"")</f>
        <v/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customFormat="false" ht="15" hidden="false" customHeight="true" outlineLevel="0" collapsed="false">
      <c r="A264" s="22"/>
      <c r="B264" s="22"/>
      <c r="C264" s="4"/>
      <c r="D264" s="4"/>
      <c r="E264" s="4"/>
      <c r="F264" s="23" t="str">
        <f aca="false">IFERROR(IF(OR($B264="",$C264=""),"",INDEX('Cartes API'!$J:$J,MATCH($B264,'Cartes API'!$A:$A,0))&amp;INDEX('Cartes API'!$B:$B,MATCH($B264,'Cartes API'!$A:$A,0))&amp;"."&amp;INDEX('Cartes API'!$C:$C,MATCH($B264,'Cartes API'!$A:$A,0))&amp;"."&amp;$C264),"")</f>
        <v/>
      </c>
      <c r="G264" s="23" t="str">
        <f aca="false">IFERROR(IF($B264="","",INDEX('Cartes API'!$H:$H,MATCH($B264,'Cartes API'!$A:$A,0))),"")</f>
        <v/>
      </c>
      <c r="H264" s="4"/>
      <c r="I264" s="23" t="str">
        <f aca="false">IF(OR($G264="",$H264=""),"",$G264&amp;"["&amp;$H264&amp;"]")</f>
        <v/>
      </c>
      <c r="J264" s="23" t="str">
        <f aca="false">IFERROR(INDEX(Cablage!$A:$A,MATCH($I264,Cablage!$F:$F,0)),"")</f>
        <v/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customFormat="false" ht="15" hidden="false" customHeight="true" outlineLevel="0" collapsed="false">
      <c r="A265" s="22"/>
      <c r="B265" s="22"/>
      <c r="C265" s="4"/>
      <c r="D265" s="4"/>
      <c r="E265" s="4"/>
      <c r="F265" s="23" t="str">
        <f aca="false">IFERROR(IF(OR($B265="",$C265=""),"",INDEX('Cartes API'!$J:$J,MATCH($B265,'Cartes API'!$A:$A,0))&amp;INDEX('Cartes API'!$B:$B,MATCH($B265,'Cartes API'!$A:$A,0))&amp;"."&amp;INDEX('Cartes API'!$C:$C,MATCH($B265,'Cartes API'!$A:$A,0))&amp;"."&amp;$C265),"")</f>
        <v/>
      </c>
      <c r="G265" s="23" t="str">
        <f aca="false">IFERROR(IF($B265="","",INDEX('Cartes API'!$H:$H,MATCH($B265,'Cartes API'!$A:$A,0))),"")</f>
        <v/>
      </c>
      <c r="H265" s="4"/>
      <c r="I265" s="23" t="str">
        <f aca="false">IF(OR($G265="",$H265=""),"",$G265&amp;"["&amp;$H265&amp;"]")</f>
        <v/>
      </c>
      <c r="J265" s="23" t="str">
        <f aca="false">IFERROR(INDEX(Cablage!$A:$A,MATCH($I265,Cablage!$F:$F,0)),"")</f>
        <v/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customFormat="false" ht="15" hidden="false" customHeight="true" outlineLevel="0" collapsed="false">
      <c r="A266" s="22"/>
      <c r="B266" s="22"/>
      <c r="C266" s="4"/>
      <c r="D266" s="4"/>
      <c r="E266" s="4"/>
      <c r="F266" s="23" t="str">
        <f aca="false">IFERROR(IF(OR($B266="",$C266=""),"",INDEX('Cartes API'!$J:$J,MATCH($B266,'Cartes API'!$A:$A,0))&amp;INDEX('Cartes API'!$B:$B,MATCH($B266,'Cartes API'!$A:$A,0))&amp;"."&amp;INDEX('Cartes API'!$C:$C,MATCH($B266,'Cartes API'!$A:$A,0))&amp;"."&amp;$C266),"")</f>
        <v/>
      </c>
      <c r="G266" s="23" t="str">
        <f aca="false">IFERROR(IF($B266="","",INDEX('Cartes API'!$H:$H,MATCH($B266,'Cartes API'!$A:$A,0))),"")</f>
        <v/>
      </c>
      <c r="H266" s="4"/>
      <c r="I266" s="23" t="str">
        <f aca="false">IF(OR($G266="",$H266=""),"",$G266&amp;"["&amp;$H266&amp;"]")</f>
        <v/>
      </c>
      <c r="J266" s="23" t="str">
        <f aca="false">IFERROR(INDEX(Cablage!$A:$A,MATCH($I266,Cablage!$F:$F,0)),"")</f>
        <v/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customFormat="false" ht="15" hidden="false" customHeight="true" outlineLevel="0" collapsed="false">
      <c r="A267" s="22"/>
      <c r="B267" s="22"/>
      <c r="C267" s="4"/>
      <c r="D267" s="4"/>
      <c r="E267" s="4"/>
      <c r="F267" s="23" t="str">
        <f aca="false">IFERROR(IF(OR($B267="",$C267=""),"",INDEX('Cartes API'!$J:$J,MATCH($B267,'Cartes API'!$A:$A,0))&amp;INDEX('Cartes API'!$B:$B,MATCH($B267,'Cartes API'!$A:$A,0))&amp;"."&amp;INDEX('Cartes API'!$C:$C,MATCH($B267,'Cartes API'!$A:$A,0))&amp;"."&amp;$C267),"")</f>
        <v/>
      </c>
      <c r="G267" s="23" t="str">
        <f aca="false">IFERROR(IF($B267="","",INDEX('Cartes API'!$H:$H,MATCH($B267,'Cartes API'!$A:$A,0))),"")</f>
        <v/>
      </c>
      <c r="H267" s="4"/>
      <c r="I267" s="23" t="str">
        <f aca="false">IF(OR($G267="",$H267=""),"",$G267&amp;"["&amp;$H267&amp;"]")</f>
        <v/>
      </c>
      <c r="J267" s="23" t="str">
        <f aca="false">IFERROR(INDEX(Cablage!$A:$A,MATCH($I267,Cablage!$F:$F,0)),"")</f>
        <v/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customFormat="false" ht="15" hidden="false" customHeight="true" outlineLevel="0" collapsed="false">
      <c r="A268" s="22"/>
      <c r="B268" s="22"/>
      <c r="C268" s="4"/>
      <c r="D268" s="4"/>
      <c r="E268" s="4"/>
      <c r="F268" s="23" t="str">
        <f aca="false">IFERROR(IF(OR($B268="",$C268=""),"",INDEX('Cartes API'!$J:$J,MATCH($B268,'Cartes API'!$A:$A,0))&amp;INDEX('Cartes API'!$B:$B,MATCH($B268,'Cartes API'!$A:$A,0))&amp;"."&amp;INDEX('Cartes API'!$C:$C,MATCH($B268,'Cartes API'!$A:$A,0))&amp;"."&amp;$C268),"")</f>
        <v/>
      </c>
      <c r="G268" s="23" t="str">
        <f aca="false">IFERROR(IF($B268="","",INDEX('Cartes API'!$H:$H,MATCH($B268,'Cartes API'!$A:$A,0))),"")</f>
        <v/>
      </c>
      <c r="H268" s="4"/>
      <c r="I268" s="23" t="str">
        <f aca="false">IF(OR($G268="",$H268=""),"",$G268&amp;"["&amp;$H268&amp;"]")</f>
        <v/>
      </c>
      <c r="J268" s="23" t="str">
        <f aca="false">IFERROR(INDEX(Cablage!$A:$A,MATCH($I268,Cablage!$F:$F,0)),"")</f>
        <v/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customFormat="false" ht="15" hidden="false" customHeight="true" outlineLevel="0" collapsed="false">
      <c r="A269" s="22"/>
      <c r="B269" s="22"/>
      <c r="C269" s="4"/>
      <c r="D269" s="4"/>
      <c r="E269" s="4"/>
      <c r="F269" s="23" t="str">
        <f aca="false">IFERROR(IF(OR($B269="",$C269=""),"",INDEX('Cartes API'!$J:$J,MATCH($B269,'Cartes API'!$A:$A,0))&amp;INDEX('Cartes API'!$B:$B,MATCH($B269,'Cartes API'!$A:$A,0))&amp;"."&amp;INDEX('Cartes API'!$C:$C,MATCH($B269,'Cartes API'!$A:$A,0))&amp;"."&amp;$C269),"")</f>
        <v/>
      </c>
      <c r="G269" s="23" t="str">
        <f aca="false">IFERROR(IF($B269="","",INDEX('Cartes API'!$H:$H,MATCH($B269,'Cartes API'!$A:$A,0))),"")</f>
        <v/>
      </c>
      <c r="H269" s="4"/>
      <c r="I269" s="23" t="str">
        <f aca="false">IF(OR($G269="",$H269=""),"",$G269&amp;"["&amp;$H269&amp;"]")</f>
        <v/>
      </c>
      <c r="J269" s="23" t="str">
        <f aca="false">IFERROR(INDEX(Cablage!$A:$A,MATCH($I269,Cablage!$F:$F,0)),"")</f>
        <v/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customFormat="false" ht="15" hidden="false" customHeight="true" outlineLevel="0" collapsed="false">
      <c r="A270" s="22"/>
      <c r="B270" s="22"/>
      <c r="C270" s="4"/>
      <c r="D270" s="4"/>
      <c r="E270" s="4"/>
      <c r="F270" s="23" t="str">
        <f aca="false">IFERROR(IF(OR($B270="",$C270=""),"",INDEX('Cartes API'!$J:$J,MATCH($B270,'Cartes API'!$A:$A,0))&amp;INDEX('Cartes API'!$B:$B,MATCH($B270,'Cartes API'!$A:$A,0))&amp;"."&amp;INDEX('Cartes API'!$C:$C,MATCH($B270,'Cartes API'!$A:$A,0))&amp;"."&amp;$C270),"")</f>
        <v/>
      </c>
      <c r="G270" s="23" t="str">
        <f aca="false">IFERROR(IF($B270="","",INDEX('Cartes API'!$H:$H,MATCH($B270,'Cartes API'!$A:$A,0))),"")</f>
        <v/>
      </c>
      <c r="H270" s="4"/>
      <c r="I270" s="23" t="str">
        <f aca="false">IF(OR($G270="",$H270=""),"",$G270&amp;"["&amp;$H270&amp;"]")</f>
        <v/>
      </c>
      <c r="J270" s="23" t="str">
        <f aca="false">IFERROR(INDEX(Cablage!$A:$A,MATCH($I270,Cablage!$F:$F,0)),"")</f>
        <v/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customFormat="false" ht="15" hidden="false" customHeight="true" outlineLevel="0" collapsed="false">
      <c r="A271" s="22"/>
      <c r="B271" s="22"/>
      <c r="C271" s="4"/>
      <c r="D271" s="4"/>
      <c r="E271" s="4"/>
      <c r="F271" s="23" t="str">
        <f aca="false">IFERROR(IF(OR($B271="",$C271=""),"",INDEX('Cartes API'!$J:$J,MATCH($B271,'Cartes API'!$A:$A,0))&amp;INDEX('Cartes API'!$B:$B,MATCH($B271,'Cartes API'!$A:$A,0))&amp;"."&amp;INDEX('Cartes API'!$C:$C,MATCH($B271,'Cartes API'!$A:$A,0))&amp;"."&amp;$C271),"")</f>
        <v/>
      </c>
      <c r="G271" s="23" t="str">
        <f aca="false">IFERROR(IF($B271="","",INDEX('Cartes API'!$H:$H,MATCH($B271,'Cartes API'!$A:$A,0))),"")</f>
        <v/>
      </c>
      <c r="H271" s="4"/>
      <c r="I271" s="23" t="str">
        <f aca="false">IF(OR($G271="",$H271=""),"",$G271&amp;"["&amp;$H271&amp;"]")</f>
        <v/>
      </c>
      <c r="J271" s="23" t="str">
        <f aca="false">IFERROR(INDEX(Cablage!$A:$A,MATCH($I271,Cablage!$F:$F,0)),"")</f>
        <v/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customFormat="false" ht="15" hidden="false" customHeight="true" outlineLevel="0" collapsed="false">
      <c r="A272" s="22"/>
      <c r="B272" s="22"/>
      <c r="C272" s="4"/>
      <c r="D272" s="4"/>
      <c r="E272" s="4"/>
      <c r="F272" s="23" t="str">
        <f aca="false">IFERROR(IF(OR($B272="",$C272=""),"",INDEX('Cartes API'!$J:$J,MATCH($B272,'Cartes API'!$A:$A,0))&amp;INDEX('Cartes API'!$B:$B,MATCH($B272,'Cartes API'!$A:$A,0))&amp;"."&amp;INDEX('Cartes API'!$C:$C,MATCH($B272,'Cartes API'!$A:$A,0))&amp;"."&amp;$C272),"")</f>
        <v/>
      </c>
      <c r="G272" s="23" t="str">
        <f aca="false">IFERROR(IF($B272="","",INDEX('Cartes API'!$H:$H,MATCH($B272,'Cartes API'!$A:$A,0))),"")</f>
        <v/>
      </c>
      <c r="H272" s="4"/>
      <c r="I272" s="23" t="str">
        <f aca="false">IF(OR($G272="",$H272=""),"",$G272&amp;"["&amp;$H272&amp;"]")</f>
        <v/>
      </c>
      <c r="J272" s="23" t="str">
        <f aca="false">IFERROR(INDEX(Cablage!$A:$A,MATCH($I272,Cablage!$F:$F,0)),"")</f>
        <v/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customFormat="false" ht="15" hidden="false" customHeight="true" outlineLevel="0" collapsed="false">
      <c r="A273" s="22"/>
      <c r="B273" s="22"/>
      <c r="C273" s="4"/>
      <c r="D273" s="4"/>
      <c r="E273" s="4"/>
      <c r="F273" s="23" t="str">
        <f aca="false">IFERROR(IF(OR($B273="",$C273=""),"",INDEX('Cartes API'!$J:$J,MATCH($B273,'Cartes API'!$A:$A,0))&amp;INDEX('Cartes API'!$B:$B,MATCH($B273,'Cartes API'!$A:$A,0))&amp;"."&amp;INDEX('Cartes API'!$C:$C,MATCH($B273,'Cartes API'!$A:$A,0))&amp;"."&amp;$C273),"")</f>
        <v/>
      </c>
      <c r="G273" s="23" t="str">
        <f aca="false">IFERROR(IF($B273="","",INDEX('Cartes API'!$H:$H,MATCH($B273,'Cartes API'!$A:$A,0))),"")</f>
        <v/>
      </c>
      <c r="H273" s="4"/>
      <c r="I273" s="23" t="str">
        <f aca="false">IF(OR($G273="",$H273=""),"",$G273&amp;"["&amp;$H273&amp;"]")</f>
        <v/>
      </c>
      <c r="J273" s="23" t="str">
        <f aca="false">IFERROR(INDEX(Cablage!$A:$A,MATCH($I273,Cablage!$F:$F,0)),"")</f>
        <v/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customFormat="false" ht="15" hidden="false" customHeight="true" outlineLevel="0" collapsed="false">
      <c r="A274" s="22"/>
      <c r="B274" s="22"/>
      <c r="C274" s="4"/>
      <c r="D274" s="4"/>
      <c r="E274" s="4"/>
      <c r="F274" s="23" t="str">
        <f aca="false">IFERROR(IF(OR($B274="",$C274=""),"",INDEX('Cartes API'!$J:$J,MATCH($B274,'Cartes API'!$A:$A,0))&amp;INDEX('Cartes API'!$B:$B,MATCH($B274,'Cartes API'!$A:$A,0))&amp;"."&amp;INDEX('Cartes API'!$C:$C,MATCH($B274,'Cartes API'!$A:$A,0))&amp;"."&amp;$C274),"")</f>
        <v/>
      </c>
      <c r="G274" s="23" t="str">
        <f aca="false">IFERROR(IF($B274="","",INDEX('Cartes API'!$H:$H,MATCH($B274,'Cartes API'!$A:$A,0))),"")</f>
        <v/>
      </c>
      <c r="H274" s="4"/>
      <c r="I274" s="23" t="str">
        <f aca="false">IF(OR($G274="",$H274=""),"",$G274&amp;"["&amp;$H274&amp;"]")</f>
        <v/>
      </c>
      <c r="J274" s="23" t="str">
        <f aca="false">IFERROR(INDEX(Cablage!$A:$A,MATCH($I274,Cablage!$F:$F,0)),"")</f>
        <v/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customFormat="false" ht="15" hidden="false" customHeight="true" outlineLevel="0" collapsed="false">
      <c r="A275" s="22"/>
      <c r="B275" s="22"/>
      <c r="C275" s="4"/>
      <c r="D275" s="4"/>
      <c r="E275" s="4"/>
      <c r="F275" s="23" t="str">
        <f aca="false">IFERROR(IF(OR($B275="",$C275=""),"",INDEX('Cartes API'!$J:$J,MATCH($B275,'Cartes API'!$A:$A,0))&amp;INDEX('Cartes API'!$B:$B,MATCH($B275,'Cartes API'!$A:$A,0))&amp;"."&amp;INDEX('Cartes API'!$C:$C,MATCH($B275,'Cartes API'!$A:$A,0))&amp;"."&amp;$C275),"")</f>
        <v/>
      </c>
      <c r="G275" s="23" t="str">
        <f aca="false">IFERROR(IF($B275="","",INDEX('Cartes API'!$H:$H,MATCH($B275,'Cartes API'!$A:$A,0))),"")</f>
        <v/>
      </c>
      <c r="H275" s="4"/>
      <c r="I275" s="23" t="str">
        <f aca="false">IF(OR($G275="",$H275=""),"",$G275&amp;"["&amp;$H275&amp;"]")</f>
        <v/>
      </c>
      <c r="J275" s="23" t="str">
        <f aca="false">IFERROR(INDEX(Cablage!$A:$A,MATCH($I275,Cablage!$F:$F,0)),"")</f>
        <v/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customFormat="false" ht="15" hidden="false" customHeight="true" outlineLevel="0" collapsed="false">
      <c r="A276" s="22"/>
      <c r="B276" s="22"/>
      <c r="C276" s="4"/>
      <c r="D276" s="4"/>
      <c r="E276" s="4"/>
      <c r="F276" s="23" t="str">
        <f aca="false">IFERROR(IF(OR($B276="",$C276=""),"",INDEX('Cartes API'!$J:$J,MATCH($B276,'Cartes API'!$A:$A,0))&amp;INDEX('Cartes API'!$B:$B,MATCH($B276,'Cartes API'!$A:$A,0))&amp;"."&amp;INDEX('Cartes API'!$C:$C,MATCH($B276,'Cartes API'!$A:$A,0))&amp;"."&amp;$C276),"")</f>
        <v/>
      </c>
      <c r="G276" s="23" t="str">
        <f aca="false">IFERROR(IF($B276="","",INDEX('Cartes API'!$H:$H,MATCH($B276,'Cartes API'!$A:$A,0))),"")</f>
        <v/>
      </c>
      <c r="H276" s="4"/>
      <c r="I276" s="23" t="str">
        <f aca="false">IF(OR($G276="",$H276=""),"",$G276&amp;"["&amp;$H276&amp;"]")</f>
        <v/>
      </c>
      <c r="J276" s="23" t="str">
        <f aca="false">IFERROR(INDEX(Cablage!$A:$A,MATCH($I276,Cablage!$F:$F,0)),"")</f>
        <v/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customFormat="false" ht="15" hidden="false" customHeight="true" outlineLevel="0" collapsed="false">
      <c r="A277" s="22"/>
      <c r="B277" s="22"/>
      <c r="C277" s="4"/>
      <c r="D277" s="4"/>
      <c r="E277" s="4"/>
      <c r="F277" s="23" t="str">
        <f aca="false">IFERROR(IF(OR($B277="",$C277=""),"",INDEX('Cartes API'!$J:$J,MATCH($B277,'Cartes API'!$A:$A,0))&amp;INDEX('Cartes API'!$B:$B,MATCH($B277,'Cartes API'!$A:$A,0))&amp;"."&amp;INDEX('Cartes API'!$C:$C,MATCH($B277,'Cartes API'!$A:$A,0))&amp;"."&amp;$C277),"")</f>
        <v/>
      </c>
      <c r="G277" s="23" t="str">
        <f aca="false">IFERROR(IF($B277="","",INDEX('Cartes API'!$H:$H,MATCH($B277,'Cartes API'!$A:$A,0))),"")</f>
        <v/>
      </c>
      <c r="H277" s="4"/>
      <c r="I277" s="23" t="str">
        <f aca="false">IF(OR($G277="",$H277=""),"",$G277&amp;"["&amp;$H277&amp;"]")</f>
        <v/>
      </c>
      <c r="J277" s="23" t="str">
        <f aca="false">IFERROR(INDEX(Cablage!$A:$A,MATCH($I277,Cablage!$F:$F,0)),"")</f>
        <v/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customFormat="false" ht="15" hidden="false" customHeight="true" outlineLevel="0" collapsed="false">
      <c r="A278" s="22"/>
      <c r="B278" s="22"/>
      <c r="C278" s="4"/>
      <c r="D278" s="4"/>
      <c r="E278" s="4"/>
      <c r="F278" s="23" t="str">
        <f aca="false">IFERROR(IF(OR($B278="",$C278=""),"",INDEX('Cartes API'!$J:$J,MATCH($B278,'Cartes API'!$A:$A,0))&amp;INDEX('Cartes API'!$B:$B,MATCH($B278,'Cartes API'!$A:$A,0))&amp;"."&amp;INDEX('Cartes API'!$C:$C,MATCH($B278,'Cartes API'!$A:$A,0))&amp;"."&amp;$C278),"")</f>
        <v/>
      </c>
      <c r="G278" s="23" t="str">
        <f aca="false">IFERROR(IF($B278="","",INDEX('Cartes API'!$H:$H,MATCH($B278,'Cartes API'!$A:$A,0))),"")</f>
        <v/>
      </c>
      <c r="H278" s="4"/>
      <c r="I278" s="23" t="str">
        <f aca="false">IF(OR($G278="",$H278=""),"",$G278&amp;"["&amp;$H278&amp;"]")</f>
        <v/>
      </c>
      <c r="J278" s="23" t="str">
        <f aca="false">IFERROR(INDEX(Cablage!$A:$A,MATCH($I278,Cablage!$F:$F,0)),"")</f>
        <v/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customFormat="false" ht="15" hidden="false" customHeight="true" outlineLevel="0" collapsed="false">
      <c r="A279" s="22"/>
      <c r="B279" s="22"/>
      <c r="C279" s="4"/>
      <c r="D279" s="4"/>
      <c r="E279" s="4"/>
      <c r="F279" s="23" t="str">
        <f aca="false">IFERROR(IF(OR($B279="",$C279=""),"",INDEX('Cartes API'!$J:$J,MATCH($B279,'Cartes API'!$A:$A,0))&amp;INDEX('Cartes API'!$B:$B,MATCH($B279,'Cartes API'!$A:$A,0))&amp;"."&amp;INDEX('Cartes API'!$C:$C,MATCH($B279,'Cartes API'!$A:$A,0))&amp;"."&amp;$C279),"")</f>
        <v/>
      </c>
      <c r="G279" s="23" t="str">
        <f aca="false">IFERROR(IF($B279="","",INDEX('Cartes API'!$H:$H,MATCH($B279,'Cartes API'!$A:$A,0))),"")</f>
        <v/>
      </c>
      <c r="H279" s="4"/>
      <c r="I279" s="23" t="str">
        <f aca="false">IF(OR($G279="",$H279=""),"",$G279&amp;"["&amp;$H279&amp;"]")</f>
        <v/>
      </c>
      <c r="J279" s="23" t="str">
        <f aca="false">IFERROR(INDEX(Cablage!$A:$A,MATCH($I279,Cablage!$F:$F,0)),"")</f>
        <v/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customFormat="false" ht="15" hidden="false" customHeight="true" outlineLevel="0" collapsed="false">
      <c r="A280" s="22"/>
      <c r="B280" s="22"/>
      <c r="C280" s="4"/>
      <c r="D280" s="4"/>
      <c r="E280" s="4"/>
      <c r="F280" s="23" t="str">
        <f aca="false">IFERROR(IF(OR($B280="",$C280=""),"",INDEX('Cartes API'!$J:$J,MATCH($B280,'Cartes API'!$A:$A,0))&amp;INDEX('Cartes API'!$B:$B,MATCH($B280,'Cartes API'!$A:$A,0))&amp;"."&amp;INDEX('Cartes API'!$C:$C,MATCH($B280,'Cartes API'!$A:$A,0))&amp;"."&amp;$C280),"")</f>
        <v/>
      </c>
      <c r="G280" s="23" t="str">
        <f aca="false">IFERROR(IF($B280="","",INDEX('Cartes API'!$H:$H,MATCH($B280,'Cartes API'!$A:$A,0))),"")</f>
        <v/>
      </c>
      <c r="H280" s="4"/>
      <c r="I280" s="23" t="str">
        <f aca="false">IF(OR($G280="",$H280=""),"",$G280&amp;"["&amp;$H280&amp;"]")</f>
        <v/>
      </c>
      <c r="J280" s="23" t="str">
        <f aca="false">IFERROR(INDEX(Cablage!$A:$A,MATCH($I280,Cablage!$F:$F,0)),"")</f>
        <v/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customFormat="false" ht="15" hidden="false" customHeight="true" outlineLevel="0" collapsed="false">
      <c r="A281" s="22"/>
      <c r="B281" s="22"/>
      <c r="C281" s="4"/>
      <c r="D281" s="4"/>
      <c r="E281" s="4"/>
      <c r="F281" s="23" t="str">
        <f aca="false">IFERROR(IF(OR($B281="",$C281=""),"",INDEX('Cartes API'!$J:$J,MATCH($B281,'Cartes API'!$A:$A,0))&amp;INDEX('Cartes API'!$B:$B,MATCH($B281,'Cartes API'!$A:$A,0))&amp;"."&amp;INDEX('Cartes API'!$C:$C,MATCH($B281,'Cartes API'!$A:$A,0))&amp;"."&amp;$C281),"")</f>
        <v/>
      </c>
      <c r="G281" s="23" t="str">
        <f aca="false">IFERROR(IF($B281="","",INDEX('Cartes API'!$H:$H,MATCH($B281,'Cartes API'!$A:$A,0))),"")</f>
        <v/>
      </c>
      <c r="H281" s="4"/>
      <c r="I281" s="23" t="str">
        <f aca="false">IF(OR($G281="",$H281=""),"",$G281&amp;"["&amp;$H281&amp;"]")</f>
        <v/>
      </c>
      <c r="J281" s="23" t="str">
        <f aca="false">IFERROR(INDEX(Cablage!$A:$A,MATCH($I281,Cablage!$F:$F,0)),"")</f>
        <v/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customFormat="false" ht="15" hidden="false" customHeight="true" outlineLevel="0" collapsed="false">
      <c r="A282" s="22"/>
      <c r="B282" s="22"/>
      <c r="C282" s="4"/>
      <c r="D282" s="4"/>
      <c r="E282" s="4"/>
      <c r="F282" s="23" t="str">
        <f aca="false">IFERROR(IF(OR($B282="",$C282=""),"",INDEX('Cartes API'!$J:$J,MATCH($B282,'Cartes API'!$A:$A,0))&amp;INDEX('Cartes API'!$B:$B,MATCH($B282,'Cartes API'!$A:$A,0))&amp;"."&amp;INDEX('Cartes API'!$C:$C,MATCH($B282,'Cartes API'!$A:$A,0))&amp;"."&amp;$C282),"")</f>
        <v/>
      </c>
      <c r="G282" s="23" t="str">
        <f aca="false">IFERROR(IF($B282="","",INDEX('Cartes API'!$H:$H,MATCH($B282,'Cartes API'!$A:$A,0))),"")</f>
        <v/>
      </c>
      <c r="H282" s="4"/>
      <c r="I282" s="23" t="str">
        <f aca="false">IF(OR($G282="",$H282=""),"",$G282&amp;"["&amp;$H282&amp;"]")</f>
        <v/>
      </c>
      <c r="J282" s="23" t="str">
        <f aca="false">IFERROR(INDEX(Cablage!$A:$A,MATCH($I282,Cablage!$F:$F,0)),"")</f>
        <v/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customFormat="false" ht="15" hidden="false" customHeight="true" outlineLevel="0" collapsed="false">
      <c r="A283" s="22"/>
      <c r="B283" s="22"/>
      <c r="C283" s="4"/>
      <c r="D283" s="4"/>
      <c r="E283" s="4"/>
      <c r="F283" s="23" t="str">
        <f aca="false">IFERROR(IF(OR($B283="",$C283=""),"",INDEX('Cartes API'!$J:$J,MATCH($B283,'Cartes API'!$A:$A,0))&amp;INDEX('Cartes API'!$B:$B,MATCH($B283,'Cartes API'!$A:$A,0))&amp;"."&amp;INDEX('Cartes API'!$C:$C,MATCH($B283,'Cartes API'!$A:$A,0))&amp;"."&amp;$C283),"")</f>
        <v/>
      </c>
      <c r="G283" s="23" t="str">
        <f aca="false">IFERROR(IF($B283="","",INDEX('Cartes API'!$H:$H,MATCH($B283,'Cartes API'!$A:$A,0))),"")</f>
        <v/>
      </c>
      <c r="H283" s="4"/>
      <c r="I283" s="23" t="str">
        <f aca="false">IF(OR($G283="",$H283=""),"",$G283&amp;"["&amp;$H283&amp;"]")</f>
        <v/>
      </c>
      <c r="J283" s="23" t="str">
        <f aca="false">IFERROR(INDEX(Cablage!$A:$A,MATCH($I283,Cablage!$F:$F,0)),"")</f>
        <v/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customFormat="false" ht="15" hidden="false" customHeight="true" outlineLevel="0" collapsed="false">
      <c r="A284" s="22"/>
      <c r="B284" s="22"/>
      <c r="C284" s="4"/>
      <c r="D284" s="4"/>
      <c r="E284" s="4"/>
      <c r="F284" s="23" t="str">
        <f aca="false">IFERROR(IF(OR($B284="",$C284=""),"",INDEX('Cartes API'!$J:$J,MATCH($B284,'Cartes API'!$A:$A,0))&amp;INDEX('Cartes API'!$B:$B,MATCH($B284,'Cartes API'!$A:$A,0))&amp;"."&amp;INDEX('Cartes API'!$C:$C,MATCH($B284,'Cartes API'!$A:$A,0))&amp;"."&amp;$C284),"")</f>
        <v/>
      </c>
      <c r="G284" s="23" t="str">
        <f aca="false">IFERROR(IF($B284="","",INDEX('Cartes API'!$H:$H,MATCH($B284,'Cartes API'!$A:$A,0))),"")</f>
        <v/>
      </c>
      <c r="H284" s="4"/>
      <c r="I284" s="23" t="str">
        <f aca="false">IF(OR($G284="",$H284=""),"",$G284&amp;"["&amp;$H284&amp;"]")</f>
        <v/>
      </c>
      <c r="J284" s="23" t="str">
        <f aca="false">IFERROR(INDEX(Cablage!$A:$A,MATCH($I284,Cablage!$F:$F,0)),"")</f>
        <v/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customFormat="false" ht="15" hidden="false" customHeight="true" outlineLevel="0" collapsed="false">
      <c r="A285" s="22"/>
      <c r="B285" s="22"/>
      <c r="C285" s="4"/>
      <c r="D285" s="4"/>
      <c r="E285" s="4"/>
      <c r="F285" s="23" t="str">
        <f aca="false">IFERROR(IF(OR($B285="",$C285=""),"",INDEX('Cartes API'!$J:$J,MATCH($B285,'Cartes API'!$A:$A,0))&amp;INDEX('Cartes API'!$B:$B,MATCH($B285,'Cartes API'!$A:$A,0))&amp;"."&amp;INDEX('Cartes API'!$C:$C,MATCH($B285,'Cartes API'!$A:$A,0))&amp;"."&amp;$C285),"")</f>
        <v/>
      </c>
      <c r="G285" s="23" t="str">
        <f aca="false">IFERROR(IF($B285="","",INDEX('Cartes API'!$H:$H,MATCH($B285,'Cartes API'!$A:$A,0))),"")</f>
        <v/>
      </c>
      <c r="H285" s="4"/>
      <c r="I285" s="23" t="str">
        <f aca="false">IF(OR($G285="",$H285=""),"",$G285&amp;"["&amp;$H285&amp;"]")</f>
        <v/>
      </c>
      <c r="J285" s="23" t="str">
        <f aca="false">IFERROR(INDEX(Cablage!$A:$A,MATCH($I285,Cablage!$F:$F,0)),"")</f>
        <v/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customFormat="false" ht="15" hidden="false" customHeight="true" outlineLevel="0" collapsed="false">
      <c r="A286" s="22"/>
      <c r="B286" s="22"/>
      <c r="C286" s="4"/>
      <c r="D286" s="4"/>
      <c r="E286" s="4"/>
      <c r="F286" s="23" t="str">
        <f aca="false">IFERROR(IF(OR($B286="",$C286=""),"",INDEX('Cartes API'!$J:$J,MATCH($B286,'Cartes API'!$A:$A,0))&amp;INDEX('Cartes API'!$B:$B,MATCH($B286,'Cartes API'!$A:$A,0))&amp;"."&amp;INDEX('Cartes API'!$C:$C,MATCH($B286,'Cartes API'!$A:$A,0))&amp;"."&amp;$C286),"")</f>
        <v/>
      </c>
      <c r="G286" s="23" t="str">
        <f aca="false">IFERROR(IF($B286="","",INDEX('Cartes API'!$H:$H,MATCH($B286,'Cartes API'!$A:$A,0))),"")</f>
        <v/>
      </c>
      <c r="H286" s="4"/>
      <c r="I286" s="23" t="str">
        <f aca="false">IF(OR($G286="",$H286=""),"",$G286&amp;"["&amp;$H286&amp;"]")</f>
        <v/>
      </c>
      <c r="J286" s="23" t="str">
        <f aca="false">IFERROR(INDEX(Cablage!$A:$A,MATCH($I286,Cablage!$F:$F,0)),"")</f>
        <v/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customFormat="false" ht="15" hidden="false" customHeight="true" outlineLevel="0" collapsed="false">
      <c r="A287" s="22"/>
      <c r="B287" s="22"/>
      <c r="C287" s="4"/>
      <c r="D287" s="4"/>
      <c r="E287" s="4"/>
      <c r="F287" s="23" t="str">
        <f aca="false">IFERROR(IF(OR($B287="",$C287=""),"",INDEX('Cartes API'!$J:$J,MATCH($B287,'Cartes API'!$A:$A,0))&amp;INDEX('Cartes API'!$B:$B,MATCH($B287,'Cartes API'!$A:$A,0))&amp;"."&amp;INDEX('Cartes API'!$C:$C,MATCH($B287,'Cartes API'!$A:$A,0))&amp;"."&amp;$C287),"")</f>
        <v/>
      </c>
      <c r="G287" s="23" t="str">
        <f aca="false">IFERROR(IF($B287="","",INDEX('Cartes API'!$H:$H,MATCH($B287,'Cartes API'!$A:$A,0))),"")</f>
        <v/>
      </c>
      <c r="H287" s="4"/>
      <c r="I287" s="23" t="str">
        <f aca="false">IF(OR($G287="",$H287=""),"",$G287&amp;"["&amp;$H287&amp;"]")</f>
        <v/>
      </c>
      <c r="J287" s="23" t="str">
        <f aca="false">IFERROR(INDEX(Cablage!$A:$A,MATCH($I287,Cablage!$F:$F,0)),"")</f>
        <v/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customFormat="false" ht="15" hidden="false" customHeight="true" outlineLevel="0" collapsed="false">
      <c r="A288" s="22"/>
      <c r="B288" s="22"/>
      <c r="C288" s="4"/>
      <c r="D288" s="4"/>
      <c r="E288" s="4"/>
      <c r="F288" s="23" t="str">
        <f aca="false">IFERROR(IF(OR($B288="",$C288=""),"",INDEX('Cartes API'!$J:$J,MATCH($B288,'Cartes API'!$A:$A,0))&amp;INDEX('Cartes API'!$B:$B,MATCH($B288,'Cartes API'!$A:$A,0))&amp;"."&amp;INDEX('Cartes API'!$C:$C,MATCH($B288,'Cartes API'!$A:$A,0))&amp;"."&amp;$C288),"")</f>
        <v/>
      </c>
      <c r="G288" s="23" t="str">
        <f aca="false">IFERROR(IF($B288="","",INDEX('Cartes API'!$H:$H,MATCH($B288,'Cartes API'!$A:$A,0))),"")</f>
        <v/>
      </c>
      <c r="H288" s="4"/>
      <c r="I288" s="23" t="str">
        <f aca="false">IF(OR($G288="",$H288=""),"",$G288&amp;"["&amp;$H288&amp;"]")</f>
        <v/>
      </c>
      <c r="J288" s="23" t="str">
        <f aca="false">IFERROR(INDEX(Cablage!$A:$A,MATCH($I288,Cablage!$F:$F,0)),"")</f>
        <v/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customFormat="false" ht="15" hidden="false" customHeight="true" outlineLevel="0" collapsed="false">
      <c r="A289" s="22"/>
      <c r="B289" s="22"/>
      <c r="C289" s="4"/>
      <c r="D289" s="4"/>
      <c r="E289" s="4"/>
      <c r="F289" s="23" t="str">
        <f aca="false">IFERROR(IF(OR($B289="",$C289=""),"",INDEX('Cartes API'!$J:$J,MATCH($B289,'Cartes API'!$A:$A,0))&amp;INDEX('Cartes API'!$B:$B,MATCH($B289,'Cartes API'!$A:$A,0))&amp;"."&amp;INDEX('Cartes API'!$C:$C,MATCH($B289,'Cartes API'!$A:$A,0))&amp;"."&amp;$C289),"")</f>
        <v/>
      </c>
      <c r="G289" s="23" t="str">
        <f aca="false">IFERROR(IF($B289="","",INDEX('Cartes API'!$H:$H,MATCH($B289,'Cartes API'!$A:$A,0))),"")</f>
        <v/>
      </c>
      <c r="H289" s="4"/>
      <c r="I289" s="23" t="str">
        <f aca="false">IF(OR($G289="",$H289=""),"",$G289&amp;"["&amp;$H289&amp;"]")</f>
        <v/>
      </c>
      <c r="J289" s="23" t="str">
        <f aca="false">IFERROR(INDEX(Cablage!$A:$A,MATCH($I289,Cablage!$F:$F,0)),"")</f>
        <v/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customFormat="false" ht="15" hidden="false" customHeight="true" outlineLevel="0" collapsed="false">
      <c r="A290" s="22"/>
      <c r="B290" s="22"/>
      <c r="C290" s="4"/>
      <c r="D290" s="4"/>
      <c r="E290" s="4"/>
      <c r="F290" s="23" t="str">
        <f aca="false">IFERROR(IF(OR($B290="",$C290=""),"",INDEX('Cartes API'!$J:$J,MATCH($B290,'Cartes API'!$A:$A,0))&amp;INDEX('Cartes API'!$B:$B,MATCH($B290,'Cartes API'!$A:$A,0))&amp;"."&amp;INDEX('Cartes API'!$C:$C,MATCH($B290,'Cartes API'!$A:$A,0))&amp;"."&amp;$C290),"")</f>
        <v/>
      </c>
      <c r="G290" s="23" t="str">
        <f aca="false">IFERROR(IF($B290="","",INDEX('Cartes API'!$H:$H,MATCH($B290,'Cartes API'!$A:$A,0))),"")</f>
        <v/>
      </c>
      <c r="H290" s="4"/>
      <c r="I290" s="23" t="str">
        <f aca="false">IF(OR($G290="",$H290=""),"",$G290&amp;"["&amp;$H290&amp;"]")</f>
        <v/>
      </c>
      <c r="J290" s="23" t="str">
        <f aca="false">IFERROR(INDEX(Cablage!$A:$A,MATCH($I290,Cablage!$F:$F,0)),"")</f>
        <v/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customFormat="false" ht="15" hidden="false" customHeight="true" outlineLevel="0" collapsed="false">
      <c r="A291" s="22"/>
      <c r="B291" s="22"/>
      <c r="C291" s="4"/>
      <c r="D291" s="4"/>
      <c r="E291" s="4"/>
      <c r="F291" s="23" t="str">
        <f aca="false">IFERROR(IF(OR($B291="",$C291=""),"",INDEX('Cartes API'!$J:$J,MATCH($B291,'Cartes API'!$A:$A,0))&amp;INDEX('Cartes API'!$B:$B,MATCH($B291,'Cartes API'!$A:$A,0))&amp;"."&amp;INDEX('Cartes API'!$C:$C,MATCH($B291,'Cartes API'!$A:$A,0))&amp;"."&amp;$C291),"")</f>
        <v/>
      </c>
      <c r="G291" s="23" t="str">
        <f aca="false">IFERROR(IF($B291="","",INDEX('Cartes API'!$H:$H,MATCH($B291,'Cartes API'!$A:$A,0))),"")</f>
        <v/>
      </c>
      <c r="H291" s="4"/>
      <c r="I291" s="23" t="str">
        <f aca="false">IF(OR($G291="",$H291=""),"",$G291&amp;"["&amp;$H291&amp;"]")</f>
        <v/>
      </c>
      <c r="J291" s="23" t="str">
        <f aca="false">IFERROR(INDEX(Cablage!$A:$A,MATCH($I291,Cablage!$F:$F,0)),"")</f>
        <v/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customFormat="false" ht="15" hidden="false" customHeight="true" outlineLevel="0" collapsed="false">
      <c r="A292" s="22"/>
      <c r="B292" s="22"/>
      <c r="C292" s="4"/>
      <c r="D292" s="4"/>
      <c r="E292" s="4"/>
      <c r="F292" s="23" t="str">
        <f aca="false">IFERROR(IF(OR($B292="",$C292=""),"",INDEX('Cartes API'!$J:$J,MATCH($B292,'Cartes API'!$A:$A,0))&amp;INDEX('Cartes API'!$B:$B,MATCH($B292,'Cartes API'!$A:$A,0))&amp;"."&amp;INDEX('Cartes API'!$C:$C,MATCH($B292,'Cartes API'!$A:$A,0))&amp;"."&amp;$C292),"")</f>
        <v/>
      </c>
      <c r="G292" s="23" t="str">
        <f aca="false">IFERROR(IF($B292="","",INDEX('Cartes API'!$H:$H,MATCH($B292,'Cartes API'!$A:$A,0))),"")</f>
        <v/>
      </c>
      <c r="H292" s="4"/>
      <c r="I292" s="23" t="str">
        <f aca="false">IF(OR($G292="",$H292=""),"",$G292&amp;"["&amp;$H292&amp;"]")</f>
        <v/>
      </c>
      <c r="J292" s="23" t="str">
        <f aca="false">IFERROR(INDEX(Cablage!$A:$A,MATCH($I292,Cablage!$F:$F,0)),"")</f>
        <v/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customFormat="false" ht="15" hidden="false" customHeight="true" outlineLevel="0" collapsed="false">
      <c r="A293" s="22"/>
      <c r="B293" s="22"/>
      <c r="C293" s="4"/>
      <c r="D293" s="4"/>
      <c r="E293" s="4"/>
      <c r="F293" s="23" t="str">
        <f aca="false">IFERROR(IF(OR($B293="",$C293=""),"",INDEX('Cartes API'!$J:$J,MATCH($B293,'Cartes API'!$A:$A,0))&amp;INDEX('Cartes API'!$B:$B,MATCH($B293,'Cartes API'!$A:$A,0))&amp;"."&amp;INDEX('Cartes API'!$C:$C,MATCH($B293,'Cartes API'!$A:$A,0))&amp;"."&amp;$C293),"")</f>
        <v/>
      </c>
      <c r="G293" s="23" t="str">
        <f aca="false">IFERROR(IF($B293="","",INDEX('Cartes API'!$H:$H,MATCH($B293,'Cartes API'!$A:$A,0))),"")</f>
        <v/>
      </c>
      <c r="H293" s="4"/>
      <c r="I293" s="23" t="str">
        <f aca="false">IF(OR($G293="",$H293=""),"",$G293&amp;"["&amp;$H293&amp;"]")</f>
        <v/>
      </c>
      <c r="J293" s="23" t="str">
        <f aca="false">IFERROR(INDEX(Cablage!$A:$A,MATCH($I293,Cablage!$F:$F,0)),"")</f>
        <v/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customFormat="false" ht="15" hidden="false" customHeight="true" outlineLevel="0" collapsed="false">
      <c r="A294" s="22"/>
      <c r="B294" s="22"/>
      <c r="C294" s="4"/>
      <c r="D294" s="4"/>
      <c r="E294" s="4"/>
      <c r="F294" s="23" t="str">
        <f aca="false">IFERROR(IF(OR($B294="",$C294=""),"",INDEX('Cartes API'!$J:$J,MATCH($B294,'Cartes API'!$A:$A,0))&amp;INDEX('Cartes API'!$B:$B,MATCH($B294,'Cartes API'!$A:$A,0))&amp;"."&amp;INDEX('Cartes API'!$C:$C,MATCH($B294,'Cartes API'!$A:$A,0))&amp;"."&amp;$C294),"")</f>
        <v/>
      </c>
      <c r="G294" s="23" t="str">
        <f aca="false">IFERROR(IF($B294="","",INDEX('Cartes API'!$H:$H,MATCH($B294,'Cartes API'!$A:$A,0))),"")</f>
        <v/>
      </c>
      <c r="H294" s="4"/>
      <c r="I294" s="23" t="str">
        <f aca="false">IF(OR($G294="",$H294=""),"",$G294&amp;"["&amp;$H294&amp;"]")</f>
        <v/>
      </c>
      <c r="J294" s="23" t="str">
        <f aca="false">IFERROR(INDEX(Cablage!$A:$A,MATCH($I294,Cablage!$F:$F,0)),"")</f>
        <v/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customFormat="false" ht="15" hidden="false" customHeight="true" outlineLevel="0" collapsed="false">
      <c r="A295" s="22"/>
      <c r="B295" s="22"/>
      <c r="C295" s="4"/>
      <c r="D295" s="4"/>
      <c r="E295" s="4"/>
      <c r="F295" s="23" t="str">
        <f aca="false">IFERROR(IF(OR($B295="",$C295=""),"",INDEX('Cartes API'!$J:$J,MATCH($B295,'Cartes API'!$A:$A,0))&amp;INDEX('Cartes API'!$B:$B,MATCH($B295,'Cartes API'!$A:$A,0))&amp;"."&amp;INDEX('Cartes API'!$C:$C,MATCH($B295,'Cartes API'!$A:$A,0))&amp;"."&amp;$C295),"")</f>
        <v/>
      </c>
      <c r="G295" s="23" t="str">
        <f aca="false">IFERROR(IF($B295="","",INDEX('Cartes API'!$H:$H,MATCH($B295,'Cartes API'!$A:$A,0))),"")</f>
        <v/>
      </c>
      <c r="H295" s="4"/>
      <c r="I295" s="23" t="str">
        <f aca="false">IF(OR($G295="",$H295=""),"",$G295&amp;"["&amp;$H295&amp;"]")</f>
        <v/>
      </c>
      <c r="J295" s="23" t="str">
        <f aca="false">IFERROR(INDEX(Cablage!$A:$A,MATCH($I295,Cablage!$F:$F,0)),"")</f>
        <v/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customFormat="false" ht="15" hidden="false" customHeight="true" outlineLevel="0" collapsed="false">
      <c r="A296" s="22"/>
      <c r="B296" s="22"/>
      <c r="C296" s="4"/>
      <c r="D296" s="4"/>
      <c r="E296" s="4"/>
      <c r="F296" s="23" t="str">
        <f aca="false">IFERROR(IF(OR($B296="",$C296=""),"",INDEX('Cartes API'!$J:$J,MATCH($B296,'Cartes API'!$A:$A,0))&amp;INDEX('Cartes API'!$B:$B,MATCH($B296,'Cartes API'!$A:$A,0))&amp;"."&amp;INDEX('Cartes API'!$C:$C,MATCH($B296,'Cartes API'!$A:$A,0))&amp;"."&amp;$C296),"")</f>
        <v/>
      </c>
      <c r="G296" s="23" t="str">
        <f aca="false">IFERROR(IF($B296="","",INDEX('Cartes API'!$H:$H,MATCH($B296,'Cartes API'!$A:$A,0))),"")</f>
        <v/>
      </c>
      <c r="H296" s="4"/>
      <c r="I296" s="23" t="str">
        <f aca="false">IF(OR($G296="",$H296=""),"",$G296&amp;"["&amp;$H296&amp;"]")</f>
        <v/>
      </c>
      <c r="J296" s="23" t="str">
        <f aca="false">IFERROR(INDEX(Cablage!$A:$A,MATCH($I296,Cablage!$F:$F,0)),"")</f>
        <v/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customFormat="false" ht="15" hidden="false" customHeight="true" outlineLevel="0" collapsed="false">
      <c r="A297" s="22"/>
      <c r="B297" s="22"/>
      <c r="C297" s="4"/>
      <c r="D297" s="4"/>
      <c r="E297" s="4"/>
      <c r="F297" s="23" t="str">
        <f aca="false">IFERROR(IF(OR($B297="",$C297=""),"",INDEX('Cartes API'!$J:$J,MATCH($B297,'Cartes API'!$A:$A,0))&amp;INDEX('Cartes API'!$B:$B,MATCH($B297,'Cartes API'!$A:$A,0))&amp;"."&amp;INDEX('Cartes API'!$C:$C,MATCH($B297,'Cartes API'!$A:$A,0))&amp;"."&amp;$C297),"")</f>
        <v/>
      </c>
      <c r="G297" s="23" t="str">
        <f aca="false">IFERROR(IF($B297="","",INDEX('Cartes API'!$H:$H,MATCH($B297,'Cartes API'!$A:$A,0))),"")</f>
        <v/>
      </c>
      <c r="H297" s="4"/>
      <c r="I297" s="23" t="str">
        <f aca="false">IF(OR($G297="",$H297=""),"",$G297&amp;"["&amp;$H297&amp;"]")</f>
        <v/>
      </c>
      <c r="J297" s="23" t="str">
        <f aca="false">IFERROR(INDEX(Cablage!$A:$A,MATCH($I297,Cablage!$F:$F,0)),"")</f>
        <v/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customFormat="false" ht="15" hidden="false" customHeight="true" outlineLevel="0" collapsed="false">
      <c r="A298" s="22"/>
      <c r="B298" s="22"/>
      <c r="C298" s="4"/>
      <c r="D298" s="4"/>
      <c r="E298" s="4"/>
      <c r="F298" s="23" t="str">
        <f aca="false">IFERROR(IF(OR($B298="",$C298=""),"",INDEX('Cartes API'!$J:$J,MATCH($B298,'Cartes API'!$A:$A,0))&amp;INDEX('Cartes API'!$B:$B,MATCH($B298,'Cartes API'!$A:$A,0))&amp;"."&amp;INDEX('Cartes API'!$C:$C,MATCH($B298,'Cartes API'!$A:$A,0))&amp;"."&amp;$C298),"")</f>
        <v/>
      </c>
      <c r="G298" s="23" t="str">
        <f aca="false">IFERROR(IF($B298="","",INDEX('Cartes API'!$H:$H,MATCH($B298,'Cartes API'!$A:$A,0))),"")</f>
        <v/>
      </c>
      <c r="H298" s="4"/>
      <c r="I298" s="23" t="str">
        <f aca="false">IF(OR($G298="",$H298=""),"",$G298&amp;"["&amp;$H298&amp;"]")</f>
        <v/>
      </c>
      <c r="J298" s="23" t="str">
        <f aca="false">IFERROR(INDEX(Cablage!$A:$A,MATCH($I298,Cablage!$F:$F,0)),"")</f>
        <v/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customFormat="false" ht="15" hidden="false" customHeight="true" outlineLevel="0" collapsed="false">
      <c r="A299" s="22"/>
      <c r="B299" s="22"/>
      <c r="C299" s="4"/>
      <c r="D299" s="4"/>
      <c r="E299" s="4"/>
      <c r="F299" s="23" t="str">
        <f aca="false">IFERROR(IF(OR($B299="",$C299=""),"",INDEX('Cartes API'!$J:$J,MATCH($B299,'Cartes API'!$A:$A,0))&amp;INDEX('Cartes API'!$B:$B,MATCH($B299,'Cartes API'!$A:$A,0))&amp;"."&amp;INDEX('Cartes API'!$C:$C,MATCH($B299,'Cartes API'!$A:$A,0))&amp;"."&amp;$C299),"")</f>
        <v/>
      </c>
      <c r="G299" s="23" t="str">
        <f aca="false">IFERROR(IF($B299="","",INDEX('Cartes API'!$H:$H,MATCH($B299,'Cartes API'!$A:$A,0))),"")</f>
        <v/>
      </c>
      <c r="H299" s="4"/>
      <c r="I299" s="23" t="str">
        <f aca="false">IF(OR($G299="",$H299=""),"",$G299&amp;"["&amp;$H299&amp;"]")</f>
        <v/>
      </c>
      <c r="J299" s="23" t="str">
        <f aca="false">IFERROR(INDEX(Cablage!$A:$A,MATCH($I299,Cablage!$F:$F,0)),"")</f>
        <v/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customFormat="false" ht="15" hidden="false" customHeight="true" outlineLevel="0" collapsed="false">
      <c r="A300" s="22"/>
      <c r="B300" s="22"/>
      <c r="C300" s="4"/>
      <c r="D300" s="4"/>
      <c r="E300" s="4"/>
      <c r="F300" s="23" t="str">
        <f aca="false">IFERROR(IF(OR($B300="",$C300=""),"",INDEX('Cartes API'!$J:$J,MATCH($B300,'Cartes API'!$A:$A,0))&amp;INDEX('Cartes API'!$B:$B,MATCH($B300,'Cartes API'!$A:$A,0))&amp;"."&amp;INDEX('Cartes API'!$C:$C,MATCH($B300,'Cartes API'!$A:$A,0))&amp;"."&amp;$C300),"")</f>
        <v/>
      </c>
      <c r="G300" s="23" t="str">
        <f aca="false">IFERROR(IF($B300="","",INDEX('Cartes API'!$H:$H,MATCH($B300,'Cartes API'!$A:$A,0))),"")</f>
        <v/>
      </c>
      <c r="H300" s="4"/>
      <c r="I300" s="23" t="str">
        <f aca="false">IF(OR($G300="",$H300=""),"",$G300&amp;"["&amp;$H300&amp;"]")</f>
        <v/>
      </c>
      <c r="J300" s="23" t="str">
        <f aca="false">IFERROR(INDEX(Cablage!$A:$A,MATCH($I300,Cablage!$F:$F,0)),"")</f>
        <v/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customFormat="false" ht="15" hidden="false" customHeight="true" outlineLevel="0" collapsed="false">
      <c r="A301" s="22"/>
      <c r="B301" s="22"/>
      <c r="C301" s="4"/>
      <c r="D301" s="4"/>
      <c r="E301" s="4"/>
      <c r="F301" s="23" t="str">
        <f aca="false">IFERROR(IF(OR($B301="",$C301=""),"",INDEX('Cartes API'!$J:$J,MATCH($B301,'Cartes API'!$A:$A,0))&amp;INDEX('Cartes API'!$B:$B,MATCH($B301,'Cartes API'!$A:$A,0))&amp;"."&amp;INDEX('Cartes API'!$C:$C,MATCH($B301,'Cartes API'!$A:$A,0))&amp;"."&amp;$C301),"")</f>
        <v/>
      </c>
      <c r="G301" s="23" t="str">
        <f aca="false">IFERROR(IF($B301="","",INDEX('Cartes API'!$H:$H,MATCH($B301,'Cartes API'!$A:$A,0))),"")</f>
        <v/>
      </c>
      <c r="H301" s="4"/>
      <c r="I301" s="23" t="str">
        <f aca="false">IF(OR($G301="",$H301=""),"",$G301&amp;"["&amp;$H301&amp;"]")</f>
        <v/>
      </c>
      <c r="J301" s="23" t="str">
        <f aca="false">IFERROR(INDEX(Cablage!$A:$A,MATCH($I301,Cablage!$F:$F,0)),"")</f>
        <v/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customFormat="false" ht="15" hidden="false" customHeight="true" outlineLevel="0" collapsed="false">
      <c r="A302" s="22"/>
      <c r="B302" s="22"/>
      <c r="C302" s="4"/>
      <c r="D302" s="4"/>
      <c r="E302" s="4"/>
      <c r="F302" s="23" t="str">
        <f aca="false">IFERROR(IF(OR($B302="",$C302=""),"",INDEX('Cartes API'!$J:$J,MATCH($B302,'Cartes API'!$A:$A,0))&amp;INDEX('Cartes API'!$B:$B,MATCH($B302,'Cartes API'!$A:$A,0))&amp;"."&amp;INDEX('Cartes API'!$C:$C,MATCH($B302,'Cartes API'!$A:$A,0))&amp;"."&amp;$C302),"")</f>
        <v/>
      </c>
      <c r="G302" s="23" t="str">
        <f aca="false">IFERROR(IF($B302="","",INDEX('Cartes API'!$H:$H,MATCH($B302,'Cartes API'!$A:$A,0))),"")</f>
        <v/>
      </c>
      <c r="H302" s="4"/>
      <c r="I302" s="23" t="str">
        <f aca="false">IF(OR($G302="",$H302=""),"",$G302&amp;"["&amp;$H302&amp;"]")</f>
        <v/>
      </c>
      <c r="J302" s="23" t="str">
        <f aca="false">IFERROR(INDEX(Cablage!$A:$A,MATCH($I302,Cablage!$F:$F,0)),"")</f>
        <v/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customFormat="false" ht="15" hidden="false" customHeight="true" outlineLevel="0" collapsed="false">
      <c r="A303" s="22"/>
      <c r="B303" s="22"/>
      <c r="C303" s="4"/>
      <c r="D303" s="4"/>
      <c r="E303" s="4"/>
      <c r="F303" s="23" t="str">
        <f aca="false">IFERROR(IF(OR($B303="",$C303=""),"",INDEX('Cartes API'!$J:$J,MATCH($B303,'Cartes API'!$A:$A,0))&amp;INDEX('Cartes API'!$B:$B,MATCH($B303,'Cartes API'!$A:$A,0))&amp;"."&amp;INDEX('Cartes API'!$C:$C,MATCH($B303,'Cartes API'!$A:$A,0))&amp;"."&amp;$C303),"")</f>
        <v/>
      </c>
      <c r="G303" s="23" t="str">
        <f aca="false">IFERROR(IF($B303="","",INDEX('Cartes API'!$H:$H,MATCH($B303,'Cartes API'!$A:$A,0))),"")</f>
        <v/>
      </c>
      <c r="H303" s="4"/>
      <c r="I303" s="23" t="str">
        <f aca="false">IF(OR($G303="",$H303=""),"",$G303&amp;"["&amp;$H303&amp;"]")</f>
        <v/>
      </c>
      <c r="J303" s="23" t="str">
        <f aca="false">IFERROR(INDEX(Cablage!$A:$A,MATCH($I303,Cablage!$F:$F,0)),"")</f>
        <v/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customFormat="false" ht="15" hidden="false" customHeight="true" outlineLevel="0" collapsed="false">
      <c r="A304" s="22"/>
      <c r="B304" s="22"/>
      <c r="C304" s="4"/>
      <c r="D304" s="4"/>
      <c r="E304" s="4"/>
      <c r="F304" s="23" t="str">
        <f aca="false">IFERROR(IF(OR($B304="",$C304=""),"",INDEX('Cartes API'!$J:$J,MATCH($B304,'Cartes API'!$A:$A,0))&amp;INDEX('Cartes API'!$B:$B,MATCH($B304,'Cartes API'!$A:$A,0))&amp;"."&amp;INDEX('Cartes API'!$C:$C,MATCH($B304,'Cartes API'!$A:$A,0))&amp;"."&amp;$C304),"")</f>
        <v/>
      </c>
      <c r="G304" s="23" t="str">
        <f aca="false">IFERROR(IF($B304="","",INDEX('Cartes API'!$H:$H,MATCH($B304,'Cartes API'!$A:$A,0))),"")</f>
        <v/>
      </c>
      <c r="H304" s="4"/>
      <c r="I304" s="23" t="str">
        <f aca="false">IF(OR($G304="",$H304=""),"",$G304&amp;"["&amp;$H304&amp;"]")</f>
        <v/>
      </c>
      <c r="J304" s="23" t="str">
        <f aca="false">IFERROR(INDEX(Cablage!$A:$A,MATCH($I304,Cablage!$F:$F,0)),"")</f>
        <v/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customFormat="false" ht="15" hidden="false" customHeight="true" outlineLevel="0" collapsed="false">
      <c r="A305" s="22"/>
      <c r="B305" s="22"/>
      <c r="C305" s="4"/>
      <c r="D305" s="4"/>
      <c r="E305" s="4"/>
      <c r="F305" s="23" t="str">
        <f aca="false">IFERROR(IF(OR($B305="",$C305=""),"",INDEX('Cartes API'!$J:$J,MATCH($B305,'Cartes API'!$A:$A,0))&amp;INDEX('Cartes API'!$B:$B,MATCH($B305,'Cartes API'!$A:$A,0))&amp;"."&amp;INDEX('Cartes API'!$C:$C,MATCH($B305,'Cartes API'!$A:$A,0))&amp;"."&amp;$C305),"")</f>
        <v/>
      </c>
      <c r="G305" s="23" t="str">
        <f aca="false">IFERROR(IF($B305="","",INDEX('Cartes API'!$H:$H,MATCH($B305,'Cartes API'!$A:$A,0))),"")</f>
        <v/>
      </c>
      <c r="H305" s="4"/>
      <c r="I305" s="23" t="str">
        <f aca="false">IF(OR($G305="",$H305=""),"",$G305&amp;"["&amp;$H305&amp;"]")</f>
        <v/>
      </c>
      <c r="J305" s="23" t="str">
        <f aca="false">IFERROR(INDEX(Cablage!$A:$A,MATCH($I305,Cablage!$F:$F,0)),"")</f>
        <v/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customFormat="false" ht="15" hidden="false" customHeight="true" outlineLevel="0" collapsed="false">
      <c r="A306" s="22"/>
      <c r="B306" s="22"/>
      <c r="C306" s="4"/>
      <c r="D306" s="4"/>
      <c r="E306" s="4"/>
      <c r="F306" s="23" t="str">
        <f aca="false">IFERROR(IF(OR($B306="",$C306=""),"",INDEX('Cartes API'!$J:$J,MATCH($B306,'Cartes API'!$A:$A,0))&amp;INDEX('Cartes API'!$B:$B,MATCH($B306,'Cartes API'!$A:$A,0))&amp;"."&amp;INDEX('Cartes API'!$C:$C,MATCH($B306,'Cartes API'!$A:$A,0))&amp;"."&amp;$C306),"")</f>
        <v/>
      </c>
      <c r="G306" s="23" t="str">
        <f aca="false">IFERROR(IF($B306="","",INDEX('Cartes API'!$H:$H,MATCH($B306,'Cartes API'!$A:$A,0))),"")</f>
        <v/>
      </c>
      <c r="H306" s="4"/>
      <c r="I306" s="23" t="str">
        <f aca="false">IF(OR($G306="",$H306=""),"",$G306&amp;"["&amp;$H306&amp;"]")</f>
        <v/>
      </c>
      <c r="J306" s="23" t="str">
        <f aca="false">IFERROR(INDEX(Cablage!$A:$A,MATCH($I306,Cablage!$F:$F,0)),"")</f>
        <v/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customFormat="false" ht="15" hidden="false" customHeight="true" outlineLevel="0" collapsed="false">
      <c r="A307" s="22"/>
      <c r="B307" s="22"/>
      <c r="C307" s="4"/>
      <c r="D307" s="4"/>
      <c r="E307" s="4"/>
      <c r="F307" s="23" t="str">
        <f aca="false">IFERROR(IF(OR($B307="",$C307=""),"",INDEX('Cartes API'!$J:$J,MATCH($B307,'Cartes API'!$A:$A,0))&amp;INDEX('Cartes API'!$B:$B,MATCH($B307,'Cartes API'!$A:$A,0))&amp;"."&amp;INDEX('Cartes API'!$C:$C,MATCH($B307,'Cartes API'!$A:$A,0))&amp;"."&amp;$C307),"")</f>
        <v/>
      </c>
      <c r="G307" s="23" t="str">
        <f aca="false">IFERROR(IF($B307="","",INDEX('Cartes API'!$H:$H,MATCH($B307,'Cartes API'!$A:$A,0))),"")</f>
        <v/>
      </c>
      <c r="H307" s="4"/>
      <c r="I307" s="23" t="str">
        <f aca="false">IF(OR($G307="",$H307=""),"",$G307&amp;"["&amp;$H307&amp;"]")</f>
        <v/>
      </c>
      <c r="J307" s="23" t="str">
        <f aca="false">IFERROR(INDEX(Cablage!$A:$A,MATCH($I307,Cablage!$F:$F,0)),"")</f>
        <v/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customFormat="false" ht="15" hidden="false" customHeight="true" outlineLevel="0" collapsed="false">
      <c r="A308" s="22"/>
      <c r="B308" s="22"/>
      <c r="C308" s="4"/>
      <c r="D308" s="4"/>
      <c r="E308" s="4"/>
      <c r="F308" s="23" t="str">
        <f aca="false">IFERROR(IF(OR($B308="",$C308=""),"",INDEX('Cartes API'!$J:$J,MATCH($B308,'Cartes API'!$A:$A,0))&amp;INDEX('Cartes API'!$B:$B,MATCH($B308,'Cartes API'!$A:$A,0))&amp;"."&amp;INDEX('Cartes API'!$C:$C,MATCH($B308,'Cartes API'!$A:$A,0))&amp;"."&amp;$C308),"")</f>
        <v/>
      </c>
      <c r="G308" s="23" t="str">
        <f aca="false">IFERROR(IF($B308="","",INDEX('Cartes API'!$H:$H,MATCH($B308,'Cartes API'!$A:$A,0))),"")</f>
        <v/>
      </c>
      <c r="H308" s="4"/>
      <c r="I308" s="23" t="str">
        <f aca="false">IF(OR($G308="",$H308=""),"",$G308&amp;"["&amp;$H308&amp;"]")</f>
        <v/>
      </c>
      <c r="J308" s="23" t="str">
        <f aca="false">IFERROR(INDEX(Cablage!$A:$A,MATCH($I308,Cablage!$F:$F,0)),"")</f>
        <v/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customFormat="false" ht="15" hidden="false" customHeight="true" outlineLevel="0" collapsed="false">
      <c r="A309" s="22"/>
      <c r="B309" s="22"/>
      <c r="C309" s="4"/>
      <c r="D309" s="4"/>
      <c r="E309" s="4"/>
      <c r="F309" s="23" t="str">
        <f aca="false">IFERROR(IF(OR($B309="",$C309=""),"",INDEX('Cartes API'!$J:$J,MATCH($B309,'Cartes API'!$A:$A,0))&amp;INDEX('Cartes API'!$B:$B,MATCH($B309,'Cartes API'!$A:$A,0))&amp;"."&amp;INDEX('Cartes API'!$C:$C,MATCH($B309,'Cartes API'!$A:$A,0))&amp;"."&amp;$C309),"")</f>
        <v/>
      </c>
      <c r="G309" s="23" t="str">
        <f aca="false">IFERROR(IF($B309="","",INDEX('Cartes API'!$H:$H,MATCH($B309,'Cartes API'!$A:$A,0))),"")</f>
        <v/>
      </c>
      <c r="H309" s="4"/>
      <c r="I309" s="23" t="str">
        <f aca="false">IF(OR($G309="",$H309=""),"",$G309&amp;"["&amp;$H309&amp;"]")</f>
        <v/>
      </c>
      <c r="J309" s="23" t="str">
        <f aca="false">IFERROR(INDEX(Cablage!$A:$A,MATCH($I309,Cablage!$F:$F,0)),"")</f>
        <v/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customFormat="false" ht="15" hidden="false" customHeight="true" outlineLevel="0" collapsed="false">
      <c r="A310" s="22"/>
      <c r="B310" s="22"/>
      <c r="C310" s="4"/>
      <c r="D310" s="4"/>
      <c r="E310" s="4"/>
      <c r="F310" s="23" t="str">
        <f aca="false">IFERROR(IF(OR($B310="",$C310=""),"",INDEX('Cartes API'!$J:$J,MATCH($B310,'Cartes API'!$A:$A,0))&amp;INDEX('Cartes API'!$B:$B,MATCH($B310,'Cartes API'!$A:$A,0))&amp;"."&amp;INDEX('Cartes API'!$C:$C,MATCH($B310,'Cartes API'!$A:$A,0))&amp;"."&amp;$C310),"")</f>
        <v/>
      </c>
      <c r="G310" s="23" t="str">
        <f aca="false">IFERROR(IF($B310="","",INDEX('Cartes API'!$H:$H,MATCH($B310,'Cartes API'!$A:$A,0))),"")</f>
        <v/>
      </c>
      <c r="H310" s="4"/>
      <c r="I310" s="23" t="str">
        <f aca="false">IF(OR($G310="",$H310=""),"",$G310&amp;"["&amp;$H310&amp;"]")</f>
        <v/>
      </c>
      <c r="J310" s="23" t="str">
        <f aca="false">IFERROR(INDEX(Cablage!$A:$A,MATCH($I310,Cablage!$F:$F,0)),"")</f>
        <v/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customFormat="false" ht="15" hidden="false" customHeight="true" outlineLevel="0" collapsed="false">
      <c r="A311" s="22"/>
      <c r="B311" s="22"/>
      <c r="C311" s="4"/>
      <c r="D311" s="4"/>
      <c r="E311" s="4"/>
      <c r="F311" s="23" t="str">
        <f aca="false">IFERROR(IF(OR($B311="",$C311=""),"",INDEX('Cartes API'!$J:$J,MATCH($B311,'Cartes API'!$A:$A,0))&amp;INDEX('Cartes API'!$B:$B,MATCH($B311,'Cartes API'!$A:$A,0))&amp;"."&amp;INDEX('Cartes API'!$C:$C,MATCH($B311,'Cartes API'!$A:$A,0))&amp;"."&amp;$C311),"")</f>
        <v/>
      </c>
      <c r="G311" s="23" t="str">
        <f aca="false">IFERROR(IF($B311="","",INDEX('Cartes API'!$H:$H,MATCH($B311,'Cartes API'!$A:$A,0))),"")</f>
        <v/>
      </c>
      <c r="H311" s="4"/>
      <c r="I311" s="23" t="str">
        <f aca="false">IF(OR($G311="",$H311=""),"",$G311&amp;"["&amp;$H311&amp;"]")</f>
        <v/>
      </c>
      <c r="J311" s="23" t="str">
        <f aca="false">IFERROR(INDEX(Cablage!$A:$A,MATCH($I311,Cablage!$F:$F,0)),"")</f>
        <v/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customFormat="false" ht="15" hidden="false" customHeight="true" outlineLevel="0" collapsed="false">
      <c r="A312" s="22"/>
      <c r="B312" s="22"/>
      <c r="C312" s="4"/>
      <c r="D312" s="4"/>
      <c r="E312" s="4"/>
      <c r="F312" s="23" t="str">
        <f aca="false">IFERROR(IF(OR($B312="",$C312=""),"",INDEX('Cartes API'!$J:$J,MATCH($B312,'Cartes API'!$A:$A,0))&amp;INDEX('Cartes API'!$B:$B,MATCH($B312,'Cartes API'!$A:$A,0))&amp;"."&amp;INDEX('Cartes API'!$C:$C,MATCH($B312,'Cartes API'!$A:$A,0))&amp;"."&amp;$C312),"")</f>
        <v/>
      </c>
      <c r="G312" s="23" t="str">
        <f aca="false">IFERROR(IF($B312="","",INDEX('Cartes API'!$H:$H,MATCH($B312,'Cartes API'!$A:$A,0))),"")</f>
        <v/>
      </c>
      <c r="H312" s="4"/>
      <c r="I312" s="23" t="str">
        <f aca="false">IF(OR($G312="",$H312=""),"",$G312&amp;"["&amp;$H312&amp;"]")</f>
        <v/>
      </c>
      <c r="J312" s="23" t="str">
        <f aca="false">IFERROR(INDEX(Cablage!$A:$A,MATCH($I312,Cablage!$F:$F,0)),"")</f>
        <v/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customFormat="false" ht="15" hidden="false" customHeight="true" outlineLevel="0" collapsed="false">
      <c r="A313" s="22"/>
      <c r="B313" s="22"/>
      <c r="C313" s="4"/>
      <c r="D313" s="4"/>
      <c r="E313" s="4"/>
      <c r="F313" s="23" t="str">
        <f aca="false">IFERROR(IF(OR($B313="",$C313=""),"",INDEX('Cartes API'!$J:$J,MATCH($B313,'Cartes API'!$A:$A,0))&amp;INDEX('Cartes API'!$B:$B,MATCH($B313,'Cartes API'!$A:$A,0))&amp;"."&amp;INDEX('Cartes API'!$C:$C,MATCH($B313,'Cartes API'!$A:$A,0))&amp;"."&amp;$C313),"")</f>
        <v/>
      </c>
      <c r="G313" s="23" t="str">
        <f aca="false">IFERROR(IF($B313="","",INDEX('Cartes API'!$H:$H,MATCH($B313,'Cartes API'!$A:$A,0))),"")</f>
        <v/>
      </c>
      <c r="H313" s="4"/>
      <c r="I313" s="23" t="str">
        <f aca="false">IF(OR($G313="",$H313=""),"",$G313&amp;"["&amp;$H313&amp;"]")</f>
        <v/>
      </c>
      <c r="J313" s="23" t="str">
        <f aca="false">IFERROR(INDEX(Cablage!$A:$A,MATCH($I313,Cablage!$F:$F,0)),"")</f>
        <v/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customFormat="false" ht="15" hidden="false" customHeight="true" outlineLevel="0" collapsed="false">
      <c r="A314" s="22"/>
      <c r="B314" s="22"/>
      <c r="C314" s="4"/>
      <c r="D314" s="4"/>
      <c r="E314" s="4"/>
      <c r="F314" s="23" t="str">
        <f aca="false">IFERROR(IF(OR($B314="",$C314=""),"",INDEX('Cartes API'!$J:$J,MATCH($B314,'Cartes API'!$A:$A,0))&amp;INDEX('Cartes API'!$B:$B,MATCH($B314,'Cartes API'!$A:$A,0))&amp;"."&amp;INDEX('Cartes API'!$C:$C,MATCH($B314,'Cartes API'!$A:$A,0))&amp;"."&amp;$C314),"")</f>
        <v/>
      </c>
      <c r="G314" s="23" t="str">
        <f aca="false">IFERROR(IF($B314="","",INDEX('Cartes API'!$H:$H,MATCH($B314,'Cartes API'!$A:$A,0))),"")</f>
        <v/>
      </c>
      <c r="H314" s="4"/>
      <c r="I314" s="23" t="str">
        <f aca="false">IF(OR($G314="",$H314=""),"",$G314&amp;"["&amp;$H314&amp;"]")</f>
        <v/>
      </c>
      <c r="J314" s="23" t="str">
        <f aca="false">IFERROR(INDEX(Cablage!$A:$A,MATCH($I314,Cablage!$F:$F,0)),"")</f>
        <v/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customFormat="false" ht="15" hidden="false" customHeight="true" outlineLevel="0" collapsed="false">
      <c r="A315" s="22"/>
      <c r="B315" s="22"/>
      <c r="C315" s="4"/>
      <c r="D315" s="4"/>
      <c r="E315" s="4"/>
      <c r="F315" s="23" t="str">
        <f aca="false">IFERROR(IF(OR($B315="",$C315=""),"",INDEX('Cartes API'!$J:$J,MATCH($B315,'Cartes API'!$A:$A,0))&amp;INDEX('Cartes API'!$B:$B,MATCH($B315,'Cartes API'!$A:$A,0))&amp;"."&amp;INDEX('Cartes API'!$C:$C,MATCH($B315,'Cartes API'!$A:$A,0))&amp;"."&amp;$C315),"")</f>
        <v/>
      </c>
      <c r="G315" s="23" t="str">
        <f aca="false">IFERROR(IF($B315="","",INDEX('Cartes API'!$H:$H,MATCH($B315,'Cartes API'!$A:$A,0))),"")</f>
        <v/>
      </c>
      <c r="H315" s="4"/>
      <c r="I315" s="23" t="str">
        <f aca="false">IF(OR($G315="",$H315=""),"",$G315&amp;"["&amp;$H315&amp;"]")</f>
        <v/>
      </c>
      <c r="J315" s="23" t="str">
        <f aca="false">IFERROR(INDEX(Cablage!$A:$A,MATCH($I315,Cablage!$F:$F,0)),"")</f>
        <v/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customFormat="false" ht="15" hidden="false" customHeight="true" outlineLevel="0" collapsed="false">
      <c r="A316" s="22"/>
      <c r="B316" s="22"/>
      <c r="C316" s="4"/>
      <c r="D316" s="4"/>
      <c r="E316" s="4"/>
      <c r="F316" s="23" t="str">
        <f aca="false">IFERROR(IF(OR($B316="",$C316=""),"",INDEX('Cartes API'!$J:$J,MATCH($B316,'Cartes API'!$A:$A,0))&amp;INDEX('Cartes API'!$B:$B,MATCH($B316,'Cartes API'!$A:$A,0))&amp;"."&amp;INDEX('Cartes API'!$C:$C,MATCH($B316,'Cartes API'!$A:$A,0))&amp;"."&amp;$C316),"")</f>
        <v/>
      </c>
      <c r="G316" s="23" t="str">
        <f aca="false">IFERROR(IF($B316="","",INDEX('Cartes API'!$H:$H,MATCH($B316,'Cartes API'!$A:$A,0))),"")</f>
        <v/>
      </c>
      <c r="H316" s="4"/>
      <c r="I316" s="23" t="str">
        <f aca="false">IF(OR($G316="",$H316=""),"",$G316&amp;"["&amp;$H316&amp;"]")</f>
        <v/>
      </c>
      <c r="J316" s="23" t="str">
        <f aca="false">IFERROR(INDEX(Cablage!$A:$A,MATCH($I316,Cablage!$F:$F,0)),"")</f>
        <v/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customFormat="false" ht="15" hidden="false" customHeight="true" outlineLevel="0" collapsed="false">
      <c r="A317" s="22"/>
      <c r="B317" s="22"/>
      <c r="C317" s="4"/>
      <c r="D317" s="4"/>
      <c r="E317" s="4"/>
      <c r="F317" s="23" t="str">
        <f aca="false">IFERROR(IF(OR($B317="",$C317=""),"",INDEX('Cartes API'!$J:$J,MATCH($B317,'Cartes API'!$A:$A,0))&amp;INDEX('Cartes API'!$B:$B,MATCH($B317,'Cartes API'!$A:$A,0))&amp;"."&amp;INDEX('Cartes API'!$C:$C,MATCH($B317,'Cartes API'!$A:$A,0))&amp;"."&amp;$C317),"")</f>
        <v/>
      </c>
      <c r="G317" s="23" t="str">
        <f aca="false">IFERROR(IF($B317="","",INDEX('Cartes API'!$H:$H,MATCH($B317,'Cartes API'!$A:$A,0))),"")</f>
        <v/>
      </c>
      <c r="H317" s="4"/>
      <c r="I317" s="23" t="str">
        <f aca="false">IF(OR($G317="",$H317=""),"",$G317&amp;"["&amp;$H317&amp;"]")</f>
        <v/>
      </c>
      <c r="J317" s="23" t="str">
        <f aca="false">IFERROR(INDEX(Cablage!$A:$A,MATCH($I317,Cablage!$F:$F,0)),"")</f>
        <v/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customFormat="false" ht="15" hidden="false" customHeight="true" outlineLevel="0" collapsed="false">
      <c r="A318" s="22"/>
      <c r="B318" s="22"/>
      <c r="C318" s="4"/>
      <c r="D318" s="4"/>
      <c r="E318" s="4"/>
      <c r="F318" s="23" t="str">
        <f aca="false">IFERROR(IF(OR($B318="",$C318=""),"",INDEX('Cartes API'!$J:$J,MATCH($B318,'Cartes API'!$A:$A,0))&amp;INDEX('Cartes API'!$B:$B,MATCH($B318,'Cartes API'!$A:$A,0))&amp;"."&amp;INDEX('Cartes API'!$C:$C,MATCH($B318,'Cartes API'!$A:$A,0))&amp;"."&amp;$C318),"")</f>
        <v/>
      </c>
      <c r="G318" s="23" t="str">
        <f aca="false">IFERROR(IF($B318="","",INDEX('Cartes API'!$H:$H,MATCH($B318,'Cartes API'!$A:$A,0))),"")</f>
        <v/>
      </c>
      <c r="H318" s="4"/>
      <c r="I318" s="23" t="str">
        <f aca="false">IF(OR($G318="",$H318=""),"",$G318&amp;"["&amp;$H318&amp;"]")</f>
        <v/>
      </c>
      <c r="J318" s="23" t="str">
        <f aca="false">IFERROR(INDEX(Cablage!$A:$A,MATCH($I318,Cablage!$F:$F,0)),"")</f>
        <v/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customFormat="false" ht="15" hidden="false" customHeight="true" outlineLevel="0" collapsed="false">
      <c r="A319" s="22"/>
      <c r="B319" s="22"/>
      <c r="C319" s="4"/>
      <c r="D319" s="4"/>
      <c r="E319" s="4"/>
      <c r="F319" s="23" t="str">
        <f aca="false">IFERROR(IF(OR($B319="",$C319=""),"",INDEX('Cartes API'!$J:$J,MATCH($B319,'Cartes API'!$A:$A,0))&amp;INDEX('Cartes API'!$B:$B,MATCH($B319,'Cartes API'!$A:$A,0))&amp;"."&amp;INDEX('Cartes API'!$C:$C,MATCH($B319,'Cartes API'!$A:$A,0))&amp;"."&amp;$C319),"")</f>
        <v/>
      </c>
      <c r="G319" s="23" t="str">
        <f aca="false">IFERROR(IF($B319="","",INDEX('Cartes API'!$H:$H,MATCH($B319,'Cartes API'!$A:$A,0))),"")</f>
        <v/>
      </c>
      <c r="H319" s="4"/>
      <c r="I319" s="23" t="str">
        <f aca="false">IF(OR($G319="",$H319=""),"",$G319&amp;"["&amp;$H319&amp;"]")</f>
        <v/>
      </c>
      <c r="J319" s="23" t="str">
        <f aca="false">IFERROR(INDEX(Cablage!$A:$A,MATCH($I319,Cablage!$F:$F,0)),"")</f>
        <v/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customFormat="false" ht="15" hidden="false" customHeight="true" outlineLevel="0" collapsed="false">
      <c r="A320" s="22"/>
      <c r="B320" s="22"/>
      <c r="C320" s="4"/>
      <c r="D320" s="4"/>
      <c r="E320" s="4"/>
      <c r="F320" s="23" t="str">
        <f aca="false">IFERROR(IF(OR($B320="",$C320=""),"",INDEX('Cartes API'!$J:$J,MATCH($B320,'Cartes API'!$A:$A,0))&amp;INDEX('Cartes API'!$B:$B,MATCH($B320,'Cartes API'!$A:$A,0))&amp;"."&amp;INDEX('Cartes API'!$C:$C,MATCH($B320,'Cartes API'!$A:$A,0))&amp;"."&amp;$C320),"")</f>
        <v/>
      </c>
      <c r="G320" s="23" t="str">
        <f aca="false">IFERROR(IF($B320="","",INDEX('Cartes API'!$H:$H,MATCH($B320,'Cartes API'!$A:$A,0))),"")</f>
        <v/>
      </c>
      <c r="H320" s="4"/>
      <c r="I320" s="23" t="str">
        <f aca="false">IF(OR($G320="",$H320=""),"",$G320&amp;"["&amp;$H320&amp;"]")</f>
        <v/>
      </c>
      <c r="J320" s="23" t="str">
        <f aca="false">IFERROR(INDEX(Cablage!$A:$A,MATCH($I320,Cablage!$F:$F,0)),"")</f>
        <v/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customFormat="false" ht="15" hidden="false" customHeight="true" outlineLevel="0" collapsed="false">
      <c r="A321" s="22"/>
      <c r="B321" s="22"/>
      <c r="C321" s="4"/>
      <c r="D321" s="4"/>
      <c r="E321" s="4"/>
      <c r="F321" s="23" t="str">
        <f aca="false">IFERROR(IF(OR($B321="",$C321=""),"",INDEX('Cartes API'!$J:$J,MATCH($B321,'Cartes API'!$A:$A,0))&amp;INDEX('Cartes API'!$B:$B,MATCH($B321,'Cartes API'!$A:$A,0))&amp;"."&amp;INDEX('Cartes API'!$C:$C,MATCH($B321,'Cartes API'!$A:$A,0))&amp;"."&amp;$C321),"")</f>
        <v/>
      </c>
      <c r="G321" s="23" t="str">
        <f aca="false">IFERROR(IF($B321="","",INDEX('Cartes API'!$H:$H,MATCH($B321,'Cartes API'!$A:$A,0))),"")</f>
        <v/>
      </c>
      <c r="H321" s="4"/>
      <c r="I321" s="23" t="str">
        <f aca="false">IF(OR($G321="",$H321=""),"",$G321&amp;"["&amp;$H321&amp;"]")</f>
        <v/>
      </c>
      <c r="J321" s="23" t="str">
        <f aca="false">IFERROR(INDEX(Cablage!$A:$A,MATCH($I321,Cablage!$F:$F,0)),"")</f>
        <v/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customFormat="false" ht="15" hidden="false" customHeight="true" outlineLevel="0" collapsed="false">
      <c r="A322" s="22"/>
      <c r="B322" s="22"/>
      <c r="C322" s="4"/>
      <c r="D322" s="4"/>
      <c r="E322" s="4"/>
      <c r="F322" s="23" t="str">
        <f aca="false">IFERROR(IF(OR($B322="",$C322=""),"",INDEX('Cartes API'!$J:$J,MATCH($B322,'Cartes API'!$A:$A,0))&amp;INDEX('Cartes API'!$B:$B,MATCH($B322,'Cartes API'!$A:$A,0))&amp;"."&amp;INDEX('Cartes API'!$C:$C,MATCH($B322,'Cartes API'!$A:$A,0))&amp;"."&amp;$C322),"")</f>
        <v/>
      </c>
      <c r="G322" s="23" t="str">
        <f aca="false">IFERROR(IF($B322="","",INDEX('Cartes API'!$H:$H,MATCH($B322,'Cartes API'!$A:$A,0))),"")</f>
        <v/>
      </c>
      <c r="H322" s="4"/>
      <c r="I322" s="23" t="str">
        <f aca="false">IF(OR($G322="",$H322=""),"",$G322&amp;"["&amp;$H322&amp;"]")</f>
        <v/>
      </c>
      <c r="J322" s="23" t="str">
        <f aca="false">IFERROR(INDEX(Cablage!$A:$A,MATCH($I322,Cablage!$F:$F,0)),"")</f>
        <v/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customFormat="false" ht="15" hidden="false" customHeight="true" outlineLevel="0" collapsed="false">
      <c r="A323" s="22"/>
      <c r="B323" s="22"/>
      <c r="C323" s="4"/>
      <c r="D323" s="4"/>
      <c r="E323" s="4"/>
      <c r="F323" s="23" t="str">
        <f aca="false">IFERROR(IF(OR($B323="",$C323=""),"",INDEX('Cartes API'!$J:$J,MATCH($B323,'Cartes API'!$A:$A,0))&amp;INDEX('Cartes API'!$B:$B,MATCH($B323,'Cartes API'!$A:$A,0))&amp;"."&amp;INDEX('Cartes API'!$C:$C,MATCH($B323,'Cartes API'!$A:$A,0))&amp;"."&amp;$C323),"")</f>
        <v/>
      </c>
      <c r="G323" s="23" t="str">
        <f aca="false">IFERROR(IF($B323="","",INDEX('Cartes API'!$H:$H,MATCH($B323,'Cartes API'!$A:$A,0))),"")</f>
        <v/>
      </c>
      <c r="H323" s="4"/>
      <c r="I323" s="23" t="str">
        <f aca="false">IF(OR($G323="",$H323=""),"",$G323&amp;"["&amp;$H323&amp;"]")</f>
        <v/>
      </c>
      <c r="J323" s="23" t="str">
        <f aca="false">IFERROR(INDEX(Cablage!$A:$A,MATCH($I323,Cablage!$F:$F,0)),"")</f>
        <v/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customFormat="false" ht="15" hidden="false" customHeight="true" outlineLevel="0" collapsed="false">
      <c r="A324" s="22"/>
      <c r="B324" s="22"/>
      <c r="C324" s="4"/>
      <c r="D324" s="4"/>
      <c r="E324" s="4"/>
      <c r="F324" s="23" t="str">
        <f aca="false">IFERROR(IF(OR($B324="",$C324=""),"",INDEX('Cartes API'!$J:$J,MATCH($B324,'Cartes API'!$A:$A,0))&amp;INDEX('Cartes API'!$B:$B,MATCH($B324,'Cartes API'!$A:$A,0))&amp;"."&amp;INDEX('Cartes API'!$C:$C,MATCH($B324,'Cartes API'!$A:$A,0))&amp;"."&amp;$C324),"")</f>
        <v/>
      </c>
      <c r="G324" s="23" t="str">
        <f aca="false">IFERROR(IF($B324="","",INDEX('Cartes API'!$H:$H,MATCH($B324,'Cartes API'!$A:$A,0))),"")</f>
        <v/>
      </c>
      <c r="H324" s="4"/>
      <c r="I324" s="23" t="str">
        <f aca="false">IF(OR($G324="",$H324=""),"",$G324&amp;"["&amp;$H324&amp;"]")</f>
        <v/>
      </c>
      <c r="J324" s="23" t="str">
        <f aca="false">IFERROR(INDEX(Cablage!$A:$A,MATCH($I324,Cablage!$F:$F,0)),"")</f>
        <v/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customFormat="false" ht="15" hidden="false" customHeight="true" outlineLevel="0" collapsed="false">
      <c r="A325" s="22"/>
      <c r="B325" s="22"/>
      <c r="C325" s="4"/>
      <c r="D325" s="4"/>
      <c r="E325" s="4"/>
      <c r="F325" s="23" t="str">
        <f aca="false">IFERROR(IF(OR($B325="",$C325=""),"",INDEX('Cartes API'!$J:$J,MATCH($B325,'Cartes API'!$A:$A,0))&amp;INDEX('Cartes API'!$B:$B,MATCH($B325,'Cartes API'!$A:$A,0))&amp;"."&amp;INDEX('Cartes API'!$C:$C,MATCH($B325,'Cartes API'!$A:$A,0))&amp;"."&amp;$C325),"")</f>
        <v/>
      </c>
      <c r="G325" s="23" t="str">
        <f aca="false">IFERROR(IF($B325="","",INDEX('Cartes API'!$H:$H,MATCH($B325,'Cartes API'!$A:$A,0))),"")</f>
        <v/>
      </c>
      <c r="H325" s="4"/>
      <c r="I325" s="23" t="str">
        <f aca="false">IF(OR($G325="",$H325=""),"",$G325&amp;"["&amp;$H325&amp;"]")</f>
        <v/>
      </c>
      <c r="J325" s="23" t="str">
        <f aca="false">IFERROR(INDEX(Cablage!$A:$A,MATCH($I325,Cablage!$F:$F,0)),"")</f>
        <v/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customFormat="false" ht="15" hidden="false" customHeight="true" outlineLevel="0" collapsed="false">
      <c r="A326" s="22"/>
      <c r="B326" s="22"/>
      <c r="C326" s="4"/>
      <c r="D326" s="4"/>
      <c r="E326" s="4"/>
      <c r="F326" s="23" t="str">
        <f aca="false">IFERROR(IF(OR($B326="",$C326=""),"",INDEX('Cartes API'!$J:$J,MATCH($B326,'Cartes API'!$A:$A,0))&amp;INDEX('Cartes API'!$B:$B,MATCH($B326,'Cartes API'!$A:$A,0))&amp;"."&amp;INDEX('Cartes API'!$C:$C,MATCH($B326,'Cartes API'!$A:$A,0))&amp;"."&amp;$C326),"")</f>
        <v/>
      </c>
      <c r="G326" s="23" t="str">
        <f aca="false">IFERROR(IF($B326="","",INDEX('Cartes API'!$H:$H,MATCH($B326,'Cartes API'!$A:$A,0))),"")</f>
        <v/>
      </c>
      <c r="H326" s="4"/>
      <c r="I326" s="23" t="str">
        <f aca="false">IF(OR($G326="",$H326=""),"",$G326&amp;"["&amp;$H326&amp;"]")</f>
        <v/>
      </c>
      <c r="J326" s="23" t="str">
        <f aca="false">IFERROR(INDEX(Cablage!$A:$A,MATCH($I326,Cablage!$F:$F,0)),"")</f>
        <v/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customFormat="false" ht="15" hidden="false" customHeight="true" outlineLevel="0" collapsed="false">
      <c r="A327" s="22"/>
      <c r="B327" s="22"/>
      <c r="C327" s="4"/>
      <c r="D327" s="4"/>
      <c r="E327" s="4"/>
      <c r="F327" s="23" t="str">
        <f aca="false">IFERROR(IF(OR($B327="",$C327=""),"",INDEX('Cartes API'!$J:$J,MATCH($B327,'Cartes API'!$A:$A,0))&amp;INDEX('Cartes API'!$B:$B,MATCH($B327,'Cartes API'!$A:$A,0))&amp;"."&amp;INDEX('Cartes API'!$C:$C,MATCH($B327,'Cartes API'!$A:$A,0))&amp;"."&amp;$C327),"")</f>
        <v/>
      </c>
      <c r="G327" s="23" t="str">
        <f aca="false">IFERROR(IF($B327="","",INDEX('Cartes API'!$H:$H,MATCH($B327,'Cartes API'!$A:$A,0))),"")</f>
        <v/>
      </c>
      <c r="H327" s="4"/>
      <c r="I327" s="23" t="str">
        <f aca="false">IF(OR($G327="",$H327=""),"",$G327&amp;"["&amp;$H327&amp;"]")</f>
        <v/>
      </c>
      <c r="J327" s="23" t="str">
        <f aca="false">IFERROR(INDEX(Cablage!$A:$A,MATCH($I327,Cablage!$F:$F,0)),"")</f>
        <v/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customFormat="false" ht="15" hidden="false" customHeight="true" outlineLevel="0" collapsed="false">
      <c r="A328" s="22"/>
      <c r="B328" s="22"/>
      <c r="C328" s="4"/>
      <c r="D328" s="4"/>
      <c r="E328" s="4"/>
      <c r="F328" s="23" t="str">
        <f aca="false">IFERROR(IF(OR($B328="",$C328=""),"",INDEX('Cartes API'!$J:$J,MATCH($B328,'Cartes API'!$A:$A,0))&amp;INDEX('Cartes API'!$B:$B,MATCH($B328,'Cartes API'!$A:$A,0))&amp;"."&amp;INDEX('Cartes API'!$C:$C,MATCH($B328,'Cartes API'!$A:$A,0))&amp;"."&amp;$C328),"")</f>
        <v/>
      </c>
      <c r="G328" s="23" t="str">
        <f aca="false">IFERROR(IF($B328="","",INDEX('Cartes API'!$H:$H,MATCH($B328,'Cartes API'!$A:$A,0))),"")</f>
        <v/>
      </c>
      <c r="H328" s="4"/>
      <c r="I328" s="23" t="str">
        <f aca="false">IF(OR($G328="",$H328=""),"",$G328&amp;"["&amp;$H328&amp;"]")</f>
        <v/>
      </c>
      <c r="J328" s="23" t="str">
        <f aca="false">IFERROR(INDEX(Cablage!$A:$A,MATCH($I328,Cablage!$F:$F,0)),"")</f>
        <v/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customFormat="false" ht="15" hidden="false" customHeight="true" outlineLevel="0" collapsed="false">
      <c r="A329" s="22"/>
      <c r="B329" s="22"/>
      <c r="C329" s="4"/>
      <c r="D329" s="4"/>
      <c r="E329" s="4"/>
      <c r="F329" s="23" t="str">
        <f aca="false">IFERROR(IF(OR($B329="",$C329=""),"",INDEX('Cartes API'!$J:$J,MATCH($B329,'Cartes API'!$A:$A,0))&amp;INDEX('Cartes API'!$B:$B,MATCH($B329,'Cartes API'!$A:$A,0))&amp;"."&amp;INDEX('Cartes API'!$C:$C,MATCH($B329,'Cartes API'!$A:$A,0))&amp;"."&amp;$C329),"")</f>
        <v/>
      </c>
      <c r="G329" s="23" t="str">
        <f aca="false">IFERROR(IF($B329="","",INDEX('Cartes API'!$H:$H,MATCH($B329,'Cartes API'!$A:$A,0))),"")</f>
        <v/>
      </c>
      <c r="H329" s="4"/>
      <c r="I329" s="23" t="str">
        <f aca="false">IF(OR($G329="",$H329=""),"",$G329&amp;"["&amp;$H329&amp;"]")</f>
        <v/>
      </c>
      <c r="J329" s="23" t="str">
        <f aca="false">IFERROR(INDEX(Cablage!$A:$A,MATCH($I329,Cablage!$F:$F,0)),"")</f>
        <v/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customFormat="false" ht="15" hidden="false" customHeight="true" outlineLevel="0" collapsed="false">
      <c r="A330" s="22"/>
      <c r="B330" s="22"/>
      <c r="C330" s="4"/>
      <c r="D330" s="4"/>
      <c r="E330" s="4"/>
      <c r="F330" s="23" t="str">
        <f aca="false">IFERROR(IF(OR($B330="",$C330=""),"",INDEX('Cartes API'!$J:$J,MATCH($B330,'Cartes API'!$A:$A,0))&amp;INDEX('Cartes API'!$B:$B,MATCH($B330,'Cartes API'!$A:$A,0))&amp;"."&amp;INDEX('Cartes API'!$C:$C,MATCH($B330,'Cartes API'!$A:$A,0))&amp;"."&amp;$C330),"")</f>
        <v/>
      </c>
      <c r="G330" s="23" t="str">
        <f aca="false">IFERROR(IF($B330="","",INDEX('Cartes API'!$H:$H,MATCH($B330,'Cartes API'!$A:$A,0))),"")</f>
        <v/>
      </c>
      <c r="H330" s="4"/>
      <c r="I330" s="23" t="str">
        <f aca="false">IF(OR($G330="",$H330=""),"",$G330&amp;"["&amp;$H330&amp;"]")</f>
        <v/>
      </c>
      <c r="J330" s="23" t="str">
        <f aca="false">IFERROR(INDEX(Cablage!$A:$A,MATCH($I330,Cablage!$F:$F,0)),"")</f>
        <v/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customFormat="false" ht="15" hidden="false" customHeight="true" outlineLevel="0" collapsed="false">
      <c r="A331" s="22"/>
      <c r="B331" s="22"/>
      <c r="C331" s="4"/>
      <c r="D331" s="4"/>
      <c r="E331" s="4"/>
      <c r="F331" s="23" t="str">
        <f aca="false">IFERROR(IF(OR($B331="",$C331=""),"",INDEX('Cartes API'!$J:$J,MATCH($B331,'Cartes API'!$A:$A,0))&amp;INDEX('Cartes API'!$B:$B,MATCH($B331,'Cartes API'!$A:$A,0))&amp;"."&amp;INDEX('Cartes API'!$C:$C,MATCH($B331,'Cartes API'!$A:$A,0))&amp;"."&amp;$C331),"")</f>
        <v/>
      </c>
      <c r="G331" s="23" t="str">
        <f aca="false">IFERROR(IF($B331="","",INDEX('Cartes API'!$H:$H,MATCH($B331,'Cartes API'!$A:$A,0))),"")</f>
        <v/>
      </c>
      <c r="H331" s="4"/>
      <c r="I331" s="23" t="str">
        <f aca="false">IF(OR($G331="",$H331=""),"",$G331&amp;"["&amp;$H331&amp;"]")</f>
        <v/>
      </c>
      <c r="J331" s="23" t="str">
        <f aca="false">IFERROR(INDEX(Cablage!$A:$A,MATCH($I331,Cablage!$F:$F,0)),"")</f>
        <v/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customFormat="false" ht="15" hidden="false" customHeight="true" outlineLevel="0" collapsed="false">
      <c r="A332" s="22"/>
      <c r="B332" s="22"/>
      <c r="C332" s="4"/>
      <c r="D332" s="4"/>
      <c r="E332" s="4"/>
      <c r="F332" s="23" t="str">
        <f aca="false">IFERROR(IF(OR($B332="",$C332=""),"",INDEX('Cartes API'!$J:$J,MATCH($B332,'Cartes API'!$A:$A,0))&amp;INDEX('Cartes API'!$B:$B,MATCH($B332,'Cartes API'!$A:$A,0))&amp;"."&amp;INDEX('Cartes API'!$C:$C,MATCH($B332,'Cartes API'!$A:$A,0))&amp;"."&amp;$C332),"")</f>
        <v/>
      </c>
      <c r="G332" s="23" t="str">
        <f aca="false">IFERROR(IF($B332="","",INDEX('Cartes API'!$H:$H,MATCH($B332,'Cartes API'!$A:$A,0))),"")</f>
        <v/>
      </c>
      <c r="H332" s="4"/>
      <c r="I332" s="23" t="str">
        <f aca="false">IF(OR($G332="",$H332=""),"",$G332&amp;"["&amp;$H332&amp;"]")</f>
        <v/>
      </c>
      <c r="J332" s="23" t="str">
        <f aca="false">IFERROR(INDEX(Cablage!$A:$A,MATCH($I332,Cablage!$F:$F,0)),"")</f>
        <v/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customFormat="false" ht="15" hidden="false" customHeight="true" outlineLevel="0" collapsed="false">
      <c r="A333" s="22"/>
      <c r="B333" s="22"/>
      <c r="C333" s="4"/>
      <c r="D333" s="4"/>
      <c r="E333" s="4"/>
      <c r="F333" s="23" t="str">
        <f aca="false">IFERROR(IF(OR($B333="",$C333=""),"",INDEX('Cartes API'!$J:$J,MATCH($B333,'Cartes API'!$A:$A,0))&amp;INDEX('Cartes API'!$B:$B,MATCH($B333,'Cartes API'!$A:$A,0))&amp;"."&amp;INDEX('Cartes API'!$C:$C,MATCH($B333,'Cartes API'!$A:$A,0))&amp;"."&amp;$C333),"")</f>
        <v/>
      </c>
      <c r="G333" s="23" t="str">
        <f aca="false">IFERROR(IF($B333="","",INDEX('Cartes API'!$H:$H,MATCH($B333,'Cartes API'!$A:$A,0))),"")</f>
        <v/>
      </c>
      <c r="H333" s="4"/>
      <c r="I333" s="23" t="str">
        <f aca="false">IF(OR($G333="",$H333=""),"",$G333&amp;"["&amp;$H333&amp;"]")</f>
        <v/>
      </c>
      <c r="J333" s="23" t="str">
        <f aca="false">IFERROR(INDEX(Cablage!$A:$A,MATCH($I333,Cablage!$F:$F,0)),"")</f>
        <v/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customFormat="false" ht="15" hidden="false" customHeight="true" outlineLevel="0" collapsed="false">
      <c r="A334" s="22"/>
      <c r="B334" s="22"/>
      <c r="C334" s="4"/>
      <c r="D334" s="4"/>
      <c r="E334" s="4"/>
      <c r="F334" s="23" t="str">
        <f aca="false">IFERROR(IF(OR($B334="",$C334=""),"",INDEX('Cartes API'!$J:$J,MATCH($B334,'Cartes API'!$A:$A,0))&amp;INDEX('Cartes API'!$B:$B,MATCH($B334,'Cartes API'!$A:$A,0))&amp;"."&amp;INDEX('Cartes API'!$C:$C,MATCH($B334,'Cartes API'!$A:$A,0))&amp;"."&amp;$C334),"")</f>
        <v/>
      </c>
      <c r="G334" s="23" t="str">
        <f aca="false">IFERROR(IF($B334="","",INDEX('Cartes API'!$H:$H,MATCH($B334,'Cartes API'!$A:$A,0))),"")</f>
        <v/>
      </c>
      <c r="H334" s="4"/>
      <c r="I334" s="23" t="str">
        <f aca="false">IF(OR($G334="",$H334=""),"",$G334&amp;"["&amp;$H334&amp;"]")</f>
        <v/>
      </c>
      <c r="J334" s="23" t="str">
        <f aca="false">IFERROR(INDEX(Cablage!$A:$A,MATCH($I334,Cablage!$F:$F,0)),"")</f>
        <v/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customFormat="false" ht="15" hidden="false" customHeight="true" outlineLevel="0" collapsed="false">
      <c r="A335" s="22"/>
      <c r="B335" s="22"/>
      <c r="C335" s="4"/>
      <c r="D335" s="4"/>
      <c r="E335" s="4"/>
      <c r="F335" s="23" t="str">
        <f aca="false">IFERROR(IF(OR($B335="",$C335=""),"",INDEX('Cartes API'!$J:$J,MATCH($B335,'Cartes API'!$A:$A,0))&amp;INDEX('Cartes API'!$B:$B,MATCH($B335,'Cartes API'!$A:$A,0))&amp;"."&amp;INDEX('Cartes API'!$C:$C,MATCH($B335,'Cartes API'!$A:$A,0))&amp;"."&amp;$C335),"")</f>
        <v/>
      </c>
      <c r="G335" s="23" t="str">
        <f aca="false">IFERROR(IF($B335="","",INDEX('Cartes API'!$H:$H,MATCH($B335,'Cartes API'!$A:$A,0))),"")</f>
        <v/>
      </c>
      <c r="H335" s="4"/>
      <c r="I335" s="23" t="str">
        <f aca="false">IF(OR($G335="",$H335=""),"",$G335&amp;"["&amp;$H335&amp;"]")</f>
        <v/>
      </c>
      <c r="J335" s="23" t="str">
        <f aca="false">IFERROR(INDEX(Cablage!$A:$A,MATCH($I335,Cablage!$F:$F,0)),"")</f>
        <v/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customFormat="false" ht="15" hidden="false" customHeight="true" outlineLevel="0" collapsed="false">
      <c r="A336" s="22"/>
      <c r="B336" s="22"/>
      <c r="C336" s="4"/>
      <c r="D336" s="4"/>
      <c r="E336" s="4"/>
      <c r="F336" s="23" t="str">
        <f aca="false">IFERROR(IF(OR($B336="",$C336=""),"",INDEX('Cartes API'!$J:$J,MATCH($B336,'Cartes API'!$A:$A,0))&amp;INDEX('Cartes API'!$B:$B,MATCH($B336,'Cartes API'!$A:$A,0))&amp;"."&amp;INDEX('Cartes API'!$C:$C,MATCH($B336,'Cartes API'!$A:$A,0))&amp;"."&amp;$C336),"")</f>
        <v/>
      </c>
      <c r="G336" s="23" t="str">
        <f aca="false">IFERROR(IF($B336="","",INDEX('Cartes API'!$H:$H,MATCH($B336,'Cartes API'!$A:$A,0))),"")</f>
        <v/>
      </c>
      <c r="H336" s="4"/>
      <c r="I336" s="23" t="str">
        <f aca="false">IF(OR($G336="",$H336=""),"",$G336&amp;"["&amp;$H336&amp;"]")</f>
        <v/>
      </c>
      <c r="J336" s="23" t="str">
        <f aca="false">IFERROR(INDEX(Cablage!$A:$A,MATCH($I336,Cablage!$F:$F,0)),"")</f>
        <v/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customFormat="false" ht="15" hidden="false" customHeight="true" outlineLevel="0" collapsed="false">
      <c r="A337" s="22"/>
      <c r="B337" s="22"/>
      <c r="C337" s="4"/>
      <c r="D337" s="4"/>
      <c r="E337" s="4"/>
      <c r="F337" s="23" t="str">
        <f aca="false">IFERROR(IF(OR($B337="",$C337=""),"",INDEX('Cartes API'!$J:$J,MATCH($B337,'Cartes API'!$A:$A,0))&amp;INDEX('Cartes API'!$B:$B,MATCH($B337,'Cartes API'!$A:$A,0))&amp;"."&amp;INDEX('Cartes API'!$C:$C,MATCH($B337,'Cartes API'!$A:$A,0))&amp;"."&amp;$C337),"")</f>
        <v/>
      </c>
      <c r="G337" s="23" t="str">
        <f aca="false">IFERROR(IF($B337="","",INDEX('Cartes API'!$H:$H,MATCH($B337,'Cartes API'!$A:$A,0))),"")</f>
        <v/>
      </c>
      <c r="H337" s="4"/>
      <c r="I337" s="23" t="str">
        <f aca="false">IF(OR($G337="",$H337=""),"",$G337&amp;"["&amp;$H337&amp;"]")</f>
        <v/>
      </c>
      <c r="J337" s="23" t="str">
        <f aca="false">IFERROR(INDEX(Cablage!$A:$A,MATCH($I337,Cablage!$F:$F,0)),"")</f>
        <v/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customFormat="false" ht="15" hidden="false" customHeight="true" outlineLevel="0" collapsed="false">
      <c r="A338" s="22"/>
      <c r="B338" s="22"/>
      <c r="C338" s="4"/>
      <c r="D338" s="4"/>
      <c r="E338" s="4"/>
      <c r="F338" s="23" t="str">
        <f aca="false">IFERROR(IF(OR($B338="",$C338=""),"",INDEX('Cartes API'!$J:$J,MATCH($B338,'Cartes API'!$A:$A,0))&amp;INDEX('Cartes API'!$B:$B,MATCH($B338,'Cartes API'!$A:$A,0))&amp;"."&amp;INDEX('Cartes API'!$C:$C,MATCH($B338,'Cartes API'!$A:$A,0))&amp;"."&amp;$C338),"")</f>
        <v/>
      </c>
      <c r="G338" s="23" t="str">
        <f aca="false">IFERROR(IF($B338="","",INDEX('Cartes API'!$H:$H,MATCH($B338,'Cartes API'!$A:$A,0))),"")</f>
        <v/>
      </c>
      <c r="H338" s="4"/>
      <c r="I338" s="23" t="str">
        <f aca="false">IF(OR($G338="",$H338=""),"",$G338&amp;"["&amp;$H338&amp;"]")</f>
        <v/>
      </c>
      <c r="J338" s="23" t="str">
        <f aca="false">IFERROR(INDEX(Cablage!$A:$A,MATCH($I338,Cablage!$F:$F,0)),"")</f>
        <v/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customFormat="false" ht="15" hidden="false" customHeight="true" outlineLevel="0" collapsed="false">
      <c r="A339" s="22"/>
      <c r="B339" s="22"/>
      <c r="C339" s="4"/>
      <c r="D339" s="4"/>
      <c r="E339" s="4"/>
      <c r="F339" s="23" t="str">
        <f aca="false">IFERROR(IF(OR($B339="",$C339=""),"",INDEX('Cartes API'!$J:$J,MATCH($B339,'Cartes API'!$A:$A,0))&amp;INDEX('Cartes API'!$B:$B,MATCH($B339,'Cartes API'!$A:$A,0))&amp;"."&amp;INDEX('Cartes API'!$C:$C,MATCH($B339,'Cartes API'!$A:$A,0))&amp;"."&amp;$C339),"")</f>
        <v/>
      </c>
      <c r="G339" s="23" t="str">
        <f aca="false">IFERROR(IF($B339="","",INDEX('Cartes API'!$H:$H,MATCH($B339,'Cartes API'!$A:$A,0))),"")</f>
        <v/>
      </c>
      <c r="H339" s="4"/>
      <c r="I339" s="23" t="str">
        <f aca="false">IF(OR($G339="",$H339=""),"",$G339&amp;"["&amp;$H339&amp;"]")</f>
        <v/>
      </c>
      <c r="J339" s="23" t="str">
        <f aca="false">IFERROR(INDEX(Cablage!$A:$A,MATCH($I339,Cablage!$F:$F,0)),"")</f>
        <v/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customFormat="false" ht="15" hidden="false" customHeight="true" outlineLevel="0" collapsed="false">
      <c r="A340" s="22"/>
      <c r="B340" s="22"/>
      <c r="C340" s="4"/>
      <c r="D340" s="4"/>
      <c r="E340" s="4"/>
      <c r="F340" s="23" t="str">
        <f aca="false">IFERROR(IF(OR($B340="",$C340=""),"",INDEX('Cartes API'!$J:$J,MATCH($B340,'Cartes API'!$A:$A,0))&amp;INDEX('Cartes API'!$B:$B,MATCH($B340,'Cartes API'!$A:$A,0))&amp;"."&amp;INDEX('Cartes API'!$C:$C,MATCH($B340,'Cartes API'!$A:$A,0))&amp;"."&amp;$C340),"")</f>
        <v/>
      </c>
      <c r="G340" s="23" t="str">
        <f aca="false">IFERROR(IF($B340="","",INDEX('Cartes API'!$H:$H,MATCH($B340,'Cartes API'!$A:$A,0))),"")</f>
        <v/>
      </c>
      <c r="H340" s="4"/>
      <c r="I340" s="23" t="str">
        <f aca="false">IF(OR($G340="",$H340=""),"",$G340&amp;"["&amp;$H340&amp;"]")</f>
        <v/>
      </c>
      <c r="J340" s="23" t="str">
        <f aca="false">IFERROR(INDEX(Cablage!$A:$A,MATCH($I340,Cablage!$F:$F,0)),"")</f>
        <v/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customFormat="false" ht="15" hidden="false" customHeight="true" outlineLevel="0" collapsed="false">
      <c r="A341" s="22"/>
      <c r="B341" s="22"/>
      <c r="C341" s="4"/>
      <c r="D341" s="4"/>
      <c r="E341" s="4"/>
      <c r="F341" s="23" t="str">
        <f aca="false">IFERROR(IF(OR($B341="",$C341=""),"",INDEX('Cartes API'!$J:$J,MATCH($B341,'Cartes API'!$A:$A,0))&amp;INDEX('Cartes API'!$B:$B,MATCH($B341,'Cartes API'!$A:$A,0))&amp;"."&amp;INDEX('Cartes API'!$C:$C,MATCH($B341,'Cartes API'!$A:$A,0))&amp;"."&amp;$C341),"")</f>
        <v/>
      </c>
      <c r="G341" s="23" t="str">
        <f aca="false">IFERROR(IF($B341="","",INDEX('Cartes API'!$H:$H,MATCH($B341,'Cartes API'!$A:$A,0))),"")</f>
        <v/>
      </c>
      <c r="H341" s="4"/>
      <c r="I341" s="23" t="str">
        <f aca="false">IF(OR($G341="",$H341=""),"",$G341&amp;"["&amp;$H341&amp;"]")</f>
        <v/>
      </c>
      <c r="J341" s="23" t="str">
        <f aca="false">IFERROR(INDEX(Cablage!$A:$A,MATCH($I341,Cablage!$F:$F,0)),"")</f>
        <v/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customFormat="false" ht="15" hidden="false" customHeight="true" outlineLevel="0" collapsed="false">
      <c r="A342" s="22"/>
      <c r="B342" s="22"/>
      <c r="C342" s="4"/>
      <c r="D342" s="4"/>
      <c r="E342" s="4"/>
      <c r="F342" s="23" t="str">
        <f aca="false">IFERROR(IF(OR($B342="",$C342=""),"",INDEX('Cartes API'!$J:$J,MATCH($B342,'Cartes API'!$A:$A,0))&amp;INDEX('Cartes API'!$B:$B,MATCH($B342,'Cartes API'!$A:$A,0))&amp;"."&amp;INDEX('Cartes API'!$C:$C,MATCH($B342,'Cartes API'!$A:$A,0))&amp;"."&amp;$C342),"")</f>
        <v/>
      </c>
      <c r="G342" s="23" t="str">
        <f aca="false">IFERROR(IF($B342="","",INDEX('Cartes API'!$H:$H,MATCH($B342,'Cartes API'!$A:$A,0))),"")</f>
        <v/>
      </c>
      <c r="H342" s="4"/>
      <c r="I342" s="23" t="str">
        <f aca="false">IF(OR($G342="",$H342=""),"",$G342&amp;"["&amp;$H342&amp;"]")</f>
        <v/>
      </c>
      <c r="J342" s="23" t="str">
        <f aca="false">IFERROR(INDEX(Cablage!$A:$A,MATCH($I342,Cablage!$F:$F,0)),"")</f>
        <v/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customFormat="false" ht="15" hidden="false" customHeight="true" outlineLevel="0" collapsed="false">
      <c r="A343" s="22"/>
      <c r="B343" s="22"/>
      <c r="C343" s="4"/>
      <c r="D343" s="4"/>
      <c r="E343" s="4"/>
      <c r="F343" s="23" t="str">
        <f aca="false">IFERROR(IF(OR($B343="",$C343=""),"",INDEX('Cartes API'!$J:$J,MATCH($B343,'Cartes API'!$A:$A,0))&amp;INDEX('Cartes API'!$B:$B,MATCH($B343,'Cartes API'!$A:$A,0))&amp;"."&amp;INDEX('Cartes API'!$C:$C,MATCH($B343,'Cartes API'!$A:$A,0))&amp;"."&amp;$C343),"")</f>
        <v/>
      </c>
      <c r="G343" s="23" t="str">
        <f aca="false">IFERROR(IF($B343="","",INDEX('Cartes API'!$H:$H,MATCH($B343,'Cartes API'!$A:$A,0))),"")</f>
        <v/>
      </c>
      <c r="H343" s="4"/>
      <c r="I343" s="23" t="str">
        <f aca="false">IF(OR($G343="",$H343=""),"",$G343&amp;"["&amp;$H343&amp;"]")</f>
        <v/>
      </c>
      <c r="J343" s="23" t="str">
        <f aca="false">IFERROR(INDEX(Cablage!$A:$A,MATCH($I343,Cablage!$F:$F,0)),"")</f>
        <v/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customFormat="false" ht="15" hidden="false" customHeight="true" outlineLevel="0" collapsed="false">
      <c r="A344" s="22"/>
      <c r="B344" s="22"/>
      <c r="C344" s="4"/>
      <c r="D344" s="4"/>
      <c r="E344" s="4"/>
      <c r="F344" s="23" t="str">
        <f aca="false">IFERROR(IF(OR($B344="",$C344=""),"",INDEX('Cartes API'!$J:$J,MATCH($B344,'Cartes API'!$A:$A,0))&amp;INDEX('Cartes API'!$B:$B,MATCH($B344,'Cartes API'!$A:$A,0))&amp;"."&amp;INDEX('Cartes API'!$C:$C,MATCH($B344,'Cartes API'!$A:$A,0))&amp;"."&amp;$C344),"")</f>
        <v/>
      </c>
      <c r="G344" s="23" t="str">
        <f aca="false">IFERROR(IF($B344="","",INDEX('Cartes API'!$H:$H,MATCH($B344,'Cartes API'!$A:$A,0))),"")</f>
        <v/>
      </c>
      <c r="H344" s="4"/>
      <c r="I344" s="23" t="str">
        <f aca="false">IF(OR($G344="",$H344=""),"",$G344&amp;"["&amp;$H344&amp;"]")</f>
        <v/>
      </c>
      <c r="J344" s="23" t="str">
        <f aca="false">IFERROR(INDEX(Cablage!$A:$A,MATCH($I344,Cablage!$F:$F,0)),"")</f>
        <v/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customFormat="false" ht="15" hidden="false" customHeight="true" outlineLevel="0" collapsed="false">
      <c r="A345" s="22"/>
      <c r="B345" s="22"/>
      <c r="C345" s="4"/>
      <c r="D345" s="4"/>
      <c r="E345" s="4"/>
      <c r="F345" s="23" t="str">
        <f aca="false">IFERROR(IF(OR($B345="",$C345=""),"",INDEX('Cartes API'!$J:$J,MATCH($B345,'Cartes API'!$A:$A,0))&amp;INDEX('Cartes API'!$B:$B,MATCH($B345,'Cartes API'!$A:$A,0))&amp;"."&amp;INDEX('Cartes API'!$C:$C,MATCH($B345,'Cartes API'!$A:$A,0))&amp;"."&amp;$C345),"")</f>
        <v/>
      </c>
      <c r="G345" s="23" t="str">
        <f aca="false">IFERROR(IF($B345="","",INDEX('Cartes API'!$H:$H,MATCH($B345,'Cartes API'!$A:$A,0))),"")</f>
        <v/>
      </c>
      <c r="H345" s="4"/>
      <c r="I345" s="23" t="str">
        <f aca="false">IF(OR($G345="",$H345=""),"",$G345&amp;"["&amp;$H345&amp;"]")</f>
        <v/>
      </c>
      <c r="J345" s="23" t="str">
        <f aca="false">IFERROR(INDEX(Cablage!$A:$A,MATCH($I345,Cablage!$F:$F,0)),"")</f>
        <v/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customFormat="false" ht="15" hidden="false" customHeight="true" outlineLevel="0" collapsed="false">
      <c r="A346" s="22"/>
      <c r="B346" s="22"/>
      <c r="C346" s="4"/>
      <c r="D346" s="4"/>
      <c r="E346" s="4"/>
      <c r="F346" s="23" t="str">
        <f aca="false">IFERROR(IF(OR($B346="",$C346=""),"",INDEX('Cartes API'!$J:$J,MATCH($B346,'Cartes API'!$A:$A,0))&amp;INDEX('Cartes API'!$B:$B,MATCH($B346,'Cartes API'!$A:$A,0))&amp;"."&amp;INDEX('Cartes API'!$C:$C,MATCH($B346,'Cartes API'!$A:$A,0))&amp;"."&amp;$C346),"")</f>
        <v/>
      </c>
      <c r="G346" s="23" t="str">
        <f aca="false">IFERROR(IF($B346="","",INDEX('Cartes API'!$H:$H,MATCH($B346,'Cartes API'!$A:$A,0))),"")</f>
        <v/>
      </c>
      <c r="H346" s="4"/>
      <c r="I346" s="23" t="str">
        <f aca="false">IF(OR($G346="",$H346=""),"",$G346&amp;"["&amp;$H346&amp;"]")</f>
        <v/>
      </c>
      <c r="J346" s="23" t="str">
        <f aca="false">IFERROR(INDEX(Cablage!$A:$A,MATCH($I346,Cablage!$F:$F,0)),"")</f>
        <v/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customFormat="false" ht="15" hidden="false" customHeight="true" outlineLevel="0" collapsed="false">
      <c r="A347" s="22"/>
      <c r="B347" s="22"/>
      <c r="C347" s="4"/>
      <c r="D347" s="4"/>
      <c r="E347" s="4"/>
      <c r="F347" s="23" t="str">
        <f aca="false">IFERROR(IF(OR($B347="",$C347=""),"",INDEX('Cartes API'!$J:$J,MATCH($B347,'Cartes API'!$A:$A,0))&amp;INDEX('Cartes API'!$B:$B,MATCH($B347,'Cartes API'!$A:$A,0))&amp;"."&amp;INDEX('Cartes API'!$C:$C,MATCH($B347,'Cartes API'!$A:$A,0))&amp;"."&amp;$C347),"")</f>
        <v/>
      </c>
      <c r="G347" s="23" t="str">
        <f aca="false">IFERROR(IF($B347="","",INDEX('Cartes API'!$H:$H,MATCH($B347,'Cartes API'!$A:$A,0))),"")</f>
        <v/>
      </c>
      <c r="H347" s="4"/>
      <c r="I347" s="23" t="str">
        <f aca="false">IF(OR($G347="",$H347=""),"",$G347&amp;"["&amp;$H347&amp;"]")</f>
        <v/>
      </c>
      <c r="J347" s="23" t="str">
        <f aca="false">IFERROR(INDEX(Cablage!$A:$A,MATCH($I347,Cablage!$F:$F,0)),"")</f>
        <v/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customFormat="false" ht="15" hidden="false" customHeight="true" outlineLevel="0" collapsed="false">
      <c r="A348" s="22"/>
      <c r="B348" s="22"/>
      <c r="C348" s="4"/>
      <c r="D348" s="4"/>
      <c r="E348" s="4"/>
      <c r="F348" s="23" t="str">
        <f aca="false">IFERROR(IF(OR($B348="",$C348=""),"",INDEX('Cartes API'!$J:$J,MATCH($B348,'Cartes API'!$A:$A,0))&amp;INDEX('Cartes API'!$B:$B,MATCH($B348,'Cartes API'!$A:$A,0))&amp;"."&amp;INDEX('Cartes API'!$C:$C,MATCH($B348,'Cartes API'!$A:$A,0))&amp;"."&amp;$C348),"")</f>
        <v/>
      </c>
      <c r="G348" s="23" t="str">
        <f aca="false">IFERROR(IF($B348="","",INDEX('Cartes API'!$H:$H,MATCH($B348,'Cartes API'!$A:$A,0))),"")</f>
        <v/>
      </c>
      <c r="H348" s="4"/>
      <c r="I348" s="23" t="str">
        <f aca="false">IF(OR($G348="",$H348=""),"",$G348&amp;"["&amp;$H348&amp;"]")</f>
        <v/>
      </c>
      <c r="J348" s="23" t="str">
        <f aca="false">IFERROR(INDEX(Cablage!$A:$A,MATCH($I348,Cablage!$F:$F,0)),"")</f>
        <v/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customFormat="false" ht="15" hidden="false" customHeight="true" outlineLevel="0" collapsed="false">
      <c r="A349" s="22"/>
      <c r="B349" s="22"/>
      <c r="C349" s="4"/>
      <c r="D349" s="4"/>
      <c r="E349" s="4"/>
      <c r="F349" s="23" t="str">
        <f aca="false">IFERROR(IF(OR($B349="",$C349=""),"",INDEX('Cartes API'!$J:$J,MATCH($B349,'Cartes API'!$A:$A,0))&amp;INDEX('Cartes API'!$B:$B,MATCH($B349,'Cartes API'!$A:$A,0))&amp;"."&amp;INDEX('Cartes API'!$C:$C,MATCH($B349,'Cartes API'!$A:$A,0))&amp;"."&amp;$C349),"")</f>
        <v/>
      </c>
      <c r="G349" s="23" t="str">
        <f aca="false">IFERROR(IF($B349="","",INDEX('Cartes API'!$H:$H,MATCH($B349,'Cartes API'!$A:$A,0))),"")</f>
        <v/>
      </c>
      <c r="H349" s="4"/>
      <c r="I349" s="23" t="str">
        <f aca="false">IF(OR($G349="",$H349=""),"",$G349&amp;"["&amp;$H349&amp;"]")</f>
        <v/>
      </c>
      <c r="J349" s="23" t="str">
        <f aca="false">IFERROR(INDEX(Cablage!$A:$A,MATCH($I349,Cablage!$F:$F,0)),"")</f>
        <v/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customFormat="false" ht="15" hidden="false" customHeight="true" outlineLevel="0" collapsed="false">
      <c r="A350" s="22"/>
      <c r="B350" s="22"/>
      <c r="C350" s="4"/>
      <c r="D350" s="4"/>
      <c r="E350" s="4"/>
      <c r="F350" s="23" t="str">
        <f aca="false">IFERROR(IF(OR($B350="",$C350=""),"",INDEX('Cartes API'!$J:$J,MATCH($B350,'Cartes API'!$A:$A,0))&amp;INDEX('Cartes API'!$B:$B,MATCH($B350,'Cartes API'!$A:$A,0))&amp;"."&amp;INDEX('Cartes API'!$C:$C,MATCH($B350,'Cartes API'!$A:$A,0))&amp;"."&amp;$C350),"")</f>
        <v/>
      </c>
      <c r="G350" s="23" t="str">
        <f aca="false">IFERROR(IF($B350="","",INDEX('Cartes API'!$H:$H,MATCH($B350,'Cartes API'!$A:$A,0))),"")</f>
        <v/>
      </c>
      <c r="H350" s="4"/>
      <c r="I350" s="23" t="str">
        <f aca="false">IF(OR($G350="",$H350=""),"",$G350&amp;"["&amp;$H350&amp;"]")</f>
        <v/>
      </c>
      <c r="J350" s="23" t="str">
        <f aca="false">IFERROR(INDEX(Cablage!$A:$A,MATCH($I350,Cablage!$F:$F,0)),"")</f>
        <v/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customFormat="false" ht="15" hidden="false" customHeight="true" outlineLevel="0" collapsed="false">
      <c r="A351" s="22"/>
      <c r="B351" s="22"/>
      <c r="C351" s="4"/>
      <c r="D351" s="4"/>
      <c r="E351" s="4"/>
      <c r="F351" s="23" t="str">
        <f aca="false">IFERROR(IF(OR($B351="",$C351=""),"",INDEX('Cartes API'!$J:$J,MATCH($B351,'Cartes API'!$A:$A,0))&amp;INDEX('Cartes API'!$B:$B,MATCH($B351,'Cartes API'!$A:$A,0))&amp;"."&amp;INDEX('Cartes API'!$C:$C,MATCH($B351,'Cartes API'!$A:$A,0))&amp;"."&amp;$C351),"")</f>
        <v/>
      </c>
      <c r="G351" s="23" t="str">
        <f aca="false">IFERROR(IF($B351="","",INDEX('Cartes API'!$H:$H,MATCH($B351,'Cartes API'!$A:$A,0))),"")</f>
        <v/>
      </c>
      <c r="H351" s="4"/>
      <c r="I351" s="23" t="str">
        <f aca="false">IF(OR($G351="",$H351=""),"",$G351&amp;"["&amp;$H351&amp;"]")</f>
        <v/>
      </c>
      <c r="J351" s="23" t="str">
        <f aca="false">IFERROR(INDEX(Cablage!$A:$A,MATCH($I351,Cablage!$F:$F,0)),"")</f>
        <v/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customFormat="false" ht="15" hidden="false" customHeight="true" outlineLevel="0" collapsed="false">
      <c r="A352" s="22"/>
      <c r="B352" s="22"/>
      <c r="C352" s="4"/>
      <c r="D352" s="4"/>
      <c r="E352" s="4"/>
      <c r="F352" s="23" t="str">
        <f aca="false">IFERROR(IF(OR($B352="",$C352=""),"",INDEX('Cartes API'!$J:$J,MATCH($B352,'Cartes API'!$A:$A,0))&amp;INDEX('Cartes API'!$B:$B,MATCH($B352,'Cartes API'!$A:$A,0))&amp;"."&amp;INDEX('Cartes API'!$C:$C,MATCH($B352,'Cartes API'!$A:$A,0))&amp;"."&amp;$C352),"")</f>
        <v/>
      </c>
      <c r="G352" s="23" t="str">
        <f aca="false">IFERROR(IF($B352="","",INDEX('Cartes API'!$H:$H,MATCH($B352,'Cartes API'!$A:$A,0))),"")</f>
        <v/>
      </c>
      <c r="H352" s="4"/>
      <c r="I352" s="23" t="str">
        <f aca="false">IF(OR($G352="",$H352=""),"",$G352&amp;"["&amp;$H352&amp;"]")</f>
        <v/>
      </c>
      <c r="J352" s="23" t="str">
        <f aca="false">IFERROR(INDEX(Cablage!$A:$A,MATCH($I352,Cablage!$F:$F,0)),"")</f>
        <v/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customFormat="false" ht="15" hidden="false" customHeight="true" outlineLevel="0" collapsed="false">
      <c r="A353" s="22"/>
      <c r="B353" s="22"/>
      <c r="C353" s="4"/>
      <c r="D353" s="4"/>
      <c r="E353" s="4"/>
      <c r="F353" s="23" t="str">
        <f aca="false">IFERROR(IF(OR($B353="",$C353=""),"",INDEX('Cartes API'!$J:$J,MATCH($B353,'Cartes API'!$A:$A,0))&amp;INDEX('Cartes API'!$B:$B,MATCH($B353,'Cartes API'!$A:$A,0))&amp;"."&amp;INDEX('Cartes API'!$C:$C,MATCH($B353,'Cartes API'!$A:$A,0))&amp;"."&amp;$C353),"")</f>
        <v/>
      </c>
      <c r="G353" s="23" t="str">
        <f aca="false">IFERROR(IF($B353="","",INDEX('Cartes API'!$H:$H,MATCH($B353,'Cartes API'!$A:$A,0))),"")</f>
        <v/>
      </c>
      <c r="H353" s="4"/>
      <c r="I353" s="23" t="str">
        <f aca="false">IF(OR($G353="",$H353=""),"",$G353&amp;"["&amp;$H353&amp;"]")</f>
        <v/>
      </c>
      <c r="J353" s="23" t="str">
        <f aca="false">IFERROR(INDEX(Cablage!$A:$A,MATCH($I353,Cablage!$F:$F,0)),"")</f>
        <v/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customFormat="false" ht="15" hidden="false" customHeight="true" outlineLevel="0" collapsed="false">
      <c r="A354" s="22"/>
      <c r="B354" s="22"/>
      <c r="C354" s="4"/>
      <c r="D354" s="4"/>
      <c r="E354" s="4"/>
      <c r="F354" s="23" t="str">
        <f aca="false">IFERROR(IF(OR($B354="",$C354=""),"",INDEX('Cartes API'!$J:$J,MATCH($B354,'Cartes API'!$A:$A,0))&amp;INDEX('Cartes API'!$B:$B,MATCH($B354,'Cartes API'!$A:$A,0))&amp;"."&amp;INDEX('Cartes API'!$C:$C,MATCH($B354,'Cartes API'!$A:$A,0))&amp;"."&amp;$C354),"")</f>
        <v/>
      </c>
      <c r="G354" s="23" t="str">
        <f aca="false">IFERROR(IF($B354="","",INDEX('Cartes API'!$H:$H,MATCH($B354,'Cartes API'!$A:$A,0))),"")</f>
        <v/>
      </c>
      <c r="H354" s="4"/>
      <c r="I354" s="23" t="str">
        <f aca="false">IF(OR($G354="",$H354=""),"",$G354&amp;"["&amp;$H354&amp;"]")</f>
        <v/>
      </c>
      <c r="J354" s="23" t="str">
        <f aca="false">IFERROR(INDEX(Cablage!$A:$A,MATCH($I354,Cablage!$F:$F,0)),"")</f>
        <v/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customFormat="false" ht="15" hidden="false" customHeight="true" outlineLevel="0" collapsed="false">
      <c r="A355" s="22"/>
      <c r="B355" s="22"/>
      <c r="C355" s="4"/>
      <c r="D355" s="4"/>
      <c r="E355" s="4"/>
      <c r="F355" s="23" t="str">
        <f aca="false">IFERROR(IF(OR($B355="",$C355=""),"",INDEX('Cartes API'!$J:$J,MATCH($B355,'Cartes API'!$A:$A,0))&amp;INDEX('Cartes API'!$B:$B,MATCH($B355,'Cartes API'!$A:$A,0))&amp;"."&amp;INDEX('Cartes API'!$C:$C,MATCH($B355,'Cartes API'!$A:$A,0))&amp;"."&amp;$C355),"")</f>
        <v/>
      </c>
      <c r="G355" s="23" t="str">
        <f aca="false">IFERROR(IF($B355="","",INDEX('Cartes API'!$H:$H,MATCH($B355,'Cartes API'!$A:$A,0))),"")</f>
        <v/>
      </c>
      <c r="H355" s="4"/>
      <c r="I355" s="23" t="str">
        <f aca="false">IF(OR($G355="",$H355=""),"",$G355&amp;"["&amp;$H355&amp;"]")</f>
        <v/>
      </c>
      <c r="J355" s="23" t="str">
        <f aca="false">IFERROR(INDEX(Cablage!$A:$A,MATCH($I355,Cablage!$F:$F,0)),"")</f>
        <v/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customFormat="false" ht="15" hidden="false" customHeight="true" outlineLevel="0" collapsed="false">
      <c r="A356" s="22"/>
      <c r="B356" s="22"/>
      <c r="C356" s="4"/>
      <c r="D356" s="4"/>
      <c r="E356" s="4"/>
      <c r="F356" s="23" t="str">
        <f aca="false">IFERROR(IF(OR($B356="",$C356=""),"",INDEX('Cartes API'!$J:$J,MATCH($B356,'Cartes API'!$A:$A,0))&amp;INDEX('Cartes API'!$B:$B,MATCH($B356,'Cartes API'!$A:$A,0))&amp;"."&amp;INDEX('Cartes API'!$C:$C,MATCH($B356,'Cartes API'!$A:$A,0))&amp;"."&amp;$C356),"")</f>
        <v/>
      </c>
      <c r="G356" s="23" t="str">
        <f aca="false">IFERROR(IF($B356="","",INDEX('Cartes API'!$H:$H,MATCH($B356,'Cartes API'!$A:$A,0))),"")</f>
        <v/>
      </c>
      <c r="H356" s="4"/>
      <c r="I356" s="23" t="str">
        <f aca="false">IF(OR($G356="",$H356=""),"",$G356&amp;"["&amp;$H356&amp;"]")</f>
        <v/>
      </c>
      <c r="J356" s="23" t="str">
        <f aca="false">IFERROR(INDEX(Cablage!$A:$A,MATCH($I356,Cablage!$F:$F,0)),"")</f>
        <v/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customFormat="false" ht="15" hidden="false" customHeight="true" outlineLevel="0" collapsed="false">
      <c r="A357" s="22"/>
      <c r="B357" s="22"/>
      <c r="C357" s="4"/>
      <c r="D357" s="4"/>
      <c r="E357" s="4"/>
      <c r="F357" s="23" t="str">
        <f aca="false">IFERROR(IF(OR($B357="",$C357=""),"",INDEX('Cartes API'!$J:$J,MATCH($B357,'Cartes API'!$A:$A,0))&amp;INDEX('Cartes API'!$B:$B,MATCH($B357,'Cartes API'!$A:$A,0))&amp;"."&amp;INDEX('Cartes API'!$C:$C,MATCH($B357,'Cartes API'!$A:$A,0))&amp;"."&amp;$C357),"")</f>
        <v/>
      </c>
      <c r="G357" s="23" t="str">
        <f aca="false">IFERROR(IF($B357="","",INDEX('Cartes API'!$H:$H,MATCH($B357,'Cartes API'!$A:$A,0))),"")</f>
        <v/>
      </c>
      <c r="H357" s="4"/>
      <c r="I357" s="23" t="str">
        <f aca="false">IF(OR($G357="",$H357=""),"",$G357&amp;"["&amp;$H357&amp;"]")</f>
        <v/>
      </c>
      <c r="J357" s="23" t="str">
        <f aca="false">IFERROR(INDEX(Cablage!$A:$A,MATCH($I357,Cablage!$F:$F,0)),"")</f>
        <v/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customFormat="false" ht="15" hidden="false" customHeight="true" outlineLevel="0" collapsed="false">
      <c r="A358" s="22"/>
      <c r="B358" s="22"/>
      <c r="C358" s="4"/>
      <c r="D358" s="4"/>
      <c r="E358" s="4"/>
      <c r="F358" s="23" t="str">
        <f aca="false">IFERROR(IF(OR($B358="",$C358=""),"",INDEX('Cartes API'!$J:$J,MATCH($B358,'Cartes API'!$A:$A,0))&amp;INDEX('Cartes API'!$B:$B,MATCH($B358,'Cartes API'!$A:$A,0))&amp;"."&amp;INDEX('Cartes API'!$C:$C,MATCH($B358,'Cartes API'!$A:$A,0))&amp;"."&amp;$C358),"")</f>
        <v/>
      </c>
      <c r="G358" s="23" t="str">
        <f aca="false">IFERROR(IF($B358="","",INDEX('Cartes API'!$H:$H,MATCH($B358,'Cartes API'!$A:$A,0))),"")</f>
        <v/>
      </c>
      <c r="H358" s="4"/>
      <c r="I358" s="23" t="str">
        <f aca="false">IF(OR($G358="",$H358=""),"",$G358&amp;"["&amp;$H358&amp;"]")</f>
        <v/>
      </c>
      <c r="J358" s="23" t="str">
        <f aca="false">IFERROR(INDEX(Cablage!$A:$A,MATCH($I358,Cablage!$F:$F,0)),"")</f>
        <v/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customFormat="false" ht="15" hidden="false" customHeight="true" outlineLevel="0" collapsed="false">
      <c r="A359" s="22"/>
      <c r="B359" s="22"/>
      <c r="C359" s="4"/>
      <c r="D359" s="4"/>
      <c r="E359" s="4"/>
      <c r="F359" s="23" t="str">
        <f aca="false">IFERROR(IF(OR($B359="",$C359=""),"",INDEX('Cartes API'!$J:$J,MATCH($B359,'Cartes API'!$A:$A,0))&amp;INDEX('Cartes API'!$B:$B,MATCH($B359,'Cartes API'!$A:$A,0))&amp;"."&amp;INDEX('Cartes API'!$C:$C,MATCH($B359,'Cartes API'!$A:$A,0))&amp;"."&amp;$C359),"")</f>
        <v/>
      </c>
      <c r="G359" s="23" t="str">
        <f aca="false">IFERROR(IF($B359="","",INDEX('Cartes API'!$H:$H,MATCH($B359,'Cartes API'!$A:$A,0))),"")</f>
        <v/>
      </c>
      <c r="H359" s="4"/>
      <c r="I359" s="23" t="str">
        <f aca="false">IF(OR($G359="",$H359=""),"",$G359&amp;"["&amp;$H359&amp;"]")</f>
        <v/>
      </c>
      <c r="J359" s="23" t="str">
        <f aca="false">IFERROR(INDEX(Cablage!$A:$A,MATCH($I359,Cablage!$F:$F,0)),"")</f>
        <v/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customFormat="false" ht="15" hidden="false" customHeight="true" outlineLevel="0" collapsed="false">
      <c r="A360" s="22"/>
      <c r="B360" s="22"/>
      <c r="C360" s="4"/>
      <c r="D360" s="4"/>
      <c r="E360" s="4"/>
      <c r="F360" s="23" t="str">
        <f aca="false">IFERROR(IF(OR($B360="",$C360=""),"",INDEX('Cartes API'!$J:$J,MATCH($B360,'Cartes API'!$A:$A,0))&amp;INDEX('Cartes API'!$B:$B,MATCH($B360,'Cartes API'!$A:$A,0))&amp;"."&amp;INDEX('Cartes API'!$C:$C,MATCH($B360,'Cartes API'!$A:$A,0))&amp;"."&amp;$C360),"")</f>
        <v/>
      </c>
      <c r="G360" s="23" t="str">
        <f aca="false">IFERROR(IF($B360="","",INDEX('Cartes API'!$H:$H,MATCH($B360,'Cartes API'!$A:$A,0))),"")</f>
        <v/>
      </c>
      <c r="H360" s="4"/>
      <c r="I360" s="23" t="str">
        <f aca="false">IF(OR($G360="",$H360=""),"",$G360&amp;"["&amp;$H360&amp;"]")</f>
        <v/>
      </c>
      <c r="J360" s="23" t="str">
        <f aca="false">IFERROR(INDEX(Cablage!$A:$A,MATCH($I360,Cablage!$F:$F,0)),"")</f>
        <v/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customFormat="false" ht="15" hidden="false" customHeight="true" outlineLevel="0" collapsed="false">
      <c r="A361" s="22"/>
      <c r="B361" s="22"/>
      <c r="C361" s="4"/>
      <c r="D361" s="4"/>
      <c r="E361" s="4"/>
      <c r="F361" s="23" t="str">
        <f aca="false">IFERROR(IF(OR($B361="",$C361=""),"",INDEX('Cartes API'!$J:$J,MATCH($B361,'Cartes API'!$A:$A,0))&amp;INDEX('Cartes API'!$B:$B,MATCH($B361,'Cartes API'!$A:$A,0))&amp;"."&amp;INDEX('Cartes API'!$C:$C,MATCH($B361,'Cartes API'!$A:$A,0))&amp;"."&amp;$C361),"")</f>
        <v/>
      </c>
      <c r="G361" s="23" t="str">
        <f aca="false">IFERROR(IF($B361="","",INDEX('Cartes API'!$H:$H,MATCH($B361,'Cartes API'!$A:$A,0))),"")</f>
        <v/>
      </c>
      <c r="H361" s="4"/>
      <c r="I361" s="23" t="str">
        <f aca="false">IF(OR($G361="",$H361=""),"",$G361&amp;"["&amp;$H361&amp;"]")</f>
        <v/>
      </c>
      <c r="J361" s="23" t="str">
        <f aca="false">IFERROR(INDEX(Cablage!$A:$A,MATCH($I361,Cablage!$F:$F,0)),"")</f>
        <v/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customFormat="false" ht="15" hidden="false" customHeight="true" outlineLevel="0" collapsed="false">
      <c r="A362" s="22"/>
      <c r="B362" s="22"/>
      <c r="C362" s="4"/>
      <c r="D362" s="4"/>
      <c r="E362" s="4"/>
      <c r="F362" s="23" t="str">
        <f aca="false">IFERROR(IF(OR($B362="",$C362=""),"",INDEX('Cartes API'!$J:$J,MATCH($B362,'Cartes API'!$A:$A,0))&amp;INDEX('Cartes API'!$B:$B,MATCH($B362,'Cartes API'!$A:$A,0))&amp;"."&amp;INDEX('Cartes API'!$C:$C,MATCH($B362,'Cartes API'!$A:$A,0))&amp;"."&amp;$C362),"")</f>
        <v/>
      </c>
      <c r="G362" s="23" t="str">
        <f aca="false">IFERROR(IF($B362="","",INDEX('Cartes API'!$H:$H,MATCH($B362,'Cartes API'!$A:$A,0))),"")</f>
        <v/>
      </c>
      <c r="H362" s="4"/>
      <c r="I362" s="23" t="str">
        <f aca="false">IF(OR($G362="",$H362=""),"",$G362&amp;"["&amp;$H362&amp;"]")</f>
        <v/>
      </c>
      <c r="J362" s="23" t="str">
        <f aca="false">IFERROR(INDEX(Cablage!$A:$A,MATCH($I362,Cablage!$F:$F,0)),"")</f>
        <v/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customFormat="false" ht="15" hidden="false" customHeight="true" outlineLevel="0" collapsed="false">
      <c r="A363" s="22"/>
      <c r="B363" s="22"/>
      <c r="C363" s="4"/>
      <c r="D363" s="4"/>
      <c r="E363" s="4"/>
      <c r="F363" s="23" t="str">
        <f aca="false">IFERROR(IF(OR($B363="",$C363=""),"",INDEX('Cartes API'!$J:$J,MATCH($B363,'Cartes API'!$A:$A,0))&amp;INDEX('Cartes API'!$B:$B,MATCH($B363,'Cartes API'!$A:$A,0))&amp;"."&amp;INDEX('Cartes API'!$C:$C,MATCH($B363,'Cartes API'!$A:$A,0))&amp;"."&amp;$C363),"")</f>
        <v/>
      </c>
      <c r="G363" s="23" t="str">
        <f aca="false">IFERROR(IF($B363="","",INDEX('Cartes API'!$H:$H,MATCH($B363,'Cartes API'!$A:$A,0))),"")</f>
        <v/>
      </c>
      <c r="H363" s="4"/>
      <c r="I363" s="23" t="str">
        <f aca="false">IF(OR($G363="",$H363=""),"",$G363&amp;"["&amp;$H363&amp;"]")</f>
        <v/>
      </c>
      <c r="J363" s="23" t="str">
        <f aca="false">IFERROR(INDEX(Cablage!$A:$A,MATCH($I363,Cablage!$F:$F,0)),"")</f>
        <v/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customFormat="false" ht="15" hidden="false" customHeight="true" outlineLevel="0" collapsed="false">
      <c r="A364" s="22"/>
      <c r="B364" s="22"/>
      <c r="C364" s="4"/>
      <c r="D364" s="4"/>
      <c r="E364" s="4"/>
      <c r="F364" s="23" t="str">
        <f aca="false">IFERROR(IF(OR($B364="",$C364=""),"",INDEX('Cartes API'!$J:$J,MATCH($B364,'Cartes API'!$A:$A,0))&amp;INDEX('Cartes API'!$B:$B,MATCH($B364,'Cartes API'!$A:$A,0))&amp;"."&amp;INDEX('Cartes API'!$C:$C,MATCH($B364,'Cartes API'!$A:$A,0))&amp;"."&amp;$C364),"")</f>
        <v/>
      </c>
      <c r="G364" s="23" t="str">
        <f aca="false">IFERROR(IF($B364="","",INDEX('Cartes API'!$H:$H,MATCH($B364,'Cartes API'!$A:$A,0))),"")</f>
        <v/>
      </c>
      <c r="H364" s="4"/>
      <c r="I364" s="23" t="str">
        <f aca="false">IF(OR($G364="",$H364=""),"",$G364&amp;"["&amp;$H364&amp;"]")</f>
        <v/>
      </c>
      <c r="J364" s="23" t="str">
        <f aca="false">IFERROR(INDEX(Cablage!$A:$A,MATCH($I364,Cablage!$F:$F,0)),"")</f>
        <v/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customFormat="false" ht="15" hidden="false" customHeight="true" outlineLevel="0" collapsed="false">
      <c r="A365" s="22"/>
      <c r="B365" s="22"/>
      <c r="C365" s="4"/>
      <c r="D365" s="4"/>
      <c r="E365" s="4"/>
      <c r="F365" s="23" t="str">
        <f aca="false">IFERROR(IF(OR($B365="",$C365=""),"",INDEX('Cartes API'!$J:$J,MATCH($B365,'Cartes API'!$A:$A,0))&amp;INDEX('Cartes API'!$B:$B,MATCH($B365,'Cartes API'!$A:$A,0))&amp;"."&amp;INDEX('Cartes API'!$C:$C,MATCH($B365,'Cartes API'!$A:$A,0))&amp;"."&amp;$C365),"")</f>
        <v/>
      </c>
      <c r="G365" s="23" t="str">
        <f aca="false">IFERROR(IF($B365="","",INDEX('Cartes API'!$H:$H,MATCH($B365,'Cartes API'!$A:$A,0))),"")</f>
        <v/>
      </c>
      <c r="H365" s="4"/>
      <c r="I365" s="23" t="str">
        <f aca="false">IF(OR($G365="",$H365=""),"",$G365&amp;"["&amp;$H365&amp;"]")</f>
        <v/>
      </c>
      <c r="J365" s="23" t="str">
        <f aca="false">IFERROR(INDEX(Cablage!$A:$A,MATCH($I365,Cablage!$F:$F,0)),"")</f>
        <v/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customFormat="false" ht="15" hidden="false" customHeight="true" outlineLevel="0" collapsed="false">
      <c r="A366" s="22"/>
      <c r="B366" s="22"/>
      <c r="C366" s="4"/>
      <c r="D366" s="4"/>
      <c r="E366" s="4"/>
      <c r="F366" s="23" t="str">
        <f aca="false">IFERROR(IF(OR($B366="",$C366=""),"",INDEX('Cartes API'!$J:$J,MATCH($B366,'Cartes API'!$A:$A,0))&amp;INDEX('Cartes API'!$B:$B,MATCH($B366,'Cartes API'!$A:$A,0))&amp;"."&amp;INDEX('Cartes API'!$C:$C,MATCH($B366,'Cartes API'!$A:$A,0))&amp;"."&amp;$C366),"")</f>
        <v/>
      </c>
      <c r="G366" s="23" t="str">
        <f aca="false">IFERROR(IF($B366="","",INDEX('Cartes API'!$H:$H,MATCH($B366,'Cartes API'!$A:$A,0))),"")</f>
        <v/>
      </c>
      <c r="H366" s="4"/>
      <c r="I366" s="23" t="str">
        <f aca="false">IF(OR($G366="",$H366=""),"",$G366&amp;"["&amp;$H366&amp;"]")</f>
        <v/>
      </c>
      <c r="J366" s="23" t="str">
        <f aca="false">IFERROR(INDEX(Cablage!$A:$A,MATCH($I366,Cablage!$F:$F,0)),"")</f>
        <v/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customFormat="false" ht="15" hidden="false" customHeight="true" outlineLevel="0" collapsed="false">
      <c r="A367" s="22"/>
      <c r="B367" s="22"/>
      <c r="C367" s="4"/>
      <c r="D367" s="4"/>
      <c r="E367" s="4"/>
      <c r="F367" s="23" t="str">
        <f aca="false">IFERROR(IF(OR($B367="",$C367=""),"",INDEX('Cartes API'!$J:$J,MATCH($B367,'Cartes API'!$A:$A,0))&amp;INDEX('Cartes API'!$B:$B,MATCH($B367,'Cartes API'!$A:$A,0))&amp;"."&amp;INDEX('Cartes API'!$C:$C,MATCH($B367,'Cartes API'!$A:$A,0))&amp;"."&amp;$C367),"")</f>
        <v/>
      </c>
      <c r="G367" s="23" t="str">
        <f aca="false">IFERROR(IF($B367="","",INDEX('Cartes API'!$H:$H,MATCH($B367,'Cartes API'!$A:$A,0))),"")</f>
        <v/>
      </c>
      <c r="H367" s="4"/>
      <c r="I367" s="23" t="str">
        <f aca="false">IF(OR($G367="",$H367=""),"",$G367&amp;"["&amp;$H367&amp;"]")</f>
        <v/>
      </c>
      <c r="J367" s="23" t="str">
        <f aca="false">IFERROR(INDEX(Cablage!$A:$A,MATCH($I367,Cablage!$F:$F,0)),"")</f>
        <v/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customFormat="false" ht="15" hidden="false" customHeight="true" outlineLevel="0" collapsed="false">
      <c r="A368" s="22"/>
      <c r="B368" s="22"/>
      <c r="C368" s="4"/>
      <c r="D368" s="4"/>
      <c r="E368" s="4"/>
      <c r="F368" s="23" t="str">
        <f aca="false">IFERROR(IF(OR($B368="",$C368=""),"",INDEX('Cartes API'!$J:$J,MATCH($B368,'Cartes API'!$A:$A,0))&amp;INDEX('Cartes API'!$B:$B,MATCH($B368,'Cartes API'!$A:$A,0))&amp;"."&amp;INDEX('Cartes API'!$C:$C,MATCH($B368,'Cartes API'!$A:$A,0))&amp;"."&amp;$C368),"")</f>
        <v/>
      </c>
      <c r="G368" s="23" t="str">
        <f aca="false">IFERROR(IF($B368="","",INDEX('Cartes API'!$H:$H,MATCH($B368,'Cartes API'!$A:$A,0))),"")</f>
        <v/>
      </c>
      <c r="H368" s="4"/>
      <c r="I368" s="23" t="str">
        <f aca="false">IF(OR($G368="",$H368=""),"",$G368&amp;"["&amp;$H368&amp;"]")</f>
        <v/>
      </c>
      <c r="J368" s="23" t="str">
        <f aca="false">IFERROR(INDEX(Cablage!$A:$A,MATCH($I368,Cablage!$F:$F,0)),"")</f>
        <v/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customFormat="false" ht="15" hidden="false" customHeight="true" outlineLevel="0" collapsed="false">
      <c r="A369" s="22"/>
      <c r="B369" s="22"/>
      <c r="C369" s="4"/>
      <c r="D369" s="4"/>
      <c r="E369" s="4"/>
      <c r="F369" s="23" t="str">
        <f aca="false">IFERROR(IF(OR($B369="",$C369=""),"",INDEX('Cartes API'!$J:$J,MATCH($B369,'Cartes API'!$A:$A,0))&amp;INDEX('Cartes API'!$B:$B,MATCH($B369,'Cartes API'!$A:$A,0))&amp;"."&amp;INDEX('Cartes API'!$C:$C,MATCH($B369,'Cartes API'!$A:$A,0))&amp;"."&amp;$C369),"")</f>
        <v/>
      </c>
      <c r="G369" s="23" t="str">
        <f aca="false">IFERROR(IF($B369="","",INDEX('Cartes API'!$H:$H,MATCH($B369,'Cartes API'!$A:$A,0))),"")</f>
        <v/>
      </c>
      <c r="H369" s="4"/>
      <c r="I369" s="23" t="str">
        <f aca="false">IF(OR($G369="",$H369=""),"",$G369&amp;"["&amp;$H369&amp;"]")</f>
        <v/>
      </c>
      <c r="J369" s="23" t="str">
        <f aca="false">IFERROR(INDEX(Cablage!$A:$A,MATCH($I369,Cablage!$F:$F,0)),"")</f>
        <v/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customFormat="false" ht="15" hidden="false" customHeight="true" outlineLevel="0" collapsed="false">
      <c r="A370" s="22"/>
      <c r="B370" s="22"/>
      <c r="C370" s="4"/>
      <c r="D370" s="4"/>
      <c r="E370" s="4"/>
      <c r="F370" s="23" t="str">
        <f aca="false">IFERROR(IF(OR($B370="",$C370=""),"",INDEX('Cartes API'!$J:$J,MATCH($B370,'Cartes API'!$A:$A,0))&amp;INDEX('Cartes API'!$B:$B,MATCH($B370,'Cartes API'!$A:$A,0))&amp;"."&amp;INDEX('Cartes API'!$C:$C,MATCH($B370,'Cartes API'!$A:$A,0))&amp;"."&amp;$C370),"")</f>
        <v/>
      </c>
      <c r="G370" s="23" t="str">
        <f aca="false">IFERROR(IF($B370="","",INDEX('Cartes API'!$H:$H,MATCH($B370,'Cartes API'!$A:$A,0))),"")</f>
        <v/>
      </c>
      <c r="H370" s="4"/>
      <c r="I370" s="23" t="str">
        <f aca="false">IF(OR($G370="",$H370=""),"",$G370&amp;"["&amp;$H370&amp;"]")</f>
        <v/>
      </c>
      <c r="J370" s="23" t="str">
        <f aca="false">IFERROR(INDEX(Cablage!$A:$A,MATCH($I370,Cablage!$F:$F,0)),"")</f>
        <v/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customFormat="false" ht="15" hidden="false" customHeight="true" outlineLevel="0" collapsed="false">
      <c r="A371" s="22"/>
      <c r="B371" s="22"/>
      <c r="C371" s="4"/>
      <c r="D371" s="4"/>
      <c r="E371" s="4"/>
      <c r="F371" s="23" t="str">
        <f aca="false">IFERROR(IF(OR($B371="",$C371=""),"",INDEX('Cartes API'!$J:$J,MATCH($B371,'Cartes API'!$A:$A,0))&amp;INDEX('Cartes API'!$B:$B,MATCH($B371,'Cartes API'!$A:$A,0))&amp;"."&amp;INDEX('Cartes API'!$C:$C,MATCH($B371,'Cartes API'!$A:$A,0))&amp;"."&amp;$C371),"")</f>
        <v/>
      </c>
      <c r="G371" s="23" t="str">
        <f aca="false">IFERROR(IF($B371="","",INDEX('Cartes API'!$H:$H,MATCH($B371,'Cartes API'!$A:$A,0))),"")</f>
        <v/>
      </c>
      <c r="H371" s="4"/>
      <c r="I371" s="23" t="str">
        <f aca="false">IF(OR($G371="",$H371=""),"",$G371&amp;"["&amp;$H371&amp;"]")</f>
        <v/>
      </c>
      <c r="J371" s="23" t="str">
        <f aca="false">IFERROR(INDEX(Cablage!$A:$A,MATCH($I371,Cablage!$F:$F,0)),"")</f>
        <v/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customFormat="false" ht="15" hidden="false" customHeight="true" outlineLevel="0" collapsed="false">
      <c r="A372" s="22"/>
      <c r="B372" s="22"/>
      <c r="C372" s="4"/>
      <c r="D372" s="4"/>
      <c r="E372" s="4"/>
      <c r="F372" s="23" t="str">
        <f aca="false">IFERROR(IF(OR($B372="",$C372=""),"",INDEX('Cartes API'!$J:$J,MATCH($B372,'Cartes API'!$A:$A,0))&amp;INDEX('Cartes API'!$B:$B,MATCH($B372,'Cartes API'!$A:$A,0))&amp;"."&amp;INDEX('Cartes API'!$C:$C,MATCH($B372,'Cartes API'!$A:$A,0))&amp;"."&amp;$C372),"")</f>
        <v/>
      </c>
      <c r="G372" s="23" t="str">
        <f aca="false">IFERROR(IF($B372="","",INDEX('Cartes API'!$H:$H,MATCH($B372,'Cartes API'!$A:$A,0))),"")</f>
        <v/>
      </c>
      <c r="H372" s="4"/>
      <c r="I372" s="23" t="str">
        <f aca="false">IF(OR($G372="",$H372=""),"",$G372&amp;"["&amp;$H372&amp;"]")</f>
        <v/>
      </c>
      <c r="J372" s="23" t="str">
        <f aca="false">IFERROR(INDEX(Cablage!$A:$A,MATCH($I372,Cablage!$F:$F,0)),"")</f>
        <v/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customFormat="false" ht="15" hidden="false" customHeight="true" outlineLevel="0" collapsed="false">
      <c r="A373" s="22"/>
      <c r="B373" s="22"/>
      <c r="C373" s="4"/>
      <c r="D373" s="4"/>
      <c r="E373" s="4"/>
      <c r="F373" s="23" t="str">
        <f aca="false">IFERROR(IF(OR($B373="",$C373=""),"",INDEX('Cartes API'!$J:$J,MATCH($B373,'Cartes API'!$A:$A,0))&amp;INDEX('Cartes API'!$B:$B,MATCH($B373,'Cartes API'!$A:$A,0))&amp;"."&amp;INDEX('Cartes API'!$C:$C,MATCH($B373,'Cartes API'!$A:$A,0))&amp;"."&amp;$C373),"")</f>
        <v/>
      </c>
      <c r="G373" s="23" t="str">
        <f aca="false">IFERROR(IF($B373="","",INDEX('Cartes API'!$H:$H,MATCH($B373,'Cartes API'!$A:$A,0))),"")</f>
        <v/>
      </c>
      <c r="H373" s="4"/>
      <c r="I373" s="23" t="str">
        <f aca="false">IF(OR($G373="",$H373=""),"",$G373&amp;"["&amp;$H373&amp;"]")</f>
        <v/>
      </c>
      <c r="J373" s="23" t="str">
        <f aca="false">IFERROR(INDEX(Cablage!$A:$A,MATCH($I373,Cablage!$F:$F,0)),"")</f>
        <v/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customFormat="false" ht="15" hidden="false" customHeight="true" outlineLevel="0" collapsed="false">
      <c r="A374" s="22"/>
      <c r="B374" s="22"/>
      <c r="C374" s="4"/>
      <c r="D374" s="4"/>
      <c r="E374" s="4"/>
      <c r="F374" s="23" t="str">
        <f aca="false">IFERROR(IF(OR($B374="",$C374=""),"",INDEX('Cartes API'!$J:$J,MATCH($B374,'Cartes API'!$A:$A,0))&amp;INDEX('Cartes API'!$B:$B,MATCH($B374,'Cartes API'!$A:$A,0))&amp;"."&amp;INDEX('Cartes API'!$C:$C,MATCH($B374,'Cartes API'!$A:$A,0))&amp;"."&amp;$C374),"")</f>
        <v/>
      </c>
      <c r="G374" s="23" t="str">
        <f aca="false">IFERROR(IF($B374="","",INDEX('Cartes API'!$H:$H,MATCH($B374,'Cartes API'!$A:$A,0))),"")</f>
        <v/>
      </c>
      <c r="H374" s="4"/>
      <c r="I374" s="23" t="str">
        <f aca="false">IF(OR($G374="",$H374=""),"",$G374&amp;"["&amp;$H374&amp;"]")</f>
        <v/>
      </c>
      <c r="J374" s="23" t="str">
        <f aca="false">IFERROR(INDEX(Cablage!$A:$A,MATCH($I374,Cablage!$F:$F,0)),"")</f>
        <v/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customFormat="false" ht="15" hidden="false" customHeight="true" outlineLevel="0" collapsed="false">
      <c r="A375" s="22"/>
      <c r="B375" s="22"/>
      <c r="C375" s="4"/>
      <c r="D375" s="4"/>
      <c r="E375" s="4"/>
      <c r="F375" s="23" t="str">
        <f aca="false">IFERROR(IF(OR($B375="",$C375=""),"",INDEX('Cartes API'!$J:$J,MATCH($B375,'Cartes API'!$A:$A,0))&amp;INDEX('Cartes API'!$B:$B,MATCH($B375,'Cartes API'!$A:$A,0))&amp;"."&amp;INDEX('Cartes API'!$C:$C,MATCH($B375,'Cartes API'!$A:$A,0))&amp;"."&amp;$C375),"")</f>
        <v/>
      </c>
      <c r="G375" s="23" t="str">
        <f aca="false">IFERROR(IF($B375="","",INDEX('Cartes API'!$H:$H,MATCH($B375,'Cartes API'!$A:$A,0))),"")</f>
        <v/>
      </c>
      <c r="H375" s="4"/>
      <c r="I375" s="23" t="str">
        <f aca="false">IF(OR($G375="",$H375=""),"",$G375&amp;"["&amp;$H375&amp;"]")</f>
        <v/>
      </c>
      <c r="J375" s="23" t="str">
        <f aca="false">IFERROR(INDEX(Cablage!$A:$A,MATCH($I375,Cablage!$F:$F,0)),"")</f>
        <v/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customFormat="false" ht="15" hidden="false" customHeight="true" outlineLevel="0" collapsed="false">
      <c r="A376" s="22"/>
      <c r="B376" s="22"/>
      <c r="C376" s="4"/>
      <c r="D376" s="4"/>
      <c r="E376" s="4"/>
      <c r="F376" s="23" t="str">
        <f aca="false">IFERROR(IF(OR($B376="",$C376=""),"",INDEX('Cartes API'!$J:$J,MATCH($B376,'Cartes API'!$A:$A,0))&amp;INDEX('Cartes API'!$B:$B,MATCH($B376,'Cartes API'!$A:$A,0))&amp;"."&amp;INDEX('Cartes API'!$C:$C,MATCH($B376,'Cartes API'!$A:$A,0))&amp;"."&amp;$C376),"")</f>
        <v/>
      </c>
      <c r="G376" s="23" t="str">
        <f aca="false">IFERROR(IF($B376="","",INDEX('Cartes API'!$H:$H,MATCH($B376,'Cartes API'!$A:$A,0))),"")</f>
        <v/>
      </c>
      <c r="H376" s="4"/>
      <c r="I376" s="23" t="str">
        <f aca="false">IF(OR($G376="",$H376=""),"",$G376&amp;"["&amp;$H376&amp;"]")</f>
        <v/>
      </c>
      <c r="J376" s="23" t="str">
        <f aca="false">IFERROR(INDEX(Cablage!$A:$A,MATCH($I376,Cablage!$F:$F,0)),"")</f>
        <v/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customFormat="false" ht="15" hidden="false" customHeight="true" outlineLevel="0" collapsed="false">
      <c r="A377" s="22"/>
      <c r="B377" s="22"/>
      <c r="C377" s="4"/>
      <c r="D377" s="4"/>
      <c r="E377" s="4"/>
      <c r="F377" s="23" t="str">
        <f aca="false">IFERROR(IF(OR($B377="",$C377=""),"",INDEX('Cartes API'!$J:$J,MATCH($B377,'Cartes API'!$A:$A,0))&amp;INDEX('Cartes API'!$B:$B,MATCH($B377,'Cartes API'!$A:$A,0))&amp;"."&amp;INDEX('Cartes API'!$C:$C,MATCH($B377,'Cartes API'!$A:$A,0))&amp;"."&amp;$C377),"")</f>
        <v/>
      </c>
      <c r="G377" s="23" t="str">
        <f aca="false">IFERROR(IF($B377="","",INDEX('Cartes API'!$H:$H,MATCH($B377,'Cartes API'!$A:$A,0))),"")</f>
        <v/>
      </c>
      <c r="H377" s="4"/>
      <c r="I377" s="23" t="str">
        <f aca="false">IF(OR($G377="",$H377=""),"",$G377&amp;"["&amp;$H377&amp;"]")</f>
        <v/>
      </c>
      <c r="J377" s="23" t="str">
        <f aca="false">IFERROR(INDEX(Cablage!$A:$A,MATCH($I377,Cablage!$F:$F,0)),"")</f>
        <v/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customFormat="false" ht="15" hidden="false" customHeight="true" outlineLevel="0" collapsed="false">
      <c r="A378" s="22"/>
      <c r="B378" s="22"/>
      <c r="C378" s="4"/>
      <c r="D378" s="4"/>
      <c r="E378" s="4"/>
      <c r="F378" s="23" t="str">
        <f aca="false">IFERROR(IF(OR($B378="",$C378=""),"",INDEX('Cartes API'!$J:$J,MATCH($B378,'Cartes API'!$A:$A,0))&amp;INDEX('Cartes API'!$B:$B,MATCH($B378,'Cartes API'!$A:$A,0))&amp;"."&amp;INDEX('Cartes API'!$C:$C,MATCH($B378,'Cartes API'!$A:$A,0))&amp;"."&amp;$C378),"")</f>
        <v/>
      </c>
      <c r="G378" s="23" t="str">
        <f aca="false">IFERROR(IF($B378="","",INDEX('Cartes API'!$H:$H,MATCH($B378,'Cartes API'!$A:$A,0))),"")</f>
        <v/>
      </c>
      <c r="H378" s="4"/>
      <c r="I378" s="23" t="str">
        <f aca="false">IF(OR($G378="",$H378=""),"",$G378&amp;"["&amp;$H378&amp;"]")</f>
        <v/>
      </c>
      <c r="J378" s="23" t="str">
        <f aca="false">IFERROR(INDEX(Cablage!$A:$A,MATCH($I378,Cablage!$F:$F,0)),"")</f>
        <v/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customFormat="false" ht="15" hidden="false" customHeight="true" outlineLevel="0" collapsed="false">
      <c r="A379" s="22"/>
      <c r="B379" s="22"/>
      <c r="C379" s="4"/>
      <c r="D379" s="4"/>
      <c r="E379" s="4"/>
      <c r="F379" s="23" t="str">
        <f aca="false">IFERROR(IF(OR($B379="",$C379=""),"",INDEX('Cartes API'!$J:$J,MATCH($B379,'Cartes API'!$A:$A,0))&amp;INDEX('Cartes API'!$B:$B,MATCH($B379,'Cartes API'!$A:$A,0))&amp;"."&amp;INDEX('Cartes API'!$C:$C,MATCH($B379,'Cartes API'!$A:$A,0))&amp;"."&amp;$C379),"")</f>
        <v/>
      </c>
      <c r="G379" s="23" t="str">
        <f aca="false">IFERROR(IF($B379="","",INDEX('Cartes API'!$H:$H,MATCH($B379,'Cartes API'!$A:$A,0))),"")</f>
        <v/>
      </c>
      <c r="H379" s="4"/>
      <c r="I379" s="23" t="str">
        <f aca="false">IF(OR($G379="",$H379=""),"",$G379&amp;"["&amp;$H379&amp;"]")</f>
        <v/>
      </c>
      <c r="J379" s="23" t="str">
        <f aca="false">IFERROR(INDEX(Cablage!$A:$A,MATCH($I379,Cablage!$F:$F,0)),"")</f>
        <v/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customFormat="false" ht="15" hidden="false" customHeight="true" outlineLevel="0" collapsed="false">
      <c r="A380" s="22"/>
      <c r="B380" s="22"/>
      <c r="C380" s="4"/>
      <c r="D380" s="4"/>
      <c r="E380" s="4"/>
      <c r="F380" s="23" t="str">
        <f aca="false">IFERROR(IF(OR($B380="",$C380=""),"",INDEX('Cartes API'!$J:$J,MATCH($B380,'Cartes API'!$A:$A,0))&amp;INDEX('Cartes API'!$B:$B,MATCH($B380,'Cartes API'!$A:$A,0))&amp;"."&amp;INDEX('Cartes API'!$C:$C,MATCH($B380,'Cartes API'!$A:$A,0))&amp;"."&amp;$C380),"")</f>
        <v/>
      </c>
      <c r="G380" s="23" t="str">
        <f aca="false">IFERROR(IF($B380="","",INDEX('Cartes API'!$H:$H,MATCH($B380,'Cartes API'!$A:$A,0))),"")</f>
        <v/>
      </c>
      <c r="H380" s="4"/>
      <c r="I380" s="23" t="str">
        <f aca="false">IF(OR($G380="",$H380=""),"",$G380&amp;"["&amp;$H380&amp;"]")</f>
        <v/>
      </c>
      <c r="J380" s="23" t="str">
        <f aca="false">IFERROR(INDEX(Cablage!$A:$A,MATCH($I380,Cablage!$F:$F,0)),"")</f>
        <v/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customFormat="false" ht="15" hidden="false" customHeight="true" outlineLevel="0" collapsed="false">
      <c r="A381" s="22"/>
      <c r="B381" s="22"/>
      <c r="C381" s="4"/>
      <c r="D381" s="4"/>
      <c r="E381" s="4"/>
      <c r="F381" s="23" t="str">
        <f aca="false">IFERROR(IF(OR($B381="",$C381=""),"",INDEX('Cartes API'!$J:$J,MATCH($B381,'Cartes API'!$A:$A,0))&amp;INDEX('Cartes API'!$B:$B,MATCH($B381,'Cartes API'!$A:$A,0))&amp;"."&amp;INDEX('Cartes API'!$C:$C,MATCH($B381,'Cartes API'!$A:$A,0))&amp;"."&amp;$C381),"")</f>
        <v/>
      </c>
      <c r="G381" s="23" t="str">
        <f aca="false">IFERROR(IF($B381="","",INDEX('Cartes API'!$H:$H,MATCH($B381,'Cartes API'!$A:$A,0))),"")</f>
        <v/>
      </c>
      <c r="H381" s="4"/>
      <c r="I381" s="23" t="str">
        <f aca="false">IF(OR($G381="",$H381=""),"",$G381&amp;"["&amp;$H381&amp;"]")</f>
        <v/>
      </c>
      <c r="J381" s="23" t="str">
        <f aca="false">IFERROR(INDEX(Cablage!$A:$A,MATCH($I381,Cablage!$F:$F,0)),"")</f>
        <v/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customFormat="false" ht="15" hidden="false" customHeight="true" outlineLevel="0" collapsed="false">
      <c r="A382" s="22"/>
      <c r="B382" s="22"/>
      <c r="C382" s="4"/>
      <c r="D382" s="4"/>
      <c r="E382" s="4"/>
      <c r="F382" s="23" t="str">
        <f aca="false">IFERROR(IF(OR($B382="",$C382=""),"",INDEX('Cartes API'!$J:$J,MATCH($B382,'Cartes API'!$A:$A,0))&amp;INDEX('Cartes API'!$B:$B,MATCH($B382,'Cartes API'!$A:$A,0))&amp;"."&amp;INDEX('Cartes API'!$C:$C,MATCH($B382,'Cartes API'!$A:$A,0))&amp;"."&amp;$C382),"")</f>
        <v/>
      </c>
      <c r="G382" s="23" t="str">
        <f aca="false">IFERROR(IF($B382="","",INDEX('Cartes API'!$H:$H,MATCH($B382,'Cartes API'!$A:$A,0))),"")</f>
        <v/>
      </c>
      <c r="H382" s="4"/>
      <c r="I382" s="23" t="str">
        <f aca="false">IF(OR($G382="",$H382=""),"",$G382&amp;"["&amp;$H382&amp;"]")</f>
        <v/>
      </c>
      <c r="J382" s="23" t="str">
        <f aca="false">IFERROR(INDEX(Cablage!$A:$A,MATCH($I382,Cablage!$F:$F,0)),"")</f>
        <v/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customFormat="false" ht="15" hidden="false" customHeight="true" outlineLevel="0" collapsed="false">
      <c r="A383" s="22"/>
      <c r="B383" s="22"/>
      <c r="C383" s="4"/>
      <c r="D383" s="4"/>
      <c r="E383" s="4"/>
      <c r="F383" s="23" t="str">
        <f aca="false">IFERROR(IF(OR($B383="",$C383=""),"",INDEX('Cartes API'!$J:$J,MATCH($B383,'Cartes API'!$A:$A,0))&amp;INDEX('Cartes API'!$B:$B,MATCH($B383,'Cartes API'!$A:$A,0))&amp;"."&amp;INDEX('Cartes API'!$C:$C,MATCH($B383,'Cartes API'!$A:$A,0))&amp;"."&amp;$C383),"")</f>
        <v/>
      </c>
      <c r="G383" s="23" t="str">
        <f aca="false">IFERROR(IF($B383="","",INDEX('Cartes API'!$H:$H,MATCH($B383,'Cartes API'!$A:$A,0))),"")</f>
        <v/>
      </c>
      <c r="H383" s="4"/>
      <c r="I383" s="23" t="str">
        <f aca="false">IF(OR($G383="",$H383=""),"",$G383&amp;"["&amp;$H383&amp;"]")</f>
        <v/>
      </c>
      <c r="J383" s="23" t="str">
        <f aca="false">IFERROR(INDEX(Cablage!$A:$A,MATCH($I383,Cablage!$F:$F,0)),"")</f>
        <v/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customFormat="false" ht="15" hidden="false" customHeight="true" outlineLevel="0" collapsed="false">
      <c r="A384" s="22"/>
      <c r="B384" s="22"/>
      <c r="C384" s="4"/>
      <c r="D384" s="4"/>
      <c r="E384" s="4"/>
      <c r="F384" s="23" t="str">
        <f aca="false">IFERROR(IF(OR($B384="",$C384=""),"",INDEX('Cartes API'!$J:$J,MATCH($B384,'Cartes API'!$A:$A,0))&amp;INDEX('Cartes API'!$B:$B,MATCH($B384,'Cartes API'!$A:$A,0))&amp;"."&amp;INDEX('Cartes API'!$C:$C,MATCH($B384,'Cartes API'!$A:$A,0))&amp;"."&amp;$C384),"")</f>
        <v/>
      </c>
      <c r="G384" s="23" t="str">
        <f aca="false">IFERROR(IF($B384="","",INDEX('Cartes API'!$H:$H,MATCH($B384,'Cartes API'!$A:$A,0))),"")</f>
        <v/>
      </c>
      <c r="H384" s="4"/>
      <c r="I384" s="23" t="str">
        <f aca="false">IF(OR($G384="",$H384=""),"",$G384&amp;"["&amp;$H384&amp;"]")</f>
        <v/>
      </c>
      <c r="J384" s="23" t="str">
        <f aca="false">IFERROR(INDEX(Cablage!$A:$A,MATCH($I384,Cablage!$F:$F,0)),"")</f>
        <v/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customFormat="false" ht="15" hidden="false" customHeight="true" outlineLevel="0" collapsed="false">
      <c r="A385" s="22"/>
      <c r="B385" s="22"/>
      <c r="C385" s="4"/>
      <c r="D385" s="4"/>
      <c r="E385" s="4"/>
      <c r="F385" s="23" t="str">
        <f aca="false">IFERROR(IF(OR($B385="",$C385=""),"",INDEX('Cartes API'!$J:$J,MATCH($B385,'Cartes API'!$A:$A,0))&amp;INDEX('Cartes API'!$B:$B,MATCH($B385,'Cartes API'!$A:$A,0))&amp;"."&amp;INDEX('Cartes API'!$C:$C,MATCH($B385,'Cartes API'!$A:$A,0))&amp;"."&amp;$C385),"")</f>
        <v/>
      </c>
      <c r="G385" s="23" t="str">
        <f aca="false">IFERROR(IF($B385="","",INDEX('Cartes API'!$H:$H,MATCH($B385,'Cartes API'!$A:$A,0))),"")</f>
        <v/>
      </c>
      <c r="H385" s="4"/>
      <c r="I385" s="23" t="str">
        <f aca="false">IF(OR($G385="",$H385=""),"",$G385&amp;"["&amp;$H385&amp;"]")</f>
        <v/>
      </c>
      <c r="J385" s="23" t="str">
        <f aca="false">IFERROR(INDEX(Cablage!$A:$A,MATCH($I385,Cablage!$F:$F,0)),"")</f>
        <v/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customFormat="false" ht="15" hidden="false" customHeight="true" outlineLevel="0" collapsed="false">
      <c r="A386" s="22"/>
      <c r="B386" s="22"/>
      <c r="C386" s="4"/>
      <c r="D386" s="4"/>
      <c r="E386" s="4"/>
      <c r="F386" s="23" t="str">
        <f aca="false">IFERROR(IF(OR($B386="",$C386=""),"",INDEX('Cartes API'!$J:$J,MATCH($B386,'Cartes API'!$A:$A,0))&amp;INDEX('Cartes API'!$B:$B,MATCH($B386,'Cartes API'!$A:$A,0))&amp;"."&amp;INDEX('Cartes API'!$C:$C,MATCH($B386,'Cartes API'!$A:$A,0))&amp;"."&amp;$C386),"")</f>
        <v/>
      </c>
      <c r="G386" s="23" t="str">
        <f aca="false">IFERROR(IF($B386="","",INDEX('Cartes API'!$H:$H,MATCH($B386,'Cartes API'!$A:$A,0))),"")</f>
        <v/>
      </c>
      <c r="H386" s="4"/>
      <c r="I386" s="23" t="str">
        <f aca="false">IF(OR($G386="",$H386=""),"",$G386&amp;"["&amp;$H386&amp;"]")</f>
        <v/>
      </c>
      <c r="J386" s="23" t="str">
        <f aca="false">IFERROR(INDEX(Cablage!$A:$A,MATCH($I386,Cablage!$F:$F,0)),"")</f>
        <v/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customFormat="false" ht="15" hidden="false" customHeight="true" outlineLevel="0" collapsed="false">
      <c r="A387" s="22"/>
      <c r="B387" s="22"/>
      <c r="C387" s="4"/>
      <c r="D387" s="4"/>
      <c r="E387" s="4"/>
      <c r="F387" s="23" t="str">
        <f aca="false">IFERROR(IF(OR($B387="",$C387=""),"",INDEX('Cartes API'!$J:$J,MATCH($B387,'Cartes API'!$A:$A,0))&amp;INDEX('Cartes API'!$B:$B,MATCH($B387,'Cartes API'!$A:$A,0))&amp;"."&amp;INDEX('Cartes API'!$C:$C,MATCH($B387,'Cartes API'!$A:$A,0))&amp;"."&amp;$C387),"")</f>
        <v/>
      </c>
      <c r="G387" s="23" t="str">
        <f aca="false">IFERROR(IF($B387="","",INDEX('Cartes API'!$H:$H,MATCH($B387,'Cartes API'!$A:$A,0))),"")</f>
        <v/>
      </c>
      <c r="H387" s="4"/>
      <c r="I387" s="23" t="str">
        <f aca="false">IF(OR($G387="",$H387=""),"",$G387&amp;"["&amp;$H387&amp;"]")</f>
        <v/>
      </c>
      <c r="J387" s="23" t="str">
        <f aca="false">IFERROR(INDEX(Cablage!$A:$A,MATCH($I387,Cablage!$F:$F,0)),"")</f>
        <v/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customFormat="false" ht="15" hidden="false" customHeight="true" outlineLevel="0" collapsed="false">
      <c r="A388" s="22"/>
      <c r="B388" s="22"/>
      <c r="C388" s="4"/>
      <c r="D388" s="4"/>
      <c r="E388" s="4"/>
      <c r="F388" s="23" t="str">
        <f aca="false">IFERROR(IF(OR($B388="",$C388=""),"",INDEX('Cartes API'!$J:$J,MATCH($B388,'Cartes API'!$A:$A,0))&amp;INDEX('Cartes API'!$B:$B,MATCH($B388,'Cartes API'!$A:$A,0))&amp;"."&amp;INDEX('Cartes API'!$C:$C,MATCH($B388,'Cartes API'!$A:$A,0))&amp;"."&amp;$C388),"")</f>
        <v/>
      </c>
      <c r="G388" s="23" t="str">
        <f aca="false">IFERROR(IF($B388="","",INDEX('Cartes API'!$H:$H,MATCH($B388,'Cartes API'!$A:$A,0))),"")</f>
        <v/>
      </c>
      <c r="H388" s="4"/>
      <c r="I388" s="23" t="str">
        <f aca="false">IF(OR($G388="",$H388=""),"",$G388&amp;"["&amp;$H388&amp;"]")</f>
        <v/>
      </c>
      <c r="J388" s="23" t="str">
        <f aca="false">IFERROR(INDEX(Cablage!$A:$A,MATCH($I388,Cablage!$F:$F,0)),"")</f>
        <v/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customFormat="false" ht="15" hidden="false" customHeight="true" outlineLevel="0" collapsed="false">
      <c r="A389" s="22"/>
      <c r="B389" s="22"/>
      <c r="C389" s="4"/>
      <c r="D389" s="4"/>
      <c r="E389" s="4"/>
      <c r="F389" s="23" t="str">
        <f aca="false">IFERROR(IF(OR($B389="",$C389=""),"",INDEX('Cartes API'!$J:$J,MATCH($B389,'Cartes API'!$A:$A,0))&amp;INDEX('Cartes API'!$B:$B,MATCH($B389,'Cartes API'!$A:$A,0))&amp;"."&amp;INDEX('Cartes API'!$C:$C,MATCH($B389,'Cartes API'!$A:$A,0))&amp;"."&amp;$C389),"")</f>
        <v/>
      </c>
      <c r="G389" s="23" t="str">
        <f aca="false">IFERROR(IF($B389="","",INDEX('Cartes API'!$H:$H,MATCH($B389,'Cartes API'!$A:$A,0))),"")</f>
        <v/>
      </c>
      <c r="H389" s="4"/>
      <c r="I389" s="23" t="str">
        <f aca="false">IF(OR($G389="",$H389=""),"",$G389&amp;"["&amp;$H389&amp;"]")</f>
        <v/>
      </c>
      <c r="J389" s="23" t="str">
        <f aca="false">IFERROR(INDEX(Cablage!$A:$A,MATCH($I389,Cablage!$F:$F,0)),"")</f>
        <v/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customFormat="false" ht="15" hidden="false" customHeight="true" outlineLevel="0" collapsed="false">
      <c r="A390" s="22"/>
      <c r="B390" s="22"/>
      <c r="C390" s="4"/>
      <c r="D390" s="4"/>
      <c r="E390" s="4"/>
      <c r="F390" s="23" t="str">
        <f aca="false">IFERROR(IF(OR($B390="",$C390=""),"",INDEX('Cartes API'!$J:$J,MATCH($B390,'Cartes API'!$A:$A,0))&amp;INDEX('Cartes API'!$B:$B,MATCH($B390,'Cartes API'!$A:$A,0))&amp;"."&amp;INDEX('Cartes API'!$C:$C,MATCH($B390,'Cartes API'!$A:$A,0))&amp;"."&amp;$C390),"")</f>
        <v/>
      </c>
      <c r="G390" s="23" t="str">
        <f aca="false">IFERROR(IF($B390="","",INDEX('Cartes API'!$H:$H,MATCH($B390,'Cartes API'!$A:$A,0))),"")</f>
        <v/>
      </c>
      <c r="H390" s="4"/>
      <c r="I390" s="23" t="str">
        <f aca="false">IF(OR($G390="",$H390=""),"",$G390&amp;"["&amp;$H390&amp;"]")</f>
        <v/>
      </c>
      <c r="J390" s="23" t="str">
        <f aca="false">IFERROR(INDEX(Cablage!$A:$A,MATCH($I390,Cablage!$F:$F,0)),"")</f>
        <v/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customFormat="false" ht="15" hidden="false" customHeight="true" outlineLevel="0" collapsed="false">
      <c r="A391" s="22"/>
      <c r="B391" s="22"/>
      <c r="C391" s="4"/>
      <c r="D391" s="4"/>
      <c r="E391" s="4"/>
      <c r="F391" s="23" t="str">
        <f aca="false">IFERROR(IF(OR($B391="",$C391=""),"",INDEX('Cartes API'!$J:$J,MATCH($B391,'Cartes API'!$A:$A,0))&amp;INDEX('Cartes API'!$B:$B,MATCH($B391,'Cartes API'!$A:$A,0))&amp;"."&amp;INDEX('Cartes API'!$C:$C,MATCH($B391,'Cartes API'!$A:$A,0))&amp;"."&amp;$C391),"")</f>
        <v/>
      </c>
      <c r="G391" s="23" t="str">
        <f aca="false">IFERROR(IF($B391="","",INDEX('Cartes API'!$H:$H,MATCH($B391,'Cartes API'!$A:$A,0))),"")</f>
        <v/>
      </c>
      <c r="H391" s="4"/>
      <c r="I391" s="23" t="str">
        <f aca="false">IF(OR($G391="",$H391=""),"",$G391&amp;"["&amp;$H391&amp;"]")</f>
        <v/>
      </c>
      <c r="J391" s="23" t="str">
        <f aca="false">IFERROR(INDEX(Cablage!$A:$A,MATCH($I391,Cablage!$F:$F,0)),"")</f>
        <v/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customFormat="false" ht="15" hidden="false" customHeight="true" outlineLevel="0" collapsed="false">
      <c r="A392" s="22"/>
      <c r="B392" s="22"/>
      <c r="C392" s="4"/>
      <c r="D392" s="4"/>
      <c r="E392" s="4"/>
      <c r="F392" s="23" t="str">
        <f aca="false">IFERROR(IF(OR($B392="",$C392=""),"",INDEX('Cartes API'!$J:$J,MATCH($B392,'Cartes API'!$A:$A,0))&amp;INDEX('Cartes API'!$B:$B,MATCH($B392,'Cartes API'!$A:$A,0))&amp;"."&amp;INDEX('Cartes API'!$C:$C,MATCH($B392,'Cartes API'!$A:$A,0))&amp;"."&amp;$C392),"")</f>
        <v/>
      </c>
      <c r="G392" s="23" t="str">
        <f aca="false">IFERROR(IF($B392="","",INDEX('Cartes API'!$H:$H,MATCH($B392,'Cartes API'!$A:$A,0))),"")</f>
        <v/>
      </c>
      <c r="H392" s="4"/>
      <c r="I392" s="23" t="str">
        <f aca="false">IF(OR($G392="",$H392=""),"",$G392&amp;"["&amp;$H392&amp;"]")</f>
        <v/>
      </c>
      <c r="J392" s="23" t="str">
        <f aca="false">IFERROR(INDEX(Cablage!$A:$A,MATCH($I392,Cablage!$F:$F,0)),"")</f>
        <v/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customFormat="false" ht="15" hidden="false" customHeight="true" outlineLevel="0" collapsed="false">
      <c r="A393" s="22"/>
      <c r="B393" s="22"/>
      <c r="C393" s="4"/>
      <c r="D393" s="4"/>
      <c r="E393" s="4"/>
      <c r="F393" s="23" t="str">
        <f aca="false">IFERROR(IF(OR($B393="",$C393=""),"",INDEX('Cartes API'!$J:$J,MATCH($B393,'Cartes API'!$A:$A,0))&amp;INDEX('Cartes API'!$B:$B,MATCH($B393,'Cartes API'!$A:$A,0))&amp;"."&amp;INDEX('Cartes API'!$C:$C,MATCH($B393,'Cartes API'!$A:$A,0))&amp;"."&amp;$C393),"")</f>
        <v/>
      </c>
      <c r="G393" s="23" t="str">
        <f aca="false">IFERROR(IF($B393="","",INDEX('Cartes API'!$H:$H,MATCH($B393,'Cartes API'!$A:$A,0))),"")</f>
        <v/>
      </c>
      <c r="H393" s="4"/>
      <c r="I393" s="23" t="str">
        <f aca="false">IF(OR($G393="",$H393=""),"",$G393&amp;"["&amp;$H393&amp;"]")</f>
        <v/>
      </c>
      <c r="J393" s="23" t="str">
        <f aca="false">IFERROR(INDEX(Cablage!$A:$A,MATCH($I393,Cablage!$F:$F,0)),"")</f>
        <v/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customFormat="false" ht="15" hidden="false" customHeight="true" outlineLevel="0" collapsed="false">
      <c r="A394" s="22"/>
      <c r="B394" s="22"/>
      <c r="C394" s="4"/>
      <c r="D394" s="4"/>
      <c r="E394" s="4"/>
      <c r="F394" s="23" t="str">
        <f aca="false">IFERROR(IF(OR($B394="",$C394=""),"",INDEX('Cartes API'!$J:$J,MATCH($B394,'Cartes API'!$A:$A,0))&amp;INDEX('Cartes API'!$B:$B,MATCH($B394,'Cartes API'!$A:$A,0))&amp;"."&amp;INDEX('Cartes API'!$C:$C,MATCH($B394,'Cartes API'!$A:$A,0))&amp;"."&amp;$C394),"")</f>
        <v/>
      </c>
      <c r="G394" s="23" t="str">
        <f aca="false">IFERROR(IF($B394="","",INDEX('Cartes API'!$H:$H,MATCH($B394,'Cartes API'!$A:$A,0))),"")</f>
        <v/>
      </c>
      <c r="H394" s="4"/>
      <c r="I394" s="23" t="str">
        <f aca="false">IF(OR($G394="",$H394=""),"",$G394&amp;"["&amp;$H394&amp;"]")</f>
        <v/>
      </c>
      <c r="J394" s="23" t="str">
        <f aca="false">IFERROR(INDEX(Cablage!$A:$A,MATCH($I394,Cablage!$F:$F,0)),"")</f>
        <v/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customFormat="false" ht="15" hidden="false" customHeight="true" outlineLevel="0" collapsed="false">
      <c r="A395" s="22"/>
      <c r="B395" s="22"/>
      <c r="C395" s="4"/>
      <c r="D395" s="4"/>
      <c r="E395" s="4"/>
      <c r="F395" s="23" t="str">
        <f aca="false">IFERROR(IF(OR($B395="",$C395=""),"",INDEX('Cartes API'!$J:$J,MATCH($B395,'Cartes API'!$A:$A,0))&amp;INDEX('Cartes API'!$B:$B,MATCH($B395,'Cartes API'!$A:$A,0))&amp;"."&amp;INDEX('Cartes API'!$C:$C,MATCH($B395,'Cartes API'!$A:$A,0))&amp;"."&amp;$C395),"")</f>
        <v/>
      </c>
      <c r="G395" s="23" t="str">
        <f aca="false">IFERROR(IF($B395="","",INDEX('Cartes API'!$H:$H,MATCH($B395,'Cartes API'!$A:$A,0))),"")</f>
        <v/>
      </c>
      <c r="H395" s="4"/>
      <c r="I395" s="23" t="str">
        <f aca="false">IF(OR($G395="",$H395=""),"",$G395&amp;"["&amp;$H395&amp;"]")</f>
        <v/>
      </c>
      <c r="J395" s="23" t="str">
        <f aca="false">IFERROR(INDEX(Cablage!$A:$A,MATCH($I395,Cablage!$F:$F,0)),"")</f>
        <v/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customFormat="false" ht="15" hidden="false" customHeight="true" outlineLevel="0" collapsed="false">
      <c r="A396" s="22"/>
      <c r="B396" s="22"/>
      <c r="C396" s="4"/>
      <c r="D396" s="4"/>
      <c r="E396" s="4"/>
      <c r="F396" s="23" t="str">
        <f aca="false">IFERROR(IF(OR($B396="",$C396=""),"",INDEX('Cartes API'!$J:$J,MATCH($B396,'Cartes API'!$A:$A,0))&amp;INDEX('Cartes API'!$B:$B,MATCH($B396,'Cartes API'!$A:$A,0))&amp;"."&amp;INDEX('Cartes API'!$C:$C,MATCH($B396,'Cartes API'!$A:$A,0))&amp;"."&amp;$C396),"")</f>
        <v/>
      </c>
      <c r="G396" s="23" t="str">
        <f aca="false">IFERROR(IF($B396="","",INDEX('Cartes API'!$H:$H,MATCH($B396,'Cartes API'!$A:$A,0))),"")</f>
        <v/>
      </c>
      <c r="H396" s="4"/>
      <c r="I396" s="23" t="str">
        <f aca="false">IF(OR($G396="",$H396=""),"",$G396&amp;"["&amp;$H396&amp;"]")</f>
        <v/>
      </c>
      <c r="J396" s="23" t="str">
        <f aca="false">IFERROR(INDEX(Cablage!$A:$A,MATCH($I396,Cablage!$F:$F,0)),"")</f>
        <v/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customFormat="false" ht="15" hidden="false" customHeight="true" outlineLevel="0" collapsed="false">
      <c r="A397" s="22"/>
      <c r="B397" s="22"/>
      <c r="C397" s="4"/>
      <c r="D397" s="4"/>
      <c r="E397" s="4"/>
      <c r="F397" s="23" t="str">
        <f aca="false">IFERROR(IF(OR($B397="",$C397=""),"",INDEX('Cartes API'!$J:$J,MATCH($B397,'Cartes API'!$A:$A,0))&amp;INDEX('Cartes API'!$B:$B,MATCH($B397,'Cartes API'!$A:$A,0))&amp;"."&amp;INDEX('Cartes API'!$C:$C,MATCH($B397,'Cartes API'!$A:$A,0))&amp;"."&amp;$C397),"")</f>
        <v/>
      </c>
      <c r="G397" s="23" t="str">
        <f aca="false">IFERROR(IF($B397="","",INDEX('Cartes API'!$H:$H,MATCH($B397,'Cartes API'!$A:$A,0))),"")</f>
        <v/>
      </c>
      <c r="H397" s="4"/>
      <c r="I397" s="23" t="str">
        <f aca="false">IF(OR($G397="",$H397=""),"",$G397&amp;"["&amp;$H397&amp;"]")</f>
        <v/>
      </c>
      <c r="J397" s="23" t="str">
        <f aca="false">IFERROR(INDEX(Cablage!$A:$A,MATCH($I397,Cablage!$F:$F,0)),"")</f>
        <v/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customFormat="false" ht="15" hidden="false" customHeight="true" outlineLevel="0" collapsed="false">
      <c r="A398" s="22"/>
      <c r="B398" s="22"/>
      <c r="C398" s="4"/>
      <c r="D398" s="4"/>
      <c r="E398" s="4"/>
      <c r="F398" s="23" t="str">
        <f aca="false">IFERROR(IF(OR($B398="",$C398=""),"",INDEX('Cartes API'!$J:$J,MATCH($B398,'Cartes API'!$A:$A,0))&amp;INDEX('Cartes API'!$B:$B,MATCH($B398,'Cartes API'!$A:$A,0))&amp;"."&amp;INDEX('Cartes API'!$C:$C,MATCH($B398,'Cartes API'!$A:$A,0))&amp;"."&amp;$C398),"")</f>
        <v/>
      </c>
      <c r="G398" s="23" t="str">
        <f aca="false">IFERROR(IF($B398="","",INDEX('Cartes API'!$H:$H,MATCH($B398,'Cartes API'!$A:$A,0))),"")</f>
        <v/>
      </c>
      <c r="H398" s="4"/>
      <c r="I398" s="23" t="str">
        <f aca="false">IF(OR($G398="",$H398=""),"",$G398&amp;"["&amp;$H398&amp;"]")</f>
        <v/>
      </c>
      <c r="J398" s="23" t="str">
        <f aca="false">IFERROR(INDEX(Cablage!$A:$A,MATCH($I398,Cablage!$F:$F,0)),"")</f>
        <v/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customFormat="false" ht="15" hidden="false" customHeight="true" outlineLevel="0" collapsed="false">
      <c r="A399" s="22"/>
      <c r="B399" s="22"/>
      <c r="C399" s="4"/>
      <c r="D399" s="4"/>
      <c r="E399" s="4"/>
      <c r="F399" s="23" t="str">
        <f aca="false">IFERROR(IF(OR($B399="",$C399=""),"",INDEX('Cartes API'!$J:$J,MATCH($B399,'Cartes API'!$A:$A,0))&amp;INDEX('Cartes API'!$B:$B,MATCH($B399,'Cartes API'!$A:$A,0))&amp;"."&amp;INDEX('Cartes API'!$C:$C,MATCH($B399,'Cartes API'!$A:$A,0))&amp;"."&amp;$C399),"")</f>
        <v/>
      </c>
      <c r="G399" s="23" t="str">
        <f aca="false">IFERROR(IF($B399="","",INDEX('Cartes API'!$H:$H,MATCH($B399,'Cartes API'!$A:$A,0))),"")</f>
        <v/>
      </c>
      <c r="H399" s="4"/>
      <c r="I399" s="23" t="str">
        <f aca="false">IF(OR($G399="",$H399=""),"",$G399&amp;"["&amp;$H399&amp;"]")</f>
        <v/>
      </c>
      <c r="J399" s="23" t="str">
        <f aca="false">IFERROR(INDEX(Cablage!$A:$A,MATCH($I399,Cablage!$F:$F,0)),"")</f>
        <v/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customFormat="false" ht="15" hidden="false" customHeight="true" outlineLevel="0" collapsed="false">
      <c r="A400" s="22"/>
      <c r="B400" s="22"/>
      <c r="C400" s="4"/>
      <c r="D400" s="4"/>
      <c r="E400" s="4"/>
      <c r="F400" s="23" t="str">
        <f aca="false">IFERROR(IF(OR($B400="",$C400=""),"",INDEX('Cartes API'!$J:$J,MATCH($B400,'Cartes API'!$A:$A,0))&amp;INDEX('Cartes API'!$B:$B,MATCH($B400,'Cartes API'!$A:$A,0))&amp;"."&amp;INDEX('Cartes API'!$C:$C,MATCH($B400,'Cartes API'!$A:$A,0))&amp;"."&amp;$C400),"")</f>
        <v/>
      </c>
      <c r="G400" s="23" t="str">
        <f aca="false">IFERROR(IF($B400="","",INDEX('Cartes API'!$H:$H,MATCH($B400,'Cartes API'!$A:$A,0))),"")</f>
        <v/>
      </c>
      <c r="H400" s="4"/>
      <c r="I400" s="23" t="str">
        <f aca="false">IF(OR($G400="",$H400=""),"",$G400&amp;"["&amp;$H400&amp;"]")</f>
        <v/>
      </c>
      <c r="J400" s="23" t="str">
        <f aca="false">IFERROR(INDEX(Cablage!$A:$A,MATCH($I400,Cablage!$F:$F,0)),"")</f>
        <v/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customFormat="false" ht="15" hidden="false" customHeight="true" outlineLevel="0" collapsed="false">
      <c r="A401" s="22"/>
      <c r="B401" s="22"/>
      <c r="C401" s="4"/>
      <c r="D401" s="4"/>
      <c r="E401" s="4"/>
      <c r="F401" s="23" t="str">
        <f aca="false">IFERROR(IF(OR($B401="",$C401=""),"",INDEX('Cartes API'!$J:$J,MATCH($B401,'Cartes API'!$A:$A,0))&amp;INDEX('Cartes API'!$B:$B,MATCH($B401,'Cartes API'!$A:$A,0))&amp;"."&amp;INDEX('Cartes API'!$C:$C,MATCH($B401,'Cartes API'!$A:$A,0))&amp;"."&amp;$C401),"")</f>
        <v/>
      </c>
      <c r="G401" s="23" t="str">
        <f aca="false">IFERROR(IF($B401="","",INDEX('Cartes API'!$H:$H,MATCH($B401,'Cartes API'!$A:$A,0))),"")</f>
        <v/>
      </c>
      <c r="H401" s="4"/>
      <c r="I401" s="23" t="str">
        <f aca="false">IF(OR($G401="",$H401=""),"",$G401&amp;"["&amp;$H401&amp;"]")</f>
        <v/>
      </c>
      <c r="J401" s="23" t="str">
        <f aca="false">IFERROR(INDEX(Cablage!$A:$A,MATCH($I401,Cablage!$F:$F,0)),"")</f>
        <v/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customFormat="false" ht="15" hidden="false" customHeight="true" outlineLevel="0" collapsed="false">
      <c r="A402" s="22"/>
      <c r="B402" s="22"/>
      <c r="C402" s="4"/>
      <c r="D402" s="4"/>
      <c r="E402" s="4"/>
      <c r="F402" s="23" t="str">
        <f aca="false">IFERROR(IF(OR($B402="",$C402=""),"",INDEX('Cartes API'!$J:$J,MATCH($B402,'Cartes API'!$A:$A,0))&amp;INDEX('Cartes API'!$B:$B,MATCH($B402,'Cartes API'!$A:$A,0))&amp;"."&amp;INDEX('Cartes API'!$C:$C,MATCH($B402,'Cartes API'!$A:$A,0))&amp;"."&amp;$C402),"")</f>
        <v/>
      </c>
      <c r="G402" s="23" t="str">
        <f aca="false">IFERROR(IF($B402="","",INDEX('Cartes API'!$H:$H,MATCH($B402,'Cartes API'!$A:$A,0))),"")</f>
        <v/>
      </c>
      <c r="H402" s="4"/>
      <c r="I402" s="23" t="str">
        <f aca="false">IF(OR($G402="",$H402=""),"",$G402&amp;"["&amp;$H402&amp;"]")</f>
        <v/>
      </c>
      <c r="J402" s="23" t="str">
        <f aca="false">IFERROR(INDEX(Cablage!$A:$A,MATCH($I402,Cablage!$F:$F,0)),"")</f>
        <v/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customFormat="false" ht="15" hidden="false" customHeight="true" outlineLevel="0" collapsed="false">
      <c r="A403" s="22"/>
      <c r="B403" s="22"/>
      <c r="C403" s="4"/>
      <c r="D403" s="4"/>
      <c r="E403" s="4"/>
      <c r="F403" s="23" t="str">
        <f aca="false">IFERROR(IF(OR($B403="",$C403=""),"",INDEX('Cartes API'!$J:$J,MATCH($B403,'Cartes API'!$A:$A,0))&amp;INDEX('Cartes API'!$B:$B,MATCH($B403,'Cartes API'!$A:$A,0))&amp;"."&amp;INDEX('Cartes API'!$C:$C,MATCH($B403,'Cartes API'!$A:$A,0))&amp;"."&amp;$C403),"")</f>
        <v/>
      </c>
      <c r="G403" s="23" t="str">
        <f aca="false">IFERROR(IF($B403="","",INDEX('Cartes API'!$H:$H,MATCH($B403,'Cartes API'!$A:$A,0))),"")</f>
        <v/>
      </c>
      <c r="H403" s="4"/>
      <c r="I403" s="23" t="str">
        <f aca="false">IF(OR($G403="",$H403=""),"",$G403&amp;"["&amp;$H403&amp;"]")</f>
        <v/>
      </c>
      <c r="J403" s="23" t="str">
        <f aca="false">IFERROR(INDEX(Cablage!$A:$A,MATCH($I403,Cablage!$F:$F,0)),"")</f>
        <v/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customFormat="false" ht="15" hidden="false" customHeight="true" outlineLevel="0" collapsed="false">
      <c r="A404" s="22"/>
      <c r="B404" s="22"/>
      <c r="C404" s="4"/>
      <c r="D404" s="4"/>
      <c r="E404" s="4"/>
      <c r="F404" s="23" t="str">
        <f aca="false">IFERROR(IF(OR($B404="",$C404=""),"",INDEX('Cartes API'!$J:$J,MATCH($B404,'Cartes API'!$A:$A,0))&amp;INDEX('Cartes API'!$B:$B,MATCH($B404,'Cartes API'!$A:$A,0))&amp;"."&amp;INDEX('Cartes API'!$C:$C,MATCH($B404,'Cartes API'!$A:$A,0))&amp;"."&amp;$C404),"")</f>
        <v/>
      </c>
      <c r="G404" s="23" t="str">
        <f aca="false">IFERROR(IF($B404="","",INDEX('Cartes API'!$H:$H,MATCH($B404,'Cartes API'!$A:$A,0))),"")</f>
        <v/>
      </c>
      <c r="H404" s="4"/>
      <c r="I404" s="23" t="str">
        <f aca="false">IF(OR($G404="",$H404=""),"",$G404&amp;"["&amp;$H404&amp;"]")</f>
        <v/>
      </c>
      <c r="J404" s="23" t="str">
        <f aca="false">IFERROR(INDEX(Cablage!$A:$A,MATCH($I404,Cablage!$F:$F,0)),"")</f>
        <v/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customFormat="false" ht="15" hidden="false" customHeight="true" outlineLevel="0" collapsed="false">
      <c r="A405" s="22"/>
      <c r="B405" s="22"/>
      <c r="C405" s="4"/>
      <c r="D405" s="4"/>
      <c r="E405" s="4"/>
      <c r="F405" s="23" t="str">
        <f aca="false">IFERROR(IF(OR($B405="",$C405=""),"",INDEX('Cartes API'!$J:$J,MATCH($B405,'Cartes API'!$A:$A,0))&amp;INDEX('Cartes API'!$B:$B,MATCH($B405,'Cartes API'!$A:$A,0))&amp;"."&amp;INDEX('Cartes API'!$C:$C,MATCH($B405,'Cartes API'!$A:$A,0))&amp;"."&amp;$C405),"")</f>
        <v/>
      </c>
      <c r="G405" s="23" t="str">
        <f aca="false">IFERROR(IF($B405="","",INDEX('Cartes API'!$H:$H,MATCH($B405,'Cartes API'!$A:$A,0))),"")</f>
        <v/>
      </c>
      <c r="H405" s="4"/>
      <c r="I405" s="23" t="str">
        <f aca="false">IF(OR($G405="",$H405=""),"",$G405&amp;"["&amp;$H405&amp;"]")</f>
        <v/>
      </c>
      <c r="J405" s="23" t="str">
        <f aca="false">IFERROR(INDEX(Cablage!$A:$A,MATCH($I405,Cablage!$F:$F,0)),"")</f>
        <v/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customFormat="false" ht="15" hidden="false" customHeight="true" outlineLevel="0" collapsed="false">
      <c r="A406" s="22"/>
      <c r="B406" s="22"/>
      <c r="C406" s="4"/>
      <c r="D406" s="4"/>
      <c r="E406" s="4"/>
      <c r="F406" s="23" t="str">
        <f aca="false">IFERROR(IF(OR($B406="",$C406=""),"",INDEX('Cartes API'!$J:$J,MATCH($B406,'Cartes API'!$A:$A,0))&amp;INDEX('Cartes API'!$B:$B,MATCH($B406,'Cartes API'!$A:$A,0))&amp;"."&amp;INDEX('Cartes API'!$C:$C,MATCH($B406,'Cartes API'!$A:$A,0))&amp;"."&amp;$C406),"")</f>
        <v/>
      </c>
      <c r="G406" s="23" t="str">
        <f aca="false">IFERROR(IF($B406="","",INDEX('Cartes API'!$H:$H,MATCH($B406,'Cartes API'!$A:$A,0))),"")</f>
        <v/>
      </c>
      <c r="H406" s="4"/>
      <c r="I406" s="23" t="str">
        <f aca="false">IF(OR($G406="",$H406=""),"",$G406&amp;"["&amp;$H406&amp;"]")</f>
        <v/>
      </c>
      <c r="J406" s="23" t="str">
        <f aca="false">IFERROR(INDEX(Cablage!$A:$A,MATCH($I406,Cablage!$F:$F,0)),"")</f>
        <v/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customFormat="false" ht="15" hidden="false" customHeight="true" outlineLevel="0" collapsed="false">
      <c r="A407" s="22"/>
      <c r="B407" s="22"/>
      <c r="C407" s="4"/>
      <c r="D407" s="4"/>
      <c r="E407" s="4"/>
      <c r="F407" s="23" t="str">
        <f aca="false">IFERROR(IF(OR($B407="",$C407=""),"",INDEX('Cartes API'!$J:$J,MATCH($B407,'Cartes API'!$A:$A,0))&amp;INDEX('Cartes API'!$B:$B,MATCH($B407,'Cartes API'!$A:$A,0))&amp;"."&amp;INDEX('Cartes API'!$C:$C,MATCH($B407,'Cartes API'!$A:$A,0))&amp;"."&amp;$C407),"")</f>
        <v/>
      </c>
      <c r="G407" s="23" t="str">
        <f aca="false">IFERROR(IF($B407="","",INDEX('Cartes API'!$H:$H,MATCH($B407,'Cartes API'!$A:$A,0))),"")</f>
        <v/>
      </c>
      <c r="H407" s="4"/>
      <c r="I407" s="23" t="str">
        <f aca="false">IF(OR($G407="",$H407=""),"",$G407&amp;"["&amp;$H407&amp;"]")</f>
        <v/>
      </c>
      <c r="J407" s="23" t="str">
        <f aca="false">IFERROR(INDEX(Cablage!$A:$A,MATCH($I407,Cablage!$F:$F,0)),"")</f>
        <v/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customFormat="false" ht="15" hidden="false" customHeight="true" outlineLevel="0" collapsed="false">
      <c r="A408" s="22"/>
      <c r="B408" s="22"/>
      <c r="C408" s="4"/>
      <c r="D408" s="4"/>
      <c r="E408" s="4"/>
      <c r="F408" s="23" t="str">
        <f aca="false">IFERROR(IF(OR($B408="",$C408=""),"",INDEX('Cartes API'!$J:$J,MATCH($B408,'Cartes API'!$A:$A,0))&amp;INDEX('Cartes API'!$B:$B,MATCH($B408,'Cartes API'!$A:$A,0))&amp;"."&amp;INDEX('Cartes API'!$C:$C,MATCH($B408,'Cartes API'!$A:$A,0))&amp;"."&amp;$C408),"")</f>
        <v/>
      </c>
      <c r="G408" s="23" t="str">
        <f aca="false">IFERROR(IF($B408="","",INDEX('Cartes API'!$H:$H,MATCH($B408,'Cartes API'!$A:$A,0))),"")</f>
        <v/>
      </c>
      <c r="H408" s="4"/>
      <c r="I408" s="23" t="str">
        <f aca="false">IF(OR($G408="",$H408=""),"",$G408&amp;"["&amp;$H408&amp;"]")</f>
        <v/>
      </c>
      <c r="J408" s="23" t="str">
        <f aca="false">IFERROR(INDEX(Cablage!$A:$A,MATCH($I408,Cablage!$F:$F,0)),"")</f>
        <v/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customFormat="false" ht="15" hidden="false" customHeight="true" outlineLevel="0" collapsed="false">
      <c r="A409" s="22"/>
      <c r="B409" s="22"/>
      <c r="C409" s="4"/>
      <c r="D409" s="4"/>
      <c r="E409" s="4"/>
      <c r="F409" s="23" t="str">
        <f aca="false">IFERROR(IF(OR($B409="",$C409=""),"",INDEX('Cartes API'!$J:$J,MATCH($B409,'Cartes API'!$A:$A,0))&amp;INDEX('Cartes API'!$B:$B,MATCH($B409,'Cartes API'!$A:$A,0))&amp;"."&amp;INDEX('Cartes API'!$C:$C,MATCH($B409,'Cartes API'!$A:$A,0))&amp;"."&amp;$C409),"")</f>
        <v/>
      </c>
      <c r="G409" s="23" t="str">
        <f aca="false">IFERROR(IF($B409="","",INDEX('Cartes API'!$H:$H,MATCH($B409,'Cartes API'!$A:$A,0))),"")</f>
        <v/>
      </c>
      <c r="H409" s="4"/>
      <c r="I409" s="23" t="str">
        <f aca="false">IF(OR($G409="",$H409=""),"",$G409&amp;"["&amp;$H409&amp;"]")</f>
        <v/>
      </c>
      <c r="J409" s="23" t="str">
        <f aca="false">IFERROR(INDEX(Cablage!$A:$A,MATCH($I409,Cablage!$F:$F,0)),"")</f>
        <v/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customFormat="false" ht="15" hidden="false" customHeight="true" outlineLevel="0" collapsed="false">
      <c r="A410" s="22"/>
      <c r="B410" s="22"/>
      <c r="C410" s="4"/>
      <c r="D410" s="4"/>
      <c r="E410" s="4"/>
      <c r="F410" s="23" t="str">
        <f aca="false">IFERROR(IF(OR($B410="",$C410=""),"",INDEX('Cartes API'!$J:$J,MATCH($B410,'Cartes API'!$A:$A,0))&amp;INDEX('Cartes API'!$B:$B,MATCH($B410,'Cartes API'!$A:$A,0))&amp;"."&amp;INDEX('Cartes API'!$C:$C,MATCH($B410,'Cartes API'!$A:$A,0))&amp;"."&amp;$C410),"")</f>
        <v/>
      </c>
      <c r="G410" s="23" t="str">
        <f aca="false">IFERROR(IF($B410="","",INDEX('Cartes API'!$H:$H,MATCH($B410,'Cartes API'!$A:$A,0))),"")</f>
        <v/>
      </c>
      <c r="H410" s="4"/>
      <c r="I410" s="23" t="str">
        <f aca="false">IF(OR($G410="",$H410=""),"",$G410&amp;"["&amp;$H410&amp;"]")</f>
        <v/>
      </c>
      <c r="J410" s="23" t="str">
        <f aca="false">IFERROR(INDEX(Cablage!$A:$A,MATCH($I410,Cablage!$F:$F,0)),"")</f>
        <v/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customFormat="false" ht="15" hidden="false" customHeight="true" outlineLevel="0" collapsed="false">
      <c r="A411" s="22"/>
      <c r="B411" s="22"/>
      <c r="C411" s="4"/>
      <c r="D411" s="4"/>
      <c r="E411" s="4"/>
      <c r="F411" s="23" t="str">
        <f aca="false">IFERROR(IF(OR($B411="",$C411=""),"",INDEX('Cartes API'!$J:$J,MATCH($B411,'Cartes API'!$A:$A,0))&amp;INDEX('Cartes API'!$B:$B,MATCH($B411,'Cartes API'!$A:$A,0))&amp;"."&amp;INDEX('Cartes API'!$C:$C,MATCH($B411,'Cartes API'!$A:$A,0))&amp;"."&amp;$C411),"")</f>
        <v/>
      </c>
      <c r="G411" s="23" t="str">
        <f aca="false">IFERROR(IF($B411="","",INDEX('Cartes API'!$H:$H,MATCH($B411,'Cartes API'!$A:$A,0))),"")</f>
        <v/>
      </c>
      <c r="H411" s="4"/>
      <c r="I411" s="23" t="str">
        <f aca="false">IF(OR($G411="",$H411=""),"",$G411&amp;"["&amp;$H411&amp;"]")</f>
        <v/>
      </c>
      <c r="J411" s="23" t="str">
        <f aca="false">IFERROR(INDEX(Cablage!$A:$A,MATCH($I411,Cablage!$F:$F,0)),"")</f>
        <v/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customFormat="false" ht="15" hidden="false" customHeight="true" outlineLevel="0" collapsed="false">
      <c r="A412" s="22"/>
      <c r="B412" s="22"/>
      <c r="C412" s="4"/>
      <c r="D412" s="4"/>
      <c r="E412" s="4"/>
      <c r="F412" s="23" t="str">
        <f aca="false">IFERROR(IF(OR($B412="",$C412=""),"",INDEX('Cartes API'!$J:$J,MATCH($B412,'Cartes API'!$A:$A,0))&amp;INDEX('Cartes API'!$B:$B,MATCH($B412,'Cartes API'!$A:$A,0))&amp;"."&amp;INDEX('Cartes API'!$C:$C,MATCH($B412,'Cartes API'!$A:$A,0))&amp;"."&amp;$C412),"")</f>
        <v/>
      </c>
      <c r="G412" s="23" t="str">
        <f aca="false">IFERROR(IF($B412="","",INDEX('Cartes API'!$H:$H,MATCH($B412,'Cartes API'!$A:$A,0))),"")</f>
        <v/>
      </c>
      <c r="H412" s="4"/>
      <c r="I412" s="23" t="str">
        <f aca="false">IF(OR($G412="",$H412=""),"",$G412&amp;"["&amp;$H412&amp;"]")</f>
        <v/>
      </c>
      <c r="J412" s="23" t="str">
        <f aca="false">IFERROR(INDEX(Cablage!$A:$A,MATCH($I412,Cablage!$F:$F,0)),"")</f>
        <v/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customFormat="false" ht="15" hidden="false" customHeight="true" outlineLevel="0" collapsed="false">
      <c r="A413" s="22"/>
      <c r="B413" s="22"/>
      <c r="C413" s="4"/>
      <c r="D413" s="4"/>
      <c r="E413" s="4"/>
      <c r="F413" s="23" t="str">
        <f aca="false">IFERROR(IF(OR($B413="",$C413=""),"",INDEX('Cartes API'!$J:$J,MATCH($B413,'Cartes API'!$A:$A,0))&amp;INDEX('Cartes API'!$B:$B,MATCH($B413,'Cartes API'!$A:$A,0))&amp;"."&amp;INDEX('Cartes API'!$C:$C,MATCH($B413,'Cartes API'!$A:$A,0))&amp;"."&amp;$C413),"")</f>
        <v/>
      </c>
      <c r="G413" s="23" t="str">
        <f aca="false">IFERROR(IF($B413="","",INDEX('Cartes API'!$H:$H,MATCH($B413,'Cartes API'!$A:$A,0))),"")</f>
        <v/>
      </c>
      <c r="H413" s="4"/>
      <c r="I413" s="23" t="str">
        <f aca="false">IF(OR($G413="",$H413=""),"",$G413&amp;"["&amp;$H413&amp;"]")</f>
        <v/>
      </c>
      <c r="J413" s="23" t="str">
        <f aca="false">IFERROR(INDEX(Cablage!$A:$A,MATCH($I413,Cablage!$F:$F,0)),"")</f>
        <v/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customFormat="false" ht="15" hidden="false" customHeight="true" outlineLevel="0" collapsed="false">
      <c r="A414" s="22"/>
      <c r="B414" s="22"/>
      <c r="C414" s="4"/>
      <c r="D414" s="4"/>
      <c r="E414" s="4"/>
      <c r="F414" s="23" t="str">
        <f aca="false">IFERROR(IF(OR($B414="",$C414=""),"",INDEX('Cartes API'!$J:$J,MATCH($B414,'Cartes API'!$A:$A,0))&amp;INDEX('Cartes API'!$B:$B,MATCH($B414,'Cartes API'!$A:$A,0))&amp;"."&amp;INDEX('Cartes API'!$C:$C,MATCH($B414,'Cartes API'!$A:$A,0))&amp;"."&amp;$C414),"")</f>
        <v/>
      </c>
      <c r="G414" s="23" t="str">
        <f aca="false">IFERROR(IF($B414="","",INDEX('Cartes API'!$H:$H,MATCH($B414,'Cartes API'!$A:$A,0))),"")</f>
        <v/>
      </c>
      <c r="H414" s="4"/>
      <c r="I414" s="23" t="str">
        <f aca="false">IF(OR($G414="",$H414=""),"",$G414&amp;"["&amp;$H414&amp;"]")</f>
        <v/>
      </c>
      <c r="J414" s="23" t="str">
        <f aca="false">IFERROR(INDEX(Cablage!$A:$A,MATCH($I414,Cablage!$F:$F,0)),"")</f>
        <v/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customFormat="false" ht="15" hidden="false" customHeight="true" outlineLevel="0" collapsed="false">
      <c r="A415" s="22"/>
      <c r="B415" s="22"/>
      <c r="C415" s="4"/>
      <c r="D415" s="4"/>
      <c r="E415" s="4"/>
      <c r="F415" s="23" t="str">
        <f aca="false">IFERROR(IF(OR($B415="",$C415=""),"",INDEX('Cartes API'!$J:$J,MATCH($B415,'Cartes API'!$A:$A,0))&amp;INDEX('Cartes API'!$B:$B,MATCH($B415,'Cartes API'!$A:$A,0))&amp;"."&amp;INDEX('Cartes API'!$C:$C,MATCH($B415,'Cartes API'!$A:$A,0))&amp;"."&amp;$C415),"")</f>
        <v/>
      </c>
      <c r="G415" s="23" t="str">
        <f aca="false">IFERROR(IF($B415="","",INDEX('Cartes API'!$H:$H,MATCH($B415,'Cartes API'!$A:$A,0))),"")</f>
        <v/>
      </c>
      <c r="H415" s="4"/>
      <c r="I415" s="23" t="str">
        <f aca="false">IF(OR($G415="",$H415=""),"",$G415&amp;"["&amp;$H415&amp;"]")</f>
        <v/>
      </c>
      <c r="J415" s="23" t="str">
        <f aca="false">IFERROR(INDEX(Cablage!$A:$A,MATCH($I415,Cablage!$F:$F,0)),"")</f>
        <v/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customFormat="false" ht="15" hidden="false" customHeight="true" outlineLevel="0" collapsed="false">
      <c r="A416" s="22"/>
      <c r="B416" s="22"/>
      <c r="C416" s="4"/>
      <c r="D416" s="4"/>
      <c r="E416" s="4"/>
      <c r="F416" s="23" t="str">
        <f aca="false">IFERROR(IF(OR($B416="",$C416=""),"",INDEX('Cartes API'!$J:$J,MATCH($B416,'Cartes API'!$A:$A,0))&amp;INDEX('Cartes API'!$B:$B,MATCH($B416,'Cartes API'!$A:$A,0))&amp;"."&amp;INDEX('Cartes API'!$C:$C,MATCH($B416,'Cartes API'!$A:$A,0))&amp;"."&amp;$C416),"")</f>
        <v/>
      </c>
      <c r="G416" s="23" t="str">
        <f aca="false">IFERROR(IF($B416="","",INDEX('Cartes API'!$H:$H,MATCH($B416,'Cartes API'!$A:$A,0))),"")</f>
        <v/>
      </c>
      <c r="H416" s="4"/>
      <c r="I416" s="23" t="str">
        <f aca="false">IF(OR($G416="",$H416=""),"",$G416&amp;"["&amp;$H416&amp;"]")</f>
        <v/>
      </c>
      <c r="J416" s="23" t="str">
        <f aca="false">IFERROR(INDEX(Cablage!$A:$A,MATCH($I416,Cablage!$F:$F,0)),"")</f>
        <v/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customFormat="false" ht="15" hidden="false" customHeight="true" outlineLevel="0" collapsed="false">
      <c r="A417" s="22"/>
      <c r="B417" s="22"/>
      <c r="C417" s="4"/>
      <c r="D417" s="4"/>
      <c r="E417" s="4"/>
      <c r="F417" s="23" t="str">
        <f aca="false">IFERROR(IF(OR($B417="",$C417=""),"",INDEX('Cartes API'!$J:$J,MATCH($B417,'Cartes API'!$A:$A,0))&amp;INDEX('Cartes API'!$B:$B,MATCH($B417,'Cartes API'!$A:$A,0))&amp;"."&amp;INDEX('Cartes API'!$C:$C,MATCH($B417,'Cartes API'!$A:$A,0))&amp;"."&amp;$C417),"")</f>
        <v/>
      </c>
      <c r="G417" s="23" t="str">
        <f aca="false">IFERROR(IF($B417="","",INDEX('Cartes API'!$H:$H,MATCH($B417,'Cartes API'!$A:$A,0))),"")</f>
        <v/>
      </c>
      <c r="H417" s="4"/>
      <c r="I417" s="23" t="str">
        <f aca="false">IF(OR($G417="",$H417=""),"",$G417&amp;"["&amp;$H417&amp;"]")</f>
        <v/>
      </c>
      <c r="J417" s="23" t="str">
        <f aca="false">IFERROR(INDEX(Cablage!$A:$A,MATCH($I417,Cablage!$F:$F,0)),"")</f>
        <v/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customFormat="false" ht="15" hidden="false" customHeight="true" outlineLevel="0" collapsed="false">
      <c r="A418" s="22"/>
      <c r="B418" s="22"/>
      <c r="C418" s="4"/>
      <c r="D418" s="4"/>
      <c r="E418" s="4"/>
      <c r="F418" s="23" t="str">
        <f aca="false">IFERROR(IF(OR($B418="",$C418=""),"",INDEX('Cartes API'!$J:$J,MATCH($B418,'Cartes API'!$A:$A,0))&amp;INDEX('Cartes API'!$B:$B,MATCH($B418,'Cartes API'!$A:$A,0))&amp;"."&amp;INDEX('Cartes API'!$C:$C,MATCH($B418,'Cartes API'!$A:$A,0))&amp;"."&amp;$C418),"")</f>
        <v/>
      </c>
      <c r="G418" s="23" t="str">
        <f aca="false">IFERROR(IF($B418="","",INDEX('Cartes API'!$H:$H,MATCH($B418,'Cartes API'!$A:$A,0))),"")</f>
        <v/>
      </c>
      <c r="H418" s="4"/>
      <c r="I418" s="23" t="str">
        <f aca="false">IF(OR($G418="",$H418=""),"",$G418&amp;"["&amp;$H418&amp;"]")</f>
        <v/>
      </c>
      <c r="J418" s="23" t="str">
        <f aca="false">IFERROR(INDEX(Cablage!$A:$A,MATCH($I418,Cablage!$F:$F,0)),"")</f>
        <v/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customFormat="false" ht="15" hidden="false" customHeight="true" outlineLevel="0" collapsed="false">
      <c r="A419" s="22"/>
      <c r="B419" s="22"/>
      <c r="C419" s="4"/>
      <c r="D419" s="4"/>
      <c r="E419" s="4"/>
      <c r="F419" s="23" t="str">
        <f aca="false">IFERROR(IF(OR($B419="",$C419=""),"",INDEX('Cartes API'!$J:$J,MATCH($B419,'Cartes API'!$A:$A,0))&amp;INDEX('Cartes API'!$B:$B,MATCH($B419,'Cartes API'!$A:$A,0))&amp;"."&amp;INDEX('Cartes API'!$C:$C,MATCH($B419,'Cartes API'!$A:$A,0))&amp;"."&amp;$C419),"")</f>
        <v/>
      </c>
      <c r="G419" s="23" t="str">
        <f aca="false">IFERROR(IF($B419="","",INDEX('Cartes API'!$H:$H,MATCH($B419,'Cartes API'!$A:$A,0))),"")</f>
        <v/>
      </c>
      <c r="H419" s="4"/>
      <c r="I419" s="23" t="str">
        <f aca="false">IF(OR($G419="",$H419=""),"",$G419&amp;"["&amp;$H419&amp;"]")</f>
        <v/>
      </c>
      <c r="J419" s="23" t="str">
        <f aca="false">IFERROR(INDEX(Cablage!$A:$A,MATCH($I419,Cablage!$F:$F,0)),"")</f>
        <v/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customFormat="false" ht="15" hidden="false" customHeight="true" outlineLevel="0" collapsed="false">
      <c r="A420" s="22"/>
      <c r="B420" s="22"/>
      <c r="C420" s="4"/>
      <c r="D420" s="4"/>
      <c r="E420" s="4"/>
      <c r="F420" s="23" t="str">
        <f aca="false">IFERROR(IF(OR($B420="",$C420=""),"",INDEX('Cartes API'!$J:$J,MATCH($B420,'Cartes API'!$A:$A,0))&amp;INDEX('Cartes API'!$B:$B,MATCH($B420,'Cartes API'!$A:$A,0))&amp;"."&amp;INDEX('Cartes API'!$C:$C,MATCH($B420,'Cartes API'!$A:$A,0))&amp;"."&amp;$C420),"")</f>
        <v/>
      </c>
      <c r="G420" s="23" t="str">
        <f aca="false">IFERROR(IF($B420="","",INDEX('Cartes API'!$H:$H,MATCH($B420,'Cartes API'!$A:$A,0))),"")</f>
        <v/>
      </c>
      <c r="H420" s="4"/>
      <c r="I420" s="23" t="str">
        <f aca="false">IF(OR($G420="",$H420=""),"",$G420&amp;"["&amp;$H420&amp;"]")</f>
        <v/>
      </c>
      <c r="J420" s="23" t="str">
        <f aca="false">IFERROR(INDEX(Cablage!$A:$A,MATCH($I420,Cablage!$F:$F,0)),"")</f>
        <v/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customFormat="false" ht="15" hidden="false" customHeight="true" outlineLevel="0" collapsed="false">
      <c r="A421" s="22"/>
      <c r="B421" s="22"/>
      <c r="C421" s="4"/>
      <c r="D421" s="4"/>
      <c r="E421" s="4"/>
      <c r="F421" s="23" t="str">
        <f aca="false">IFERROR(IF(OR($B421="",$C421=""),"",INDEX('Cartes API'!$J:$J,MATCH($B421,'Cartes API'!$A:$A,0))&amp;INDEX('Cartes API'!$B:$B,MATCH($B421,'Cartes API'!$A:$A,0))&amp;"."&amp;INDEX('Cartes API'!$C:$C,MATCH($B421,'Cartes API'!$A:$A,0))&amp;"."&amp;$C421),"")</f>
        <v/>
      </c>
      <c r="G421" s="23" t="str">
        <f aca="false">IFERROR(IF($B421="","",INDEX('Cartes API'!$H:$H,MATCH($B421,'Cartes API'!$A:$A,0))),"")</f>
        <v/>
      </c>
      <c r="H421" s="4"/>
      <c r="I421" s="23" t="str">
        <f aca="false">IF(OR($G421="",$H421=""),"",$G421&amp;"["&amp;$H421&amp;"]")</f>
        <v/>
      </c>
      <c r="J421" s="23" t="str">
        <f aca="false">IFERROR(INDEX(Cablage!$A:$A,MATCH($I421,Cablage!$F:$F,0)),"")</f>
        <v/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customFormat="false" ht="15" hidden="false" customHeight="true" outlineLevel="0" collapsed="false">
      <c r="A422" s="22"/>
      <c r="B422" s="22"/>
      <c r="C422" s="4"/>
      <c r="D422" s="4"/>
      <c r="E422" s="4"/>
      <c r="F422" s="23" t="str">
        <f aca="false">IFERROR(IF(OR($B422="",$C422=""),"",INDEX('Cartes API'!$J:$J,MATCH($B422,'Cartes API'!$A:$A,0))&amp;INDEX('Cartes API'!$B:$B,MATCH($B422,'Cartes API'!$A:$A,0))&amp;"."&amp;INDEX('Cartes API'!$C:$C,MATCH($B422,'Cartes API'!$A:$A,0))&amp;"."&amp;$C422),"")</f>
        <v/>
      </c>
      <c r="G422" s="23" t="str">
        <f aca="false">IFERROR(IF($B422="","",INDEX('Cartes API'!$H:$H,MATCH($B422,'Cartes API'!$A:$A,0))),"")</f>
        <v/>
      </c>
      <c r="H422" s="4"/>
      <c r="I422" s="23" t="str">
        <f aca="false">IF(OR($G422="",$H422=""),"",$G422&amp;"["&amp;$H422&amp;"]")</f>
        <v/>
      </c>
      <c r="J422" s="23" t="str">
        <f aca="false">IFERROR(INDEX(Cablage!$A:$A,MATCH($I422,Cablage!$F:$F,0)),"")</f>
        <v/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customFormat="false" ht="15" hidden="false" customHeight="true" outlineLevel="0" collapsed="false">
      <c r="A423" s="22"/>
      <c r="B423" s="22"/>
      <c r="C423" s="4"/>
      <c r="D423" s="4"/>
      <c r="E423" s="4"/>
      <c r="F423" s="23" t="str">
        <f aca="false">IFERROR(IF(OR($B423="",$C423=""),"",INDEX('Cartes API'!$J:$J,MATCH($B423,'Cartes API'!$A:$A,0))&amp;INDEX('Cartes API'!$B:$B,MATCH($B423,'Cartes API'!$A:$A,0))&amp;"."&amp;INDEX('Cartes API'!$C:$C,MATCH($B423,'Cartes API'!$A:$A,0))&amp;"."&amp;$C423),"")</f>
        <v/>
      </c>
      <c r="G423" s="23" t="str">
        <f aca="false">IFERROR(IF($B423="","",INDEX('Cartes API'!$H:$H,MATCH($B423,'Cartes API'!$A:$A,0))),"")</f>
        <v/>
      </c>
      <c r="H423" s="4"/>
      <c r="I423" s="23" t="str">
        <f aca="false">IF(OR($G423="",$H423=""),"",$G423&amp;"["&amp;$H423&amp;"]")</f>
        <v/>
      </c>
      <c r="J423" s="23" t="str">
        <f aca="false">IFERROR(INDEX(Cablage!$A:$A,MATCH($I423,Cablage!$F:$F,0)),"")</f>
        <v/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customFormat="false" ht="15" hidden="false" customHeight="true" outlineLevel="0" collapsed="false">
      <c r="A424" s="22"/>
      <c r="B424" s="22"/>
      <c r="C424" s="4"/>
      <c r="D424" s="4"/>
      <c r="E424" s="4"/>
      <c r="F424" s="23" t="str">
        <f aca="false">IFERROR(IF(OR($B424="",$C424=""),"",INDEX('Cartes API'!$J:$J,MATCH($B424,'Cartes API'!$A:$A,0))&amp;INDEX('Cartes API'!$B:$B,MATCH($B424,'Cartes API'!$A:$A,0))&amp;"."&amp;INDEX('Cartes API'!$C:$C,MATCH($B424,'Cartes API'!$A:$A,0))&amp;"."&amp;$C424),"")</f>
        <v/>
      </c>
      <c r="G424" s="23" t="str">
        <f aca="false">IFERROR(IF($B424="","",INDEX('Cartes API'!$H:$H,MATCH($B424,'Cartes API'!$A:$A,0))),"")</f>
        <v/>
      </c>
      <c r="H424" s="4"/>
      <c r="I424" s="23" t="str">
        <f aca="false">IF(OR($G424="",$H424=""),"",$G424&amp;"["&amp;$H424&amp;"]")</f>
        <v/>
      </c>
      <c r="J424" s="23" t="str">
        <f aca="false">IFERROR(INDEX(Cablage!$A:$A,MATCH($I424,Cablage!$F:$F,0)),"")</f>
        <v/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customFormat="false" ht="15" hidden="false" customHeight="true" outlineLevel="0" collapsed="false">
      <c r="A425" s="22"/>
      <c r="B425" s="22"/>
      <c r="C425" s="4"/>
      <c r="D425" s="4"/>
      <c r="E425" s="4"/>
      <c r="F425" s="23" t="str">
        <f aca="false">IFERROR(IF(OR($B425="",$C425=""),"",INDEX('Cartes API'!$J:$J,MATCH($B425,'Cartes API'!$A:$A,0))&amp;INDEX('Cartes API'!$B:$B,MATCH($B425,'Cartes API'!$A:$A,0))&amp;"."&amp;INDEX('Cartes API'!$C:$C,MATCH($B425,'Cartes API'!$A:$A,0))&amp;"."&amp;$C425),"")</f>
        <v/>
      </c>
      <c r="G425" s="23" t="str">
        <f aca="false">IFERROR(IF($B425="","",INDEX('Cartes API'!$H:$H,MATCH($B425,'Cartes API'!$A:$A,0))),"")</f>
        <v/>
      </c>
      <c r="H425" s="4"/>
      <c r="I425" s="23" t="str">
        <f aca="false">IF(OR($G425="",$H425=""),"",$G425&amp;"["&amp;$H425&amp;"]")</f>
        <v/>
      </c>
      <c r="J425" s="23" t="str">
        <f aca="false">IFERROR(INDEX(Cablage!$A:$A,MATCH($I425,Cablage!$F:$F,0)),"")</f>
        <v/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customFormat="false" ht="15" hidden="false" customHeight="true" outlineLevel="0" collapsed="false">
      <c r="A426" s="22"/>
      <c r="B426" s="22"/>
      <c r="C426" s="4"/>
      <c r="D426" s="4"/>
      <c r="E426" s="4"/>
      <c r="F426" s="23" t="str">
        <f aca="false">IFERROR(IF(OR($B426="",$C426=""),"",INDEX('Cartes API'!$J:$J,MATCH($B426,'Cartes API'!$A:$A,0))&amp;INDEX('Cartes API'!$B:$B,MATCH($B426,'Cartes API'!$A:$A,0))&amp;"."&amp;INDEX('Cartes API'!$C:$C,MATCH($B426,'Cartes API'!$A:$A,0))&amp;"."&amp;$C426),"")</f>
        <v/>
      </c>
      <c r="G426" s="23" t="str">
        <f aca="false">IFERROR(IF($B426="","",INDEX('Cartes API'!$H:$H,MATCH($B426,'Cartes API'!$A:$A,0))),"")</f>
        <v/>
      </c>
      <c r="H426" s="4"/>
      <c r="I426" s="23" t="str">
        <f aca="false">IF(OR($G426="",$H426=""),"",$G426&amp;"["&amp;$H426&amp;"]")</f>
        <v/>
      </c>
      <c r="J426" s="23" t="str">
        <f aca="false">IFERROR(INDEX(Cablage!$A:$A,MATCH($I426,Cablage!$F:$F,0)),"")</f>
        <v/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customFormat="false" ht="15" hidden="false" customHeight="true" outlineLevel="0" collapsed="false">
      <c r="A427" s="22"/>
      <c r="B427" s="22"/>
      <c r="C427" s="4"/>
      <c r="D427" s="4"/>
      <c r="E427" s="4"/>
      <c r="F427" s="23" t="str">
        <f aca="false">IFERROR(IF(OR($B427="",$C427=""),"",INDEX('Cartes API'!$J:$J,MATCH($B427,'Cartes API'!$A:$A,0))&amp;INDEX('Cartes API'!$B:$B,MATCH($B427,'Cartes API'!$A:$A,0))&amp;"."&amp;INDEX('Cartes API'!$C:$C,MATCH($B427,'Cartes API'!$A:$A,0))&amp;"."&amp;$C427),"")</f>
        <v/>
      </c>
      <c r="G427" s="23" t="str">
        <f aca="false">IFERROR(IF($B427="","",INDEX('Cartes API'!$H:$H,MATCH($B427,'Cartes API'!$A:$A,0))),"")</f>
        <v/>
      </c>
      <c r="H427" s="4"/>
      <c r="I427" s="23" t="str">
        <f aca="false">IF(OR($G427="",$H427=""),"",$G427&amp;"["&amp;$H427&amp;"]")</f>
        <v/>
      </c>
      <c r="J427" s="23" t="str">
        <f aca="false">IFERROR(INDEX(Cablage!$A:$A,MATCH($I427,Cablage!$F:$F,0)),"")</f>
        <v/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customFormat="false" ht="15" hidden="false" customHeight="true" outlineLevel="0" collapsed="false">
      <c r="A428" s="22"/>
      <c r="B428" s="22"/>
      <c r="C428" s="4"/>
      <c r="D428" s="4"/>
      <c r="E428" s="4"/>
      <c r="F428" s="23" t="str">
        <f aca="false">IFERROR(IF(OR($B428="",$C428=""),"",INDEX('Cartes API'!$J:$J,MATCH($B428,'Cartes API'!$A:$A,0))&amp;INDEX('Cartes API'!$B:$B,MATCH($B428,'Cartes API'!$A:$A,0))&amp;"."&amp;INDEX('Cartes API'!$C:$C,MATCH($B428,'Cartes API'!$A:$A,0))&amp;"."&amp;$C428),"")</f>
        <v/>
      </c>
      <c r="G428" s="23" t="str">
        <f aca="false">IFERROR(IF($B428="","",INDEX('Cartes API'!$H:$H,MATCH($B428,'Cartes API'!$A:$A,0))),"")</f>
        <v/>
      </c>
      <c r="H428" s="4"/>
      <c r="I428" s="23" t="str">
        <f aca="false">IF(OR($G428="",$H428=""),"",$G428&amp;"["&amp;$H428&amp;"]")</f>
        <v/>
      </c>
      <c r="J428" s="23" t="str">
        <f aca="false">IFERROR(INDEX(Cablage!$A:$A,MATCH($I428,Cablage!$F:$F,0)),"")</f>
        <v/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customFormat="false" ht="15" hidden="false" customHeight="true" outlineLevel="0" collapsed="false">
      <c r="A429" s="22"/>
      <c r="B429" s="22"/>
      <c r="C429" s="4"/>
      <c r="D429" s="4"/>
      <c r="E429" s="4"/>
      <c r="F429" s="23" t="str">
        <f aca="false">IFERROR(IF(OR($B429="",$C429=""),"",INDEX('Cartes API'!$J:$J,MATCH($B429,'Cartes API'!$A:$A,0))&amp;INDEX('Cartes API'!$B:$B,MATCH($B429,'Cartes API'!$A:$A,0))&amp;"."&amp;INDEX('Cartes API'!$C:$C,MATCH($B429,'Cartes API'!$A:$A,0))&amp;"."&amp;$C429),"")</f>
        <v/>
      </c>
      <c r="G429" s="23" t="str">
        <f aca="false">IFERROR(IF($B429="","",INDEX('Cartes API'!$H:$H,MATCH($B429,'Cartes API'!$A:$A,0))),"")</f>
        <v/>
      </c>
      <c r="H429" s="4"/>
      <c r="I429" s="23" t="str">
        <f aca="false">IF(OR($G429="",$H429=""),"",$G429&amp;"["&amp;$H429&amp;"]")</f>
        <v/>
      </c>
      <c r="J429" s="23" t="str">
        <f aca="false">IFERROR(INDEX(Cablage!$A:$A,MATCH($I429,Cablage!$F:$F,0)),"")</f>
        <v/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customFormat="false" ht="15" hidden="false" customHeight="true" outlineLevel="0" collapsed="false">
      <c r="A430" s="22"/>
      <c r="B430" s="22"/>
      <c r="C430" s="4"/>
      <c r="D430" s="4"/>
      <c r="E430" s="4"/>
      <c r="F430" s="23" t="str">
        <f aca="false">IFERROR(IF(OR($B430="",$C430=""),"",INDEX('Cartes API'!$J:$J,MATCH($B430,'Cartes API'!$A:$A,0))&amp;INDEX('Cartes API'!$B:$B,MATCH($B430,'Cartes API'!$A:$A,0))&amp;"."&amp;INDEX('Cartes API'!$C:$C,MATCH($B430,'Cartes API'!$A:$A,0))&amp;"."&amp;$C430),"")</f>
        <v/>
      </c>
      <c r="G430" s="23" t="str">
        <f aca="false">IFERROR(IF($B430="","",INDEX('Cartes API'!$H:$H,MATCH($B430,'Cartes API'!$A:$A,0))),"")</f>
        <v/>
      </c>
      <c r="H430" s="4"/>
      <c r="I430" s="23" t="str">
        <f aca="false">IF(OR($G430="",$H430=""),"",$G430&amp;"["&amp;$H430&amp;"]")</f>
        <v/>
      </c>
      <c r="J430" s="23" t="str">
        <f aca="false">IFERROR(INDEX(Cablage!$A:$A,MATCH($I430,Cablage!$F:$F,0)),"")</f>
        <v/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customFormat="false" ht="15" hidden="false" customHeight="true" outlineLevel="0" collapsed="false">
      <c r="A431" s="22"/>
      <c r="B431" s="22"/>
      <c r="C431" s="4"/>
      <c r="D431" s="4"/>
      <c r="E431" s="4"/>
      <c r="F431" s="23" t="str">
        <f aca="false">IFERROR(IF(OR($B431="",$C431=""),"",INDEX('Cartes API'!$J:$J,MATCH($B431,'Cartes API'!$A:$A,0))&amp;INDEX('Cartes API'!$B:$B,MATCH($B431,'Cartes API'!$A:$A,0))&amp;"."&amp;INDEX('Cartes API'!$C:$C,MATCH($B431,'Cartes API'!$A:$A,0))&amp;"."&amp;$C431),"")</f>
        <v/>
      </c>
      <c r="G431" s="23" t="str">
        <f aca="false">IFERROR(IF($B431="","",INDEX('Cartes API'!$H:$H,MATCH($B431,'Cartes API'!$A:$A,0))),"")</f>
        <v/>
      </c>
      <c r="H431" s="4"/>
      <c r="I431" s="23" t="str">
        <f aca="false">IF(OR($G431="",$H431=""),"",$G431&amp;"["&amp;$H431&amp;"]")</f>
        <v/>
      </c>
      <c r="J431" s="23" t="str">
        <f aca="false">IFERROR(INDEX(Cablage!$A:$A,MATCH($I431,Cablage!$F:$F,0)),"")</f>
        <v/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customFormat="false" ht="15" hidden="false" customHeight="true" outlineLevel="0" collapsed="false">
      <c r="A432" s="22"/>
      <c r="B432" s="22"/>
      <c r="C432" s="4"/>
      <c r="D432" s="4"/>
      <c r="E432" s="4"/>
      <c r="F432" s="23" t="str">
        <f aca="false">IFERROR(IF(OR($B432="",$C432=""),"",INDEX('Cartes API'!$J:$J,MATCH($B432,'Cartes API'!$A:$A,0))&amp;INDEX('Cartes API'!$B:$B,MATCH($B432,'Cartes API'!$A:$A,0))&amp;"."&amp;INDEX('Cartes API'!$C:$C,MATCH($B432,'Cartes API'!$A:$A,0))&amp;"."&amp;$C432),"")</f>
        <v/>
      </c>
      <c r="G432" s="23" t="str">
        <f aca="false">IFERROR(IF($B432="","",INDEX('Cartes API'!$H:$H,MATCH($B432,'Cartes API'!$A:$A,0))),"")</f>
        <v/>
      </c>
      <c r="H432" s="4"/>
      <c r="I432" s="23" t="str">
        <f aca="false">IF(OR($G432="",$H432=""),"",$G432&amp;"["&amp;$H432&amp;"]")</f>
        <v/>
      </c>
      <c r="J432" s="23" t="str">
        <f aca="false">IFERROR(INDEX(Cablage!$A:$A,MATCH($I432,Cablage!$F:$F,0)),"")</f>
        <v/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customFormat="false" ht="15" hidden="false" customHeight="true" outlineLevel="0" collapsed="false">
      <c r="A433" s="22"/>
      <c r="B433" s="22"/>
      <c r="C433" s="4"/>
      <c r="D433" s="4"/>
      <c r="E433" s="4"/>
      <c r="F433" s="23" t="str">
        <f aca="false">IFERROR(IF(OR($B433="",$C433=""),"",INDEX('Cartes API'!$J:$J,MATCH($B433,'Cartes API'!$A:$A,0))&amp;INDEX('Cartes API'!$B:$B,MATCH($B433,'Cartes API'!$A:$A,0))&amp;"."&amp;INDEX('Cartes API'!$C:$C,MATCH($B433,'Cartes API'!$A:$A,0))&amp;"."&amp;$C433),"")</f>
        <v/>
      </c>
      <c r="G433" s="23" t="str">
        <f aca="false">IFERROR(IF($B433="","",INDEX('Cartes API'!$H:$H,MATCH($B433,'Cartes API'!$A:$A,0))),"")</f>
        <v/>
      </c>
      <c r="H433" s="4"/>
      <c r="I433" s="23" t="str">
        <f aca="false">IF(OR($G433="",$H433=""),"",$G433&amp;"["&amp;$H433&amp;"]")</f>
        <v/>
      </c>
      <c r="J433" s="23" t="str">
        <f aca="false">IFERROR(INDEX(Cablage!$A:$A,MATCH($I433,Cablage!$F:$F,0)),"")</f>
        <v/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customFormat="false" ht="15" hidden="false" customHeight="true" outlineLevel="0" collapsed="false">
      <c r="A434" s="22"/>
      <c r="B434" s="22"/>
      <c r="C434" s="4"/>
      <c r="D434" s="4"/>
      <c r="E434" s="4"/>
      <c r="F434" s="23" t="str">
        <f aca="false">IFERROR(IF(OR($B434="",$C434=""),"",INDEX('Cartes API'!$J:$J,MATCH($B434,'Cartes API'!$A:$A,0))&amp;INDEX('Cartes API'!$B:$B,MATCH($B434,'Cartes API'!$A:$A,0))&amp;"."&amp;INDEX('Cartes API'!$C:$C,MATCH($B434,'Cartes API'!$A:$A,0))&amp;"."&amp;$C434),"")</f>
        <v/>
      </c>
      <c r="G434" s="23" t="str">
        <f aca="false">IFERROR(IF($B434="","",INDEX('Cartes API'!$H:$H,MATCH($B434,'Cartes API'!$A:$A,0))),"")</f>
        <v/>
      </c>
      <c r="H434" s="4"/>
      <c r="I434" s="23" t="str">
        <f aca="false">IF(OR($G434="",$H434=""),"",$G434&amp;"["&amp;$H434&amp;"]")</f>
        <v/>
      </c>
      <c r="J434" s="23" t="str">
        <f aca="false">IFERROR(INDEX(Cablage!$A:$A,MATCH($I434,Cablage!$F:$F,0)),"")</f>
        <v/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customFormat="false" ht="15" hidden="false" customHeight="true" outlineLevel="0" collapsed="false">
      <c r="A435" s="22"/>
      <c r="B435" s="22"/>
      <c r="C435" s="4"/>
      <c r="D435" s="4"/>
      <c r="E435" s="4"/>
      <c r="F435" s="23" t="str">
        <f aca="false">IFERROR(IF(OR($B435="",$C435=""),"",INDEX('Cartes API'!$J:$J,MATCH($B435,'Cartes API'!$A:$A,0))&amp;INDEX('Cartes API'!$B:$B,MATCH($B435,'Cartes API'!$A:$A,0))&amp;"."&amp;INDEX('Cartes API'!$C:$C,MATCH($B435,'Cartes API'!$A:$A,0))&amp;"."&amp;$C435),"")</f>
        <v/>
      </c>
      <c r="G435" s="23" t="str">
        <f aca="false">IFERROR(IF($B435="","",INDEX('Cartes API'!$H:$H,MATCH($B435,'Cartes API'!$A:$A,0))),"")</f>
        <v/>
      </c>
      <c r="H435" s="4"/>
      <c r="I435" s="23" t="str">
        <f aca="false">IF(OR($G435="",$H435=""),"",$G435&amp;"["&amp;$H435&amp;"]")</f>
        <v/>
      </c>
      <c r="J435" s="23" t="str">
        <f aca="false">IFERROR(INDEX(Cablage!$A:$A,MATCH($I435,Cablage!$F:$F,0)),"")</f>
        <v/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customFormat="false" ht="15" hidden="false" customHeight="true" outlineLevel="0" collapsed="false">
      <c r="A436" s="22"/>
      <c r="B436" s="22"/>
      <c r="C436" s="4"/>
      <c r="D436" s="4"/>
      <c r="E436" s="4"/>
      <c r="F436" s="23" t="str">
        <f aca="false">IFERROR(IF(OR($B436="",$C436=""),"",INDEX('Cartes API'!$J:$J,MATCH($B436,'Cartes API'!$A:$A,0))&amp;INDEX('Cartes API'!$B:$B,MATCH($B436,'Cartes API'!$A:$A,0))&amp;"."&amp;INDEX('Cartes API'!$C:$C,MATCH($B436,'Cartes API'!$A:$A,0))&amp;"."&amp;$C436),"")</f>
        <v/>
      </c>
      <c r="G436" s="23" t="str">
        <f aca="false">IFERROR(IF($B436="","",INDEX('Cartes API'!$H:$H,MATCH($B436,'Cartes API'!$A:$A,0))),"")</f>
        <v/>
      </c>
      <c r="H436" s="4"/>
      <c r="I436" s="23" t="str">
        <f aca="false">IF(OR($G436="",$H436=""),"",$G436&amp;"["&amp;$H436&amp;"]")</f>
        <v/>
      </c>
      <c r="J436" s="23" t="str">
        <f aca="false">IFERROR(INDEX(Cablage!$A:$A,MATCH($I436,Cablage!$F:$F,0)),"")</f>
        <v/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customFormat="false" ht="15" hidden="false" customHeight="true" outlineLevel="0" collapsed="false">
      <c r="A437" s="22"/>
      <c r="B437" s="22"/>
      <c r="C437" s="4"/>
      <c r="D437" s="4"/>
      <c r="E437" s="4"/>
      <c r="F437" s="23" t="str">
        <f aca="false">IFERROR(IF(OR($B437="",$C437=""),"",INDEX('Cartes API'!$J:$J,MATCH($B437,'Cartes API'!$A:$A,0))&amp;INDEX('Cartes API'!$B:$B,MATCH($B437,'Cartes API'!$A:$A,0))&amp;"."&amp;INDEX('Cartes API'!$C:$C,MATCH($B437,'Cartes API'!$A:$A,0))&amp;"."&amp;$C437),"")</f>
        <v/>
      </c>
      <c r="G437" s="23" t="str">
        <f aca="false">IFERROR(IF($B437="","",INDEX('Cartes API'!$H:$H,MATCH($B437,'Cartes API'!$A:$A,0))),"")</f>
        <v/>
      </c>
      <c r="H437" s="4"/>
      <c r="I437" s="23" t="str">
        <f aca="false">IF(OR($G437="",$H437=""),"",$G437&amp;"["&amp;$H437&amp;"]")</f>
        <v/>
      </c>
      <c r="J437" s="23" t="str">
        <f aca="false">IFERROR(INDEX(Cablage!$A:$A,MATCH($I437,Cablage!$F:$F,0)),"")</f>
        <v/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customFormat="false" ht="15" hidden="false" customHeight="true" outlineLevel="0" collapsed="false">
      <c r="A438" s="22"/>
      <c r="B438" s="22"/>
      <c r="C438" s="4"/>
      <c r="D438" s="4"/>
      <c r="E438" s="4"/>
      <c r="F438" s="23" t="str">
        <f aca="false">IFERROR(IF(OR($B438="",$C438=""),"",INDEX('Cartes API'!$J:$J,MATCH($B438,'Cartes API'!$A:$A,0))&amp;INDEX('Cartes API'!$B:$B,MATCH($B438,'Cartes API'!$A:$A,0))&amp;"."&amp;INDEX('Cartes API'!$C:$C,MATCH($B438,'Cartes API'!$A:$A,0))&amp;"."&amp;$C438),"")</f>
        <v/>
      </c>
      <c r="G438" s="23" t="str">
        <f aca="false">IFERROR(IF($B438="","",INDEX('Cartes API'!$H:$H,MATCH($B438,'Cartes API'!$A:$A,0))),"")</f>
        <v/>
      </c>
      <c r="H438" s="4"/>
      <c r="I438" s="23" t="str">
        <f aca="false">IF(OR($G438="",$H438=""),"",$G438&amp;"["&amp;$H438&amp;"]")</f>
        <v/>
      </c>
      <c r="J438" s="23" t="str">
        <f aca="false">IFERROR(INDEX(Cablage!$A:$A,MATCH($I438,Cablage!$F:$F,0)),"")</f>
        <v/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customFormat="false" ht="15" hidden="false" customHeight="true" outlineLevel="0" collapsed="false">
      <c r="A439" s="22"/>
      <c r="B439" s="22"/>
      <c r="C439" s="4"/>
      <c r="D439" s="4"/>
      <c r="E439" s="4"/>
      <c r="F439" s="23" t="str">
        <f aca="false">IFERROR(IF(OR($B439="",$C439=""),"",INDEX('Cartes API'!$J:$J,MATCH($B439,'Cartes API'!$A:$A,0))&amp;INDEX('Cartes API'!$B:$B,MATCH($B439,'Cartes API'!$A:$A,0))&amp;"."&amp;INDEX('Cartes API'!$C:$C,MATCH($B439,'Cartes API'!$A:$A,0))&amp;"."&amp;$C439),"")</f>
        <v/>
      </c>
      <c r="G439" s="23" t="str">
        <f aca="false">IFERROR(IF($B439="","",INDEX('Cartes API'!$H:$H,MATCH($B439,'Cartes API'!$A:$A,0))),"")</f>
        <v/>
      </c>
      <c r="H439" s="4"/>
      <c r="I439" s="23" t="str">
        <f aca="false">IF(OR($G439="",$H439=""),"",$G439&amp;"["&amp;$H439&amp;"]")</f>
        <v/>
      </c>
      <c r="J439" s="23" t="str">
        <f aca="false">IFERROR(INDEX(Cablage!$A:$A,MATCH($I439,Cablage!$F:$F,0)),"")</f>
        <v/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customFormat="false" ht="15" hidden="false" customHeight="true" outlineLevel="0" collapsed="false">
      <c r="A440" s="22"/>
      <c r="B440" s="22"/>
      <c r="C440" s="4"/>
      <c r="D440" s="4"/>
      <c r="E440" s="4"/>
      <c r="F440" s="23" t="str">
        <f aca="false">IFERROR(IF(OR($B440="",$C440=""),"",INDEX('Cartes API'!$J:$J,MATCH($B440,'Cartes API'!$A:$A,0))&amp;INDEX('Cartes API'!$B:$B,MATCH($B440,'Cartes API'!$A:$A,0))&amp;"."&amp;INDEX('Cartes API'!$C:$C,MATCH($B440,'Cartes API'!$A:$A,0))&amp;"."&amp;$C440),"")</f>
        <v/>
      </c>
      <c r="G440" s="23" t="str">
        <f aca="false">IFERROR(IF($B440="","",INDEX('Cartes API'!$H:$H,MATCH($B440,'Cartes API'!$A:$A,0))),"")</f>
        <v/>
      </c>
      <c r="H440" s="4"/>
      <c r="I440" s="23" t="str">
        <f aca="false">IF(OR($G440="",$H440=""),"",$G440&amp;"["&amp;$H440&amp;"]")</f>
        <v/>
      </c>
      <c r="J440" s="23" t="str">
        <f aca="false">IFERROR(INDEX(Cablage!$A:$A,MATCH($I440,Cablage!$F:$F,0)),"")</f>
        <v/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customFormat="false" ht="15" hidden="false" customHeight="true" outlineLevel="0" collapsed="false">
      <c r="A441" s="22"/>
      <c r="B441" s="22"/>
      <c r="C441" s="4"/>
      <c r="D441" s="4"/>
      <c r="E441" s="4"/>
      <c r="F441" s="23" t="str">
        <f aca="false">IFERROR(IF(OR($B441="",$C441=""),"",INDEX('Cartes API'!$J:$J,MATCH($B441,'Cartes API'!$A:$A,0))&amp;INDEX('Cartes API'!$B:$B,MATCH($B441,'Cartes API'!$A:$A,0))&amp;"."&amp;INDEX('Cartes API'!$C:$C,MATCH($B441,'Cartes API'!$A:$A,0))&amp;"."&amp;$C441),"")</f>
        <v/>
      </c>
      <c r="G441" s="23" t="str">
        <f aca="false">IFERROR(IF($B441="","",INDEX('Cartes API'!$H:$H,MATCH($B441,'Cartes API'!$A:$A,0))),"")</f>
        <v/>
      </c>
      <c r="H441" s="4"/>
      <c r="I441" s="23" t="str">
        <f aca="false">IF(OR($G441="",$H441=""),"",$G441&amp;"["&amp;$H441&amp;"]")</f>
        <v/>
      </c>
      <c r="J441" s="23" t="str">
        <f aca="false">IFERROR(INDEX(Cablage!$A:$A,MATCH($I441,Cablage!$F:$F,0)),"")</f>
        <v/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customFormat="false" ht="15" hidden="false" customHeight="true" outlineLevel="0" collapsed="false">
      <c r="A442" s="22"/>
      <c r="B442" s="22"/>
      <c r="C442" s="4"/>
      <c r="D442" s="4"/>
      <c r="E442" s="4"/>
      <c r="F442" s="23" t="str">
        <f aca="false">IFERROR(IF(OR($B442="",$C442=""),"",INDEX('Cartes API'!$J:$J,MATCH($B442,'Cartes API'!$A:$A,0))&amp;INDEX('Cartes API'!$B:$B,MATCH($B442,'Cartes API'!$A:$A,0))&amp;"."&amp;INDEX('Cartes API'!$C:$C,MATCH($B442,'Cartes API'!$A:$A,0))&amp;"."&amp;$C442),"")</f>
        <v/>
      </c>
      <c r="G442" s="23" t="str">
        <f aca="false">IFERROR(IF($B442="","",INDEX('Cartes API'!$H:$H,MATCH($B442,'Cartes API'!$A:$A,0))),"")</f>
        <v/>
      </c>
      <c r="H442" s="4"/>
      <c r="I442" s="23" t="str">
        <f aca="false">IF(OR($G442="",$H442=""),"",$G442&amp;"["&amp;$H442&amp;"]")</f>
        <v/>
      </c>
      <c r="J442" s="23" t="str">
        <f aca="false">IFERROR(INDEX(Cablage!$A:$A,MATCH($I442,Cablage!$F:$F,0)),"")</f>
        <v/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customFormat="false" ht="15" hidden="false" customHeight="true" outlineLevel="0" collapsed="false">
      <c r="A443" s="22"/>
      <c r="B443" s="22"/>
      <c r="C443" s="4"/>
      <c r="D443" s="4"/>
      <c r="E443" s="4"/>
      <c r="F443" s="23" t="str">
        <f aca="false">IFERROR(IF(OR($B443="",$C443=""),"",INDEX('Cartes API'!$J:$J,MATCH($B443,'Cartes API'!$A:$A,0))&amp;INDEX('Cartes API'!$B:$B,MATCH($B443,'Cartes API'!$A:$A,0))&amp;"."&amp;INDEX('Cartes API'!$C:$C,MATCH($B443,'Cartes API'!$A:$A,0))&amp;"."&amp;$C443),"")</f>
        <v/>
      </c>
      <c r="G443" s="23" t="str">
        <f aca="false">IFERROR(IF($B443="","",INDEX('Cartes API'!$H:$H,MATCH($B443,'Cartes API'!$A:$A,0))),"")</f>
        <v/>
      </c>
      <c r="H443" s="4"/>
      <c r="I443" s="23" t="str">
        <f aca="false">IF(OR($G443="",$H443=""),"",$G443&amp;"["&amp;$H443&amp;"]")</f>
        <v/>
      </c>
      <c r="J443" s="23" t="str">
        <f aca="false">IFERROR(INDEX(Cablage!$A:$A,MATCH($I443,Cablage!$F:$F,0)),"")</f>
        <v/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customFormat="false" ht="15" hidden="false" customHeight="true" outlineLevel="0" collapsed="false">
      <c r="A444" s="22"/>
      <c r="B444" s="22"/>
      <c r="C444" s="4"/>
      <c r="D444" s="4"/>
      <c r="E444" s="4"/>
      <c r="F444" s="23" t="str">
        <f aca="false">IFERROR(IF(OR($B444="",$C444=""),"",INDEX('Cartes API'!$J:$J,MATCH($B444,'Cartes API'!$A:$A,0))&amp;INDEX('Cartes API'!$B:$B,MATCH($B444,'Cartes API'!$A:$A,0))&amp;"."&amp;INDEX('Cartes API'!$C:$C,MATCH($B444,'Cartes API'!$A:$A,0))&amp;"."&amp;$C444),"")</f>
        <v/>
      </c>
      <c r="G444" s="23" t="str">
        <f aca="false">IFERROR(IF($B444="","",INDEX('Cartes API'!$H:$H,MATCH($B444,'Cartes API'!$A:$A,0))),"")</f>
        <v/>
      </c>
      <c r="H444" s="4"/>
      <c r="I444" s="23" t="str">
        <f aca="false">IF(OR($G444="",$H444=""),"",$G444&amp;"["&amp;$H444&amp;"]")</f>
        <v/>
      </c>
      <c r="J444" s="23" t="str">
        <f aca="false">IFERROR(INDEX(Cablage!$A:$A,MATCH($I444,Cablage!$F:$F,0)),"")</f>
        <v/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customFormat="false" ht="15" hidden="false" customHeight="true" outlineLevel="0" collapsed="false">
      <c r="A445" s="22"/>
      <c r="B445" s="22"/>
      <c r="C445" s="4"/>
      <c r="D445" s="4"/>
      <c r="E445" s="4"/>
      <c r="F445" s="23" t="str">
        <f aca="false">IFERROR(IF(OR($B445="",$C445=""),"",INDEX('Cartes API'!$J:$J,MATCH($B445,'Cartes API'!$A:$A,0))&amp;INDEX('Cartes API'!$B:$B,MATCH($B445,'Cartes API'!$A:$A,0))&amp;"."&amp;INDEX('Cartes API'!$C:$C,MATCH($B445,'Cartes API'!$A:$A,0))&amp;"."&amp;$C445),"")</f>
        <v/>
      </c>
      <c r="G445" s="23" t="str">
        <f aca="false">IFERROR(IF($B445="","",INDEX('Cartes API'!$H:$H,MATCH($B445,'Cartes API'!$A:$A,0))),"")</f>
        <v/>
      </c>
      <c r="H445" s="4"/>
      <c r="I445" s="23" t="str">
        <f aca="false">IF(OR($G445="",$H445=""),"",$G445&amp;"["&amp;$H445&amp;"]")</f>
        <v/>
      </c>
      <c r="J445" s="23" t="str">
        <f aca="false">IFERROR(INDEX(Cablage!$A:$A,MATCH($I445,Cablage!$F:$F,0)),"")</f>
        <v/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customFormat="false" ht="15" hidden="false" customHeight="true" outlineLevel="0" collapsed="false">
      <c r="A446" s="22"/>
      <c r="B446" s="22"/>
      <c r="C446" s="4"/>
      <c r="D446" s="4"/>
      <c r="E446" s="4"/>
      <c r="F446" s="23" t="str">
        <f aca="false">IFERROR(IF(OR($B446="",$C446=""),"",INDEX('Cartes API'!$J:$J,MATCH($B446,'Cartes API'!$A:$A,0))&amp;INDEX('Cartes API'!$B:$B,MATCH($B446,'Cartes API'!$A:$A,0))&amp;"."&amp;INDEX('Cartes API'!$C:$C,MATCH($B446,'Cartes API'!$A:$A,0))&amp;"."&amp;$C446),"")</f>
        <v/>
      </c>
      <c r="G446" s="23" t="str">
        <f aca="false">IFERROR(IF($B446="","",INDEX('Cartes API'!$H:$H,MATCH($B446,'Cartes API'!$A:$A,0))),"")</f>
        <v/>
      </c>
      <c r="H446" s="4"/>
      <c r="I446" s="23" t="str">
        <f aca="false">IF(OR($G446="",$H446=""),"",$G446&amp;"["&amp;$H446&amp;"]")</f>
        <v/>
      </c>
      <c r="J446" s="23" t="str">
        <f aca="false">IFERROR(INDEX(Cablage!$A:$A,MATCH($I446,Cablage!$F:$F,0)),"")</f>
        <v/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customFormat="false" ht="15" hidden="false" customHeight="true" outlineLevel="0" collapsed="false">
      <c r="A447" s="22"/>
      <c r="B447" s="22"/>
      <c r="C447" s="4"/>
      <c r="D447" s="4"/>
      <c r="E447" s="4"/>
      <c r="F447" s="23" t="str">
        <f aca="false">IFERROR(IF(OR($B447="",$C447=""),"",INDEX('Cartes API'!$J:$J,MATCH($B447,'Cartes API'!$A:$A,0))&amp;INDEX('Cartes API'!$B:$B,MATCH($B447,'Cartes API'!$A:$A,0))&amp;"."&amp;INDEX('Cartes API'!$C:$C,MATCH($B447,'Cartes API'!$A:$A,0))&amp;"."&amp;$C447),"")</f>
        <v/>
      </c>
      <c r="G447" s="23" t="str">
        <f aca="false">IFERROR(IF($B447="","",INDEX('Cartes API'!$H:$H,MATCH($B447,'Cartes API'!$A:$A,0))),"")</f>
        <v/>
      </c>
      <c r="H447" s="4"/>
      <c r="I447" s="23" t="str">
        <f aca="false">IF(OR($G447="",$H447=""),"",$G447&amp;"["&amp;$H447&amp;"]")</f>
        <v/>
      </c>
      <c r="J447" s="23" t="str">
        <f aca="false">IFERROR(INDEX(Cablage!$A:$A,MATCH($I447,Cablage!$F:$F,0)),"")</f>
        <v/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customFormat="false" ht="15" hidden="false" customHeight="true" outlineLevel="0" collapsed="false">
      <c r="A448" s="22"/>
      <c r="B448" s="22"/>
      <c r="C448" s="4"/>
      <c r="D448" s="4"/>
      <c r="E448" s="4"/>
      <c r="F448" s="23" t="str">
        <f aca="false">IFERROR(IF(OR($B448="",$C448=""),"",INDEX('Cartes API'!$J:$J,MATCH($B448,'Cartes API'!$A:$A,0))&amp;INDEX('Cartes API'!$B:$B,MATCH($B448,'Cartes API'!$A:$A,0))&amp;"."&amp;INDEX('Cartes API'!$C:$C,MATCH($B448,'Cartes API'!$A:$A,0))&amp;"."&amp;$C448),"")</f>
        <v/>
      </c>
      <c r="G448" s="23" t="str">
        <f aca="false">IFERROR(IF($B448="","",INDEX('Cartes API'!$H:$H,MATCH($B448,'Cartes API'!$A:$A,0))),"")</f>
        <v/>
      </c>
      <c r="H448" s="4"/>
      <c r="I448" s="23" t="str">
        <f aca="false">IF(OR($G448="",$H448=""),"",$G448&amp;"["&amp;$H448&amp;"]")</f>
        <v/>
      </c>
      <c r="J448" s="23" t="str">
        <f aca="false">IFERROR(INDEX(Cablage!$A:$A,MATCH($I448,Cablage!$F:$F,0)),"")</f>
        <v/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customFormat="false" ht="15" hidden="false" customHeight="true" outlineLevel="0" collapsed="false">
      <c r="A449" s="22"/>
      <c r="B449" s="22"/>
      <c r="C449" s="4"/>
      <c r="D449" s="4"/>
      <c r="E449" s="4"/>
      <c r="F449" s="23" t="str">
        <f aca="false">IFERROR(IF(OR($B449="",$C449=""),"",INDEX('Cartes API'!$J:$J,MATCH($B449,'Cartes API'!$A:$A,0))&amp;INDEX('Cartes API'!$B:$B,MATCH($B449,'Cartes API'!$A:$A,0))&amp;"."&amp;INDEX('Cartes API'!$C:$C,MATCH($B449,'Cartes API'!$A:$A,0))&amp;"."&amp;$C449),"")</f>
        <v/>
      </c>
      <c r="G449" s="23" t="str">
        <f aca="false">IFERROR(IF($B449="","",INDEX('Cartes API'!$H:$H,MATCH($B449,'Cartes API'!$A:$A,0))),"")</f>
        <v/>
      </c>
      <c r="H449" s="4"/>
      <c r="I449" s="23" t="str">
        <f aca="false">IF(OR($G449="",$H449=""),"",$G449&amp;"["&amp;$H449&amp;"]")</f>
        <v/>
      </c>
      <c r="J449" s="23" t="str">
        <f aca="false">IFERROR(INDEX(Cablage!$A:$A,MATCH($I449,Cablage!$F:$F,0)),"")</f>
        <v/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customFormat="false" ht="15" hidden="false" customHeight="true" outlineLevel="0" collapsed="false">
      <c r="A450" s="22"/>
      <c r="B450" s="22"/>
      <c r="C450" s="4"/>
      <c r="D450" s="4"/>
      <c r="E450" s="4"/>
      <c r="F450" s="23" t="str">
        <f aca="false">IFERROR(IF(OR($B450="",$C450=""),"",INDEX('Cartes API'!$J:$J,MATCH($B450,'Cartes API'!$A:$A,0))&amp;INDEX('Cartes API'!$B:$B,MATCH($B450,'Cartes API'!$A:$A,0))&amp;"."&amp;INDEX('Cartes API'!$C:$C,MATCH($B450,'Cartes API'!$A:$A,0))&amp;"."&amp;$C450),"")</f>
        <v/>
      </c>
      <c r="G450" s="23" t="str">
        <f aca="false">IFERROR(IF($B450="","",INDEX('Cartes API'!$H:$H,MATCH($B450,'Cartes API'!$A:$A,0))),"")</f>
        <v/>
      </c>
      <c r="H450" s="4"/>
      <c r="I450" s="23" t="str">
        <f aca="false">IF(OR($G450="",$H450=""),"",$G450&amp;"["&amp;$H450&amp;"]")</f>
        <v/>
      </c>
      <c r="J450" s="23" t="str">
        <f aca="false">IFERROR(INDEX(Cablage!$A:$A,MATCH($I450,Cablage!$F:$F,0)),"")</f>
        <v/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customFormat="false" ht="15" hidden="false" customHeight="true" outlineLevel="0" collapsed="false">
      <c r="A451" s="22"/>
      <c r="B451" s="22"/>
      <c r="C451" s="4"/>
      <c r="D451" s="4"/>
      <c r="E451" s="4"/>
      <c r="F451" s="23" t="str">
        <f aca="false">IFERROR(IF(OR($B451="",$C451=""),"",INDEX('Cartes API'!$J:$J,MATCH($B451,'Cartes API'!$A:$A,0))&amp;INDEX('Cartes API'!$B:$B,MATCH($B451,'Cartes API'!$A:$A,0))&amp;"."&amp;INDEX('Cartes API'!$C:$C,MATCH($B451,'Cartes API'!$A:$A,0))&amp;"."&amp;$C451),"")</f>
        <v/>
      </c>
      <c r="G451" s="23" t="str">
        <f aca="false">IFERROR(IF($B451="","",INDEX('Cartes API'!$H:$H,MATCH($B451,'Cartes API'!$A:$A,0))),"")</f>
        <v/>
      </c>
      <c r="H451" s="4"/>
      <c r="I451" s="23" t="str">
        <f aca="false">IF(OR($G451="",$H451=""),"",$G451&amp;"["&amp;$H451&amp;"]")</f>
        <v/>
      </c>
      <c r="J451" s="23" t="str">
        <f aca="false">IFERROR(INDEX(Cablage!$A:$A,MATCH($I451,Cablage!$F:$F,0)),"")</f>
        <v/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customFormat="false" ht="15" hidden="false" customHeight="true" outlineLevel="0" collapsed="false">
      <c r="A452" s="22"/>
      <c r="B452" s="22"/>
      <c r="C452" s="4"/>
      <c r="D452" s="4"/>
      <c r="E452" s="4"/>
      <c r="F452" s="23" t="str">
        <f aca="false">IFERROR(IF(OR($B452="",$C452=""),"",INDEX('Cartes API'!$J:$J,MATCH($B452,'Cartes API'!$A:$A,0))&amp;INDEX('Cartes API'!$B:$B,MATCH($B452,'Cartes API'!$A:$A,0))&amp;"."&amp;INDEX('Cartes API'!$C:$C,MATCH($B452,'Cartes API'!$A:$A,0))&amp;"."&amp;$C452),"")</f>
        <v/>
      </c>
      <c r="G452" s="23" t="str">
        <f aca="false">IFERROR(IF($B452="","",INDEX('Cartes API'!$H:$H,MATCH($B452,'Cartes API'!$A:$A,0))),"")</f>
        <v/>
      </c>
      <c r="H452" s="4"/>
      <c r="I452" s="23" t="str">
        <f aca="false">IF(OR($G452="",$H452=""),"",$G452&amp;"["&amp;$H452&amp;"]")</f>
        <v/>
      </c>
      <c r="J452" s="23" t="str">
        <f aca="false">IFERROR(INDEX(Cablage!$A:$A,MATCH($I452,Cablage!$F:$F,0)),"")</f>
        <v/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customFormat="false" ht="15" hidden="false" customHeight="true" outlineLevel="0" collapsed="false">
      <c r="A453" s="22"/>
      <c r="B453" s="22"/>
      <c r="C453" s="4"/>
      <c r="D453" s="4"/>
      <c r="E453" s="4"/>
      <c r="F453" s="23" t="str">
        <f aca="false">IFERROR(IF(OR($B453="",$C453=""),"",INDEX('Cartes API'!$J:$J,MATCH($B453,'Cartes API'!$A:$A,0))&amp;INDEX('Cartes API'!$B:$B,MATCH($B453,'Cartes API'!$A:$A,0))&amp;"."&amp;INDEX('Cartes API'!$C:$C,MATCH($B453,'Cartes API'!$A:$A,0))&amp;"."&amp;$C453),"")</f>
        <v/>
      </c>
      <c r="G453" s="23" t="str">
        <f aca="false">IFERROR(IF($B453="","",INDEX('Cartes API'!$H:$H,MATCH($B453,'Cartes API'!$A:$A,0))),"")</f>
        <v/>
      </c>
      <c r="H453" s="4"/>
      <c r="I453" s="23" t="str">
        <f aca="false">IF(OR($G453="",$H453=""),"",$G453&amp;"["&amp;$H453&amp;"]")</f>
        <v/>
      </c>
      <c r="J453" s="23" t="str">
        <f aca="false">IFERROR(INDEX(Cablage!$A:$A,MATCH($I453,Cablage!$F:$F,0)),"")</f>
        <v/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customFormat="false" ht="15" hidden="false" customHeight="true" outlineLevel="0" collapsed="false">
      <c r="A454" s="22"/>
      <c r="B454" s="22"/>
      <c r="C454" s="4"/>
      <c r="D454" s="4"/>
      <c r="E454" s="4"/>
      <c r="F454" s="23" t="str">
        <f aca="false">IFERROR(IF(OR($B454="",$C454=""),"",INDEX('Cartes API'!$J:$J,MATCH($B454,'Cartes API'!$A:$A,0))&amp;INDEX('Cartes API'!$B:$B,MATCH($B454,'Cartes API'!$A:$A,0))&amp;"."&amp;INDEX('Cartes API'!$C:$C,MATCH($B454,'Cartes API'!$A:$A,0))&amp;"."&amp;$C454),"")</f>
        <v/>
      </c>
      <c r="G454" s="23" t="str">
        <f aca="false">IFERROR(IF($B454="","",INDEX('Cartes API'!$H:$H,MATCH($B454,'Cartes API'!$A:$A,0))),"")</f>
        <v/>
      </c>
      <c r="H454" s="4"/>
      <c r="I454" s="23" t="str">
        <f aca="false">IF(OR($G454="",$H454=""),"",$G454&amp;"["&amp;$H454&amp;"]")</f>
        <v/>
      </c>
      <c r="J454" s="23" t="str">
        <f aca="false">IFERROR(INDEX(Cablage!$A:$A,MATCH($I454,Cablage!$F:$F,0)),"")</f>
        <v/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customFormat="false" ht="15" hidden="false" customHeight="true" outlineLevel="0" collapsed="false">
      <c r="A455" s="22"/>
      <c r="B455" s="22"/>
      <c r="C455" s="4"/>
      <c r="D455" s="4"/>
      <c r="E455" s="4"/>
      <c r="F455" s="23" t="str">
        <f aca="false">IFERROR(IF(OR($B455="",$C455=""),"",INDEX('Cartes API'!$J:$J,MATCH($B455,'Cartes API'!$A:$A,0))&amp;INDEX('Cartes API'!$B:$B,MATCH($B455,'Cartes API'!$A:$A,0))&amp;"."&amp;INDEX('Cartes API'!$C:$C,MATCH($B455,'Cartes API'!$A:$A,0))&amp;"."&amp;$C455),"")</f>
        <v/>
      </c>
      <c r="G455" s="23" t="str">
        <f aca="false">IFERROR(IF($B455="","",INDEX('Cartes API'!$H:$H,MATCH($B455,'Cartes API'!$A:$A,0))),"")</f>
        <v/>
      </c>
      <c r="H455" s="4"/>
      <c r="I455" s="23" t="str">
        <f aca="false">IF(OR($G455="",$H455=""),"",$G455&amp;"["&amp;$H455&amp;"]")</f>
        <v/>
      </c>
      <c r="J455" s="23" t="str">
        <f aca="false">IFERROR(INDEX(Cablage!$A:$A,MATCH($I455,Cablage!$F:$F,0)),"")</f>
        <v/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customFormat="false" ht="15" hidden="false" customHeight="true" outlineLevel="0" collapsed="false">
      <c r="A456" s="22"/>
      <c r="B456" s="22"/>
      <c r="C456" s="4"/>
      <c r="D456" s="4"/>
      <c r="E456" s="4"/>
      <c r="F456" s="23" t="str">
        <f aca="false">IFERROR(IF(OR($B456="",$C456=""),"",INDEX('Cartes API'!$J:$J,MATCH($B456,'Cartes API'!$A:$A,0))&amp;INDEX('Cartes API'!$B:$B,MATCH($B456,'Cartes API'!$A:$A,0))&amp;"."&amp;INDEX('Cartes API'!$C:$C,MATCH($B456,'Cartes API'!$A:$A,0))&amp;"."&amp;$C456),"")</f>
        <v/>
      </c>
      <c r="G456" s="23" t="str">
        <f aca="false">IFERROR(IF($B456="","",INDEX('Cartes API'!$H:$H,MATCH($B456,'Cartes API'!$A:$A,0))),"")</f>
        <v/>
      </c>
      <c r="H456" s="4"/>
      <c r="I456" s="23" t="str">
        <f aca="false">IF(OR($G456="",$H456=""),"",$G456&amp;"["&amp;$H456&amp;"]")</f>
        <v/>
      </c>
      <c r="J456" s="23" t="str">
        <f aca="false">IFERROR(INDEX(Cablage!$A:$A,MATCH($I456,Cablage!$F:$F,0)),"")</f>
        <v/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customFormat="false" ht="15" hidden="false" customHeight="true" outlineLevel="0" collapsed="false">
      <c r="A457" s="22"/>
      <c r="B457" s="22"/>
      <c r="C457" s="4"/>
      <c r="D457" s="4"/>
      <c r="E457" s="4"/>
      <c r="F457" s="23" t="str">
        <f aca="false">IFERROR(IF(OR($B457="",$C457=""),"",INDEX('Cartes API'!$J:$J,MATCH($B457,'Cartes API'!$A:$A,0))&amp;INDEX('Cartes API'!$B:$B,MATCH($B457,'Cartes API'!$A:$A,0))&amp;"."&amp;INDEX('Cartes API'!$C:$C,MATCH($B457,'Cartes API'!$A:$A,0))&amp;"."&amp;$C457),"")</f>
        <v/>
      </c>
      <c r="G457" s="23" t="str">
        <f aca="false">IFERROR(IF($B457="","",INDEX('Cartes API'!$H:$H,MATCH($B457,'Cartes API'!$A:$A,0))),"")</f>
        <v/>
      </c>
      <c r="H457" s="4"/>
      <c r="I457" s="23" t="str">
        <f aca="false">IF(OR($G457="",$H457=""),"",$G457&amp;"["&amp;$H457&amp;"]")</f>
        <v/>
      </c>
      <c r="J457" s="23" t="str">
        <f aca="false">IFERROR(INDEX(Cablage!$A:$A,MATCH($I457,Cablage!$F:$F,0)),"")</f>
        <v/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customFormat="false" ht="15" hidden="false" customHeight="true" outlineLevel="0" collapsed="false">
      <c r="A458" s="22"/>
      <c r="B458" s="22"/>
      <c r="C458" s="4"/>
      <c r="D458" s="4"/>
      <c r="E458" s="4"/>
      <c r="F458" s="23" t="str">
        <f aca="false">IFERROR(IF(OR($B458="",$C458=""),"",INDEX('Cartes API'!$J:$J,MATCH($B458,'Cartes API'!$A:$A,0))&amp;INDEX('Cartes API'!$B:$B,MATCH($B458,'Cartes API'!$A:$A,0))&amp;"."&amp;INDEX('Cartes API'!$C:$C,MATCH($B458,'Cartes API'!$A:$A,0))&amp;"."&amp;$C458),"")</f>
        <v/>
      </c>
      <c r="G458" s="23" t="str">
        <f aca="false">IFERROR(IF($B458="","",INDEX('Cartes API'!$H:$H,MATCH($B458,'Cartes API'!$A:$A,0))),"")</f>
        <v/>
      </c>
      <c r="H458" s="4"/>
      <c r="I458" s="23" t="str">
        <f aca="false">IF(OR($G458="",$H458=""),"",$G458&amp;"["&amp;$H458&amp;"]")</f>
        <v/>
      </c>
      <c r="J458" s="23" t="str">
        <f aca="false">IFERROR(INDEX(Cablage!$A:$A,MATCH($I458,Cablage!$F:$F,0)),"")</f>
        <v/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customFormat="false" ht="15" hidden="false" customHeight="true" outlineLevel="0" collapsed="false">
      <c r="A459" s="22"/>
      <c r="B459" s="22"/>
      <c r="C459" s="4"/>
      <c r="D459" s="4"/>
      <c r="E459" s="4"/>
      <c r="F459" s="23" t="str">
        <f aca="false">IFERROR(IF(OR($B459="",$C459=""),"",INDEX('Cartes API'!$J:$J,MATCH($B459,'Cartes API'!$A:$A,0))&amp;INDEX('Cartes API'!$B:$B,MATCH($B459,'Cartes API'!$A:$A,0))&amp;"."&amp;INDEX('Cartes API'!$C:$C,MATCH($B459,'Cartes API'!$A:$A,0))&amp;"."&amp;$C459),"")</f>
        <v/>
      </c>
      <c r="G459" s="23" t="str">
        <f aca="false">IFERROR(IF($B459="","",INDEX('Cartes API'!$H:$H,MATCH($B459,'Cartes API'!$A:$A,0))),"")</f>
        <v/>
      </c>
      <c r="H459" s="4"/>
      <c r="I459" s="23" t="str">
        <f aca="false">IF(OR($G459="",$H459=""),"",$G459&amp;"["&amp;$H459&amp;"]")</f>
        <v/>
      </c>
      <c r="J459" s="23" t="str">
        <f aca="false">IFERROR(INDEX(Cablage!$A:$A,MATCH($I459,Cablage!$F:$F,0)),"")</f>
        <v/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customFormat="false" ht="15" hidden="false" customHeight="true" outlineLevel="0" collapsed="false">
      <c r="A460" s="22"/>
      <c r="B460" s="22"/>
      <c r="C460" s="4"/>
      <c r="D460" s="4"/>
      <c r="E460" s="4"/>
      <c r="F460" s="23" t="str">
        <f aca="false">IFERROR(IF(OR($B460="",$C460=""),"",INDEX('Cartes API'!$J:$J,MATCH($B460,'Cartes API'!$A:$A,0))&amp;INDEX('Cartes API'!$B:$B,MATCH($B460,'Cartes API'!$A:$A,0))&amp;"."&amp;INDEX('Cartes API'!$C:$C,MATCH($B460,'Cartes API'!$A:$A,0))&amp;"."&amp;$C460),"")</f>
        <v/>
      </c>
      <c r="G460" s="23" t="str">
        <f aca="false">IFERROR(IF($B460="","",INDEX('Cartes API'!$H:$H,MATCH($B460,'Cartes API'!$A:$A,0))),"")</f>
        <v/>
      </c>
      <c r="H460" s="4"/>
      <c r="I460" s="23" t="str">
        <f aca="false">IF(OR($G460="",$H460=""),"",$G460&amp;"["&amp;$H460&amp;"]")</f>
        <v/>
      </c>
      <c r="J460" s="23" t="str">
        <f aca="false">IFERROR(INDEX(Cablage!$A:$A,MATCH($I460,Cablage!$F:$F,0)),"")</f>
        <v/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customFormat="false" ht="15" hidden="false" customHeight="true" outlineLevel="0" collapsed="false">
      <c r="A461" s="22"/>
      <c r="B461" s="22"/>
      <c r="C461" s="4"/>
      <c r="D461" s="4"/>
      <c r="E461" s="4"/>
      <c r="F461" s="23" t="str">
        <f aca="false">IFERROR(IF(OR($B461="",$C461=""),"",INDEX('Cartes API'!$J:$J,MATCH($B461,'Cartes API'!$A:$A,0))&amp;INDEX('Cartes API'!$B:$B,MATCH($B461,'Cartes API'!$A:$A,0))&amp;"."&amp;INDEX('Cartes API'!$C:$C,MATCH($B461,'Cartes API'!$A:$A,0))&amp;"."&amp;$C461),"")</f>
        <v/>
      </c>
      <c r="G461" s="23" t="str">
        <f aca="false">IFERROR(IF($B461="","",INDEX('Cartes API'!$H:$H,MATCH($B461,'Cartes API'!$A:$A,0))),"")</f>
        <v/>
      </c>
      <c r="H461" s="4"/>
      <c r="I461" s="23" t="str">
        <f aca="false">IF(OR($G461="",$H461=""),"",$G461&amp;"["&amp;$H461&amp;"]")</f>
        <v/>
      </c>
      <c r="J461" s="23" t="str">
        <f aca="false">IFERROR(INDEX(Cablage!$A:$A,MATCH($I461,Cablage!$F:$F,0)),"")</f>
        <v/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customFormat="false" ht="15" hidden="false" customHeight="true" outlineLevel="0" collapsed="false">
      <c r="A462" s="22"/>
      <c r="B462" s="22"/>
      <c r="C462" s="4"/>
      <c r="D462" s="4"/>
      <c r="E462" s="4"/>
      <c r="F462" s="23" t="str">
        <f aca="false">IFERROR(IF(OR($B462="",$C462=""),"",INDEX('Cartes API'!$J:$J,MATCH($B462,'Cartes API'!$A:$A,0))&amp;INDEX('Cartes API'!$B:$B,MATCH($B462,'Cartes API'!$A:$A,0))&amp;"."&amp;INDEX('Cartes API'!$C:$C,MATCH($B462,'Cartes API'!$A:$A,0))&amp;"."&amp;$C462),"")</f>
        <v/>
      </c>
      <c r="G462" s="23" t="str">
        <f aca="false">IFERROR(IF($B462="","",INDEX('Cartes API'!$H:$H,MATCH($B462,'Cartes API'!$A:$A,0))),"")</f>
        <v/>
      </c>
      <c r="H462" s="4"/>
      <c r="I462" s="23" t="str">
        <f aca="false">IF(OR($G462="",$H462=""),"",$G462&amp;"["&amp;$H462&amp;"]")</f>
        <v/>
      </c>
      <c r="J462" s="23" t="str">
        <f aca="false">IFERROR(INDEX(Cablage!$A:$A,MATCH($I462,Cablage!$F:$F,0)),"")</f>
        <v/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customFormat="false" ht="15" hidden="false" customHeight="true" outlineLevel="0" collapsed="false">
      <c r="A463" s="22"/>
      <c r="B463" s="22"/>
      <c r="C463" s="4"/>
      <c r="D463" s="4"/>
      <c r="E463" s="4"/>
      <c r="F463" s="23" t="str">
        <f aca="false">IFERROR(IF(OR($B463="",$C463=""),"",INDEX('Cartes API'!$J:$J,MATCH($B463,'Cartes API'!$A:$A,0))&amp;INDEX('Cartes API'!$B:$B,MATCH($B463,'Cartes API'!$A:$A,0))&amp;"."&amp;INDEX('Cartes API'!$C:$C,MATCH($B463,'Cartes API'!$A:$A,0))&amp;"."&amp;$C463),"")</f>
        <v/>
      </c>
      <c r="G463" s="23" t="str">
        <f aca="false">IFERROR(IF($B463="","",INDEX('Cartes API'!$H:$H,MATCH($B463,'Cartes API'!$A:$A,0))),"")</f>
        <v/>
      </c>
      <c r="H463" s="4"/>
      <c r="I463" s="23" t="str">
        <f aca="false">IF(OR($G463="",$H463=""),"",$G463&amp;"["&amp;$H463&amp;"]")</f>
        <v/>
      </c>
      <c r="J463" s="23" t="str">
        <f aca="false">IFERROR(INDEX(Cablage!$A:$A,MATCH($I463,Cablage!$F:$F,0)),"")</f>
        <v/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customFormat="false" ht="15" hidden="false" customHeight="true" outlineLevel="0" collapsed="false">
      <c r="A464" s="22"/>
      <c r="B464" s="22"/>
      <c r="C464" s="4"/>
      <c r="D464" s="4"/>
      <c r="E464" s="4"/>
      <c r="F464" s="23" t="str">
        <f aca="false">IFERROR(IF(OR($B464="",$C464=""),"",INDEX('Cartes API'!$J:$J,MATCH($B464,'Cartes API'!$A:$A,0))&amp;INDEX('Cartes API'!$B:$B,MATCH($B464,'Cartes API'!$A:$A,0))&amp;"."&amp;INDEX('Cartes API'!$C:$C,MATCH($B464,'Cartes API'!$A:$A,0))&amp;"."&amp;$C464),"")</f>
        <v/>
      </c>
      <c r="G464" s="23" t="str">
        <f aca="false">IFERROR(IF($B464="","",INDEX('Cartes API'!$H:$H,MATCH($B464,'Cartes API'!$A:$A,0))),"")</f>
        <v/>
      </c>
      <c r="H464" s="4"/>
      <c r="I464" s="23" t="str">
        <f aca="false">IF(OR($G464="",$H464=""),"",$G464&amp;"["&amp;$H464&amp;"]")</f>
        <v/>
      </c>
      <c r="J464" s="23" t="str">
        <f aca="false">IFERROR(INDEX(Cablage!$A:$A,MATCH($I464,Cablage!$F:$F,0)),"")</f>
        <v/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customFormat="false" ht="15" hidden="false" customHeight="true" outlineLevel="0" collapsed="false">
      <c r="A465" s="22"/>
      <c r="B465" s="22"/>
      <c r="C465" s="4"/>
      <c r="D465" s="4"/>
      <c r="E465" s="4"/>
      <c r="F465" s="23" t="str">
        <f aca="false">IFERROR(IF(OR($B465="",$C465=""),"",INDEX('Cartes API'!$J:$J,MATCH($B465,'Cartes API'!$A:$A,0))&amp;INDEX('Cartes API'!$B:$B,MATCH($B465,'Cartes API'!$A:$A,0))&amp;"."&amp;INDEX('Cartes API'!$C:$C,MATCH($B465,'Cartes API'!$A:$A,0))&amp;"."&amp;$C465),"")</f>
        <v/>
      </c>
      <c r="G465" s="23" t="str">
        <f aca="false">IFERROR(IF($B465="","",INDEX('Cartes API'!$H:$H,MATCH($B465,'Cartes API'!$A:$A,0))),"")</f>
        <v/>
      </c>
      <c r="H465" s="4"/>
      <c r="I465" s="23" t="str">
        <f aca="false">IF(OR($G465="",$H465=""),"",$G465&amp;"["&amp;$H465&amp;"]")</f>
        <v/>
      </c>
      <c r="J465" s="23" t="str">
        <f aca="false">IFERROR(INDEX(Cablage!$A:$A,MATCH($I465,Cablage!$F:$F,0)),"")</f>
        <v/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customFormat="false" ht="15" hidden="false" customHeight="true" outlineLevel="0" collapsed="false">
      <c r="A466" s="22"/>
      <c r="B466" s="22"/>
      <c r="C466" s="4"/>
      <c r="D466" s="4"/>
      <c r="E466" s="4"/>
      <c r="F466" s="23" t="str">
        <f aca="false">IFERROR(IF(OR($B466="",$C466=""),"",INDEX('Cartes API'!$J:$J,MATCH($B466,'Cartes API'!$A:$A,0))&amp;INDEX('Cartes API'!$B:$B,MATCH($B466,'Cartes API'!$A:$A,0))&amp;"."&amp;INDEX('Cartes API'!$C:$C,MATCH($B466,'Cartes API'!$A:$A,0))&amp;"."&amp;$C466),"")</f>
        <v/>
      </c>
      <c r="G466" s="23" t="str">
        <f aca="false">IFERROR(IF($B466="","",INDEX('Cartes API'!$H:$H,MATCH($B466,'Cartes API'!$A:$A,0))),"")</f>
        <v/>
      </c>
      <c r="H466" s="4"/>
      <c r="I466" s="23" t="str">
        <f aca="false">IF(OR($G466="",$H466=""),"",$G466&amp;"["&amp;$H466&amp;"]")</f>
        <v/>
      </c>
      <c r="J466" s="23" t="str">
        <f aca="false">IFERROR(INDEX(Cablage!$A:$A,MATCH($I466,Cablage!$F:$F,0)),"")</f>
        <v/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customFormat="false" ht="15" hidden="false" customHeight="true" outlineLevel="0" collapsed="false">
      <c r="A467" s="22"/>
      <c r="B467" s="22"/>
      <c r="C467" s="4"/>
      <c r="D467" s="4"/>
      <c r="E467" s="4"/>
      <c r="F467" s="23" t="str">
        <f aca="false">IFERROR(IF(OR($B467="",$C467=""),"",INDEX('Cartes API'!$J:$J,MATCH($B467,'Cartes API'!$A:$A,0))&amp;INDEX('Cartes API'!$B:$B,MATCH($B467,'Cartes API'!$A:$A,0))&amp;"."&amp;INDEX('Cartes API'!$C:$C,MATCH($B467,'Cartes API'!$A:$A,0))&amp;"."&amp;$C467),"")</f>
        <v/>
      </c>
      <c r="G467" s="23" t="str">
        <f aca="false">IFERROR(IF($B467="","",INDEX('Cartes API'!$H:$H,MATCH($B467,'Cartes API'!$A:$A,0))),"")</f>
        <v/>
      </c>
      <c r="H467" s="4"/>
      <c r="I467" s="23" t="str">
        <f aca="false">IF(OR($G467="",$H467=""),"",$G467&amp;"["&amp;$H467&amp;"]")</f>
        <v/>
      </c>
      <c r="J467" s="23" t="str">
        <f aca="false">IFERROR(INDEX(Cablage!$A:$A,MATCH($I467,Cablage!$F:$F,0)),"")</f>
        <v/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customFormat="false" ht="15" hidden="false" customHeight="true" outlineLevel="0" collapsed="false">
      <c r="A468" s="22"/>
      <c r="B468" s="22"/>
      <c r="C468" s="4"/>
      <c r="D468" s="4"/>
      <c r="E468" s="4"/>
      <c r="F468" s="23" t="str">
        <f aca="false">IFERROR(IF(OR($B468="",$C468=""),"",INDEX('Cartes API'!$J:$J,MATCH($B468,'Cartes API'!$A:$A,0))&amp;INDEX('Cartes API'!$B:$B,MATCH($B468,'Cartes API'!$A:$A,0))&amp;"."&amp;INDEX('Cartes API'!$C:$C,MATCH($B468,'Cartes API'!$A:$A,0))&amp;"."&amp;$C468),"")</f>
        <v/>
      </c>
      <c r="G468" s="23" t="str">
        <f aca="false">IFERROR(IF($B468="","",INDEX('Cartes API'!$H:$H,MATCH($B468,'Cartes API'!$A:$A,0))),"")</f>
        <v/>
      </c>
      <c r="H468" s="4"/>
      <c r="I468" s="23" t="str">
        <f aca="false">IF(OR($G468="",$H468=""),"",$G468&amp;"["&amp;$H468&amp;"]")</f>
        <v/>
      </c>
      <c r="J468" s="23" t="str">
        <f aca="false">IFERROR(INDEX(Cablage!$A:$A,MATCH($I468,Cablage!$F:$F,0)),"")</f>
        <v/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customFormat="false" ht="15" hidden="false" customHeight="true" outlineLevel="0" collapsed="false">
      <c r="A469" s="22"/>
      <c r="B469" s="22"/>
      <c r="C469" s="4"/>
      <c r="D469" s="4"/>
      <c r="E469" s="4"/>
      <c r="F469" s="23" t="str">
        <f aca="false">IFERROR(IF(OR($B469="",$C469=""),"",INDEX('Cartes API'!$J:$J,MATCH($B469,'Cartes API'!$A:$A,0))&amp;INDEX('Cartes API'!$B:$B,MATCH($B469,'Cartes API'!$A:$A,0))&amp;"."&amp;INDEX('Cartes API'!$C:$C,MATCH($B469,'Cartes API'!$A:$A,0))&amp;"."&amp;$C469),"")</f>
        <v/>
      </c>
      <c r="G469" s="23" t="str">
        <f aca="false">IFERROR(IF($B469="","",INDEX('Cartes API'!$H:$H,MATCH($B469,'Cartes API'!$A:$A,0))),"")</f>
        <v/>
      </c>
      <c r="H469" s="4"/>
      <c r="I469" s="23" t="str">
        <f aca="false">IF(OR($G469="",$H469=""),"",$G469&amp;"["&amp;$H469&amp;"]")</f>
        <v/>
      </c>
      <c r="J469" s="23" t="str">
        <f aca="false">IFERROR(INDEX(Cablage!$A:$A,MATCH($I469,Cablage!$F:$F,0)),"")</f>
        <v/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customFormat="false" ht="15" hidden="false" customHeight="true" outlineLevel="0" collapsed="false">
      <c r="A470" s="22"/>
      <c r="B470" s="22"/>
      <c r="C470" s="4"/>
      <c r="D470" s="4"/>
      <c r="E470" s="4"/>
      <c r="F470" s="23" t="str">
        <f aca="false">IFERROR(IF(OR($B470="",$C470=""),"",INDEX('Cartes API'!$J:$J,MATCH($B470,'Cartes API'!$A:$A,0))&amp;INDEX('Cartes API'!$B:$B,MATCH($B470,'Cartes API'!$A:$A,0))&amp;"."&amp;INDEX('Cartes API'!$C:$C,MATCH($B470,'Cartes API'!$A:$A,0))&amp;"."&amp;$C470),"")</f>
        <v/>
      </c>
      <c r="G470" s="23" t="str">
        <f aca="false">IFERROR(IF($B470="","",INDEX('Cartes API'!$H:$H,MATCH($B470,'Cartes API'!$A:$A,0))),"")</f>
        <v/>
      </c>
      <c r="H470" s="4"/>
      <c r="I470" s="23" t="str">
        <f aca="false">IF(OR($G470="",$H470=""),"",$G470&amp;"["&amp;$H470&amp;"]")</f>
        <v/>
      </c>
      <c r="J470" s="23" t="str">
        <f aca="false">IFERROR(INDEX(Cablage!$A:$A,MATCH($I470,Cablage!$F:$F,0)),"")</f>
        <v/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customFormat="false" ht="15" hidden="false" customHeight="true" outlineLevel="0" collapsed="false">
      <c r="A471" s="22"/>
      <c r="B471" s="22"/>
      <c r="C471" s="4"/>
      <c r="D471" s="4"/>
      <c r="E471" s="4"/>
      <c r="F471" s="23" t="str">
        <f aca="false">IFERROR(IF(OR($B471="",$C471=""),"",INDEX('Cartes API'!$J:$J,MATCH($B471,'Cartes API'!$A:$A,0))&amp;INDEX('Cartes API'!$B:$B,MATCH($B471,'Cartes API'!$A:$A,0))&amp;"."&amp;INDEX('Cartes API'!$C:$C,MATCH($B471,'Cartes API'!$A:$A,0))&amp;"."&amp;$C471),"")</f>
        <v/>
      </c>
      <c r="G471" s="23" t="str">
        <f aca="false">IFERROR(IF($B471="","",INDEX('Cartes API'!$H:$H,MATCH($B471,'Cartes API'!$A:$A,0))),"")</f>
        <v/>
      </c>
      <c r="H471" s="4"/>
      <c r="I471" s="23" t="str">
        <f aca="false">IF(OR($G471="",$H471=""),"",$G471&amp;"["&amp;$H471&amp;"]")</f>
        <v/>
      </c>
      <c r="J471" s="23" t="str">
        <f aca="false">IFERROR(INDEX(Cablage!$A:$A,MATCH($I471,Cablage!$F:$F,0)),"")</f>
        <v/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customFormat="false" ht="15" hidden="false" customHeight="true" outlineLevel="0" collapsed="false">
      <c r="A472" s="22"/>
      <c r="B472" s="22"/>
      <c r="C472" s="4"/>
      <c r="D472" s="4"/>
      <c r="E472" s="4"/>
      <c r="F472" s="23" t="str">
        <f aca="false">IFERROR(IF(OR($B472="",$C472=""),"",INDEX('Cartes API'!$J:$J,MATCH($B472,'Cartes API'!$A:$A,0))&amp;INDEX('Cartes API'!$B:$B,MATCH($B472,'Cartes API'!$A:$A,0))&amp;"."&amp;INDEX('Cartes API'!$C:$C,MATCH($B472,'Cartes API'!$A:$A,0))&amp;"."&amp;$C472),"")</f>
        <v/>
      </c>
      <c r="G472" s="23" t="str">
        <f aca="false">IFERROR(IF($B472="","",INDEX('Cartes API'!$H:$H,MATCH($B472,'Cartes API'!$A:$A,0))),"")</f>
        <v/>
      </c>
      <c r="H472" s="4"/>
      <c r="I472" s="23" t="str">
        <f aca="false">IF(OR($G472="",$H472=""),"",$G472&amp;"["&amp;$H472&amp;"]")</f>
        <v/>
      </c>
      <c r="J472" s="23" t="str">
        <f aca="false">IFERROR(INDEX(Cablage!$A:$A,MATCH($I472,Cablage!$F:$F,0)),"")</f>
        <v/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customFormat="false" ht="15" hidden="false" customHeight="true" outlineLevel="0" collapsed="false">
      <c r="A473" s="22"/>
      <c r="B473" s="22"/>
      <c r="C473" s="4"/>
      <c r="D473" s="4"/>
      <c r="E473" s="4"/>
      <c r="F473" s="23" t="str">
        <f aca="false">IFERROR(IF(OR($B473="",$C473=""),"",INDEX('Cartes API'!$J:$J,MATCH($B473,'Cartes API'!$A:$A,0))&amp;INDEX('Cartes API'!$B:$B,MATCH($B473,'Cartes API'!$A:$A,0))&amp;"."&amp;INDEX('Cartes API'!$C:$C,MATCH($B473,'Cartes API'!$A:$A,0))&amp;"."&amp;$C473),"")</f>
        <v/>
      </c>
      <c r="G473" s="23" t="str">
        <f aca="false">IFERROR(IF($B473="","",INDEX('Cartes API'!$H:$H,MATCH($B473,'Cartes API'!$A:$A,0))),"")</f>
        <v/>
      </c>
      <c r="H473" s="4"/>
      <c r="I473" s="23" t="str">
        <f aca="false">IF(OR($G473="",$H473=""),"",$G473&amp;"["&amp;$H473&amp;"]")</f>
        <v/>
      </c>
      <c r="J473" s="23" t="str">
        <f aca="false">IFERROR(INDEX(Cablage!$A:$A,MATCH($I473,Cablage!$F:$F,0)),"")</f>
        <v/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customFormat="false" ht="15" hidden="false" customHeight="true" outlineLevel="0" collapsed="false">
      <c r="A474" s="22"/>
      <c r="B474" s="22"/>
      <c r="C474" s="4"/>
      <c r="D474" s="4"/>
      <c r="E474" s="4"/>
      <c r="F474" s="23" t="str">
        <f aca="false">IFERROR(IF(OR($B474="",$C474=""),"",INDEX('Cartes API'!$J:$J,MATCH($B474,'Cartes API'!$A:$A,0))&amp;INDEX('Cartes API'!$B:$B,MATCH($B474,'Cartes API'!$A:$A,0))&amp;"."&amp;INDEX('Cartes API'!$C:$C,MATCH($B474,'Cartes API'!$A:$A,0))&amp;"."&amp;$C474),"")</f>
        <v/>
      </c>
      <c r="G474" s="23" t="str">
        <f aca="false">IFERROR(IF($B474="","",INDEX('Cartes API'!$H:$H,MATCH($B474,'Cartes API'!$A:$A,0))),"")</f>
        <v/>
      </c>
      <c r="H474" s="4"/>
      <c r="I474" s="23" t="str">
        <f aca="false">IF(OR($G474="",$H474=""),"",$G474&amp;"["&amp;$H474&amp;"]")</f>
        <v/>
      </c>
      <c r="J474" s="23" t="str">
        <f aca="false">IFERROR(INDEX(Cablage!$A:$A,MATCH($I474,Cablage!$F:$F,0)),"")</f>
        <v/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customFormat="false" ht="15" hidden="false" customHeight="true" outlineLevel="0" collapsed="false">
      <c r="A475" s="22"/>
      <c r="B475" s="22"/>
      <c r="C475" s="4"/>
      <c r="D475" s="4"/>
      <c r="E475" s="4"/>
      <c r="F475" s="23" t="str">
        <f aca="false">IFERROR(IF(OR($B475="",$C475=""),"",INDEX('Cartes API'!$J:$J,MATCH($B475,'Cartes API'!$A:$A,0))&amp;INDEX('Cartes API'!$B:$B,MATCH($B475,'Cartes API'!$A:$A,0))&amp;"."&amp;INDEX('Cartes API'!$C:$C,MATCH($B475,'Cartes API'!$A:$A,0))&amp;"."&amp;$C475),"")</f>
        <v/>
      </c>
      <c r="G475" s="23" t="str">
        <f aca="false">IFERROR(IF($B475="","",INDEX('Cartes API'!$H:$H,MATCH($B475,'Cartes API'!$A:$A,0))),"")</f>
        <v/>
      </c>
      <c r="H475" s="4"/>
      <c r="I475" s="23" t="str">
        <f aca="false">IF(OR($G475="",$H475=""),"",$G475&amp;"["&amp;$H475&amp;"]")</f>
        <v/>
      </c>
      <c r="J475" s="23" t="str">
        <f aca="false">IFERROR(INDEX(Cablage!$A:$A,MATCH($I475,Cablage!$F:$F,0)),"")</f>
        <v/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customFormat="false" ht="15" hidden="false" customHeight="true" outlineLevel="0" collapsed="false">
      <c r="A476" s="22"/>
      <c r="B476" s="22"/>
      <c r="C476" s="4"/>
      <c r="D476" s="4"/>
      <c r="E476" s="4"/>
      <c r="F476" s="23" t="str">
        <f aca="false">IFERROR(IF(OR($B476="",$C476=""),"",INDEX('Cartes API'!$J:$J,MATCH($B476,'Cartes API'!$A:$A,0))&amp;INDEX('Cartes API'!$B:$B,MATCH($B476,'Cartes API'!$A:$A,0))&amp;"."&amp;INDEX('Cartes API'!$C:$C,MATCH($B476,'Cartes API'!$A:$A,0))&amp;"."&amp;$C476),"")</f>
        <v/>
      </c>
      <c r="G476" s="23" t="str">
        <f aca="false">IFERROR(IF($B476="","",INDEX('Cartes API'!$H:$H,MATCH($B476,'Cartes API'!$A:$A,0))),"")</f>
        <v/>
      </c>
      <c r="H476" s="4"/>
      <c r="I476" s="23" t="str">
        <f aca="false">IF(OR($G476="",$H476=""),"",$G476&amp;"["&amp;$H476&amp;"]")</f>
        <v/>
      </c>
      <c r="J476" s="23" t="str">
        <f aca="false">IFERROR(INDEX(Cablage!$A:$A,MATCH($I476,Cablage!$F:$F,0)),"")</f>
        <v/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customFormat="false" ht="15" hidden="false" customHeight="true" outlineLevel="0" collapsed="false">
      <c r="A477" s="22"/>
      <c r="B477" s="22"/>
      <c r="C477" s="4"/>
      <c r="D477" s="4"/>
      <c r="E477" s="4"/>
      <c r="F477" s="23" t="str">
        <f aca="false">IFERROR(IF(OR($B477="",$C477=""),"",INDEX('Cartes API'!$J:$J,MATCH($B477,'Cartes API'!$A:$A,0))&amp;INDEX('Cartes API'!$B:$B,MATCH($B477,'Cartes API'!$A:$A,0))&amp;"."&amp;INDEX('Cartes API'!$C:$C,MATCH($B477,'Cartes API'!$A:$A,0))&amp;"."&amp;$C477),"")</f>
        <v/>
      </c>
      <c r="G477" s="23" t="str">
        <f aca="false">IFERROR(IF($B477="","",INDEX('Cartes API'!$H:$H,MATCH($B477,'Cartes API'!$A:$A,0))),"")</f>
        <v/>
      </c>
      <c r="H477" s="4"/>
      <c r="I477" s="23" t="str">
        <f aca="false">IF(OR($G477="",$H477=""),"",$G477&amp;"["&amp;$H477&amp;"]")</f>
        <v/>
      </c>
      <c r="J477" s="23" t="str">
        <f aca="false">IFERROR(INDEX(Cablage!$A:$A,MATCH($I477,Cablage!$F:$F,0)),"")</f>
        <v/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customFormat="false" ht="15" hidden="false" customHeight="true" outlineLevel="0" collapsed="false">
      <c r="A478" s="22"/>
      <c r="B478" s="22"/>
      <c r="C478" s="4"/>
      <c r="D478" s="4"/>
      <c r="E478" s="4"/>
      <c r="F478" s="23" t="str">
        <f aca="false">IFERROR(IF(OR($B478="",$C478=""),"",INDEX('Cartes API'!$J:$J,MATCH($B478,'Cartes API'!$A:$A,0))&amp;INDEX('Cartes API'!$B:$B,MATCH($B478,'Cartes API'!$A:$A,0))&amp;"."&amp;INDEX('Cartes API'!$C:$C,MATCH($B478,'Cartes API'!$A:$A,0))&amp;"."&amp;$C478),"")</f>
        <v/>
      </c>
      <c r="G478" s="23" t="str">
        <f aca="false">IFERROR(IF($B478="","",INDEX('Cartes API'!$H:$H,MATCH($B478,'Cartes API'!$A:$A,0))),"")</f>
        <v/>
      </c>
      <c r="H478" s="4"/>
      <c r="I478" s="23" t="str">
        <f aca="false">IF(OR($G478="",$H478=""),"",$G478&amp;"["&amp;$H478&amp;"]")</f>
        <v/>
      </c>
      <c r="J478" s="23" t="str">
        <f aca="false">IFERROR(INDEX(Cablage!$A:$A,MATCH($I478,Cablage!$F:$F,0)),"")</f>
        <v/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customFormat="false" ht="15" hidden="false" customHeight="true" outlineLevel="0" collapsed="false">
      <c r="A479" s="22"/>
      <c r="B479" s="22"/>
      <c r="C479" s="4"/>
      <c r="D479" s="4"/>
      <c r="E479" s="4"/>
      <c r="F479" s="23" t="str">
        <f aca="false">IFERROR(IF(OR($B479="",$C479=""),"",INDEX('Cartes API'!$J:$J,MATCH($B479,'Cartes API'!$A:$A,0))&amp;INDEX('Cartes API'!$B:$B,MATCH($B479,'Cartes API'!$A:$A,0))&amp;"."&amp;INDEX('Cartes API'!$C:$C,MATCH($B479,'Cartes API'!$A:$A,0))&amp;"."&amp;$C479),"")</f>
        <v/>
      </c>
      <c r="G479" s="23" t="str">
        <f aca="false">IFERROR(IF($B479="","",INDEX('Cartes API'!$H:$H,MATCH($B479,'Cartes API'!$A:$A,0))),"")</f>
        <v/>
      </c>
      <c r="H479" s="4"/>
      <c r="I479" s="23" t="str">
        <f aca="false">IF(OR($G479="",$H479=""),"",$G479&amp;"["&amp;$H479&amp;"]")</f>
        <v/>
      </c>
      <c r="J479" s="23" t="str">
        <f aca="false">IFERROR(INDEX(Cablage!$A:$A,MATCH($I479,Cablage!$F:$F,0)),"")</f>
        <v/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customFormat="false" ht="15" hidden="false" customHeight="true" outlineLevel="0" collapsed="false">
      <c r="A480" s="22"/>
      <c r="B480" s="22"/>
      <c r="C480" s="4"/>
      <c r="D480" s="4"/>
      <c r="E480" s="4"/>
      <c r="F480" s="23" t="str">
        <f aca="false">IFERROR(IF(OR($B480="",$C480=""),"",INDEX('Cartes API'!$J:$J,MATCH($B480,'Cartes API'!$A:$A,0))&amp;INDEX('Cartes API'!$B:$B,MATCH($B480,'Cartes API'!$A:$A,0))&amp;"."&amp;INDEX('Cartes API'!$C:$C,MATCH($B480,'Cartes API'!$A:$A,0))&amp;"."&amp;$C480),"")</f>
        <v/>
      </c>
      <c r="G480" s="23" t="str">
        <f aca="false">IFERROR(IF($B480="","",INDEX('Cartes API'!$H:$H,MATCH($B480,'Cartes API'!$A:$A,0))),"")</f>
        <v/>
      </c>
      <c r="H480" s="4"/>
      <c r="I480" s="23" t="str">
        <f aca="false">IF(OR($G480="",$H480=""),"",$G480&amp;"["&amp;$H480&amp;"]")</f>
        <v/>
      </c>
      <c r="J480" s="23" t="str">
        <f aca="false">IFERROR(INDEX(Cablage!$A:$A,MATCH($I480,Cablage!$F:$F,0)),"")</f>
        <v/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customFormat="false" ht="15" hidden="false" customHeight="true" outlineLevel="0" collapsed="false">
      <c r="A481" s="22"/>
      <c r="B481" s="22"/>
      <c r="C481" s="4"/>
      <c r="D481" s="4"/>
      <c r="E481" s="4"/>
      <c r="F481" s="23" t="str">
        <f aca="false">IFERROR(IF(OR($B481="",$C481=""),"",INDEX('Cartes API'!$J:$J,MATCH($B481,'Cartes API'!$A:$A,0))&amp;INDEX('Cartes API'!$B:$B,MATCH($B481,'Cartes API'!$A:$A,0))&amp;"."&amp;INDEX('Cartes API'!$C:$C,MATCH($B481,'Cartes API'!$A:$A,0))&amp;"."&amp;$C481),"")</f>
        <v/>
      </c>
      <c r="G481" s="23" t="str">
        <f aca="false">IFERROR(IF($B481="","",INDEX('Cartes API'!$H:$H,MATCH($B481,'Cartes API'!$A:$A,0))),"")</f>
        <v/>
      </c>
      <c r="H481" s="4"/>
      <c r="I481" s="23" t="str">
        <f aca="false">IF(OR($G481="",$H481=""),"",$G481&amp;"["&amp;$H481&amp;"]")</f>
        <v/>
      </c>
      <c r="J481" s="23" t="str">
        <f aca="false">IFERROR(INDEX(Cablage!$A:$A,MATCH($I481,Cablage!$F:$F,0)),"")</f>
        <v/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customFormat="false" ht="15" hidden="false" customHeight="true" outlineLevel="0" collapsed="false">
      <c r="A482" s="22"/>
      <c r="B482" s="22"/>
      <c r="C482" s="4"/>
      <c r="D482" s="4"/>
      <c r="E482" s="4"/>
      <c r="F482" s="23" t="str">
        <f aca="false">IFERROR(IF(OR($B482="",$C482=""),"",INDEX('Cartes API'!$J:$J,MATCH($B482,'Cartes API'!$A:$A,0))&amp;INDEX('Cartes API'!$B:$B,MATCH($B482,'Cartes API'!$A:$A,0))&amp;"."&amp;INDEX('Cartes API'!$C:$C,MATCH($B482,'Cartes API'!$A:$A,0))&amp;"."&amp;$C482),"")</f>
        <v/>
      </c>
      <c r="G482" s="23" t="str">
        <f aca="false">IFERROR(IF($B482="","",INDEX('Cartes API'!$H:$H,MATCH($B482,'Cartes API'!$A:$A,0))),"")</f>
        <v/>
      </c>
      <c r="H482" s="4"/>
      <c r="I482" s="23" t="str">
        <f aca="false">IF(OR($G482="",$H482=""),"",$G482&amp;"["&amp;$H482&amp;"]")</f>
        <v/>
      </c>
      <c r="J482" s="23" t="str">
        <f aca="false">IFERROR(INDEX(Cablage!$A:$A,MATCH($I482,Cablage!$F:$F,0)),"")</f>
        <v/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customFormat="false" ht="15" hidden="false" customHeight="true" outlineLevel="0" collapsed="false">
      <c r="A483" s="22"/>
      <c r="B483" s="22"/>
      <c r="C483" s="4"/>
      <c r="D483" s="4"/>
      <c r="E483" s="4"/>
      <c r="F483" s="23" t="str">
        <f aca="false">IFERROR(IF(OR($B483="",$C483=""),"",INDEX('Cartes API'!$J:$J,MATCH($B483,'Cartes API'!$A:$A,0))&amp;INDEX('Cartes API'!$B:$B,MATCH($B483,'Cartes API'!$A:$A,0))&amp;"."&amp;INDEX('Cartes API'!$C:$C,MATCH($B483,'Cartes API'!$A:$A,0))&amp;"."&amp;$C483),"")</f>
        <v/>
      </c>
      <c r="G483" s="23" t="str">
        <f aca="false">IFERROR(IF($B483="","",INDEX('Cartes API'!$H:$H,MATCH($B483,'Cartes API'!$A:$A,0))),"")</f>
        <v/>
      </c>
      <c r="H483" s="4"/>
      <c r="I483" s="23" t="str">
        <f aca="false">IF(OR($G483="",$H483=""),"",$G483&amp;"["&amp;$H483&amp;"]")</f>
        <v/>
      </c>
      <c r="J483" s="23" t="str">
        <f aca="false">IFERROR(INDEX(Cablage!$A:$A,MATCH($I483,Cablage!$F:$F,0)),"")</f>
        <v/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customFormat="false" ht="15" hidden="false" customHeight="true" outlineLevel="0" collapsed="false">
      <c r="A484" s="22"/>
      <c r="B484" s="22"/>
      <c r="C484" s="4"/>
      <c r="D484" s="4"/>
      <c r="E484" s="4"/>
      <c r="F484" s="23" t="str">
        <f aca="false">IFERROR(IF(OR($B484="",$C484=""),"",INDEX('Cartes API'!$J:$J,MATCH($B484,'Cartes API'!$A:$A,0))&amp;INDEX('Cartes API'!$B:$B,MATCH($B484,'Cartes API'!$A:$A,0))&amp;"."&amp;INDEX('Cartes API'!$C:$C,MATCH($B484,'Cartes API'!$A:$A,0))&amp;"."&amp;$C484),"")</f>
        <v/>
      </c>
      <c r="G484" s="23" t="str">
        <f aca="false">IFERROR(IF($B484="","",INDEX('Cartes API'!$H:$H,MATCH($B484,'Cartes API'!$A:$A,0))),"")</f>
        <v/>
      </c>
      <c r="H484" s="4"/>
      <c r="I484" s="23" t="str">
        <f aca="false">IF(OR($G484="",$H484=""),"",$G484&amp;"["&amp;$H484&amp;"]")</f>
        <v/>
      </c>
      <c r="J484" s="23" t="str">
        <f aca="false">IFERROR(INDEX(Cablage!$A:$A,MATCH($I484,Cablage!$F:$F,0)),"")</f>
        <v/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customFormat="false" ht="15" hidden="false" customHeight="true" outlineLevel="0" collapsed="false">
      <c r="A485" s="22"/>
      <c r="B485" s="22"/>
      <c r="C485" s="4"/>
      <c r="D485" s="4"/>
      <c r="E485" s="4"/>
      <c r="F485" s="23" t="str">
        <f aca="false">IFERROR(IF(OR($B485="",$C485=""),"",INDEX('Cartes API'!$J:$J,MATCH($B485,'Cartes API'!$A:$A,0))&amp;INDEX('Cartes API'!$B:$B,MATCH($B485,'Cartes API'!$A:$A,0))&amp;"."&amp;INDEX('Cartes API'!$C:$C,MATCH($B485,'Cartes API'!$A:$A,0))&amp;"."&amp;$C485),"")</f>
        <v/>
      </c>
      <c r="G485" s="23" t="str">
        <f aca="false">IFERROR(IF($B485="","",INDEX('Cartes API'!$H:$H,MATCH($B485,'Cartes API'!$A:$A,0))),"")</f>
        <v/>
      </c>
      <c r="H485" s="4"/>
      <c r="I485" s="23" t="str">
        <f aca="false">IF(OR($G485="",$H485=""),"",$G485&amp;"["&amp;$H485&amp;"]")</f>
        <v/>
      </c>
      <c r="J485" s="23" t="str">
        <f aca="false">IFERROR(INDEX(Cablage!$A:$A,MATCH($I485,Cablage!$F:$F,0)),"")</f>
        <v/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customFormat="false" ht="15" hidden="false" customHeight="true" outlineLevel="0" collapsed="false">
      <c r="A486" s="22"/>
      <c r="B486" s="22"/>
      <c r="C486" s="4"/>
      <c r="D486" s="4"/>
      <c r="E486" s="4"/>
      <c r="F486" s="23" t="str">
        <f aca="false">IFERROR(IF(OR($B486="",$C486=""),"",INDEX('Cartes API'!$J:$J,MATCH($B486,'Cartes API'!$A:$A,0))&amp;INDEX('Cartes API'!$B:$B,MATCH($B486,'Cartes API'!$A:$A,0))&amp;"."&amp;INDEX('Cartes API'!$C:$C,MATCH($B486,'Cartes API'!$A:$A,0))&amp;"."&amp;$C486),"")</f>
        <v/>
      </c>
      <c r="G486" s="23" t="str">
        <f aca="false">IFERROR(IF($B486="","",INDEX('Cartes API'!$H:$H,MATCH($B486,'Cartes API'!$A:$A,0))),"")</f>
        <v/>
      </c>
      <c r="H486" s="4"/>
      <c r="I486" s="23" t="str">
        <f aca="false">IF(OR($G486="",$H486=""),"",$G486&amp;"["&amp;$H486&amp;"]")</f>
        <v/>
      </c>
      <c r="J486" s="23" t="str">
        <f aca="false">IFERROR(INDEX(Cablage!$A:$A,MATCH($I486,Cablage!$F:$F,0)),"")</f>
        <v/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customFormat="false" ht="15" hidden="false" customHeight="true" outlineLevel="0" collapsed="false">
      <c r="A487" s="22"/>
      <c r="B487" s="22"/>
      <c r="C487" s="4"/>
      <c r="D487" s="4"/>
      <c r="E487" s="4"/>
      <c r="F487" s="23" t="str">
        <f aca="false">IFERROR(IF(OR($B487="",$C487=""),"",INDEX('Cartes API'!$J:$J,MATCH($B487,'Cartes API'!$A:$A,0))&amp;INDEX('Cartes API'!$B:$B,MATCH($B487,'Cartes API'!$A:$A,0))&amp;"."&amp;INDEX('Cartes API'!$C:$C,MATCH($B487,'Cartes API'!$A:$A,0))&amp;"."&amp;$C487),"")</f>
        <v/>
      </c>
      <c r="G487" s="23" t="str">
        <f aca="false">IFERROR(IF($B487="","",INDEX('Cartes API'!$H:$H,MATCH($B487,'Cartes API'!$A:$A,0))),"")</f>
        <v/>
      </c>
      <c r="H487" s="4"/>
      <c r="I487" s="23" t="str">
        <f aca="false">IF(OR($G487="",$H487=""),"",$G487&amp;"["&amp;$H487&amp;"]")</f>
        <v/>
      </c>
      <c r="J487" s="23" t="str">
        <f aca="false">IFERROR(INDEX(Cablage!$A:$A,MATCH($I487,Cablage!$F:$F,0)),"")</f>
        <v/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customFormat="false" ht="15" hidden="false" customHeight="true" outlineLevel="0" collapsed="false">
      <c r="A488" s="22"/>
      <c r="B488" s="22"/>
      <c r="C488" s="4"/>
      <c r="D488" s="4"/>
      <c r="E488" s="4"/>
      <c r="F488" s="23" t="str">
        <f aca="false">IFERROR(IF(OR($B488="",$C488=""),"",INDEX('Cartes API'!$J:$J,MATCH($B488,'Cartes API'!$A:$A,0))&amp;INDEX('Cartes API'!$B:$B,MATCH($B488,'Cartes API'!$A:$A,0))&amp;"."&amp;INDEX('Cartes API'!$C:$C,MATCH($B488,'Cartes API'!$A:$A,0))&amp;"."&amp;$C488),"")</f>
        <v/>
      </c>
      <c r="G488" s="23" t="str">
        <f aca="false">IFERROR(IF($B488="","",INDEX('Cartes API'!$H:$H,MATCH($B488,'Cartes API'!$A:$A,0))),"")</f>
        <v/>
      </c>
      <c r="H488" s="4"/>
      <c r="I488" s="23" t="str">
        <f aca="false">IF(OR($G488="",$H488=""),"",$G488&amp;"["&amp;$H488&amp;"]")</f>
        <v/>
      </c>
      <c r="J488" s="23" t="str">
        <f aca="false">IFERROR(INDEX(Cablage!$A:$A,MATCH($I488,Cablage!$F:$F,0)),"")</f>
        <v/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customFormat="false" ht="15" hidden="false" customHeight="true" outlineLevel="0" collapsed="false">
      <c r="A489" s="22"/>
      <c r="B489" s="22"/>
      <c r="C489" s="4"/>
      <c r="D489" s="4"/>
      <c r="E489" s="4"/>
      <c r="F489" s="23" t="str">
        <f aca="false">IFERROR(IF(OR($B489="",$C489=""),"",INDEX('Cartes API'!$J:$J,MATCH($B489,'Cartes API'!$A:$A,0))&amp;INDEX('Cartes API'!$B:$B,MATCH($B489,'Cartes API'!$A:$A,0))&amp;"."&amp;INDEX('Cartes API'!$C:$C,MATCH($B489,'Cartes API'!$A:$A,0))&amp;"."&amp;$C489),"")</f>
        <v/>
      </c>
      <c r="G489" s="23" t="str">
        <f aca="false">IFERROR(IF($B489="","",INDEX('Cartes API'!$H:$H,MATCH($B489,'Cartes API'!$A:$A,0))),"")</f>
        <v/>
      </c>
      <c r="H489" s="4"/>
      <c r="I489" s="23" t="str">
        <f aca="false">IF(OR($G489="",$H489=""),"",$G489&amp;"["&amp;$H489&amp;"]")</f>
        <v/>
      </c>
      <c r="J489" s="23" t="str">
        <f aca="false">IFERROR(INDEX(Cablage!$A:$A,MATCH($I489,Cablage!$F:$F,0)),"")</f>
        <v/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customFormat="false" ht="15" hidden="false" customHeight="true" outlineLevel="0" collapsed="false">
      <c r="A490" s="22"/>
      <c r="B490" s="22"/>
      <c r="C490" s="4"/>
      <c r="D490" s="4"/>
      <c r="E490" s="4"/>
      <c r="F490" s="23" t="str">
        <f aca="false">IFERROR(IF(OR($B490="",$C490=""),"",INDEX('Cartes API'!$J:$J,MATCH($B490,'Cartes API'!$A:$A,0))&amp;INDEX('Cartes API'!$B:$B,MATCH($B490,'Cartes API'!$A:$A,0))&amp;"."&amp;INDEX('Cartes API'!$C:$C,MATCH($B490,'Cartes API'!$A:$A,0))&amp;"."&amp;$C490),"")</f>
        <v/>
      </c>
      <c r="G490" s="23" t="str">
        <f aca="false">IFERROR(IF($B490="","",INDEX('Cartes API'!$H:$H,MATCH($B490,'Cartes API'!$A:$A,0))),"")</f>
        <v/>
      </c>
      <c r="H490" s="4"/>
      <c r="I490" s="23" t="str">
        <f aca="false">IF(OR($G490="",$H490=""),"",$G490&amp;"["&amp;$H490&amp;"]")</f>
        <v/>
      </c>
      <c r="J490" s="23" t="str">
        <f aca="false">IFERROR(INDEX(Cablage!$A:$A,MATCH($I490,Cablage!$F:$F,0)),"")</f>
        <v/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customFormat="false" ht="15" hidden="false" customHeight="true" outlineLevel="0" collapsed="false">
      <c r="A491" s="22"/>
      <c r="B491" s="22"/>
      <c r="C491" s="4"/>
      <c r="D491" s="4"/>
      <c r="E491" s="4"/>
      <c r="F491" s="23" t="str">
        <f aca="false">IFERROR(IF(OR($B491="",$C491=""),"",INDEX('Cartes API'!$J:$J,MATCH($B491,'Cartes API'!$A:$A,0))&amp;INDEX('Cartes API'!$B:$B,MATCH($B491,'Cartes API'!$A:$A,0))&amp;"."&amp;INDEX('Cartes API'!$C:$C,MATCH($B491,'Cartes API'!$A:$A,0))&amp;"."&amp;$C491),"")</f>
        <v/>
      </c>
      <c r="G491" s="23" t="str">
        <f aca="false">IFERROR(IF($B491="","",INDEX('Cartes API'!$H:$H,MATCH($B491,'Cartes API'!$A:$A,0))),"")</f>
        <v/>
      </c>
      <c r="H491" s="4"/>
      <c r="I491" s="23" t="str">
        <f aca="false">IF(OR($G491="",$H491=""),"",$G491&amp;"["&amp;$H491&amp;"]")</f>
        <v/>
      </c>
      <c r="J491" s="23" t="str">
        <f aca="false">IFERROR(INDEX(Cablage!$A:$A,MATCH($I491,Cablage!$F:$F,0)),"")</f>
        <v/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customFormat="false" ht="15" hidden="false" customHeight="true" outlineLevel="0" collapsed="false">
      <c r="A492" s="22"/>
      <c r="B492" s="22"/>
      <c r="C492" s="4"/>
      <c r="D492" s="4"/>
      <c r="E492" s="4"/>
      <c r="F492" s="23" t="str">
        <f aca="false">IFERROR(IF(OR($B492="",$C492=""),"",INDEX('Cartes API'!$J:$J,MATCH($B492,'Cartes API'!$A:$A,0))&amp;INDEX('Cartes API'!$B:$B,MATCH($B492,'Cartes API'!$A:$A,0))&amp;"."&amp;INDEX('Cartes API'!$C:$C,MATCH($B492,'Cartes API'!$A:$A,0))&amp;"."&amp;$C492),"")</f>
        <v/>
      </c>
      <c r="G492" s="23" t="str">
        <f aca="false">IFERROR(IF($B492="","",INDEX('Cartes API'!$H:$H,MATCH($B492,'Cartes API'!$A:$A,0))),"")</f>
        <v/>
      </c>
      <c r="H492" s="4"/>
      <c r="I492" s="23" t="str">
        <f aca="false">IF(OR($G492="",$H492=""),"",$G492&amp;"["&amp;$H492&amp;"]")</f>
        <v/>
      </c>
      <c r="J492" s="23" t="str">
        <f aca="false">IFERROR(INDEX(Cablage!$A:$A,MATCH($I492,Cablage!$F:$F,0)),"")</f>
        <v/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customFormat="false" ht="15" hidden="false" customHeight="true" outlineLevel="0" collapsed="false">
      <c r="A493" s="22"/>
      <c r="B493" s="22"/>
      <c r="C493" s="4"/>
      <c r="D493" s="4"/>
      <c r="E493" s="4"/>
      <c r="F493" s="23" t="str">
        <f aca="false">IFERROR(IF(OR($B493="",$C493=""),"",INDEX('Cartes API'!$J:$J,MATCH($B493,'Cartes API'!$A:$A,0))&amp;INDEX('Cartes API'!$B:$B,MATCH($B493,'Cartes API'!$A:$A,0))&amp;"."&amp;INDEX('Cartes API'!$C:$C,MATCH($B493,'Cartes API'!$A:$A,0))&amp;"."&amp;$C493),"")</f>
        <v/>
      </c>
      <c r="G493" s="23" t="str">
        <f aca="false">IFERROR(IF($B493="","",INDEX('Cartes API'!$H:$H,MATCH($B493,'Cartes API'!$A:$A,0))),"")</f>
        <v/>
      </c>
      <c r="H493" s="4"/>
      <c r="I493" s="23" t="str">
        <f aca="false">IF(OR($G493="",$H493=""),"",$G493&amp;"["&amp;$H493&amp;"]")</f>
        <v/>
      </c>
      <c r="J493" s="23" t="str">
        <f aca="false">IFERROR(INDEX(Cablage!$A:$A,MATCH($I493,Cablage!$F:$F,0)),"")</f>
        <v/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customFormat="false" ht="15" hidden="false" customHeight="true" outlineLevel="0" collapsed="false">
      <c r="A494" s="22"/>
      <c r="B494" s="22"/>
      <c r="C494" s="4"/>
      <c r="D494" s="4"/>
      <c r="E494" s="4"/>
      <c r="F494" s="23" t="str">
        <f aca="false">IFERROR(IF(OR($B494="",$C494=""),"",INDEX('Cartes API'!$J:$J,MATCH($B494,'Cartes API'!$A:$A,0))&amp;INDEX('Cartes API'!$B:$B,MATCH($B494,'Cartes API'!$A:$A,0))&amp;"."&amp;INDEX('Cartes API'!$C:$C,MATCH($B494,'Cartes API'!$A:$A,0))&amp;"."&amp;$C494),"")</f>
        <v/>
      </c>
      <c r="G494" s="23" t="str">
        <f aca="false">IFERROR(IF($B494="","",INDEX('Cartes API'!$H:$H,MATCH($B494,'Cartes API'!$A:$A,0))),"")</f>
        <v/>
      </c>
      <c r="H494" s="4"/>
      <c r="I494" s="23" t="str">
        <f aca="false">IF(OR($G494="",$H494=""),"",$G494&amp;"["&amp;$H494&amp;"]")</f>
        <v/>
      </c>
      <c r="J494" s="23" t="str">
        <f aca="false">IFERROR(INDEX(Cablage!$A:$A,MATCH($I494,Cablage!$F:$F,0)),"")</f>
        <v/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customFormat="false" ht="15" hidden="false" customHeight="true" outlineLevel="0" collapsed="false">
      <c r="A495" s="22"/>
      <c r="B495" s="22"/>
      <c r="C495" s="4"/>
      <c r="D495" s="4"/>
      <c r="E495" s="4"/>
      <c r="F495" s="23" t="str">
        <f aca="false">IFERROR(IF(OR($B495="",$C495=""),"",INDEX('Cartes API'!$J:$J,MATCH($B495,'Cartes API'!$A:$A,0))&amp;INDEX('Cartes API'!$B:$B,MATCH($B495,'Cartes API'!$A:$A,0))&amp;"."&amp;INDEX('Cartes API'!$C:$C,MATCH($B495,'Cartes API'!$A:$A,0))&amp;"."&amp;$C495),"")</f>
        <v/>
      </c>
      <c r="G495" s="23" t="str">
        <f aca="false">IFERROR(IF($B495="","",INDEX('Cartes API'!$H:$H,MATCH($B495,'Cartes API'!$A:$A,0))),"")</f>
        <v/>
      </c>
      <c r="H495" s="4"/>
      <c r="I495" s="23" t="str">
        <f aca="false">IF(OR($G495="",$H495=""),"",$G495&amp;"["&amp;$H495&amp;"]")</f>
        <v/>
      </c>
      <c r="J495" s="23" t="str">
        <f aca="false">IFERROR(INDEX(Cablage!$A:$A,MATCH($I495,Cablage!$F:$F,0)),"")</f>
        <v/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customFormat="false" ht="15" hidden="false" customHeight="true" outlineLevel="0" collapsed="false">
      <c r="A496" s="22"/>
      <c r="B496" s="22"/>
      <c r="C496" s="4"/>
      <c r="D496" s="4"/>
      <c r="E496" s="4"/>
      <c r="F496" s="23" t="str">
        <f aca="false">IFERROR(IF(OR($B496="",$C496=""),"",INDEX('Cartes API'!$J:$J,MATCH($B496,'Cartes API'!$A:$A,0))&amp;INDEX('Cartes API'!$B:$B,MATCH($B496,'Cartes API'!$A:$A,0))&amp;"."&amp;INDEX('Cartes API'!$C:$C,MATCH($B496,'Cartes API'!$A:$A,0))&amp;"."&amp;$C496),"")</f>
        <v/>
      </c>
      <c r="G496" s="23" t="str">
        <f aca="false">IFERROR(IF($B496="","",INDEX('Cartes API'!$H:$H,MATCH($B496,'Cartes API'!$A:$A,0))),"")</f>
        <v/>
      </c>
      <c r="H496" s="4"/>
      <c r="I496" s="23" t="str">
        <f aca="false">IF(OR($G496="",$H496=""),"",$G496&amp;"["&amp;$H496&amp;"]")</f>
        <v/>
      </c>
      <c r="J496" s="23" t="str">
        <f aca="false">IFERROR(INDEX(Cablage!$A:$A,MATCH($I496,Cablage!$F:$F,0)),"")</f>
        <v/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customFormat="false" ht="15" hidden="false" customHeight="true" outlineLevel="0" collapsed="false">
      <c r="A497" s="22"/>
      <c r="B497" s="22"/>
      <c r="C497" s="4"/>
      <c r="D497" s="4"/>
      <c r="E497" s="4"/>
      <c r="F497" s="23" t="str">
        <f aca="false">IFERROR(IF(OR($B497="",$C497=""),"",INDEX('Cartes API'!$J:$J,MATCH($B497,'Cartes API'!$A:$A,0))&amp;INDEX('Cartes API'!$B:$B,MATCH($B497,'Cartes API'!$A:$A,0))&amp;"."&amp;INDEX('Cartes API'!$C:$C,MATCH($B497,'Cartes API'!$A:$A,0))&amp;"."&amp;$C497),"")</f>
        <v/>
      </c>
      <c r="G497" s="23" t="str">
        <f aca="false">IFERROR(IF($B497="","",INDEX('Cartes API'!$H:$H,MATCH($B497,'Cartes API'!$A:$A,0))),"")</f>
        <v/>
      </c>
      <c r="H497" s="4"/>
      <c r="I497" s="23" t="str">
        <f aca="false">IF(OR($G497="",$H497=""),"",$G497&amp;"["&amp;$H497&amp;"]")</f>
        <v/>
      </c>
      <c r="J497" s="23" t="str">
        <f aca="false">IFERROR(INDEX(Cablage!$A:$A,MATCH($I497,Cablage!$F:$F,0)),"")</f>
        <v/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customFormat="false" ht="15" hidden="false" customHeight="true" outlineLevel="0" collapsed="false">
      <c r="A498" s="22"/>
      <c r="B498" s="22"/>
      <c r="C498" s="4"/>
      <c r="D498" s="4"/>
      <c r="E498" s="4"/>
      <c r="F498" s="23" t="str">
        <f aca="false">IFERROR(IF(OR($B498="",$C498=""),"",INDEX('Cartes API'!$J:$J,MATCH($B498,'Cartes API'!$A:$A,0))&amp;INDEX('Cartes API'!$B:$B,MATCH($B498,'Cartes API'!$A:$A,0))&amp;"."&amp;INDEX('Cartes API'!$C:$C,MATCH($B498,'Cartes API'!$A:$A,0))&amp;"."&amp;$C498),"")</f>
        <v/>
      </c>
      <c r="G498" s="23" t="str">
        <f aca="false">IFERROR(IF($B498="","",INDEX('Cartes API'!$H:$H,MATCH($B498,'Cartes API'!$A:$A,0))),"")</f>
        <v/>
      </c>
      <c r="H498" s="4"/>
      <c r="I498" s="23" t="str">
        <f aca="false">IF(OR($G498="",$H498=""),"",$G498&amp;"["&amp;$H498&amp;"]")</f>
        <v/>
      </c>
      <c r="J498" s="23" t="str">
        <f aca="false">IFERROR(INDEX(Cablage!$A:$A,MATCH($I498,Cablage!$F:$F,0)),"")</f>
        <v/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customFormat="false" ht="15" hidden="false" customHeight="true" outlineLevel="0" collapsed="false">
      <c r="A499" s="22"/>
      <c r="B499" s="22"/>
      <c r="C499" s="4"/>
      <c r="D499" s="4"/>
      <c r="E499" s="4"/>
      <c r="F499" s="23" t="str">
        <f aca="false">IFERROR(IF(OR($B499="",$C499=""),"",INDEX('Cartes API'!$J:$J,MATCH($B499,'Cartes API'!$A:$A,0))&amp;INDEX('Cartes API'!$B:$B,MATCH($B499,'Cartes API'!$A:$A,0))&amp;"."&amp;INDEX('Cartes API'!$C:$C,MATCH($B499,'Cartes API'!$A:$A,0))&amp;"."&amp;$C499),"")</f>
        <v/>
      </c>
      <c r="G499" s="23" t="str">
        <f aca="false">IFERROR(IF($B499="","",INDEX('Cartes API'!$H:$H,MATCH($B499,'Cartes API'!$A:$A,0))),"")</f>
        <v/>
      </c>
      <c r="H499" s="4"/>
      <c r="I499" s="23" t="str">
        <f aca="false">IF(OR($G499="",$H499=""),"",$G499&amp;"["&amp;$H499&amp;"]")</f>
        <v/>
      </c>
      <c r="J499" s="23" t="str">
        <f aca="false">IFERROR(INDEX(Cablage!$A:$A,MATCH($I499,Cablage!$F:$F,0)),"")</f>
        <v/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customFormat="false" ht="15" hidden="false" customHeight="true" outlineLevel="0" collapsed="false">
      <c r="A500" s="22"/>
      <c r="B500" s="22"/>
      <c r="C500" s="4"/>
      <c r="D500" s="4"/>
      <c r="E500" s="4"/>
      <c r="F500" s="23" t="str">
        <f aca="false">IFERROR(IF(OR($B500="",$C500=""),"",INDEX('Cartes API'!$J:$J,MATCH($B500,'Cartes API'!$A:$A,0))&amp;INDEX('Cartes API'!$B:$B,MATCH($B500,'Cartes API'!$A:$A,0))&amp;"."&amp;INDEX('Cartes API'!$C:$C,MATCH($B500,'Cartes API'!$A:$A,0))&amp;"."&amp;$C500),"")</f>
        <v/>
      </c>
      <c r="G500" s="23" t="str">
        <f aca="false">IFERROR(IF($B500="","",INDEX('Cartes API'!$H:$H,MATCH($B500,'Cartes API'!$A:$A,0))),"")</f>
        <v/>
      </c>
      <c r="H500" s="4"/>
      <c r="I500" s="23" t="str">
        <f aca="false">IF(OR($G500="",$H500=""),"",$G500&amp;"["&amp;$H500&amp;"]")</f>
        <v/>
      </c>
      <c r="J500" s="23" t="str">
        <f aca="false">IFERROR(INDEX(Cablage!$A:$A,MATCH($I500,Cablage!$F:$F,0)),"")</f>
        <v/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customFormat="false" ht="15" hidden="false" customHeight="true" outlineLevel="0" collapsed="false">
      <c r="A501" s="22"/>
      <c r="B501" s="22"/>
      <c r="C501" s="4"/>
      <c r="D501" s="4"/>
      <c r="E501" s="4"/>
      <c r="F501" s="23" t="str">
        <f aca="false">IFERROR(IF(OR($B501="",$C501=""),"",INDEX('Cartes API'!$J:$J,MATCH($B501,'Cartes API'!$A:$A,0))&amp;INDEX('Cartes API'!$B:$B,MATCH($B501,'Cartes API'!$A:$A,0))&amp;"."&amp;INDEX('Cartes API'!$C:$C,MATCH($B501,'Cartes API'!$A:$A,0))&amp;"."&amp;$C501),"")</f>
        <v/>
      </c>
      <c r="G501" s="23" t="str">
        <f aca="false">IFERROR(IF($B501="","",INDEX('Cartes API'!$H:$H,MATCH($B501,'Cartes API'!$A:$A,0))),"")</f>
        <v/>
      </c>
      <c r="H501" s="4"/>
      <c r="I501" s="23" t="str">
        <f aca="false">IF(OR($G501="",$H501=""),"",$G501&amp;"["&amp;$H501&amp;"]")</f>
        <v/>
      </c>
      <c r="J501" s="23" t="str">
        <f aca="false">IFERROR(INDEX(Cablage!$A:$A,MATCH($I501,Cablage!$F:$F,0)),"")</f>
        <v/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customFormat="false" ht="15" hidden="false" customHeight="true" outlineLevel="0" collapsed="false">
      <c r="A502" s="22"/>
      <c r="B502" s="22"/>
      <c r="C502" s="4"/>
      <c r="D502" s="4"/>
      <c r="E502" s="4"/>
      <c r="F502" s="23" t="str">
        <f aca="false">IFERROR(IF(OR($B502="",$C502=""),"",INDEX('Cartes API'!$J:$J,MATCH($B502,'Cartes API'!$A:$A,0))&amp;INDEX('Cartes API'!$B:$B,MATCH($B502,'Cartes API'!$A:$A,0))&amp;"."&amp;INDEX('Cartes API'!$C:$C,MATCH($B502,'Cartes API'!$A:$A,0))&amp;"."&amp;$C502),"")</f>
        <v/>
      </c>
      <c r="G502" s="23" t="str">
        <f aca="false">IFERROR(IF($B502="","",INDEX('Cartes API'!$H:$H,MATCH($B502,'Cartes API'!$A:$A,0))),"")</f>
        <v/>
      </c>
      <c r="H502" s="4"/>
      <c r="I502" s="23" t="str">
        <f aca="false">IF(OR($G502="",$H502=""),"",$G502&amp;"["&amp;$H502&amp;"]")</f>
        <v/>
      </c>
      <c r="J502" s="23" t="str">
        <f aca="false">IFERROR(INDEX(Cablage!$A:$A,MATCH($I502,Cablage!$F:$F,0)),"")</f>
        <v/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customFormat="false" ht="15" hidden="false" customHeight="true" outlineLevel="0" collapsed="false">
      <c r="A503" s="22"/>
      <c r="B503" s="22"/>
      <c r="C503" s="4"/>
      <c r="D503" s="4"/>
      <c r="E503" s="4"/>
      <c r="F503" s="23" t="str">
        <f aca="false">IFERROR(IF(OR($B503="",$C503=""),"",INDEX('Cartes API'!$J:$J,MATCH($B503,'Cartes API'!$A:$A,0))&amp;INDEX('Cartes API'!$B:$B,MATCH($B503,'Cartes API'!$A:$A,0))&amp;"."&amp;INDEX('Cartes API'!$C:$C,MATCH($B503,'Cartes API'!$A:$A,0))&amp;"."&amp;$C503),"")</f>
        <v/>
      </c>
      <c r="G503" s="23" t="str">
        <f aca="false">IFERROR(IF($B503="","",INDEX('Cartes API'!$H:$H,MATCH($B503,'Cartes API'!$A:$A,0))),"")</f>
        <v/>
      </c>
      <c r="H503" s="4"/>
      <c r="I503" s="23" t="str">
        <f aca="false">IF(OR($G503="",$H503=""),"",$G503&amp;"["&amp;$H503&amp;"]")</f>
        <v/>
      </c>
      <c r="J503" s="23" t="str">
        <f aca="false">IFERROR(INDEX(Cablage!$A:$A,MATCH($I503,Cablage!$F:$F,0)),"")</f>
        <v/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customFormat="false" ht="15" hidden="false" customHeight="true" outlineLevel="0" collapsed="false">
      <c r="A504" s="22"/>
      <c r="B504" s="22"/>
      <c r="C504" s="4"/>
      <c r="D504" s="4"/>
      <c r="E504" s="4"/>
      <c r="F504" s="23" t="str">
        <f aca="false">IFERROR(IF(OR($B504="",$C504=""),"",INDEX('Cartes API'!$J:$J,MATCH($B504,'Cartes API'!$A:$A,0))&amp;INDEX('Cartes API'!$B:$B,MATCH($B504,'Cartes API'!$A:$A,0))&amp;"."&amp;INDEX('Cartes API'!$C:$C,MATCH($B504,'Cartes API'!$A:$A,0))&amp;"."&amp;$C504),"")</f>
        <v/>
      </c>
      <c r="G504" s="23" t="str">
        <f aca="false">IFERROR(IF($B504="","",INDEX('Cartes API'!$H:$H,MATCH($B504,'Cartes API'!$A:$A,0))),"")</f>
        <v/>
      </c>
      <c r="H504" s="4"/>
      <c r="I504" s="23" t="str">
        <f aca="false">IF(OR($G504="",$H504=""),"",$G504&amp;"["&amp;$H504&amp;"]")</f>
        <v/>
      </c>
      <c r="J504" s="23" t="str">
        <f aca="false">IFERROR(INDEX(Cablage!$A:$A,MATCH($I504,Cablage!$F:$F,0)),"")</f>
        <v/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customFormat="false" ht="15" hidden="false" customHeight="true" outlineLevel="0" collapsed="false">
      <c r="A505" s="22"/>
      <c r="B505" s="22"/>
      <c r="C505" s="4"/>
      <c r="D505" s="4"/>
      <c r="E505" s="4"/>
      <c r="F505" s="23" t="str">
        <f aca="false">IFERROR(IF(OR($B505="",$C505=""),"",INDEX('Cartes API'!$J:$J,MATCH($B505,'Cartes API'!$A:$A,0))&amp;INDEX('Cartes API'!$B:$B,MATCH($B505,'Cartes API'!$A:$A,0))&amp;"."&amp;INDEX('Cartes API'!$C:$C,MATCH($B505,'Cartes API'!$A:$A,0))&amp;"."&amp;$C505),"")</f>
        <v/>
      </c>
      <c r="G505" s="23" t="str">
        <f aca="false">IFERROR(IF($B505="","",INDEX('Cartes API'!$H:$H,MATCH($B505,'Cartes API'!$A:$A,0))),"")</f>
        <v/>
      </c>
      <c r="H505" s="4"/>
      <c r="I505" s="23" t="str">
        <f aca="false">IF(OR($G505="",$H505=""),"",$G505&amp;"["&amp;$H505&amp;"]")</f>
        <v/>
      </c>
      <c r="J505" s="23" t="str">
        <f aca="false">IFERROR(INDEX(Cablage!$A:$A,MATCH($I505,Cablage!$F:$F,0)),"")</f>
        <v/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customFormat="false" ht="15" hidden="false" customHeight="true" outlineLevel="0" collapsed="false">
      <c r="A506" s="22"/>
      <c r="B506" s="22"/>
      <c r="C506" s="4"/>
      <c r="D506" s="4"/>
      <c r="E506" s="4"/>
      <c r="F506" s="23" t="str">
        <f aca="false">IFERROR(IF(OR($B506="",$C506=""),"",INDEX('Cartes API'!$J:$J,MATCH($B506,'Cartes API'!$A:$A,0))&amp;INDEX('Cartes API'!$B:$B,MATCH($B506,'Cartes API'!$A:$A,0))&amp;"."&amp;INDEX('Cartes API'!$C:$C,MATCH($B506,'Cartes API'!$A:$A,0))&amp;"."&amp;$C506),"")</f>
        <v/>
      </c>
      <c r="G506" s="23" t="str">
        <f aca="false">IFERROR(IF($B506="","",INDEX('Cartes API'!$H:$H,MATCH($B506,'Cartes API'!$A:$A,0))),"")</f>
        <v/>
      </c>
      <c r="H506" s="4"/>
      <c r="I506" s="23" t="str">
        <f aca="false">IF(OR($G506="",$H506=""),"",$G506&amp;"["&amp;$H506&amp;"]")</f>
        <v/>
      </c>
      <c r="J506" s="23" t="str">
        <f aca="false">IFERROR(INDEX(Cablage!$A:$A,MATCH($I506,Cablage!$F:$F,0)),"")</f>
        <v/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customFormat="false" ht="15" hidden="false" customHeight="true" outlineLevel="0" collapsed="false">
      <c r="A507" s="22"/>
      <c r="B507" s="22"/>
      <c r="C507" s="4"/>
      <c r="D507" s="4"/>
      <c r="E507" s="4"/>
      <c r="F507" s="23" t="str">
        <f aca="false">IFERROR(IF(OR($B507="",$C507=""),"",INDEX('Cartes API'!$J:$J,MATCH($B507,'Cartes API'!$A:$A,0))&amp;INDEX('Cartes API'!$B:$B,MATCH($B507,'Cartes API'!$A:$A,0))&amp;"."&amp;INDEX('Cartes API'!$C:$C,MATCH($B507,'Cartes API'!$A:$A,0))&amp;"."&amp;$C507),"")</f>
        <v/>
      </c>
      <c r="G507" s="23" t="str">
        <f aca="false">IFERROR(IF($B507="","",INDEX('Cartes API'!$H:$H,MATCH($B507,'Cartes API'!$A:$A,0))),"")</f>
        <v/>
      </c>
      <c r="H507" s="4"/>
      <c r="I507" s="23" t="str">
        <f aca="false">IF(OR($G507="",$H507=""),"",$G507&amp;"["&amp;$H507&amp;"]")</f>
        <v/>
      </c>
      <c r="J507" s="23" t="str">
        <f aca="false">IFERROR(INDEX(Cablage!$A:$A,MATCH($I507,Cablage!$F:$F,0)),"")</f>
        <v/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customFormat="false" ht="15" hidden="false" customHeight="true" outlineLevel="0" collapsed="false">
      <c r="A508" s="22"/>
      <c r="B508" s="22"/>
      <c r="C508" s="4"/>
      <c r="D508" s="4"/>
      <c r="E508" s="4"/>
      <c r="F508" s="23" t="str">
        <f aca="false">IFERROR(IF(OR($B508="",$C508=""),"",INDEX('Cartes API'!$J:$J,MATCH($B508,'Cartes API'!$A:$A,0))&amp;INDEX('Cartes API'!$B:$B,MATCH($B508,'Cartes API'!$A:$A,0))&amp;"."&amp;INDEX('Cartes API'!$C:$C,MATCH($B508,'Cartes API'!$A:$A,0))&amp;"."&amp;$C508),"")</f>
        <v/>
      </c>
      <c r="G508" s="23" t="str">
        <f aca="false">IFERROR(IF($B508="","",INDEX('Cartes API'!$H:$H,MATCH($B508,'Cartes API'!$A:$A,0))),"")</f>
        <v/>
      </c>
      <c r="H508" s="4"/>
      <c r="I508" s="23" t="str">
        <f aca="false">IF(OR($G508="",$H508=""),"",$G508&amp;"["&amp;$H508&amp;"]")</f>
        <v/>
      </c>
      <c r="J508" s="23" t="str">
        <f aca="false">IFERROR(INDEX(Cablage!$A:$A,MATCH($I508,Cablage!$F:$F,0)),"")</f>
        <v/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customFormat="false" ht="15" hidden="false" customHeight="true" outlineLevel="0" collapsed="false">
      <c r="A509" s="22"/>
      <c r="B509" s="22"/>
      <c r="C509" s="4"/>
      <c r="D509" s="4"/>
      <c r="E509" s="4"/>
      <c r="F509" s="23" t="str">
        <f aca="false">IFERROR(IF(OR($B509="",$C509=""),"",INDEX('Cartes API'!$J:$J,MATCH($B509,'Cartes API'!$A:$A,0))&amp;INDEX('Cartes API'!$B:$B,MATCH($B509,'Cartes API'!$A:$A,0))&amp;"."&amp;INDEX('Cartes API'!$C:$C,MATCH($B509,'Cartes API'!$A:$A,0))&amp;"."&amp;$C509),"")</f>
        <v/>
      </c>
      <c r="G509" s="23" t="str">
        <f aca="false">IFERROR(IF($B509="","",INDEX('Cartes API'!$H:$H,MATCH($B509,'Cartes API'!$A:$A,0))),"")</f>
        <v/>
      </c>
      <c r="H509" s="4"/>
      <c r="I509" s="23" t="str">
        <f aca="false">IF(OR($G509="",$H509=""),"",$G509&amp;"["&amp;$H509&amp;"]")</f>
        <v/>
      </c>
      <c r="J509" s="23" t="str">
        <f aca="false">IFERROR(INDEX(Cablage!$A:$A,MATCH($I509,Cablage!$F:$F,0)),"")</f>
        <v/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customFormat="false" ht="15" hidden="false" customHeight="true" outlineLevel="0" collapsed="false">
      <c r="A510" s="22"/>
      <c r="B510" s="22"/>
      <c r="C510" s="4"/>
      <c r="D510" s="4"/>
      <c r="E510" s="4"/>
      <c r="F510" s="23" t="str">
        <f aca="false">IFERROR(IF(OR($B510="",$C510=""),"",INDEX('Cartes API'!$J:$J,MATCH($B510,'Cartes API'!$A:$A,0))&amp;INDEX('Cartes API'!$B:$B,MATCH($B510,'Cartes API'!$A:$A,0))&amp;"."&amp;INDEX('Cartes API'!$C:$C,MATCH($B510,'Cartes API'!$A:$A,0))&amp;"."&amp;$C510),"")</f>
        <v/>
      </c>
      <c r="G510" s="23" t="str">
        <f aca="false">IFERROR(IF($B510="","",INDEX('Cartes API'!$H:$H,MATCH($B510,'Cartes API'!$A:$A,0))),"")</f>
        <v/>
      </c>
      <c r="H510" s="4"/>
      <c r="I510" s="23" t="str">
        <f aca="false">IF(OR($G510="",$H510=""),"",$G510&amp;"["&amp;$H510&amp;"]")</f>
        <v/>
      </c>
      <c r="J510" s="23" t="str">
        <f aca="false">IFERROR(INDEX(Cablage!$A:$A,MATCH($I510,Cablage!$F:$F,0)),"")</f>
        <v/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customFormat="false" ht="15" hidden="false" customHeight="true" outlineLevel="0" collapsed="false">
      <c r="A511" s="22"/>
      <c r="B511" s="22"/>
      <c r="C511" s="4"/>
      <c r="D511" s="4"/>
      <c r="E511" s="4"/>
      <c r="F511" s="23" t="str">
        <f aca="false">IFERROR(IF(OR($B511="",$C511=""),"",INDEX('Cartes API'!$J:$J,MATCH($B511,'Cartes API'!$A:$A,0))&amp;INDEX('Cartes API'!$B:$B,MATCH($B511,'Cartes API'!$A:$A,0))&amp;"."&amp;INDEX('Cartes API'!$C:$C,MATCH($B511,'Cartes API'!$A:$A,0))&amp;"."&amp;$C511),"")</f>
        <v/>
      </c>
      <c r="G511" s="23" t="str">
        <f aca="false">IFERROR(IF($B511="","",INDEX('Cartes API'!$H:$H,MATCH($B511,'Cartes API'!$A:$A,0))),"")</f>
        <v/>
      </c>
      <c r="H511" s="4"/>
      <c r="I511" s="23" t="str">
        <f aca="false">IF(OR($G511="",$H511=""),"",$G511&amp;"["&amp;$H511&amp;"]")</f>
        <v/>
      </c>
      <c r="J511" s="23" t="str">
        <f aca="false">IFERROR(INDEX(Cablage!$A:$A,MATCH($I511,Cablage!$F:$F,0)),"")</f>
        <v/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customFormat="false" ht="15" hidden="false" customHeight="true" outlineLevel="0" collapsed="false">
      <c r="A512" s="22"/>
      <c r="B512" s="22"/>
      <c r="C512" s="4"/>
      <c r="D512" s="4"/>
      <c r="E512" s="4"/>
      <c r="F512" s="23" t="str">
        <f aca="false">IFERROR(IF(OR($B512="",$C512=""),"",INDEX('Cartes API'!$J:$J,MATCH($B512,'Cartes API'!$A:$A,0))&amp;INDEX('Cartes API'!$B:$B,MATCH($B512,'Cartes API'!$A:$A,0))&amp;"."&amp;INDEX('Cartes API'!$C:$C,MATCH($B512,'Cartes API'!$A:$A,0))&amp;"."&amp;$C512),"")</f>
        <v/>
      </c>
      <c r="G512" s="23" t="str">
        <f aca="false">IFERROR(IF($B512="","",INDEX('Cartes API'!$H:$H,MATCH($B512,'Cartes API'!$A:$A,0))),"")</f>
        <v/>
      </c>
      <c r="H512" s="4"/>
      <c r="I512" s="23" t="str">
        <f aca="false">IF(OR($G512="",$H512=""),"",$G512&amp;"["&amp;$H512&amp;"]")</f>
        <v/>
      </c>
      <c r="J512" s="23" t="str">
        <f aca="false">IFERROR(INDEX(Cablage!$A:$A,MATCH($I512,Cablage!$F:$F,0)),"")</f>
        <v/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customFormat="false" ht="15" hidden="false" customHeight="true" outlineLevel="0" collapsed="false">
      <c r="A513" s="22"/>
      <c r="B513" s="22"/>
      <c r="C513" s="4"/>
      <c r="D513" s="4"/>
      <c r="E513" s="4"/>
      <c r="F513" s="23" t="str">
        <f aca="false">IFERROR(IF(OR($B513="",$C513=""),"",INDEX('Cartes API'!$J:$J,MATCH($B513,'Cartes API'!$A:$A,0))&amp;INDEX('Cartes API'!$B:$B,MATCH($B513,'Cartes API'!$A:$A,0))&amp;"."&amp;INDEX('Cartes API'!$C:$C,MATCH($B513,'Cartes API'!$A:$A,0))&amp;"."&amp;$C513),"")</f>
        <v/>
      </c>
      <c r="G513" s="23" t="str">
        <f aca="false">IFERROR(IF($B513="","",INDEX('Cartes API'!$H:$H,MATCH($B513,'Cartes API'!$A:$A,0))),"")</f>
        <v/>
      </c>
      <c r="H513" s="4"/>
      <c r="I513" s="23" t="str">
        <f aca="false">IF(OR($G513="",$H513=""),"",$G513&amp;"["&amp;$H513&amp;"]")</f>
        <v/>
      </c>
      <c r="J513" s="23" t="str">
        <f aca="false">IFERROR(INDEX(Cablage!$A:$A,MATCH($I513,Cablage!$F:$F,0)),"")</f>
        <v/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customFormat="false" ht="15" hidden="false" customHeight="true" outlineLevel="0" collapsed="false">
      <c r="A514" s="22"/>
      <c r="B514" s="22"/>
      <c r="C514" s="4"/>
      <c r="D514" s="4"/>
      <c r="E514" s="4"/>
      <c r="F514" s="23" t="str">
        <f aca="false">IFERROR(IF(OR($B514="",$C514=""),"",INDEX('Cartes API'!$J:$J,MATCH($B514,'Cartes API'!$A:$A,0))&amp;INDEX('Cartes API'!$B:$B,MATCH($B514,'Cartes API'!$A:$A,0))&amp;"."&amp;INDEX('Cartes API'!$C:$C,MATCH($B514,'Cartes API'!$A:$A,0))&amp;"."&amp;$C514),"")</f>
        <v/>
      </c>
      <c r="G514" s="23" t="str">
        <f aca="false">IFERROR(IF($B514="","",INDEX('Cartes API'!$H:$H,MATCH($B514,'Cartes API'!$A:$A,0))),"")</f>
        <v/>
      </c>
      <c r="H514" s="4"/>
      <c r="I514" s="23" t="str">
        <f aca="false">IF(OR($G514="",$H514=""),"",$G514&amp;"["&amp;$H514&amp;"]")</f>
        <v/>
      </c>
      <c r="J514" s="23" t="str">
        <f aca="false">IFERROR(INDEX(Cablage!$A:$A,MATCH($I514,Cablage!$F:$F,0)),"")</f>
        <v/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customFormat="false" ht="15" hidden="false" customHeight="true" outlineLevel="0" collapsed="false">
      <c r="A515" s="22"/>
      <c r="B515" s="22"/>
      <c r="C515" s="4"/>
      <c r="D515" s="4"/>
      <c r="E515" s="4"/>
      <c r="F515" s="23" t="str">
        <f aca="false">IFERROR(IF(OR($B515="",$C515=""),"",INDEX('Cartes API'!$J:$J,MATCH($B515,'Cartes API'!$A:$A,0))&amp;INDEX('Cartes API'!$B:$B,MATCH($B515,'Cartes API'!$A:$A,0))&amp;"."&amp;INDEX('Cartes API'!$C:$C,MATCH($B515,'Cartes API'!$A:$A,0))&amp;"."&amp;$C515),"")</f>
        <v/>
      </c>
      <c r="G515" s="23" t="str">
        <f aca="false">IFERROR(IF($B515="","",INDEX('Cartes API'!$H:$H,MATCH($B515,'Cartes API'!$A:$A,0))),"")</f>
        <v/>
      </c>
      <c r="H515" s="4"/>
      <c r="I515" s="23" t="str">
        <f aca="false">IF(OR($G515="",$H515=""),"",$G515&amp;"["&amp;$H515&amp;"]")</f>
        <v/>
      </c>
      <c r="J515" s="23" t="str">
        <f aca="false">IFERROR(INDEX(Cablage!$A:$A,MATCH($I515,Cablage!$F:$F,0)),"")</f>
        <v/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customFormat="false" ht="15" hidden="false" customHeight="true" outlineLevel="0" collapsed="false">
      <c r="A516" s="22"/>
      <c r="B516" s="22"/>
      <c r="C516" s="4"/>
      <c r="D516" s="4"/>
      <c r="E516" s="4"/>
      <c r="F516" s="23" t="str">
        <f aca="false">IFERROR(IF(OR($B516="",$C516=""),"",INDEX('Cartes API'!$J:$J,MATCH($B516,'Cartes API'!$A:$A,0))&amp;INDEX('Cartes API'!$B:$B,MATCH($B516,'Cartes API'!$A:$A,0))&amp;"."&amp;INDEX('Cartes API'!$C:$C,MATCH($B516,'Cartes API'!$A:$A,0))&amp;"."&amp;$C516),"")</f>
        <v/>
      </c>
      <c r="G516" s="23" t="str">
        <f aca="false">IFERROR(IF($B516="","",INDEX('Cartes API'!$H:$H,MATCH($B516,'Cartes API'!$A:$A,0))),"")</f>
        <v/>
      </c>
      <c r="H516" s="4"/>
      <c r="I516" s="23" t="str">
        <f aca="false">IF(OR($G516="",$H516=""),"",$G516&amp;"["&amp;$H516&amp;"]")</f>
        <v/>
      </c>
      <c r="J516" s="23" t="str">
        <f aca="false">IFERROR(INDEX(Cablage!$A:$A,MATCH($I516,Cablage!$F:$F,0)),"")</f>
        <v/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customFormat="false" ht="15" hidden="false" customHeight="true" outlineLevel="0" collapsed="false">
      <c r="A517" s="22"/>
      <c r="B517" s="22"/>
      <c r="C517" s="4"/>
      <c r="D517" s="4"/>
      <c r="E517" s="4"/>
      <c r="F517" s="23" t="str">
        <f aca="false">IFERROR(IF(OR($B517="",$C517=""),"",INDEX('Cartes API'!$J:$J,MATCH($B517,'Cartes API'!$A:$A,0))&amp;INDEX('Cartes API'!$B:$B,MATCH($B517,'Cartes API'!$A:$A,0))&amp;"."&amp;INDEX('Cartes API'!$C:$C,MATCH($B517,'Cartes API'!$A:$A,0))&amp;"."&amp;$C517),"")</f>
        <v/>
      </c>
      <c r="G517" s="23" t="str">
        <f aca="false">IFERROR(IF($B517="","",INDEX('Cartes API'!$H:$H,MATCH($B517,'Cartes API'!$A:$A,0))),"")</f>
        <v/>
      </c>
      <c r="H517" s="4"/>
      <c r="I517" s="23" t="str">
        <f aca="false">IF(OR($G517="",$H517=""),"",$G517&amp;"["&amp;$H517&amp;"]")</f>
        <v/>
      </c>
      <c r="J517" s="23" t="str">
        <f aca="false">IFERROR(INDEX(Cablage!$A:$A,MATCH($I517,Cablage!$F:$F,0)),"")</f>
        <v/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customFormat="false" ht="15" hidden="false" customHeight="true" outlineLevel="0" collapsed="false">
      <c r="A518" s="22"/>
      <c r="B518" s="22"/>
      <c r="C518" s="4"/>
      <c r="D518" s="4"/>
      <c r="E518" s="4"/>
      <c r="F518" s="23" t="str">
        <f aca="false">IFERROR(IF(OR($B518="",$C518=""),"",INDEX('Cartes API'!$J:$J,MATCH($B518,'Cartes API'!$A:$A,0))&amp;INDEX('Cartes API'!$B:$B,MATCH($B518,'Cartes API'!$A:$A,0))&amp;"."&amp;INDEX('Cartes API'!$C:$C,MATCH($B518,'Cartes API'!$A:$A,0))&amp;"."&amp;$C518),"")</f>
        <v/>
      </c>
      <c r="G518" s="23" t="str">
        <f aca="false">IFERROR(IF($B518="","",INDEX('Cartes API'!$H:$H,MATCH($B518,'Cartes API'!$A:$A,0))),"")</f>
        <v/>
      </c>
      <c r="H518" s="4"/>
      <c r="I518" s="23" t="str">
        <f aca="false">IF(OR($G518="",$H518=""),"",$G518&amp;"["&amp;$H518&amp;"]")</f>
        <v/>
      </c>
      <c r="J518" s="23" t="str">
        <f aca="false">IFERROR(INDEX(Cablage!$A:$A,MATCH($I518,Cablage!$F:$F,0)),"")</f>
        <v/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customFormat="false" ht="15" hidden="false" customHeight="true" outlineLevel="0" collapsed="false">
      <c r="A519" s="22"/>
      <c r="B519" s="22"/>
      <c r="C519" s="4"/>
      <c r="D519" s="4"/>
      <c r="E519" s="4"/>
      <c r="F519" s="23" t="str">
        <f aca="false">IFERROR(IF(OR($B519="",$C519=""),"",INDEX('Cartes API'!$J:$J,MATCH($B519,'Cartes API'!$A:$A,0))&amp;INDEX('Cartes API'!$B:$B,MATCH($B519,'Cartes API'!$A:$A,0))&amp;"."&amp;INDEX('Cartes API'!$C:$C,MATCH($B519,'Cartes API'!$A:$A,0))&amp;"."&amp;$C519),"")</f>
        <v/>
      </c>
      <c r="G519" s="23" t="str">
        <f aca="false">IFERROR(IF($B519="","",INDEX('Cartes API'!$H:$H,MATCH($B519,'Cartes API'!$A:$A,0))),"")</f>
        <v/>
      </c>
      <c r="H519" s="4"/>
      <c r="I519" s="23" t="str">
        <f aca="false">IF(OR($G519="",$H519=""),"",$G519&amp;"["&amp;$H519&amp;"]")</f>
        <v/>
      </c>
      <c r="J519" s="23" t="str">
        <f aca="false">IFERROR(INDEX(Cablage!$A:$A,MATCH($I519,Cablage!$F:$F,0)),"")</f>
        <v/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customFormat="false" ht="15" hidden="false" customHeight="true" outlineLevel="0" collapsed="false">
      <c r="A520" s="22"/>
      <c r="B520" s="22"/>
      <c r="C520" s="4"/>
      <c r="D520" s="4"/>
      <c r="E520" s="4"/>
      <c r="F520" s="23" t="str">
        <f aca="false">IFERROR(IF(OR($B520="",$C520=""),"",INDEX('Cartes API'!$J:$J,MATCH($B520,'Cartes API'!$A:$A,0))&amp;INDEX('Cartes API'!$B:$B,MATCH($B520,'Cartes API'!$A:$A,0))&amp;"."&amp;INDEX('Cartes API'!$C:$C,MATCH($B520,'Cartes API'!$A:$A,0))&amp;"."&amp;$C520),"")</f>
        <v/>
      </c>
      <c r="G520" s="23" t="str">
        <f aca="false">IFERROR(IF($B520="","",INDEX('Cartes API'!$H:$H,MATCH($B520,'Cartes API'!$A:$A,0))),"")</f>
        <v/>
      </c>
      <c r="H520" s="4"/>
      <c r="I520" s="23" t="str">
        <f aca="false">IF(OR($G520="",$H520=""),"",$G520&amp;"["&amp;$H520&amp;"]")</f>
        <v/>
      </c>
      <c r="J520" s="23" t="str">
        <f aca="false">IFERROR(INDEX(Cablage!$A:$A,MATCH($I520,Cablage!$F:$F,0)),"")</f>
        <v/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customFormat="false" ht="15" hidden="false" customHeight="true" outlineLevel="0" collapsed="false">
      <c r="A521" s="22"/>
      <c r="B521" s="22"/>
      <c r="C521" s="4"/>
      <c r="D521" s="4"/>
      <c r="E521" s="4"/>
      <c r="F521" s="23" t="str">
        <f aca="false">IFERROR(IF(OR($B521="",$C521=""),"",INDEX('Cartes API'!$J:$J,MATCH($B521,'Cartes API'!$A:$A,0))&amp;INDEX('Cartes API'!$B:$B,MATCH($B521,'Cartes API'!$A:$A,0))&amp;"."&amp;INDEX('Cartes API'!$C:$C,MATCH($B521,'Cartes API'!$A:$A,0))&amp;"."&amp;$C521),"")</f>
        <v/>
      </c>
      <c r="G521" s="23" t="str">
        <f aca="false">IFERROR(IF($B521="","",INDEX('Cartes API'!$H:$H,MATCH($B521,'Cartes API'!$A:$A,0))),"")</f>
        <v/>
      </c>
      <c r="H521" s="4"/>
      <c r="I521" s="23" t="str">
        <f aca="false">IF(OR($G521="",$H521=""),"",$G521&amp;"["&amp;$H521&amp;"]")</f>
        <v/>
      </c>
      <c r="J521" s="23" t="str">
        <f aca="false">IFERROR(INDEX(Cablage!$A:$A,MATCH($I521,Cablage!$F:$F,0)),"")</f>
        <v/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customFormat="false" ht="15" hidden="false" customHeight="true" outlineLevel="0" collapsed="false">
      <c r="A522" s="22"/>
      <c r="B522" s="22"/>
      <c r="C522" s="4"/>
      <c r="D522" s="4"/>
      <c r="E522" s="4"/>
      <c r="F522" s="23" t="str">
        <f aca="false">IFERROR(IF(OR($B522="",$C522=""),"",INDEX('Cartes API'!$J:$J,MATCH($B522,'Cartes API'!$A:$A,0))&amp;INDEX('Cartes API'!$B:$B,MATCH($B522,'Cartes API'!$A:$A,0))&amp;"."&amp;INDEX('Cartes API'!$C:$C,MATCH($B522,'Cartes API'!$A:$A,0))&amp;"."&amp;$C522),"")</f>
        <v/>
      </c>
      <c r="G522" s="23" t="str">
        <f aca="false">IFERROR(IF($B522="","",INDEX('Cartes API'!$H:$H,MATCH($B522,'Cartes API'!$A:$A,0))),"")</f>
        <v/>
      </c>
      <c r="H522" s="4"/>
      <c r="I522" s="23" t="str">
        <f aca="false">IF(OR($G522="",$H522=""),"",$G522&amp;"["&amp;$H522&amp;"]")</f>
        <v/>
      </c>
      <c r="J522" s="23" t="str">
        <f aca="false">IFERROR(INDEX(Cablage!$A:$A,MATCH($I522,Cablage!$F:$F,0)),"")</f>
        <v/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customFormat="false" ht="15" hidden="false" customHeight="true" outlineLevel="0" collapsed="false">
      <c r="A523" s="22"/>
      <c r="B523" s="22"/>
      <c r="C523" s="4"/>
      <c r="D523" s="4"/>
      <c r="E523" s="4"/>
      <c r="F523" s="23" t="str">
        <f aca="false">IFERROR(IF(OR($B523="",$C523=""),"",INDEX('Cartes API'!$J:$J,MATCH($B523,'Cartes API'!$A:$A,0))&amp;INDEX('Cartes API'!$B:$B,MATCH($B523,'Cartes API'!$A:$A,0))&amp;"."&amp;INDEX('Cartes API'!$C:$C,MATCH($B523,'Cartes API'!$A:$A,0))&amp;"."&amp;$C523),"")</f>
        <v/>
      </c>
      <c r="G523" s="23" t="str">
        <f aca="false">IFERROR(IF($B523="","",INDEX('Cartes API'!$H:$H,MATCH($B523,'Cartes API'!$A:$A,0))),"")</f>
        <v/>
      </c>
      <c r="H523" s="4"/>
      <c r="I523" s="23" t="str">
        <f aca="false">IF(OR($G523="",$H523=""),"",$G523&amp;"["&amp;$H523&amp;"]")</f>
        <v/>
      </c>
      <c r="J523" s="23" t="str">
        <f aca="false">IFERROR(INDEX(Cablage!$A:$A,MATCH($I523,Cablage!$F:$F,0)),"")</f>
        <v/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customFormat="false" ht="15" hidden="false" customHeight="true" outlineLevel="0" collapsed="false">
      <c r="A524" s="22"/>
      <c r="B524" s="22"/>
      <c r="C524" s="4"/>
      <c r="D524" s="4"/>
      <c r="E524" s="4"/>
      <c r="F524" s="23" t="str">
        <f aca="false">IFERROR(IF(OR($B524="",$C524=""),"",INDEX('Cartes API'!$J:$J,MATCH($B524,'Cartes API'!$A:$A,0))&amp;INDEX('Cartes API'!$B:$B,MATCH($B524,'Cartes API'!$A:$A,0))&amp;"."&amp;INDEX('Cartes API'!$C:$C,MATCH($B524,'Cartes API'!$A:$A,0))&amp;"."&amp;$C524),"")</f>
        <v/>
      </c>
      <c r="G524" s="23" t="str">
        <f aca="false">IFERROR(IF($B524="","",INDEX('Cartes API'!$H:$H,MATCH($B524,'Cartes API'!$A:$A,0))),"")</f>
        <v/>
      </c>
      <c r="H524" s="4"/>
      <c r="I524" s="23" t="str">
        <f aca="false">IF(OR($G524="",$H524=""),"",$G524&amp;"["&amp;$H524&amp;"]")</f>
        <v/>
      </c>
      <c r="J524" s="23" t="str">
        <f aca="false">IFERROR(INDEX(Cablage!$A:$A,MATCH($I524,Cablage!$F:$F,0)),"")</f>
        <v/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customFormat="false" ht="15" hidden="false" customHeight="true" outlineLevel="0" collapsed="false">
      <c r="A525" s="22"/>
      <c r="B525" s="22"/>
      <c r="C525" s="4"/>
      <c r="D525" s="4"/>
      <c r="E525" s="4"/>
      <c r="F525" s="23" t="str">
        <f aca="false">IFERROR(IF(OR($B525="",$C525=""),"",INDEX('Cartes API'!$J:$J,MATCH($B525,'Cartes API'!$A:$A,0))&amp;INDEX('Cartes API'!$B:$B,MATCH($B525,'Cartes API'!$A:$A,0))&amp;"."&amp;INDEX('Cartes API'!$C:$C,MATCH($B525,'Cartes API'!$A:$A,0))&amp;"."&amp;$C525),"")</f>
        <v/>
      </c>
      <c r="G525" s="23" t="str">
        <f aca="false">IFERROR(IF($B525="","",INDEX('Cartes API'!$H:$H,MATCH($B525,'Cartes API'!$A:$A,0))),"")</f>
        <v/>
      </c>
      <c r="H525" s="4"/>
      <c r="I525" s="23" t="str">
        <f aca="false">IF(OR($G525="",$H525=""),"",$G525&amp;"["&amp;$H525&amp;"]")</f>
        <v/>
      </c>
      <c r="J525" s="23" t="str">
        <f aca="false">IFERROR(INDEX(Cablage!$A:$A,MATCH($I525,Cablage!$F:$F,0)),"")</f>
        <v/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customFormat="false" ht="15" hidden="false" customHeight="true" outlineLevel="0" collapsed="false">
      <c r="A526" s="22"/>
      <c r="B526" s="22"/>
      <c r="C526" s="4"/>
      <c r="D526" s="4"/>
      <c r="E526" s="4"/>
      <c r="F526" s="23" t="str">
        <f aca="false">IFERROR(IF(OR($B526="",$C526=""),"",INDEX('Cartes API'!$J:$J,MATCH($B526,'Cartes API'!$A:$A,0))&amp;INDEX('Cartes API'!$B:$B,MATCH($B526,'Cartes API'!$A:$A,0))&amp;"."&amp;INDEX('Cartes API'!$C:$C,MATCH($B526,'Cartes API'!$A:$A,0))&amp;"."&amp;$C526),"")</f>
        <v/>
      </c>
      <c r="G526" s="23" t="str">
        <f aca="false">IFERROR(IF($B526="","",INDEX('Cartes API'!$H:$H,MATCH($B526,'Cartes API'!$A:$A,0))),"")</f>
        <v/>
      </c>
      <c r="H526" s="4"/>
      <c r="I526" s="23" t="str">
        <f aca="false">IF(OR($G526="",$H526=""),"",$G526&amp;"["&amp;$H526&amp;"]")</f>
        <v/>
      </c>
      <c r="J526" s="23" t="str">
        <f aca="false">IFERROR(INDEX(Cablage!$A:$A,MATCH($I526,Cablage!$F:$F,0)),"")</f>
        <v/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customFormat="false" ht="15" hidden="false" customHeight="true" outlineLevel="0" collapsed="false">
      <c r="A527" s="22"/>
      <c r="B527" s="22"/>
      <c r="C527" s="4"/>
      <c r="D527" s="4"/>
      <c r="E527" s="4"/>
      <c r="F527" s="23" t="str">
        <f aca="false">IFERROR(IF(OR($B527="",$C527=""),"",INDEX('Cartes API'!$J:$J,MATCH($B527,'Cartes API'!$A:$A,0))&amp;INDEX('Cartes API'!$B:$B,MATCH($B527,'Cartes API'!$A:$A,0))&amp;"."&amp;INDEX('Cartes API'!$C:$C,MATCH($B527,'Cartes API'!$A:$A,0))&amp;"."&amp;$C527),"")</f>
        <v/>
      </c>
      <c r="G527" s="23" t="str">
        <f aca="false">IFERROR(IF($B527="","",INDEX('Cartes API'!$H:$H,MATCH($B527,'Cartes API'!$A:$A,0))),"")</f>
        <v/>
      </c>
      <c r="H527" s="4"/>
      <c r="I527" s="23" t="str">
        <f aca="false">IF(OR($G527="",$H527=""),"",$G527&amp;"["&amp;$H527&amp;"]")</f>
        <v/>
      </c>
      <c r="J527" s="23" t="str">
        <f aca="false">IFERROR(INDEX(Cablage!$A:$A,MATCH($I527,Cablage!$F:$F,0)),"")</f>
        <v/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customFormat="false" ht="15" hidden="false" customHeight="true" outlineLevel="0" collapsed="false">
      <c r="A528" s="22"/>
      <c r="B528" s="22"/>
      <c r="C528" s="4"/>
      <c r="D528" s="4"/>
      <c r="E528" s="4"/>
      <c r="F528" s="23" t="str">
        <f aca="false">IFERROR(IF(OR($B528="",$C528=""),"",INDEX('Cartes API'!$J:$J,MATCH($B528,'Cartes API'!$A:$A,0))&amp;INDEX('Cartes API'!$B:$B,MATCH($B528,'Cartes API'!$A:$A,0))&amp;"."&amp;INDEX('Cartes API'!$C:$C,MATCH($B528,'Cartes API'!$A:$A,0))&amp;"."&amp;$C528),"")</f>
        <v/>
      </c>
      <c r="G528" s="23" t="str">
        <f aca="false">IFERROR(IF($B528="","",INDEX('Cartes API'!$H:$H,MATCH($B528,'Cartes API'!$A:$A,0))),"")</f>
        <v/>
      </c>
      <c r="H528" s="4"/>
      <c r="I528" s="23" t="str">
        <f aca="false">IF(OR($G528="",$H528=""),"",$G528&amp;"["&amp;$H528&amp;"]")</f>
        <v/>
      </c>
      <c r="J528" s="23" t="str">
        <f aca="false">IFERROR(INDEX(Cablage!$A:$A,MATCH($I528,Cablage!$F:$F,0)),"")</f>
        <v/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customFormat="false" ht="15" hidden="false" customHeight="true" outlineLevel="0" collapsed="false">
      <c r="A529" s="22"/>
      <c r="B529" s="22"/>
      <c r="C529" s="4"/>
      <c r="D529" s="4"/>
      <c r="E529" s="4"/>
      <c r="F529" s="23" t="str">
        <f aca="false">IFERROR(IF(OR($B529="",$C529=""),"",INDEX('Cartes API'!$J:$J,MATCH($B529,'Cartes API'!$A:$A,0))&amp;INDEX('Cartes API'!$B:$B,MATCH($B529,'Cartes API'!$A:$A,0))&amp;"."&amp;INDEX('Cartes API'!$C:$C,MATCH($B529,'Cartes API'!$A:$A,0))&amp;"."&amp;$C529),"")</f>
        <v/>
      </c>
      <c r="G529" s="23" t="str">
        <f aca="false">IFERROR(IF($B529="","",INDEX('Cartes API'!$H:$H,MATCH($B529,'Cartes API'!$A:$A,0))),"")</f>
        <v/>
      </c>
      <c r="H529" s="4"/>
      <c r="I529" s="23" t="str">
        <f aca="false">IF(OR($G529="",$H529=""),"",$G529&amp;"["&amp;$H529&amp;"]")</f>
        <v/>
      </c>
      <c r="J529" s="23" t="str">
        <f aca="false">IFERROR(INDEX(Cablage!$A:$A,MATCH($I529,Cablage!$F:$F,0)),"")</f>
        <v/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customFormat="false" ht="15" hidden="false" customHeight="true" outlineLevel="0" collapsed="false">
      <c r="A530" s="22"/>
      <c r="B530" s="22"/>
      <c r="C530" s="4"/>
      <c r="D530" s="4"/>
      <c r="E530" s="4"/>
      <c r="F530" s="23" t="str">
        <f aca="false">IFERROR(IF(OR($B530="",$C530=""),"",INDEX('Cartes API'!$J:$J,MATCH($B530,'Cartes API'!$A:$A,0))&amp;INDEX('Cartes API'!$B:$B,MATCH($B530,'Cartes API'!$A:$A,0))&amp;"."&amp;INDEX('Cartes API'!$C:$C,MATCH($B530,'Cartes API'!$A:$A,0))&amp;"."&amp;$C530),"")</f>
        <v/>
      </c>
      <c r="G530" s="23" t="str">
        <f aca="false">IFERROR(IF($B530="","",INDEX('Cartes API'!$H:$H,MATCH($B530,'Cartes API'!$A:$A,0))),"")</f>
        <v/>
      </c>
      <c r="H530" s="4"/>
      <c r="I530" s="23" t="str">
        <f aca="false">IF(OR($G530="",$H530=""),"",$G530&amp;"["&amp;$H530&amp;"]")</f>
        <v/>
      </c>
      <c r="J530" s="23" t="str">
        <f aca="false">IFERROR(INDEX(Cablage!$A:$A,MATCH($I530,Cablage!$F:$F,0)),"")</f>
        <v/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customFormat="false" ht="15" hidden="false" customHeight="true" outlineLevel="0" collapsed="false">
      <c r="A531" s="22"/>
      <c r="B531" s="22"/>
      <c r="C531" s="4"/>
      <c r="D531" s="4"/>
      <c r="E531" s="4"/>
      <c r="F531" s="23" t="str">
        <f aca="false">IFERROR(IF(OR($B531="",$C531=""),"",INDEX('Cartes API'!$J:$J,MATCH($B531,'Cartes API'!$A:$A,0))&amp;INDEX('Cartes API'!$B:$B,MATCH($B531,'Cartes API'!$A:$A,0))&amp;"."&amp;INDEX('Cartes API'!$C:$C,MATCH($B531,'Cartes API'!$A:$A,0))&amp;"."&amp;$C531),"")</f>
        <v/>
      </c>
      <c r="G531" s="23" t="str">
        <f aca="false">IFERROR(IF($B531="","",INDEX('Cartes API'!$H:$H,MATCH($B531,'Cartes API'!$A:$A,0))),"")</f>
        <v/>
      </c>
      <c r="H531" s="4"/>
      <c r="I531" s="23" t="str">
        <f aca="false">IF(OR($G531="",$H531=""),"",$G531&amp;"["&amp;$H531&amp;"]")</f>
        <v/>
      </c>
      <c r="J531" s="23" t="str">
        <f aca="false">IFERROR(INDEX(Cablage!$A:$A,MATCH($I531,Cablage!$F:$F,0)),"")</f>
        <v/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customFormat="false" ht="15" hidden="false" customHeight="true" outlineLevel="0" collapsed="false">
      <c r="A532" s="22"/>
      <c r="B532" s="22"/>
      <c r="C532" s="4"/>
      <c r="D532" s="4"/>
      <c r="E532" s="4"/>
      <c r="F532" s="23" t="str">
        <f aca="false">IFERROR(IF(OR($B532="",$C532=""),"",INDEX('Cartes API'!$J:$J,MATCH($B532,'Cartes API'!$A:$A,0))&amp;INDEX('Cartes API'!$B:$B,MATCH($B532,'Cartes API'!$A:$A,0))&amp;"."&amp;INDEX('Cartes API'!$C:$C,MATCH($B532,'Cartes API'!$A:$A,0))&amp;"."&amp;$C532),"")</f>
        <v/>
      </c>
      <c r="G532" s="23" t="str">
        <f aca="false">IFERROR(IF($B532="","",INDEX('Cartes API'!$H:$H,MATCH($B532,'Cartes API'!$A:$A,0))),"")</f>
        <v/>
      </c>
      <c r="H532" s="4"/>
      <c r="I532" s="23" t="str">
        <f aca="false">IF(OR($G532="",$H532=""),"",$G532&amp;"["&amp;$H532&amp;"]")</f>
        <v/>
      </c>
      <c r="J532" s="23" t="str">
        <f aca="false">IFERROR(INDEX(Cablage!$A:$A,MATCH($I532,Cablage!$F:$F,0)),"")</f>
        <v/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customFormat="false" ht="15" hidden="false" customHeight="true" outlineLevel="0" collapsed="false">
      <c r="A533" s="22"/>
      <c r="B533" s="22"/>
      <c r="C533" s="4"/>
      <c r="D533" s="4"/>
      <c r="E533" s="4"/>
      <c r="F533" s="23" t="str">
        <f aca="false">IFERROR(IF(OR($B533="",$C533=""),"",INDEX('Cartes API'!$J:$J,MATCH($B533,'Cartes API'!$A:$A,0))&amp;INDEX('Cartes API'!$B:$B,MATCH($B533,'Cartes API'!$A:$A,0))&amp;"."&amp;INDEX('Cartes API'!$C:$C,MATCH($B533,'Cartes API'!$A:$A,0))&amp;"."&amp;$C533),"")</f>
        <v/>
      </c>
      <c r="G533" s="23" t="str">
        <f aca="false">IFERROR(IF($B533="","",INDEX('Cartes API'!$H:$H,MATCH($B533,'Cartes API'!$A:$A,0))),"")</f>
        <v/>
      </c>
      <c r="H533" s="4"/>
      <c r="I533" s="23" t="str">
        <f aca="false">IF(OR($G533="",$H533=""),"",$G533&amp;"["&amp;$H533&amp;"]")</f>
        <v/>
      </c>
      <c r="J533" s="23" t="str">
        <f aca="false">IFERROR(INDEX(Cablage!$A:$A,MATCH($I533,Cablage!$F:$F,0)),"")</f>
        <v/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customFormat="false" ht="15" hidden="false" customHeight="true" outlineLevel="0" collapsed="false">
      <c r="A534" s="22"/>
      <c r="B534" s="22"/>
      <c r="C534" s="4"/>
      <c r="D534" s="4"/>
      <c r="E534" s="4"/>
      <c r="F534" s="23" t="str">
        <f aca="false">IFERROR(IF(OR($B534="",$C534=""),"",INDEX('Cartes API'!$J:$J,MATCH($B534,'Cartes API'!$A:$A,0))&amp;INDEX('Cartes API'!$B:$B,MATCH($B534,'Cartes API'!$A:$A,0))&amp;"."&amp;INDEX('Cartes API'!$C:$C,MATCH($B534,'Cartes API'!$A:$A,0))&amp;"."&amp;$C534),"")</f>
        <v/>
      </c>
      <c r="G534" s="23" t="str">
        <f aca="false">IFERROR(IF($B534="","",INDEX('Cartes API'!$H:$H,MATCH($B534,'Cartes API'!$A:$A,0))),"")</f>
        <v/>
      </c>
      <c r="H534" s="4"/>
      <c r="I534" s="23" t="str">
        <f aca="false">IF(OR($G534="",$H534=""),"",$G534&amp;"["&amp;$H534&amp;"]")</f>
        <v/>
      </c>
      <c r="J534" s="23" t="str">
        <f aca="false">IFERROR(INDEX(Cablage!$A:$A,MATCH($I534,Cablage!$F:$F,0)),"")</f>
        <v/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customFormat="false" ht="15" hidden="false" customHeight="true" outlineLevel="0" collapsed="false">
      <c r="A535" s="22"/>
      <c r="B535" s="22"/>
      <c r="C535" s="4"/>
      <c r="D535" s="4"/>
      <c r="E535" s="4"/>
      <c r="F535" s="23" t="str">
        <f aca="false">IFERROR(IF(OR($B535="",$C535=""),"",INDEX('Cartes API'!$J:$J,MATCH($B535,'Cartes API'!$A:$A,0))&amp;INDEX('Cartes API'!$B:$B,MATCH($B535,'Cartes API'!$A:$A,0))&amp;"."&amp;INDEX('Cartes API'!$C:$C,MATCH($B535,'Cartes API'!$A:$A,0))&amp;"."&amp;$C535),"")</f>
        <v/>
      </c>
      <c r="G535" s="23" t="str">
        <f aca="false">IFERROR(IF($B535="","",INDEX('Cartes API'!$H:$H,MATCH($B535,'Cartes API'!$A:$A,0))),"")</f>
        <v/>
      </c>
      <c r="H535" s="4"/>
      <c r="I535" s="23" t="str">
        <f aca="false">IF(OR($G535="",$H535=""),"",$G535&amp;"["&amp;$H535&amp;"]")</f>
        <v/>
      </c>
      <c r="J535" s="23" t="str">
        <f aca="false">IFERROR(INDEX(Cablage!$A:$A,MATCH($I535,Cablage!$F:$F,0)),"")</f>
        <v/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customFormat="false" ht="15" hidden="false" customHeight="true" outlineLevel="0" collapsed="false">
      <c r="A536" s="22"/>
      <c r="B536" s="22"/>
      <c r="C536" s="4"/>
      <c r="D536" s="4"/>
      <c r="E536" s="4"/>
      <c r="F536" s="23" t="str">
        <f aca="false">IFERROR(IF(OR($B536="",$C536=""),"",INDEX('Cartes API'!$J:$J,MATCH($B536,'Cartes API'!$A:$A,0))&amp;INDEX('Cartes API'!$B:$B,MATCH($B536,'Cartes API'!$A:$A,0))&amp;"."&amp;INDEX('Cartes API'!$C:$C,MATCH($B536,'Cartes API'!$A:$A,0))&amp;"."&amp;$C536),"")</f>
        <v/>
      </c>
      <c r="G536" s="23" t="str">
        <f aca="false">IFERROR(IF($B536="","",INDEX('Cartes API'!$H:$H,MATCH($B536,'Cartes API'!$A:$A,0))),"")</f>
        <v/>
      </c>
      <c r="H536" s="4"/>
      <c r="I536" s="23" t="str">
        <f aca="false">IF(OR($G536="",$H536=""),"",$G536&amp;"["&amp;$H536&amp;"]")</f>
        <v/>
      </c>
      <c r="J536" s="23" t="str">
        <f aca="false">IFERROR(INDEX(Cablage!$A:$A,MATCH($I536,Cablage!$F:$F,0)),"")</f>
        <v/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customFormat="false" ht="15" hidden="false" customHeight="true" outlineLevel="0" collapsed="false">
      <c r="A537" s="22"/>
      <c r="B537" s="22"/>
      <c r="C537" s="4"/>
      <c r="D537" s="4"/>
      <c r="E537" s="4"/>
      <c r="F537" s="23" t="str">
        <f aca="false">IFERROR(IF(OR($B537="",$C537=""),"",INDEX('Cartes API'!$J:$J,MATCH($B537,'Cartes API'!$A:$A,0))&amp;INDEX('Cartes API'!$B:$B,MATCH($B537,'Cartes API'!$A:$A,0))&amp;"."&amp;INDEX('Cartes API'!$C:$C,MATCH($B537,'Cartes API'!$A:$A,0))&amp;"."&amp;$C537),"")</f>
        <v/>
      </c>
      <c r="G537" s="23" t="str">
        <f aca="false">IFERROR(IF($B537="","",INDEX('Cartes API'!$H:$H,MATCH($B537,'Cartes API'!$A:$A,0))),"")</f>
        <v/>
      </c>
      <c r="H537" s="4"/>
      <c r="I537" s="23" t="str">
        <f aca="false">IF(OR($G537="",$H537=""),"",$G537&amp;"["&amp;$H537&amp;"]")</f>
        <v/>
      </c>
      <c r="J537" s="23" t="str">
        <f aca="false">IFERROR(INDEX(Cablage!$A:$A,MATCH($I537,Cablage!$F:$F,0)),"")</f>
        <v/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customFormat="false" ht="15" hidden="false" customHeight="true" outlineLevel="0" collapsed="false">
      <c r="A538" s="22"/>
      <c r="B538" s="22"/>
      <c r="C538" s="4"/>
      <c r="D538" s="4"/>
      <c r="E538" s="4"/>
      <c r="F538" s="23" t="str">
        <f aca="false">IFERROR(IF(OR($B538="",$C538=""),"",INDEX('Cartes API'!$J:$J,MATCH($B538,'Cartes API'!$A:$A,0))&amp;INDEX('Cartes API'!$B:$B,MATCH($B538,'Cartes API'!$A:$A,0))&amp;"."&amp;INDEX('Cartes API'!$C:$C,MATCH($B538,'Cartes API'!$A:$A,0))&amp;"."&amp;$C538),"")</f>
        <v/>
      </c>
      <c r="G538" s="23" t="str">
        <f aca="false">IFERROR(IF($B538="","",INDEX('Cartes API'!$H:$H,MATCH($B538,'Cartes API'!$A:$A,0))),"")</f>
        <v/>
      </c>
      <c r="H538" s="4"/>
      <c r="I538" s="23" t="str">
        <f aca="false">IF(OR($G538="",$H538=""),"",$G538&amp;"["&amp;$H538&amp;"]")</f>
        <v/>
      </c>
      <c r="J538" s="23" t="str">
        <f aca="false">IFERROR(INDEX(Cablage!$A:$A,MATCH($I538,Cablage!$F:$F,0)),"")</f>
        <v/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customFormat="false" ht="15" hidden="false" customHeight="true" outlineLevel="0" collapsed="false">
      <c r="A539" s="22"/>
      <c r="B539" s="22"/>
      <c r="C539" s="4"/>
      <c r="D539" s="4"/>
      <c r="E539" s="4"/>
      <c r="F539" s="23" t="str">
        <f aca="false">IFERROR(IF(OR($B539="",$C539=""),"",INDEX('Cartes API'!$J:$J,MATCH($B539,'Cartes API'!$A:$A,0))&amp;INDEX('Cartes API'!$B:$B,MATCH($B539,'Cartes API'!$A:$A,0))&amp;"."&amp;INDEX('Cartes API'!$C:$C,MATCH($B539,'Cartes API'!$A:$A,0))&amp;"."&amp;$C539),"")</f>
        <v/>
      </c>
      <c r="G539" s="23" t="str">
        <f aca="false">IFERROR(IF($B539="","",INDEX('Cartes API'!$H:$H,MATCH($B539,'Cartes API'!$A:$A,0))),"")</f>
        <v/>
      </c>
      <c r="H539" s="4"/>
      <c r="I539" s="23" t="str">
        <f aca="false">IF(OR($G539="",$H539=""),"",$G539&amp;"["&amp;$H539&amp;"]")</f>
        <v/>
      </c>
      <c r="J539" s="23" t="str">
        <f aca="false">IFERROR(INDEX(Cablage!$A:$A,MATCH($I539,Cablage!$F:$F,0)),"")</f>
        <v/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customFormat="false" ht="15" hidden="false" customHeight="true" outlineLevel="0" collapsed="false">
      <c r="A540" s="22"/>
      <c r="B540" s="22"/>
      <c r="C540" s="4"/>
      <c r="D540" s="4"/>
      <c r="E540" s="4"/>
      <c r="F540" s="23" t="str">
        <f aca="false">IFERROR(IF(OR($B540="",$C540=""),"",INDEX('Cartes API'!$J:$J,MATCH($B540,'Cartes API'!$A:$A,0))&amp;INDEX('Cartes API'!$B:$B,MATCH($B540,'Cartes API'!$A:$A,0))&amp;"."&amp;INDEX('Cartes API'!$C:$C,MATCH($B540,'Cartes API'!$A:$A,0))&amp;"."&amp;$C540),"")</f>
        <v/>
      </c>
      <c r="G540" s="23" t="str">
        <f aca="false">IFERROR(IF($B540="","",INDEX('Cartes API'!$H:$H,MATCH($B540,'Cartes API'!$A:$A,0))),"")</f>
        <v/>
      </c>
      <c r="H540" s="4"/>
      <c r="I540" s="23" t="str">
        <f aca="false">IF(OR($G540="",$H540=""),"",$G540&amp;"["&amp;$H540&amp;"]")</f>
        <v/>
      </c>
      <c r="J540" s="23" t="str">
        <f aca="false">IFERROR(INDEX(Cablage!$A:$A,MATCH($I540,Cablage!$F:$F,0)),"")</f>
        <v/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customFormat="false" ht="15" hidden="false" customHeight="true" outlineLevel="0" collapsed="false">
      <c r="A541" s="22"/>
      <c r="B541" s="22"/>
      <c r="C541" s="4"/>
      <c r="D541" s="4"/>
      <c r="E541" s="4"/>
      <c r="F541" s="23" t="str">
        <f aca="false">IFERROR(IF(OR($B541="",$C541=""),"",INDEX('Cartes API'!$J:$J,MATCH($B541,'Cartes API'!$A:$A,0))&amp;INDEX('Cartes API'!$B:$B,MATCH($B541,'Cartes API'!$A:$A,0))&amp;"."&amp;INDEX('Cartes API'!$C:$C,MATCH($B541,'Cartes API'!$A:$A,0))&amp;"."&amp;$C541),"")</f>
        <v/>
      </c>
      <c r="G541" s="23" t="str">
        <f aca="false">IFERROR(IF($B541="","",INDEX('Cartes API'!$H:$H,MATCH($B541,'Cartes API'!$A:$A,0))),"")</f>
        <v/>
      </c>
      <c r="H541" s="4"/>
      <c r="I541" s="23" t="str">
        <f aca="false">IF(OR($G541="",$H541=""),"",$G541&amp;"["&amp;$H541&amp;"]")</f>
        <v/>
      </c>
      <c r="J541" s="23" t="str">
        <f aca="false">IFERROR(INDEX(Cablage!$A:$A,MATCH($I541,Cablage!$F:$F,0)),"")</f>
        <v/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customFormat="false" ht="15" hidden="false" customHeight="true" outlineLevel="0" collapsed="false">
      <c r="A542" s="22"/>
      <c r="B542" s="22"/>
      <c r="C542" s="4"/>
      <c r="D542" s="4"/>
      <c r="E542" s="4"/>
      <c r="F542" s="23" t="str">
        <f aca="false">IFERROR(IF(OR($B542="",$C542=""),"",INDEX('Cartes API'!$J:$J,MATCH($B542,'Cartes API'!$A:$A,0))&amp;INDEX('Cartes API'!$B:$B,MATCH($B542,'Cartes API'!$A:$A,0))&amp;"."&amp;INDEX('Cartes API'!$C:$C,MATCH($B542,'Cartes API'!$A:$A,0))&amp;"."&amp;$C542),"")</f>
        <v/>
      </c>
      <c r="G542" s="23" t="str">
        <f aca="false">IFERROR(IF($B542="","",INDEX('Cartes API'!$H:$H,MATCH($B542,'Cartes API'!$A:$A,0))),"")</f>
        <v/>
      </c>
      <c r="H542" s="4"/>
      <c r="I542" s="23" t="str">
        <f aca="false">IF(OR($G542="",$H542=""),"",$G542&amp;"["&amp;$H542&amp;"]")</f>
        <v/>
      </c>
      <c r="J542" s="23" t="str">
        <f aca="false">IFERROR(INDEX(Cablage!$A:$A,MATCH($I542,Cablage!$F:$F,0)),"")</f>
        <v/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customFormat="false" ht="15" hidden="false" customHeight="true" outlineLevel="0" collapsed="false">
      <c r="A543" s="22"/>
      <c r="B543" s="22"/>
      <c r="C543" s="4"/>
      <c r="D543" s="4"/>
      <c r="E543" s="4"/>
      <c r="F543" s="23" t="str">
        <f aca="false">IFERROR(IF(OR($B543="",$C543=""),"",INDEX('Cartes API'!$J:$J,MATCH($B543,'Cartes API'!$A:$A,0))&amp;INDEX('Cartes API'!$B:$B,MATCH($B543,'Cartes API'!$A:$A,0))&amp;"."&amp;INDEX('Cartes API'!$C:$C,MATCH($B543,'Cartes API'!$A:$A,0))&amp;"."&amp;$C543),"")</f>
        <v/>
      </c>
      <c r="G543" s="23" t="str">
        <f aca="false">IFERROR(IF($B543="","",INDEX('Cartes API'!$H:$H,MATCH($B543,'Cartes API'!$A:$A,0))),"")</f>
        <v/>
      </c>
      <c r="H543" s="4"/>
      <c r="I543" s="23" t="str">
        <f aca="false">IF(OR($G543="",$H543=""),"",$G543&amp;"["&amp;$H543&amp;"]")</f>
        <v/>
      </c>
      <c r="J543" s="23" t="str">
        <f aca="false">IFERROR(INDEX(Cablage!$A:$A,MATCH($I543,Cablage!$F:$F,0)),"")</f>
        <v/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customFormat="false" ht="15" hidden="false" customHeight="true" outlineLevel="0" collapsed="false">
      <c r="A544" s="22"/>
      <c r="B544" s="22"/>
      <c r="C544" s="4"/>
      <c r="D544" s="4"/>
      <c r="E544" s="4"/>
      <c r="F544" s="23" t="str">
        <f aca="false">IFERROR(IF(OR($B544="",$C544=""),"",INDEX('Cartes API'!$J:$J,MATCH($B544,'Cartes API'!$A:$A,0))&amp;INDEX('Cartes API'!$B:$B,MATCH($B544,'Cartes API'!$A:$A,0))&amp;"."&amp;INDEX('Cartes API'!$C:$C,MATCH($B544,'Cartes API'!$A:$A,0))&amp;"."&amp;$C544),"")</f>
        <v/>
      </c>
      <c r="G544" s="23" t="str">
        <f aca="false">IFERROR(IF($B544="","",INDEX('Cartes API'!$H:$H,MATCH($B544,'Cartes API'!$A:$A,0))),"")</f>
        <v/>
      </c>
      <c r="H544" s="4"/>
      <c r="I544" s="23" t="str">
        <f aca="false">IF(OR($G544="",$H544=""),"",$G544&amp;"["&amp;$H544&amp;"]")</f>
        <v/>
      </c>
      <c r="J544" s="23" t="str">
        <f aca="false">IFERROR(INDEX(Cablage!$A:$A,MATCH($I544,Cablage!$F:$F,0)),"")</f>
        <v/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customFormat="false" ht="15" hidden="false" customHeight="true" outlineLevel="0" collapsed="false">
      <c r="A545" s="22"/>
      <c r="B545" s="22"/>
      <c r="C545" s="4"/>
      <c r="D545" s="4"/>
      <c r="E545" s="4"/>
      <c r="F545" s="23" t="str">
        <f aca="false">IFERROR(IF(OR($B545="",$C545=""),"",INDEX('Cartes API'!$J:$J,MATCH($B545,'Cartes API'!$A:$A,0))&amp;INDEX('Cartes API'!$B:$B,MATCH($B545,'Cartes API'!$A:$A,0))&amp;"."&amp;INDEX('Cartes API'!$C:$C,MATCH($B545,'Cartes API'!$A:$A,0))&amp;"."&amp;$C545),"")</f>
        <v/>
      </c>
      <c r="G545" s="23" t="str">
        <f aca="false">IFERROR(IF($B545="","",INDEX('Cartes API'!$H:$H,MATCH($B545,'Cartes API'!$A:$A,0))),"")</f>
        <v/>
      </c>
      <c r="H545" s="4"/>
      <c r="I545" s="23" t="str">
        <f aca="false">IF(OR($G545="",$H545=""),"",$G545&amp;"["&amp;$H545&amp;"]")</f>
        <v/>
      </c>
      <c r="J545" s="23" t="str">
        <f aca="false">IFERROR(INDEX(Cablage!$A:$A,MATCH($I545,Cablage!$F:$F,0)),"")</f>
        <v/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customFormat="false" ht="15" hidden="false" customHeight="true" outlineLevel="0" collapsed="false">
      <c r="A546" s="22"/>
      <c r="B546" s="22"/>
      <c r="C546" s="4"/>
      <c r="D546" s="4"/>
      <c r="E546" s="4"/>
      <c r="F546" s="23" t="str">
        <f aca="false">IFERROR(IF(OR($B546="",$C546=""),"",INDEX('Cartes API'!$J:$J,MATCH($B546,'Cartes API'!$A:$A,0))&amp;INDEX('Cartes API'!$B:$B,MATCH($B546,'Cartes API'!$A:$A,0))&amp;"."&amp;INDEX('Cartes API'!$C:$C,MATCH($B546,'Cartes API'!$A:$A,0))&amp;"."&amp;$C546),"")</f>
        <v/>
      </c>
      <c r="G546" s="23" t="str">
        <f aca="false">IFERROR(IF($B546="","",INDEX('Cartes API'!$H:$H,MATCH($B546,'Cartes API'!$A:$A,0))),"")</f>
        <v/>
      </c>
      <c r="H546" s="4"/>
      <c r="I546" s="23" t="str">
        <f aca="false">IF(OR($G546="",$H546=""),"",$G546&amp;"["&amp;$H546&amp;"]")</f>
        <v/>
      </c>
      <c r="J546" s="23" t="str">
        <f aca="false">IFERROR(INDEX(Cablage!$A:$A,MATCH($I546,Cablage!$F:$F,0)),"")</f>
        <v/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customFormat="false" ht="15" hidden="false" customHeight="true" outlineLevel="0" collapsed="false">
      <c r="A547" s="22"/>
      <c r="B547" s="22"/>
      <c r="C547" s="4"/>
      <c r="D547" s="4"/>
      <c r="E547" s="4"/>
      <c r="F547" s="23" t="str">
        <f aca="false">IFERROR(IF(OR($B547="",$C547=""),"",INDEX('Cartes API'!$J:$J,MATCH($B547,'Cartes API'!$A:$A,0))&amp;INDEX('Cartes API'!$B:$B,MATCH($B547,'Cartes API'!$A:$A,0))&amp;"."&amp;INDEX('Cartes API'!$C:$C,MATCH($B547,'Cartes API'!$A:$A,0))&amp;"."&amp;$C547),"")</f>
        <v/>
      </c>
      <c r="G547" s="23" t="str">
        <f aca="false">IFERROR(IF($B547="","",INDEX('Cartes API'!$H:$H,MATCH($B547,'Cartes API'!$A:$A,0))),"")</f>
        <v/>
      </c>
      <c r="H547" s="4"/>
      <c r="I547" s="23" t="str">
        <f aca="false">IF(OR($G547="",$H547=""),"",$G547&amp;"["&amp;$H547&amp;"]")</f>
        <v/>
      </c>
      <c r="J547" s="23" t="str">
        <f aca="false">IFERROR(INDEX(Cablage!$A:$A,MATCH($I547,Cablage!$F:$F,0)),"")</f>
        <v/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customFormat="false" ht="15" hidden="false" customHeight="true" outlineLevel="0" collapsed="false">
      <c r="A548" s="22"/>
      <c r="B548" s="22"/>
      <c r="C548" s="4"/>
      <c r="D548" s="4"/>
      <c r="E548" s="4"/>
      <c r="F548" s="23" t="str">
        <f aca="false">IFERROR(IF(OR($B548="",$C548=""),"",INDEX('Cartes API'!$J:$J,MATCH($B548,'Cartes API'!$A:$A,0))&amp;INDEX('Cartes API'!$B:$B,MATCH($B548,'Cartes API'!$A:$A,0))&amp;"."&amp;INDEX('Cartes API'!$C:$C,MATCH($B548,'Cartes API'!$A:$A,0))&amp;"."&amp;$C548),"")</f>
        <v/>
      </c>
      <c r="G548" s="23" t="str">
        <f aca="false">IFERROR(IF($B548="","",INDEX('Cartes API'!$H:$H,MATCH($B548,'Cartes API'!$A:$A,0))),"")</f>
        <v/>
      </c>
      <c r="H548" s="4"/>
      <c r="I548" s="23" t="str">
        <f aca="false">IF(OR($G548="",$H548=""),"",$G548&amp;"["&amp;$H548&amp;"]")</f>
        <v/>
      </c>
      <c r="J548" s="23" t="str">
        <f aca="false">IFERROR(INDEX(Cablage!$A:$A,MATCH($I548,Cablage!$F:$F,0)),"")</f>
        <v/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customFormat="false" ht="15" hidden="false" customHeight="true" outlineLevel="0" collapsed="false">
      <c r="A549" s="22"/>
      <c r="B549" s="22"/>
      <c r="C549" s="4"/>
      <c r="D549" s="4"/>
      <c r="E549" s="4"/>
      <c r="F549" s="23" t="str">
        <f aca="false">IFERROR(IF(OR($B549="",$C549=""),"",INDEX('Cartes API'!$J:$J,MATCH($B549,'Cartes API'!$A:$A,0))&amp;INDEX('Cartes API'!$B:$B,MATCH($B549,'Cartes API'!$A:$A,0))&amp;"."&amp;INDEX('Cartes API'!$C:$C,MATCH($B549,'Cartes API'!$A:$A,0))&amp;"."&amp;$C549),"")</f>
        <v/>
      </c>
      <c r="G549" s="23" t="str">
        <f aca="false">IFERROR(IF($B549="","",INDEX('Cartes API'!$H:$H,MATCH($B549,'Cartes API'!$A:$A,0))),"")</f>
        <v/>
      </c>
      <c r="H549" s="4"/>
      <c r="I549" s="23" t="str">
        <f aca="false">IF(OR($G549="",$H549=""),"",$G549&amp;"["&amp;$H549&amp;"]")</f>
        <v/>
      </c>
      <c r="J549" s="23" t="str">
        <f aca="false">IFERROR(INDEX(Cablage!$A:$A,MATCH($I549,Cablage!$F:$F,0)),"")</f>
        <v/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customFormat="false" ht="15" hidden="false" customHeight="true" outlineLevel="0" collapsed="false">
      <c r="A550" s="22"/>
      <c r="B550" s="22"/>
      <c r="C550" s="4"/>
      <c r="D550" s="4"/>
      <c r="E550" s="4"/>
      <c r="F550" s="23" t="str">
        <f aca="false">IFERROR(IF(OR($B550="",$C550=""),"",INDEX('Cartes API'!$J:$J,MATCH($B550,'Cartes API'!$A:$A,0))&amp;INDEX('Cartes API'!$B:$B,MATCH($B550,'Cartes API'!$A:$A,0))&amp;"."&amp;INDEX('Cartes API'!$C:$C,MATCH($B550,'Cartes API'!$A:$A,0))&amp;"."&amp;$C550),"")</f>
        <v/>
      </c>
      <c r="G550" s="23" t="str">
        <f aca="false">IFERROR(IF($B550="","",INDEX('Cartes API'!$H:$H,MATCH($B550,'Cartes API'!$A:$A,0))),"")</f>
        <v/>
      </c>
      <c r="H550" s="4"/>
      <c r="I550" s="23" t="str">
        <f aca="false">IF(OR($G550="",$H550=""),"",$G550&amp;"["&amp;$H550&amp;"]")</f>
        <v/>
      </c>
      <c r="J550" s="23" t="str">
        <f aca="false">IFERROR(INDEX(Cablage!$A:$A,MATCH($I550,Cablage!$F:$F,0)),"")</f>
        <v/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customFormat="false" ht="15" hidden="false" customHeight="true" outlineLevel="0" collapsed="false">
      <c r="A551" s="22"/>
      <c r="B551" s="22"/>
      <c r="C551" s="4"/>
      <c r="D551" s="4"/>
      <c r="E551" s="4"/>
      <c r="F551" s="23" t="str">
        <f aca="false">IFERROR(IF(OR($B551="",$C551=""),"",INDEX('Cartes API'!$J:$J,MATCH($B551,'Cartes API'!$A:$A,0))&amp;INDEX('Cartes API'!$B:$B,MATCH($B551,'Cartes API'!$A:$A,0))&amp;"."&amp;INDEX('Cartes API'!$C:$C,MATCH($B551,'Cartes API'!$A:$A,0))&amp;"."&amp;$C551),"")</f>
        <v/>
      </c>
      <c r="G551" s="23" t="str">
        <f aca="false">IFERROR(IF($B551="","",INDEX('Cartes API'!$H:$H,MATCH($B551,'Cartes API'!$A:$A,0))),"")</f>
        <v/>
      </c>
      <c r="H551" s="4"/>
      <c r="I551" s="23" t="str">
        <f aca="false">IF(OR($G551="",$H551=""),"",$G551&amp;"["&amp;$H551&amp;"]")</f>
        <v/>
      </c>
      <c r="J551" s="23" t="str">
        <f aca="false">IFERROR(INDEX(Cablage!$A:$A,MATCH($I551,Cablage!$F:$F,0)),"")</f>
        <v/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customFormat="false" ht="15" hidden="false" customHeight="true" outlineLevel="0" collapsed="false">
      <c r="A552" s="22"/>
      <c r="B552" s="22"/>
      <c r="C552" s="4"/>
      <c r="D552" s="4"/>
      <c r="E552" s="4"/>
      <c r="F552" s="23" t="str">
        <f aca="false">IFERROR(IF(OR($B552="",$C552=""),"",INDEX('Cartes API'!$J:$J,MATCH($B552,'Cartes API'!$A:$A,0))&amp;INDEX('Cartes API'!$B:$B,MATCH($B552,'Cartes API'!$A:$A,0))&amp;"."&amp;INDEX('Cartes API'!$C:$C,MATCH($B552,'Cartes API'!$A:$A,0))&amp;"."&amp;$C552),"")</f>
        <v/>
      </c>
      <c r="G552" s="23" t="str">
        <f aca="false">IFERROR(IF($B552="","",INDEX('Cartes API'!$H:$H,MATCH($B552,'Cartes API'!$A:$A,0))),"")</f>
        <v/>
      </c>
      <c r="H552" s="4"/>
      <c r="I552" s="23" t="str">
        <f aca="false">IF(OR($G552="",$H552=""),"",$G552&amp;"["&amp;$H552&amp;"]")</f>
        <v/>
      </c>
      <c r="J552" s="23" t="str">
        <f aca="false">IFERROR(INDEX(Cablage!$A:$A,MATCH($I552,Cablage!$F:$F,0)),"")</f>
        <v/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customFormat="false" ht="15" hidden="false" customHeight="true" outlineLevel="0" collapsed="false">
      <c r="A553" s="22"/>
      <c r="B553" s="22"/>
      <c r="C553" s="4"/>
      <c r="D553" s="4"/>
      <c r="E553" s="4"/>
      <c r="F553" s="23" t="str">
        <f aca="false">IFERROR(IF(OR($B553="",$C553=""),"",INDEX('Cartes API'!$J:$J,MATCH($B553,'Cartes API'!$A:$A,0))&amp;INDEX('Cartes API'!$B:$B,MATCH($B553,'Cartes API'!$A:$A,0))&amp;"."&amp;INDEX('Cartes API'!$C:$C,MATCH($B553,'Cartes API'!$A:$A,0))&amp;"."&amp;$C553),"")</f>
        <v/>
      </c>
      <c r="G553" s="23" t="str">
        <f aca="false">IFERROR(IF($B553="","",INDEX('Cartes API'!$H:$H,MATCH($B553,'Cartes API'!$A:$A,0))),"")</f>
        <v/>
      </c>
      <c r="H553" s="4"/>
      <c r="I553" s="23" t="str">
        <f aca="false">IF(OR($G553="",$H553=""),"",$G553&amp;"["&amp;$H553&amp;"]")</f>
        <v/>
      </c>
      <c r="J553" s="23" t="str">
        <f aca="false">IFERROR(INDEX(Cablage!$A:$A,MATCH($I553,Cablage!$F:$F,0)),"")</f>
        <v/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customFormat="false" ht="15" hidden="false" customHeight="true" outlineLevel="0" collapsed="false">
      <c r="A554" s="22"/>
      <c r="B554" s="22"/>
      <c r="C554" s="4"/>
      <c r="D554" s="4"/>
      <c r="E554" s="4"/>
      <c r="F554" s="23" t="str">
        <f aca="false">IFERROR(IF(OR($B554="",$C554=""),"",INDEX('Cartes API'!$J:$J,MATCH($B554,'Cartes API'!$A:$A,0))&amp;INDEX('Cartes API'!$B:$B,MATCH($B554,'Cartes API'!$A:$A,0))&amp;"."&amp;INDEX('Cartes API'!$C:$C,MATCH($B554,'Cartes API'!$A:$A,0))&amp;"."&amp;$C554),"")</f>
        <v/>
      </c>
      <c r="G554" s="23" t="str">
        <f aca="false">IFERROR(IF($B554="","",INDEX('Cartes API'!$H:$H,MATCH($B554,'Cartes API'!$A:$A,0))),"")</f>
        <v/>
      </c>
      <c r="H554" s="4"/>
      <c r="I554" s="23" t="str">
        <f aca="false">IF(OR($G554="",$H554=""),"",$G554&amp;"["&amp;$H554&amp;"]")</f>
        <v/>
      </c>
      <c r="J554" s="23" t="str">
        <f aca="false">IFERROR(INDEX(Cablage!$A:$A,MATCH($I554,Cablage!$F:$F,0)),"")</f>
        <v/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customFormat="false" ht="15" hidden="false" customHeight="true" outlineLevel="0" collapsed="false">
      <c r="A555" s="22"/>
      <c r="B555" s="22"/>
      <c r="C555" s="4"/>
      <c r="D555" s="4"/>
      <c r="E555" s="4"/>
      <c r="F555" s="23" t="str">
        <f aca="false">IFERROR(IF(OR($B555="",$C555=""),"",INDEX('Cartes API'!$J:$J,MATCH($B555,'Cartes API'!$A:$A,0))&amp;INDEX('Cartes API'!$B:$B,MATCH($B555,'Cartes API'!$A:$A,0))&amp;"."&amp;INDEX('Cartes API'!$C:$C,MATCH($B555,'Cartes API'!$A:$A,0))&amp;"."&amp;$C555),"")</f>
        <v/>
      </c>
      <c r="G555" s="23" t="str">
        <f aca="false">IFERROR(IF($B555="","",INDEX('Cartes API'!$H:$H,MATCH($B555,'Cartes API'!$A:$A,0))),"")</f>
        <v/>
      </c>
      <c r="H555" s="4"/>
      <c r="I555" s="23" t="str">
        <f aca="false">IF(OR($G555="",$H555=""),"",$G555&amp;"["&amp;$H555&amp;"]")</f>
        <v/>
      </c>
      <c r="J555" s="23" t="str">
        <f aca="false">IFERROR(INDEX(Cablage!$A:$A,MATCH($I555,Cablage!$F:$F,0)),"")</f>
        <v/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customFormat="false" ht="15" hidden="false" customHeight="true" outlineLevel="0" collapsed="false">
      <c r="A556" s="22"/>
      <c r="B556" s="22"/>
      <c r="C556" s="4"/>
      <c r="D556" s="4"/>
      <c r="E556" s="4"/>
      <c r="F556" s="23" t="str">
        <f aca="false">IFERROR(IF(OR($B556="",$C556=""),"",INDEX('Cartes API'!$J:$J,MATCH($B556,'Cartes API'!$A:$A,0))&amp;INDEX('Cartes API'!$B:$B,MATCH($B556,'Cartes API'!$A:$A,0))&amp;"."&amp;INDEX('Cartes API'!$C:$C,MATCH($B556,'Cartes API'!$A:$A,0))&amp;"."&amp;$C556),"")</f>
        <v/>
      </c>
      <c r="G556" s="23" t="str">
        <f aca="false">IFERROR(IF($B556="","",INDEX('Cartes API'!$H:$H,MATCH($B556,'Cartes API'!$A:$A,0))),"")</f>
        <v/>
      </c>
      <c r="H556" s="4"/>
      <c r="I556" s="23" t="str">
        <f aca="false">IF(OR($G556="",$H556=""),"",$G556&amp;"["&amp;$H556&amp;"]")</f>
        <v/>
      </c>
      <c r="J556" s="23" t="str">
        <f aca="false">IFERROR(INDEX(Cablage!$A:$A,MATCH($I556,Cablage!$F:$F,0)),"")</f>
        <v/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customFormat="false" ht="15" hidden="false" customHeight="true" outlineLevel="0" collapsed="false">
      <c r="A557" s="22"/>
      <c r="B557" s="22"/>
      <c r="C557" s="4"/>
      <c r="D557" s="4"/>
      <c r="E557" s="4"/>
      <c r="F557" s="23" t="str">
        <f aca="false">IFERROR(IF(OR($B557="",$C557=""),"",INDEX('Cartes API'!$J:$J,MATCH($B557,'Cartes API'!$A:$A,0))&amp;INDEX('Cartes API'!$B:$B,MATCH($B557,'Cartes API'!$A:$A,0))&amp;"."&amp;INDEX('Cartes API'!$C:$C,MATCH($B557,'Cartes API'!$A:$A,0))&amp;"."&amp;$C557),"")</f>
        <v/>
      </c>
      <c r="G557" s="23" t="str">
        <f aca="false">IFERROR(IF($B557="","",INDEX('Cartes API'!$H:$H,MATCH($B557,'Cartes API'!$A:$A,0))),"")</f>
        <v/>
      </c>
      <c r="H557" s="4"/>
      <c r="I557" s="23" t="str">
        <f aca="false">IF(OR($G557="",$H557=""),"",$G557&amp;"["&amp;$H557&amp;"]")</f>
        <v/>
      </c>
      <c r="J557" s="23" t="str">
        <f aca="false">IFERROR(INDEX(Cablage!$A:$A,MATCH($I557,Cablage!$F:$F,0)),"")</f>
        <v/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customFormat="false" ht="15" hidden="false" customHeight="true" outlineLevel="0" collapsed="false">
      <c r="A558" s="22"/>
      <c r="B558" s="22"/>
      <c r="C558" s="4"/>
      <c r="D558" s="4"/>
      <c r="E558" s="4"/>
      <c r="F558" s="23" t="str">
        <f aca="false">IFERROR(IF(OR($B558="",$C558=""),"",INDEX('Cartes API'!$J:$J,MATCH($B558,'Cartes API'!$A:$A,0))&amp;INDEX('Cartes API'!$B:$B,MATCH($B558,'Cartes API'!$A:$A,0))&amp;"."&amp;INDEX('Cartes API'!$C:$C,MATCH($B558,'Cartes API'!$A:$A,0))&amp;"."&amp;$C558),"")</f>
        <v/>
      </c>
      <c r="G558" s="23" t="str">
        <f aca="false">IFERROR(IF($B558="","",INDEX('Cartes API'!$H:$H,MATCH($B558,'Cartes API'!$A:$A,0))),"")</f>
        <v/>
      </c>
      <c r="H558" s="4"/>
      <c r="I558" s="23" t="str">
        <f aca="false">IF(OR($G558="",$H558=""),"",$G558&amp;"["&amp;$H558&amp;"]")</f>
        <v/>
      </c>
      <c r="J558" s="23" t="str">
        <f aca="false">IFERROR(INDEX(Cablage!$A:$A,MATCH($I558,Cablage!$F:$F,0)),"")</f>
        <v/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customFormat="false" ht="15" hidden="false" customHeight="true" outlineLevel="0" collapsed="false">
      <c r="A559" s="22"/>
      <c r="B559" s="22"/>
      <c r="C559" s="4"/>
      <c r="D559" s="4"/>
      <c r="E559" s="4"/>
      <c r="F559" s="23" t="str">
        <f aca="false">IFERROR(IF(OR($B559="",$C559=""),"",INDEX('Cartes API'!$J:$J,MATCH($B559,'Cartes API'!$A:$A,0))&amp;INDEX('Cartes API'!$B:$B,MATCH($B559,'Cartes API'!$A:$A,0))&amp;"."&amp;INDEX('Cartes API'!$C:$C,MATCH($B559,'Cartes API'!$A:$A,0))&amp;"."&amp;$C559),"")</f>
        <v/>
      </c>
      <c r="G559" s="23" t="str">
        <f aca="false">IFERROR(IF($B559="","",INDEX('Cartes API'!$H:$H,MATCH($B559,'Cartes API'!$A:$A,0))),"")</f>
        <v/>
      </c>
      <c r="H559" s="4"/>
      <c r="I559" s="23" t="str">
        <f aca="false">IF(OR($G559="",$H559=""),"",$G559&amp;"["&amp;$H559&amp;"]")</f>
        <v/>
      </c>
      <c r="J559" s="23" t="str">
        <f aca="false">IFERROR(INDEX(Cablage!$A:$A,MATCH($I559,Cablage!$F:$F,0)),"")</f>
        <v/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customFormat="false" ht="15" hidden="false" customHeight="true" outlineLevel="0" collapsed="false">
      <c r="A560" s="22"/>
      <c r="B560" s="22"/>
      <c r="C560" s="4"/>
      <c r="D560" s="4"/>
      <c r="E560" s="4"/>
      <c r="F560" s="23" t="str">
        <f aca="false">IFERROR(IF(OR($B560="",$C560=""),"",INDEX('Cartes API'!$J:$J,MATCH($B560,'Cartes API'!$A:$A,0))&amp;INDEX('Cartes API'!$B:$B,MATCH($B560,'Cartes API'!$A:$A,0))&amp;"."&amp;INDEX('Cartes API'!$C:$C,MATCH($B560,'Cartes API'!$A:$A,0))&amp;"."&amp;$C560),"")</f>
        <v/>
      </c>
      <c r="G560" s="23" t="str">
        <f aca="false">IFERROR(IF($B560="","",INDEX('Cartes API'!$H:$H,MATCH($B560,'Cartes API'!$A:$A,0))),"")</f>
        <v/>
      </c>
      <c r="H560" s="4"/>
      <c r="I560" s="23" t="str">
        <f aca="false">IF(OR($G560="",$H560=""),"",$G560&amp;"["&amp;$H560&amp;"]")</f>
        <v/>
      </c>
      <c r="J560" s="23" t="str">
        <f aca="false">IFERROR(INDEX(Cablage!$A:$A,MATCH($I560,Cablage!$F:$F,0)),"")</f>
        <v/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customFormat="false" ht="15" hidden="false" customHeight="true" outlineLevel="0" collapsed="false">
      <c r="A561" s="22"/>
      <c r="B561" s="22"/>
      <c r="C561" s="4"/>
      <c r="D561" s="4"/>
      <c r="E561" s="4"/>
      <c r="F561" s="23" t="str">
        <f aca="false">IFERROR(IF(OR($B561="",$C561=""),"",INDEX('Cartes API'!$J:$J,MATCH($B561,'Cartes API'!$A:$A,0))&amp;INDEX('Cartes API'!$B:$B,MATCH($B561,'Cartes API'!$A:$A,0))&amp;"."&amp;INDEX('Cartes API'!$C:$C,MATCH($B561,'Cartes API'!$A:$A,0))&amp;"."&amp;$C561),"")</f>
        <v/>
      </c>
      <c r="G561" s="23" t="str">
        <f aca="false">IFERROR(IF($B561="","",INDEX('Cartes API'!$H:$H,MATCH($B561,'Cartes API'!$A:$A,0))),"")</f>
        <v/>
      </c>
      <c r="H561" s="4"/>
      <c r="I561" s="23" t="str">
        <f aca="false">IF(OR($G561="",$H561=""),"",$G561&amp;"["&amp;$H561&amp;"]")</f>
        <v/>
      </c>
      <c r="J561" s="23" t="str">
        <f aca="false">IFERROR(INDEX(Cablage!$A:$A,MATCH($I561,Cablage!$F:$F,0)),"")</f>
        <v/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customFormat="false" ht="15" hidden="false" customHeight="true" outlineLevel="0" collapsed="false">
      <c r="A562" s="22"/>
      <c r="B562" s="22"/>
      <c r="C562" s="4"/>
      <c r="D562" s="4"/>
      <c r="E562" s="4"/>
      <c r="F562" s="23" t="str">
        <f aca="false">IFERROR(IF(OR($B562="",$C562=""),"",INDEX('Cartes API'!$J:$J,MATCH($B562,'Cartes API'!$A:$A,0))&amp;INDEX('Cartes API'!$B:$B,MATCH($B562,'Cartes API'!$A:$A,0))&amp;"."&amp;INDEX('Cartes API'!$C:$C,MATCH($B562,'Cartes API'!$A:$A,0))&amp;"."&amp;$C562),"")</f>
        <v/>
      </c>
      <c r="G562" s="23" t="str">
        <f aca="false">IFERROR(IF($B562="","",INDEX('Cartes API'!$H:$H,MATCH($B562,'Cartes API'!$A:$A,0))),"")</f>
        <v/>
      </c>
      <c r="H562" s="4"/>
      <c r="I562" s="23" t="str">
        <f aca="false">IF(OR($G562="",$H562=""),"",$G562&amp;"["&amp;$H562&amp;"]")</f>
        <v/>
      </c>
      <c r="J562" s="23" t="str">
        <f aca="false">IFERROR(INDEX(Cablage!$A:$A,MATCH($I562,Cablage!$F:$F,0)),"")</f>
        <v/>
      </c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customFormat="false" ht="15" hidden="false" customHeight="true" outlineLevel="0" collapsed="false">
      <c r="A563" s="22"/>
      <c r="B563" s="22"/>
      <c r="C563" s="4"/>
      <c r="D563" s="4"/>
      <c r="E563" s="4"/>
      <c r="F563" s="23" t="str">
        <f aca="false">IFERROR(IF(OR($B563="",$C563=""),"",INDEX('Cartes API'!$J:$J,MATCH($B563,'Cartes API'!$A:$A,0))&amp;INDEX('Cartes API'!$B:$B,MATCH($B563,'Cartes API'!$A:$A,0))&amp;"."&amp;INDEX('Cartes API'!$C:$C,MATCH($B563,'Cartes API'!$A:$A,0))&amp;"."&amp;$C563),"")</f>
        <v/>
      </c>
      <c r="G563" s="23" t="str">
        <f aca="false">IFERROR(IF($B563="","",INDEX('Cartes API'!$H:$H,MATCH($B563,'Cartes API'!$A:$A,0))),"")</f>
        <v/>
      </c>
      <c r="H563" s="4"/>
      <c r="I563" s="23" t="str">
        <f aca="false">IF(OR($G563="",$H563=""),"",$G563&amp;"["&amp;$H563&amp;"]")</f>
        <v/>
      </c>
      <c r="J563" s="23" t="str">
        <f aca="false">IFERROR(INDEX(Cablage!$A:$A,MATCH($I563,Cablage!$F:$F,0)),"")</f>
        <v/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customFormat="false" ht="15" hidden="false" customHeight="true" outlineLevel="0" collapsed="false">
      <c r="A564" s="22"/>
      <c r="B564" s="22"/>
      <c r="C564" s="4"/>
      <c r="D564" s="4"/>
      <c r="E564" s="4"/>
      <c r="F564" s="23" t="str">
        <f aca="false">IFERROR(IF(OR($B564="",$C564=""),"",INDEX('Cartes API'!$J:$J,MATCH($B564,'Cartes API'!$A:$A,0))&amp;INDEX('Cartes API'!$B:$B,MATCH($B564,'Cartes API'!$A:$A,0))&amp;"."&amp;INDEX('Cartes API'!$C:$C,MATCH($B564,'Cartes API'!$A:$A,0))&amp;"."&amp;$C564),"")</f>
        <v/>
      </c>
      <c r="G564" s="23" t="str">
        <f aca="false">IFERROR(IF($B564="","",INDEX('Cartes API'!$H:$H,MATCH($B564,'Cartes API'!$A:$A,0))),"")</f>
        <v/>
      </c>
      <c r="H564" s="4"/>
      <c r="I564" s="23" t="str">
        <f aca="false">IF(OR($G564="",$H564=""),"",$G564&amp;"["&amp;$H564&amp;"]")</f>
        <v/>
      </c>
      <c r="J564" s="23" t="str">
        <f aca="false">IFERROR(INDEX(Cablage!$A:$A,MATCH($I564,Cablage!$F:$F,0)),"")</f>
        <v/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customFormat="false" ht="15" hidden="false" customHeight="true" outlineLevel="0" collapsed="false">
      <c r="A565" s="22"/>
      <c r="B565" s="22"/>
      <c r="C565" s="4"/>
      <c r="D565" s="4"/>
      <c r="E565" s="4"/>
      <c r="F565" s="23" t="str">
        <f aca="false">IFERROR(IF(OR($B565="",$C565=""),"",INDEX('Cartes API'!$J:$J,MATCH($B565,'Cartes API'!$A:$A,0))&amp;INDEX('Cartes API'!$B:$B,MATCH($B565,'Cartes API'!$A:$A,0))&amp;"."&amp;INDEX('Cartes API'!$C:$C,MATCH($B565,'Cartes API'!$A:$A,0))&amp;"."&amp;$C565),"")</f>
        <v/>
      </c>
      <c r="G565" s="23" t="str">
        <f aca="false">IFERROR(IF($B565="","",INDEX('Cartes API'!$H:$H,MATCH($B565,'Cartes API'!$A:$A,0))),"")</f>
        <v/>
      </c>
      <c r="H565" s="4"/>
      <c r="I565" s="23" t="str">
        <f aca="false">IF(OR($G565="",$H565=""),"",$G565&amp;"["&amp;$H565&amp;"]")</f>
        <v/>
      </c>
      <c r="J565" s="23" t="str">
        <f aca="false">IFERROR(INDEX(Cablage!$A:$A,MATCH($I565,Cablage!$F:$F,0)),"")</f>
        <v/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customFormat="false" ht="15" hidden="false" customHeight="true" outlineLevel="0" collapsed="false">
      <c r="A566" s="22"/>
      <c r="B566" s="22"/>
      <c r="C566" s="4"/>
      <c r="D566" s="4"/>
      <c r="E566" s="4"/>
      <c r="F566" s="23" t="str">
        <f aca="false">IFERROR(IF(OR($B566="",$C566=""),"",INDEX('Cartes API'!$J:$J,MATCH($B566,'Cartes API'!$A:$A,0))&amp;INDEX('Cartes API'!$B:$B,MATCH($B566,'Cartes API'!$A:$A,0))&amp;"."&amp;INDEX('Cartes API'!$C:$C,MATCH($B566,'Cartes API'!$A:$A,0))&amp;"."&amp;$C566),"")</f>
        <v/>
      </c>
      <c r="G566" s="23" t="str">
        <f aca="false">IFERROR(IF($B566="","",INDEX('Cartes API'!$H:$H,MATCH($B566,'Cartes API'!$A:$A,0))),"")</f>
        <v/>
      </c>
      <c r="H566" s="4"/>
      <c r="I566" s="23" t="str">
        <f aca="false">IF(OR($G566="",$H566=""),"",$G566&amp;"["&amp;$H566&amp;"]")</f>
        <v/>
      </c>
      <c r="J566" s="23" t="str">
        <f aca="false">IFERROR(INDEX(Cablage!$A:$A,MATCH($I566,Cablage!$F:$F,0)),"")</f>
        <v/>
      </c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customFormat="false" ht="15" hidden="false" customHeight="true" outlineLevel="0" collapsed="false">
      <c r="A567" s="22"/>
      <c r="B567" s="22"/>
      <c r="C567" s="4"/>
      <c r="D567" s="4"/>
      <c r="E567" s="4"/>
      <c r="F567" s="23" t="str">
        <f aca="false">IFERROR(IF(OR($B567="",$C567=""),"",INDEX('Cartes API'!$J:$J,MATCH($B567,'Cartes API'!$A:$A,0))&amp;INDEX('Cartes API'!$B:$B,MATCH($B567,'Cartes API'!$A:$A,0))&amp;"."&amp;INDEX('Cartes API'!$C:$C,MATCH($B567,'Cartes API'!$A:$A,0))&amp;"."&amp;$C567),"")</f>
        <v/>
      </c>
      <c r="G567" s="23" t="str">
        <f aca="false">IFERROR(IF($B567="","",INDEX('Cartes API'!$H:$H,MATCH($B567,'Cartes API'!$A:$A,0))),"")</f>
        <v/>
      </c>
      <c r="H567" s="4"/>
      <c r="I567" s="23" t="str">
        <f aca="false">IF(OR($G567="",$H567=""),"",$G567&amp;"["&amp;$H567&amp;"]")</f>
        <v/>
      </c>
      <c r="J567" s="23" t="str">
        <f aca="false">IFERROR(INDEX(Cablage!$A:$A,MATCH($I567,Cablage!$F:$F,0)),"")</f>
        <v/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customFormat="false" ht="15" hidden="false" customHeight="true" outlineLevel="0" collapsed="false">
      <c r="A568" s="22"/>
      <c r="B568" s="22"/>
      <c r="C568" s="4"/>
      <c r="D568" s="4"/>
      <c r="E568" s="4"/>
      <c r="F568" s="23" t="str">
        <f aca="false">IFERROR(IF(OR($B568="",$C568=""),"",INDEX('Cartes API'!$J:$J,MATCH($B568,'Cartes API'!$A:$A,0))&amp;INDEX('Cartes API'!$B:$B,MATCH($B568,'Cartes API'!$A:$A,0))&amp;"."&amp;INDEX('Cartes API'!$C:$C,MATCH($B568,'Cartes API'!$A:$A,0))&amp;"."&amp;$C568),"")</f>
        <v/>
      </c>
      <c r="G568" s="23" t="str">
        <f aca="false">IFERROR(IF($B568="","",INDEX('Cartes API'!$H:$H,MATCH($B568,'Cartes API'!$A:$A,0))),"")</f>
        <v/>
      </c>
      <c r="H568" s="4"/>
      <c r="I568" s="23" t="str">
        <f aca="false">IF(OR($G568="",$H568=""),"",$G568&amp;"["&amp;$H568&amp;"]")</f>
        <v/>
      </c>
      <c r="J568" s="23" t="str">
        <f aca="false">IFERROR(INDEX(Cablage!$A:$A,MATCH($I568,Cablage!$F:$F,0)),"")</f>
        <v/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customFormat="false" ht="15" hidden="false" customHeight="true" outlineLevel="0" collapsed="false">
      <c r="A569" s="22"/>
      <c r="B569" s="22"/>
      <c r="C569" s="4"/>
      <c r="D569" s="4"/>
      <c r="E569" s="4"/>
      <c r="F569" s="23" t="str">
        <f aca="false">IFERROR(IF(OR($B569="",$C569=""),"",INDEX('Cartes API'!$J:$J,MATCH($B569,'Cartes API'!$A:$A,0))&amp;INDEX('Cartes API'!$B:$B,MATCH($B569,'Cartes API'!$A:$A,0))&amp;"."&amp;INDEX('Cartes API'!$C:$C,MATCH($B569,'Cartes API'!$A:$A,0))&amp;"."&amp;$C569),"")</f>
        <v/>
      </c>
      <c r="G569" s="23" t="str">
        <f aca="false">IFERROR(IF($B569="","",INDEX('Cartes API'!$H:$H,MATCH($B569,'Cartes API'!$A:$A,0))),"")</f>
        <v/>
      </c>
      <c r="H569" s="4"/>
      <c r="I569" s="23" t="str">
        <f aca="false">IF(OR($G569="",$H569=""),"",$G569&amp;"["&amp;$H569&amp;"]")</f>
        <v/>
      </c>
      <c r="J569" s="23" t="str">
        <f aca="false">IFERROR(INDEX(Cablage!$A:$A,MATCH($I569,Cablage!$F:$F,0)),"")</f>
        <v/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customFormat="false" ht="15" hidden="false" customHeight="true" outlineLevel="0" collapsed="false">
      <c r="A570" s="22"/>
      <c r="B570" s="22"/>
      <c r="C570" s="4"/>
      <c r="D570" s="4"/>
      <c r="E570" s="4"/>
      <c r="F570" s="23" t="str">
        <f aca="false">IFERROR(IF(OR($B570="",$C570=""),"",INDEX('Cartes API'!$J:$J,MATCH($B570,'Cartes API'!$A:$A,0))&amp;INDEX('Cartes API'!$B:$B,MATCH($B570,'Cartes API'!$A:$A,0))&amp;"."&amp;INDEX('Cartes API'!$C:$C,MATCH($B570,'Cartes API'!$A:$A,0))&amp;"."&amp;$C570),"")</f>
        <v/>
      </c>
      <c r="G570" s="23" t="str">
        <f aca="false">IFERROR(IF($B570="","",INDEX('Cartes API'!$H:$H,MATCH($B570,'Cartes API'!$A:$A,0))),"")</f>
        <v/>
      </c>
      <c r="H570" s="4"/>
      <c r="I570" s="23" t="str">
        <f aca="false">IF(OR($G570="",$H570=""),"",$G570&amp;"["&amp;$H570&amp;"]")</f>
        <v/>
      </c>
      <c r="J570" s="23" t="str">
        <f aca="false">IFERROR(INDEX(Cablage!$A:$A,MATCH($I570,Cablage!$F:$F,0)),"")</f>
        <v/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customFormat="false" ht="15" hidden="false" customHeight="true" outlineLevel="0" collapsed="false">
      <c r="A571" s="22"/>
      <c r="B571" s="22"/>
      <c r="C571" s="4"/>
      <c r="D571" s="4"/>
      <c r="E571" s="4"/>
      <c r="F571" s="23" t="str">
        <f aca="false">IFERROR(IF(OR($B571="",$C571=""),"",INDEX('Cartes API'!$J:$J,MATCH($B571,'Cartes API'!$A:$A,0))&amp;INDEX('Cartes API'!$B:$B,MATCH($B571,'Cartes API'!$A:$A,0))&amp;"."&amp;INDEX('Cartes API'!$C:$C,MATCH($B571,'Cartes API'!$A:$A,0))&amp;"."&amp;$C571),"")</f>
        <v/>
      </c>
      <c r="G571" s="23" t="str">
        <f aca="false">IFERROR(IF($B571="","",INDEX('Cartes API'!$H:$H,MATCH($B571,'Cartes API'!$A:$A,0))),"")</f>
        <v/>
      </c>
      <c r="H571" s="4"/>
      <c r="I571" s="23" t="str">
        <f aca="false">IF(OR($G571="",$H571=""),"",$G571&amp;"["&amp;$H571&amp;"]")</f>
        <v/>
      </c>
      <c r="J571" s="23" t="str">
        <f aca="false">IFERROR(INDEX(Cablage!$A:$A,MATCH($I571,Cablage!$F:$F,0)),"")</f>
        <v/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customFormat="false" ht="15" hidden="false" customHeight="true" outlineLevel="0" collapsed="false">
      <c r="A572" s="22"/>
      <c r="B572" s="22"/>
      <c r="C572" s="4"/>
      <c r="D572" s="4"/>
      <c r="E572" s="4"/>
      <c r="F572" s="23" t="str">
        <f aca="false">IFERROR(IF(OR($B572="",$C572=""),"",INDEX('Cartes API'!$J:$J,MATCH($B572,'Cartes API'!$A:$A,0))&amp;INDEX('Cartes API'!$B:$B,MATCH($B572,'Cartes API'!$A:$A,0))&amp;"."&amp;INDEX('Cartes API'!$C:$C,MATCH($B572,'Cartes API'!$A:$A,0))&amp;"."&amp;$C572),"")</f>
        <v/>
      </c>
      <c r="G572" s="23" t="str">
        <f aca="false">IFERROR(IF($B572="","",INDEX('Cartes API'!$H:$H,MATCH($B572,'Cartes API'!$A:$A,0))),"")</f>
        <v/>
      </c>
      <c r="H572" s="4"/>
      <c r="I572" s="23" t="str">
        <f aca="false">IF(OR($G572="",$H572=""),"",$G572&amp;"["&amp;$H572&amp;"]")</f>
        <v/>
      </c>
      <c r="J572" s="23" t="str">
        <f aca="false">IFERROR(INDEX(Cablage!$A:$A,MATCH($I572,Cablage!$F:$F,0)),"")</f>
        <v/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customFormat="false" ht="15" hidden="false" customHeight="true" outlineLevel="0" collapsed="false">
      <c r="A573" s="22"/>
      <c r="B573" s="22"/>
      <c r="C573" s="4"/>
      <c r="D573" s="4"/>
      <c r="E573" s="4"/>
      <c r="F573" s="23" t="str">
        <f aca="false">IFERROR(IF(OR($B573="",$C573=""),"",INDEX('Cartes API'!$J:$J,MATCH($B573,'Cartes API'!$A:$A,0))&amp;INDEX('Cartes API'!$B:$B,MATCH($B573,'Cartes API'!$A:$A,0))&amp;"."&amp;INDEX('Cartes API'!$C:$C,MATCH($B573,'Cartes API'!$A:$A,0))&amp;"."&amp;$C573),"")</f>
        <v/>
      </c>
      <c r="G573" s="23" t="str">
        <f aca="false">IFERROR(IF($B573="","",INDEX('Cartes API'!$H:$H,MATCH($B573,'Cartes API'!$A:$A,0))),"")</f>
        <v/>
      </c>
      <c r="H573" s="4"/>
      <c r="I573" s="23" t="str">
        <f aca="false">IF(OR($G573="",$H573=""),"",$G573&amp;"["&amp;$H573&amp;"]")</f>
        <v/>
      </c>
      <c r="J573" s="23" t="str">
        <f aca="false">IFERROR(INDEX(Cablage!$A:$A,MATCH($I573,Cablage!$F:$F,0)),"")</f>
        <v/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customFormat="false" ht="15" hidden="false" customHeight="true" outlineLevel="0" collapsed="false">
      <c r="A574" s="22"/>
      <c r="B574" s="22"/>
      <c r="C574" s="4"/>
      <c r="D574" s="4"/>
      <c r="E574" s="4"/>
      <c r="F574" s="23" t="str">
        <f aca="false">IFERROR(IF(OR($B574="",$C574=""),"",INDEX('Cartes API'!$J:$J,MATCH($B574,'Cartes API'!$A:$A,0))&amp;INDEX('Cartes API'!$B:$B,MATCH($B574,'Cartes API'!$A:$A,0))&amp;"."&amp;INDEX('Cartes API'!$C:$C,MATCH($B574,'Cartes API'!$A:$A,0))&amp;"."&amp;$C574),"")</f>
        <v/>
      </c>
      <c r="G574" s="23" t="str">
        <f aca="false">IFERROR(IF($B574="","",INDEX('Cartes API'!$H:$H,MATCH($B574,'Cartes API'!$A:$A,0))),"")</f>
        <v/>
      </c>
      <c r="H574" s="4"/>
      <c r="I574" s="23" t="str">
        <f aca="false">IF(OR($G574="",$H574=""),"",$G574&amp;"["&amp;$H574&amp;"]")</f>
        <v/>
      </c>
      <c r="J574" s="23" t="str">
        <f aca="false">IFERROR(INDEX(Cablage!$A:$A,MATCH($I574,Cablage!$F:$F,0)),"")</f>
        <v/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customFormat="false" ht="15" hidden="false" customHeight="true" outlineLevel="0" collapsed="false">
      <c r="A575" s="22"/>
      <c r="B575" s="22"/>
      <c r="C575" s="4"/>
      <c r="D575" s="4"/>
      <c r="E575" s="4"/>
      <c r="F575" s="23" t="str">
        <f aca="false">IFERROR(IF(OR($B575="",$C575=""),"",INDEX('Cartes API'!$J:$J,MATCH($B575,'Cartes API'!$A:$A,0))&amp;INDEX('Cartes API'!$B:$B,MATCH($B575,'Cartes API'!$A:$A,0))&amp;"."&amp;INDEX('Cartes API'!$C:$C,MATCH($B575,'Cartes API'!$A:$A,0))&amp;"."&amp;$C575),"")</f>
        <v/>
      </c>
      <c r="G575" s="23" t="str">
        <f aca="false">IFERROR(IF($B575="","",INDEX('Cartes API'!$H:$H,MATCH($B575,'Cartes API'!$A:$A,0))),"")</f>
        <v/>
      </c>
      <c r="H575" s="4"/>
      <c r="I575" s="23" t="str">
        <f aca="false">IF(OR($G575="",$H575=""),"",$G575&amp;"["&amp;$H575&amp;"]")</f>
        <v/>
      </c>
      <c r="J575" s="23" t="str">
        <f aca="false">IFERROR(INDEX(Cablage!$A:$A,MATCH($I575,Cablage!$F:$F,0)),"")</f>
        <v/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customFormat="false" ht="15" hidden="false" customHeight="true" outlineLevel="0" collapsed="false">
      <c r="A576" s="22"/>
      <c r="B576" s="22"/>
      <c r="C576" s="4"/>
      <c r="D576" s="4"/>
      <c r="E576" s="4"/>
      <c r="F576" s="23" t="str">
        <f aca="false">IFERROR(IF(OR($B576="",$C576=""),"",INDEX('Cartes API'!$J:$J,MATCH($B576,'Cartes API'!$A:$A,0))&amp;INDEX('Cartes API'!$B:$B,MATCH($B576,'Cartes API'!$A:$A,0))&amp;"."&amp;INDEX('Cartes API'!$C:$C,MATCH($B576,'Cartes API'!$A:$A,0))&amp;"."&amp;$C576),"")</f>
        <v/>
      </c>
      <c r="G576" s="23" t="str">
        <f aca="false">IFERROR(IF($B576="","",INDEX('Cartes API'!$H:$H,MATCH($B576,'Cartes API'!$A:$A,0))),"")</f>
        <v/>
      </c>
      <c r="H576" s="4"/>
      <c r="I576" s="23" t="str">
        <f aca="false">IF(OR($G576="",$H576=""),"",$G576&amp;"["&amp;$H576&amp;"]")</f>
        <v/>
      </c>
      <c r="J576" s="23" t="str">
        <f aca="false">IFERROR(INDEX(Cablage!$A:$A,MATCH($I576,Cablage!$F:$F,0)),"")</f>
        <v/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customFormat="false" ht="15" hidden="false" customHeight="true" outlineLevel="0" collapsed="false">
      <c r="A577" s="22"/>
      <c r="B577" s="22"/>
      <c r="C577" s="4"/>
      <c r="D577" s="4"/>
      <c r="E577" s="4"/>
      <c r="F577" s="23" t="str">
        <f aca="false">IFERROR(IF(OR($B577="",$C577=""),"",INDEX('Cartes API'!$J:$J,MATCH($B577,'Cartes API'!$A:$A,0))&amp;INDEX('Cartes API'!$B:$B,MATCH($B577,'Cartes API'!$A:$A,0))&amp;"."&amp;INDEX('Cartes API'!$C:$C,MATCH($B577,'Cartes API'!$A:$A,0))&amp;"."&amp;$C577),"")</f>
        <v/>
      </c>
      <c r="G577" s="23" t="str">
        <f aca="false">IFERROR(IF($B577="","",INDEX('Cartes API'!$H:$H,MATCH($B577,'Cartes API'!$A:$A,0))),"")</f>
        <v/>
      </c>
      <c r="H577" s="4"/>
      <c r="I577" s="23" t="str">
        <f aca="false">IF(OR($G577="",$H577=""),"",$G577&amp;"["&amp;$H577&amp;"]")</f>
        <v/>
      </c>
      <c r="J577" s="23" t="str">
        <f aca="false">IFERROR(INDEX(Cablage!$A:$A,MATCH($I577,Cablage!$F:$F,0)),"")</f>
        <v/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customFormat="false" ht="15" hidden="false" customHeight="true" outlineLevel="0" collapsed="false">
      <c r="A578" s="22"/>
      <c r="B578" s="22"/>
      <c r="C578" s="4"/>
      <c r="D578" s="4"/>
      <c r="E578" s="4"/>
      <c r="F578" s="23" t="str">
        <f aca="false">IFERROR(IF(OR($B578="",$C578=""),"",INDEX('Cartes API'!$J:$J,MATCH($B578,'Cartes API'!$A:$A,0))&amp;INDEX('Cartes API'!$B:$B,MATCH($B578,'Cartes API'!$A:$A,0))&amp;"."&amp;INDEX('Cartes API'!$C:$C,MATCH($B578,'Cartes API'!$A:$A,0))&amp;"."&amp;$C578),"")</f>
        <v/>
      </c>
      <c r="G578" s="23" t="str">
        <f aca="false">IFERROR(IF($B578="","",INDEX('Cartes API'!$H:$H,MATCH($B578,'Cartes API'!$A:$A,0))),"")</f>
        <v/>
      </c>
      <c r="H578" s="4"/>
      <c r="I578" s="23" t="str">
        <f aca="false">IF(OR($G578="",$H578=""),"",$G578&amp;"["&amp;$H578&amp;"]")</f>
        <v/>
      </c>
      <c r="J578" s="23" t="str">
        <f aca="false">IFERROR(INDEX(Cablage!$A:$A,MATCH($I578,Cablage!$F:$F,0)),"")</f>
        <v/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customFormat="false" ht="15" hidden="false" customHeight="true" outlineLevel="0" collapsed="false">
      <c r="A579" s="22"/>
      <c r="B579" s="22"/>
      <c r="C579" s="4"/>
      <c r="D579" s="4"/>
      <c r="E579" s="4"/>
      <c r="F579" s="23" t="str">
        <f aca="false">IFERROR(IF(OR($B579="",$C579=""),"",INDEX('Cartes API'!$J:$J,MATCH($B579,'Cartes API'!$A:$A,0))&amp;INDEX('Cartes API'!$B:$B,MATCH($B579,'Cartes API'!$A:$A,0))&amp;"."&amp;INDEX('Cartes API'!$C:$C,MATCH($B579,'Cartes API'!$A:$A,0))&amp;"."&amp;$C579),"")</f>
        <v/>
      </c>
      <c r="G579" s="23" t="str">
        <f aca="false">IFERROR(IF($B579="","",INDEX('Cartes API'!$H:$H,MATCH($B579,'Cartes API'!$A:$A,0))),"")</f>
        <v/>
      </c>
      <c r="H579" s="4"/>
      <c r="I579" s="23" t="str">
        <f aca="false">IF(OR($G579="",$H579=""),"",$G579&amp;"["&amp;$H579&amp;"]")</f>
        <v/>
      </c>
      <c r="J579" s="23" t="str">
        <f aca="false">IFERROR(INDEX(Cablage!$A:$A,MATCH($I579,Cablage!$F:$F,0)),"")</f>
        <v/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customFormat="false" ht="15" hidden="false" customHeight="true" outlineLevel="0" collapsed="false">
      <c r="A580" s="22"/>
      <c r="B580" s="22"/>
      <c r="C580" s="4"/>
      <c r="D580" s="4"/>
      <c r="E580" s="4"/>
      <c r="F580" s="23" t="str">
        <f aca="false">IFERROR(IF(OR($B580="",$C580=""),"",INDEX('Cartes API'!$J:$J,MATCH($B580,'Cartes API'!$A:$A,0))&amp;INDEX('Cartes API'!$B:$B,MATCH($B580,'Cartes API'!$A:$A,0))&amp;"."&amp;INDEX('Cartes API'!$C:$C,MATCH($B580,'Cartes API'!$A:$A,0))&amp;"."&amp;$C580),"")</f>
        <v/>
      </c>
      <c r="G580" s="23" t="str">
        <f aca="false">IFERROR(IF($B580="","",INDEX('Cartes API'!$H:$H,MATCH($B580,'Cartes API'!$A:$A,0))),"")</f>
        <v/>
      </c>
      <c r="H580" s="4"/>
      <c r="I580" s="23" t="str">
        <f aca="false">IF(OR($G580="",$H580=""),"",$G580&amp;"["&amp;$H580&amp;"]")</f>
        <v/>
      </c>
      <c r="J580" s="23" t="str">
        <f aca="false">IFERROR(INDEX(Cablage!$A:$A,MATCH($I580,Cablage!$F:$F,0)),"")</f>
        <v/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customFormat="false" ht="15" hidden="false" customHeight="true" outlineLevel="0" collapsed="false">
      <c r="A581" s="22"/>
      <c r="B581" s="22"/>
      <c r="C581" s="4"/>
      <c r="D581" s="4"/>
      <c r="E581" s="4"/>
      <c r="F581" s="23" t="str">
        <f aca="false">IFERROR(IF(OR($B581="",$C581=""),"",INDEX('Cartes API'!$J:$J,MATCH($B581,'Cartes API'!$A:$A,0))&amp;INDEX('Cartes API'!$B:$B,MATCH($B581,'Cartes API'!$A:$A,0))&amp;"."&amp;INDEX('Cartes API'!$C:$C,MATCH($B581,'Cartes API'!$A:$A,0))&amp;"."&amp;$C581),"")</f>
        <v/>
      </c>
      <c r="G581" s="23" t="str">
        <f aca="false">IFERROR(IF($B581="","",INDEX('Cartes API'!$H:$H,MATCH($B581,'Cartes API'!$A:$A,0))),"")</f>
        <v/>
      </c>
      <c r="H581" s="4"/>
      <c r="I581" s="23" t="str">
        <f aca="false">IF(OR($G581="",$H581=""),"",$G581&amp;"["&amp;$H581&amp;"]")</f>
        <v/>
      </c>
      <c r="J581" s="23" t="str">
        <f aca="false">IFERROR(INDEX(Cablage!$A:$A,MATCH($I581,Cablage!$F:$F,0)),"")</f>
        <v/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customFormat="false" ht="15" hidden="false" customHeight="true" outlineLevel="0" collapsed="false">
      <c r="A582" s="22"/>
      <c r="B582" s="22"/>
      <c r="C582" s="4"/>
      <c r="D582" s="4"/>
      <c r="E582" s="4"/>
      <c r="F582" s="23" t="str">
        <f aca="false">IFERROR(IF(OR($B582="",$C582=""),"",INDEX('Cartes API'!$J:$J,MATCH($B582,'Cartes API'!$A:$A,0))&amp;INDEX('Cartes API'!$B:$B,MATCH($B582,'Cartes API'!$A:$A,0))&amp;"."&amp;INDEX('Cartes API'!$C:$C,MATCH($B582,'Cartes API'!$A:$A,0))&amp;"."&amp;$C582),"")</f>
        <v/>
      </c>
      <c r="G582" s="23" t="str">
        <f aca="false">IFERROR(IF($B582="","",INDEX('Cartes API'!$H:$H,MATCH($B582,'Cartes API'!$A:$A,0))),"")</f>
        <v/>
      </c>
      <c r="H582" s="4"/>
      <c r="I582" s="23" t="str">
        <f aca="false">IF(OR($G582="",$H582=""),"",$G582&amp;"["&amp;$H582&amp;"]")</f>
        <v/>
      </c>
      <c r="J582" s="23" t="str">
        <f aca="false">IFERROR(INDEX(Cablage!$A:$A,MATCH($I582,Cablage!$F:$F,0)),"")</f>
        <v/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customFormat="false" ht="15" hidden="false" customHeight="true" outlineLevel="0" collapsed="false">
      <c r="A583" s="22"/>
      <c r="B583" s="22"/>
      <c r="C583" s="4"/>
      <c r="D583" s="4"/>
      <c r="E583" s="4"/>
      <c r="F583" s="23" t="str">
        <f aca="false">IFERROR(IF(OR($B583="",$C583=""),"",INDEX('Cartes API'!$J:$J,MATCH($B583,'Cartes API'!$A:$A,0))&amp;INDEX('Cartes API'!$B:$B,MATCH($B583,'Cartes API'!$A:$A,0))&amp;"."&amp;INDEX('Cartes API'!$C:$C,MATCH($B583,'Cartes API'!$A:$A,0))&amp;"."&amp;$C583),"")</f>
        <v/>
      </c>
      <c r="G583" s="23" t="str">
        <f aca="false">IFERROR(IF($B583="","",INDEX('Cartes API'!$H:$H,MATCH($B583,'Cartes API'!$A:$A,0))),"")</f>
        <v/>
      </c>
      <c r="H583" s="4"/>
      <c r="I583" s="23" t="str">
        <f aca="false">IF(OR($G583="",$H583=""),"",$G583&amp;"["&amp;$H583&amp;"]")</f>
        <v/>
      </c>
      <c r="J583" s="23" t="str">
        <f aca="false">IFERROR(INDEX(Cablage!$A:$A,MATCH($I583,Cablage!$F:$F,0)),"")</f>
        <v/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customFormat="false" ht="15" hidden="false" customHeight="true" outlineLevel="0" collapsed="false">
      <c r="A584" s="22"/>
      <c r="B584" s="22"/>
      <c r="C584" s="4"/>
      <c r="D584" s="4"/>
      <c r="E584" s="4"/>
      <c r="F584" s="23" t="str">
        <f aca="false">IFERROR(IF(OR($B584="",$C584=""),"",INDEX('Cartes API'!$J:$J,MATCH($B584,'Cartes API'!$A:$A,0))&amp;INDEX('Cartes API'!$B:$B,MATCH($B584,'Cartes API'!$A:$A,0))&amp;"."&amp;INDEX('Cartes API'!$C:$C,MATCH($B584,'Cartes API'!$A:$A,0))&amp;"."&amp;$C584),"")</f>
        <v/>
      </c>
      <c r="G584" s="23" t="str">
        <f aca="false">IFERROR(IF($B584="","",INDEX('Cartes API'!$H:$H,MATCH($B584,'Cartes API'!$A:$A,0))),"")</f>
        <v/>
      </c>
      <c r="H584" s="4"/>
      <c r="I584" s="23" t="str">
        <f aca="false">IF(OR($G584="",$H584=""),"",$G584&amp;"["&amp;$H584&amp;"]")</f>
        <v/>
      </c>
      <c r="J584" s="23" t="str">
        <f aca="false">IFERROR(INDEX(Cablage!$A:$A,MATCH($I584,Cablage!$F:$F,0)),"")</f>
        <v/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customFormat="false" ht="15" hidden="false" customHeight="true" outlineLevel="0" collapsed="false">
      <c r="A585" s="22"/>
      <c r="B585" s="22"/>
      <c r="C585" s="4"/>
      <c r="D585" s="4"/>
      <c r="E585" s="4"/>
      <c r="F585" s="23" t="str">
        <f aca="false">IFERROR(IF(OR($B585="",$C585=""),"",INDEX('Cartes API'!$J:$J,MATCH($B585,'Cartes API'!$A:$A,0))&amp;INDEX('Cartes API'!$B:$B,MATCH($B585,'Cartes API'!$A:$A,0))&amp;"."&amp;INDEX('Cartes API'!$C:$C,MATCH($B585,'Cartes API'!$A:$A,0))&amp;"."&amp;$C585),"")</f>
        <v/>
      </c>
      <c r="G585" s="23" t="str">
        <f aca="false">IFERROR(IF($B585="","",INDEX('Cartes API'!$H:$H,MATCH($B585,'Cartes API'!$A:$A,0))),"")</f>
        <v/>
      </c>
      <c r="H585" s="4"/>
      <c r="I585" s="23" t="str">
        <f aca="false">IF(OR($G585="",$H585=""),"",$G585&amp;"["&amp;$H585&amp;"]")</f>
        <v/>
      </c>
      <c r="J585" s="23" t="str">
        <f aca="false">IFERROR(INDEX(Cablage!$A:$A,MATCH($I585,Cablage!$F:$F,0)),"")</f>
        <v/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customFormat="false" ht="15" hidden="false" customHeight="true" outlineLevel="0" collapsed="false">
      <c r="A586" s="22"/>
      <c r="B586" s="22"/>
      <c r="C586" s="4"/>
      <c r="D586" s="4"/>
      <c r="E586" s="4"/>
      <c r="F586" s="23" t="str">
        <f aca="false">IFERROR(IF(OR($B586="",$C586=""),"",INDEX('Cartes API'!$J:$J,MATCH($B586,'Cartes API'!$A:$A,0))&amp;INDEX('Cartes API'!$B:$B,MATCH($B586,'Cartes API'!$A:$A,0))&amp;"."&amp;INDEX('Cartes API'!$C:$C,MATCH($B586,'Cartes API'!$A:$A,0))&amp;"."&amp;$C586),"")</f>
        <v/>
      </c>
      <c r="G586" s="23" t="str">
        <f aca="false">IFERROR(IF($B586="","",INDEX('Cartes API'!$H:$H,MATCH($B586,'Cartes API'!$A:$A,0))),"")</f>
        <v/>
      </c>
      <c r="H586" s="4"/>
      <c r="I586" s="23" t="str">
        <f aca="false">IF(OR($G586="",$H586=""),"",$G586&amp;"["&amp;$H586&amp;"]")</f>
        <v/>
      </c>
      <c r="J586" s="23" t="str">
        <f aca="false">IFERROR(INDEX(Cablage!$A:$A,MATCH($I586,Cablage!$F:$F,0)),"")</f>
        <v/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customFormat="false" ht="15" hidden="false" customHeight="true" outlineLevel="0" collapsed="false">
      <c r="A587" s="22"/>
      <c r="B587" s="22"/>
      <c r="C587" s="4"/>
      <c r="D587" s="4"/>
      <c r="E587" s="4"/>
      <c r="F587" s="23" t="str">
        <f aca="false">IFERROR(IF(OR($B587="",$C587=""),"",INDEX('Cartes API'!$J:$J,MATCH($B587,'Cartes API'!$A:$A,0))&amp;INDEX('Cartes API'!$B:$B,MATCH($B587,'Cartes API'!$A:$A,0))&amp;"."&amp;INDEX('Cartes API'!$C:$C,MATCH($B587,'Cartes API'!$A:$A,0))&amp;"."&amp;$C587),"")</f>
        <v/>
      </c>
      <c r="G587" s="23" t="str">
        <f aca="false">IFERROR(IF($B587="","",INDEX('Cartes API'!$H:$H,MATCH($B587,'Cartes API'!$A:$A,0))),"")</f>
        <v/>
      </c>
      <c r="H587" s="4"/>
      <c r="I587" s="23" t="str">
        <f aca="false">IF(OR($G587="",$H587=""),"",$G587&amp;"["&amp;$H587&amp;"]")</f>
        <v/>
      </c>
      <c r="J587" s="23" t="str">
        <f aca="false">IFERROR(INDEX(Cablage!$A:$A,MATCH($I587,Cablage!$F:$F,0)),"")</f>
        <v/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customFormat="false" ht="15" hidden="false" customHeight="true" outlineLevel="0" collapsed="false">
      <c r="A588" s="22"/>
      <c r="B588" s="22"/>
      <c r="C588" s="4"/>
      <c r="D588" s="4"/>
      <c r="E588" s="4"/>
      <c r="F588" s="23" t="str">
        <f aca="false">IFERROR(IF(OR($B588="",$C588=""),"",INDEX('Cartes API'!$J:$J,MATCH($B588,'Cartes API'!$A:$A,0))&amp;INDEX('Cartes API'!$B:$B,MATCH($B588,'Cartes API'!$A:$A,0))&amp;"."&amp;INDEX('Cartes API'!$C:$C,MATCH($B588,'Cartes API'!$A:$A,0))&amp;"."&amp;$C588),"")</f>
        <v/>
      </c>
      <c r="G588" s="23" t="str">
        <f aca="false">IFERROR(IF($B588="","",INDEX('Cartes API'!$H:$H,MATCH($B588,'Cartes API'!$A:$A,0))),"")</f>
        <v/>
      </c>
      <c r="H588" s="4"/>
      <c r="I588" s="23" t="str">
        <f aca="false">IF(OR($G588="",$H588=""),"",$G588&amp;"["&amp;$H588&amp;"]")</f>
        <v/>
      </c>
      <c r="J588" s="23" t="str">
        <f aca="false">IFERROR(INDEX(Cablage!$A:$A,MATCH($I588,Cablage!$F:$F,0)),"")</f>
        <v/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customFormat="false" ht="15" hidden="false" customHeight="true" outlineLevel="0" collapsed="false">
      <c r="A589" s="22"/>
      <c r="B589" s="22"/>
      <c r="C589" s="4"/>
      <c r="D589" s="4"/>
      <c r="E589" s="4"/>
      <c r="F589" s="23" t="str">
        <f aca="false">IFERROR(IF(OR($B589="",$C589=""),"",INDEX('Cartes API'!$J:$J,MATCH($B589,'Cartes API'!$A:$A,0))&amp;INDEX('Cartes API'!$B:$B,MATCH($B589,'Cartes API'!$A:$A,0))&amp;"."&amp;INDEX('Cartes API'!$C:$C,MATCH($B589,'Cartes API'!$A:$A,0))&amp;"."&amp;$C589),"")</f>
        <v/>
      </c>
      <c r="G589" s="23" t="str">
        <f aca="false">IFERROR(IF($B589="","",INDEX('Cartes API'!$H:$H,MATCH($B589,'Cartes API'!$A:$A,0))),"")</f>
        <v/>
      </c>
      <c r="H589" s="4"/>
      <c r="I589" s="23" t="str">
        <f aca="false">IF(OR($G589="",$H589=""),"",$G589&amp;"["&amp;$H589&amp;"]")</f>
        <v/>
      </c>
      <c r="J589" s="23" t="str">
        <f aca="false">IFERROR(INDEX(Cablage!$A:$A,MATCH($I589,Cablage!$F:$F,0)),"")</f>
        <v/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customFormat="false" ht="15" hidden="false" customHeight="true" outlineLevel="0" collapsed="false">
      <c r="A590" s="22"/>
      <c r="B590" s="22"/>
      <c r="C590" s="4"/>
      <c r="D590" s="4"/>
      <c r="E590" s="4"/>
      <c r="F590" s="23" t="str">
        <f aca="false">IFERROR(IF(OR($B590="",$C590=""),"",INDEX('Cartes API'!$J:$J,MATCH($B590,'Cartes API'!$A:$A,0))&amp;INDEX('Cartes API'!$B:$B,MATCH($B590,'Cartes API'!$A:$A,0))&amp;"."&amp;INDEX('Cartes API'!$C:$C,MATCH($B590,'Cartes API'!$A:$A,0))&amp;"."&amp;$C590),"")</f>
        <v/>
      </c>
      <c r="G590" s="23" t="str">
        <f aca="false">IFERROR(IF($B590="","",INDEX('Cartes API'!$H:$H,MATCH($B590,'Cartes API'!$A:$A,0))),"")</f>
        <v/>
      </c>
      <c r="H590" s="4"/>
      <c r="I590" s="23" t="str">
        <f aca="false">IF(OR($G590="",$H590=""),"",$G590&amp;"["&amp;$H590&amp;"]")</f>
        <v/>
      </c>
      <c r="J590" s="23" t="str">
        <f aca="false">IFERROR(INDEX(Cablage!$A:$A,MATCH($I590,Cablage!$F:$F,0)),"")</f>
        <v/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customFormat="false" ht="15" hidden="false" customHeight="true" outlineLevel="0" collapsed="false">
      <c r="A591" s="22"/>
      <c r="B591" s="22"/>
      <c r="C591" s="4"/>
      <c r="D591" s="4"/>
      <c r="E591" s="4"/>
      <c r="F591" s="23" t="str">
        <f aca="false">IFERROR(IF(OR($B591="",$C591=""),"",INDEX('Cartes API'!$J:$J,MATCH($B591,'Cartes API'!$A:$A,0))&amp;INDEX('Cartes API'!$B:$B,MATCH($B591,'Cartes API'!$A:$A,0))&amp;"."&amp;INDEX('Cartes API'!$C:$C,MATCH($B591,'Cartes API'!$A:$A,0))&amp;"."&amp;$C591),"")</f>
        <v/>
      </c>
      <c r="G591" s="23" t="str">
        <f aca="false">IFERROR(IF($B591="","",INDEX('Cartes API'!$H:$H,MATCH($B591,'Cartes API'!$A:$A,0))),"")</f>
        <v/>
      </c>
      <c r="H591" s="4"/>
      <c r="I591" s="23" t="str">
        <f aca="false">IF(OR($G591="",$H591=""),"",$G591&amp;"["&amp;$H591&amp;"]")</f>
        <v/>
      </c>
      <c r="J591" s="23" t="str">
        <f aca="false">IFERROR(INDEX(Cablage!$A:$A,MATCH($I591,Cablage!$F:$F,0)),"")</f>
        <v/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customFormat="false" ht="15" hidden="false" customHeight="true" outlineLevel="0" collapsed="false">
      <c r="A592" s="22"/>
      <c r="B592" s="22"/>
      <c r="C592" s="4"/>
      <c r="D592" s="4"/>
      <c r="E592" s="4"/>
      <c r="F592" s="23" t="str">
        <f aca="false">IFERROR(IF(OR($B592="",$C592=""),"",INDEX('Cartes API'!$J:$J,MATCH($B592,'Cartes API'!$A:$A,0))&amp;INDEX('Cartes API'!$B:$B,MATCH($B592,'Cartes API'!$A:$A,0))&amp;"."&amp;INDEX('Cartes API'!$C:$C,MATCH($B592,'Cartes API'!$A:$A,0))&amp;"."&amp;$C592),"")</f>
        <v/>
      </c>
      <c r="G592" s="23" t="str">
        <f aca="false">IFERROR(IF($B592="","",INDEX('Cartes API'!$H:$H,MATCH($B592,'Cartes API'!$A:$A,0))),"")</f>
        <v/>
      </c>
      <c r="H592" s="4"/>
      <c r="I592" s="23" t="str">
        <f aca="false">IF(OR($G592="",$H592=""),"",$G592&amp;"["&amp;$H592&amp;"]")</f>
        <v/>
      </c>
      <c r="J592" s="23" t="str">
        <f aca="false">IFERROR(INDEX(Cablage!$A:$A,MATCH($I592,Cablage!$F:$F,0)),"")</f>
        <v/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customFormat="false" ht="15" hidden="false" customHeight="true" outlineLevel="0" collapsed="false">
      <c r="A593" s="22"/>
      <c r="B593" s="22"/>
      <c r="C593" s="4"/>
      <c r="D593" s="4"/>
      <c r="E593" s="4"/>
      <c r="F593" s="23" t="str">
        <f aca="false">IFERROR(IF(OR($B593="",$C593=""),"",INDEX('Cartes API'!$J:$J,MATCH($B593,'Cartes API'!$A:$A,0))&amp;INDEX('Cartes API'!$B:$B,MATCH($B593,'Cartes API'!$A:$A,0))&amp;"."&amp;INDEX('Cartes API'!$C:$C,MATCH($B593,'Cartes API'!$A:$A,0))&amp;"."&amp;$C593),"")</f>
        <v/>
      </c>
      <c r="G593" s="23" t="str">
        <f aca="false">IFERROR(IF($B593="","",INDEX('Cartes API'!$H:$H,MATCH($B593,'Cartes API'!$A:$A,0))),"")</f>
        <v/>
      </c>
      <c r="H593" s="4"/>
      <c r="I593" s="23" t="str">
        <f aca="false">IF(OR($G593="",$H593=""),"",$G593&amp;"["&amp;$H593&amp;"]")</f>
        <v/>
      </c>
      <c r="J593" s="23" t="str">
        <f aca="false">IFERROR(INDEX(Cablage!$A:$A,MATCH($I593,Cablage!$F:$F,0)),"")</f>
        <v/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customFormat="false" ht="15" hidden="false" customHeight="true" outlineLevel="0" collapsed="false">
      <c r="A594" s="22"/>
      <c r="B594" s="22"/>
      <c r="C594" s="4"/>
      <c r="D594" s="4"/>
      <c r="E594" s="4"/>
      <c r="F594" s="23" t="str">
        <f aca="false">IFERROR(IF(OR($B594="",$C594=""),"",INDEX('Cartes API'!$J:$J,MATCH($B594,'Cartes API'!$A:$A,0))&amp;INDEX('Cartes API'!$B:$B,MATCH($B594,'Cartes API'!$A:$A,0))&amp;"."&amp;INDEX('Cartes API'!$C:$C,MATCH($B594,'Cartes API'!$A:$A,0))&amp;"."&amp;$C594),"")</f>
        <v/>
      </c>
      <c r="G594" s="23" t="str">
        <f aca="false">IFERROR(IF($B594="","",INDEX('Cartes API'!$H:$H,MATCH($B594,'Cartes API'!$A:$A,0))),"")</f>
        <v/>
      </c>
      <c r="H594" s="4"/>
      <c r="I594" s="23" t="str">
        <f aca="false">IF(OR($G594="",$H594=""),"",$G594&amp;"["&amp;$H594&amp;"]")</f>
        <v/>
      </c>
      <c r="J594" s="23" t="str">
        <f aca="false">IFERROR(INDEX(Cablage!$A:$A,MATCH($I594,Cablage!$F:$F,0)),"")</f>
        <v/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customFormat="false" ht="15" hidden="false" customHeight="true" outlineLevel="0" collapsed="false">
      <c r="A595" s="22"/>
      <c r="B595" s="22"/>
      <c r="C595" s="4"/>
      <c r="D595" s="4"/>
      <c r="E595" s="4"/>
      <c r="F595" s="23" t="str">
        <f aca="false">IFERROR(IF(OR($B595="",$C595=""),"",INDEX('Cartes API'!$J:$J,MATCH($B595,'Cartes API'!$A:$A,0))&amp;INDEX('Cartes API'!$B:$B,MATCH($B595,'Cartes API'!$A:$A,0))&amp;"."&amp;INDEX('Cartes API'!$C:$C,MATCH($B595,'Cartes API'!$A:$A,0))&amp;"."&amp;$C595),"")</f>
        <v/>
      </c>
      <c r="G595" s="23" t="str">
        <f aca="false">IFERROR(IF($B595="","",INDEX('Cartes API'!$H:$H,MATCH($B595,'Cartes API'!$A:$A,0))),"")</f>
        <v/>
      </c>
      <c r="H595" s="4"/>
      <c r="I595" s="23" t="str">
        <f aca="false">IF(OR($G595="",$H595=""),"",$G595&amp;"["&amp;$H595&amp;"]")</f>
        <v/>
      </c>
      <c r="J595" s="23" t="str">
        <f aca="false">IFERROR(INDEX(Cablage!$A:$A,MATCH($I595,Cablage!$F:$F,0)),"")</f>
        <v/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customFormat="false" ht="15" hidden="false" customHeight="true" outlineLevel="0" collapsed="false">
      <c r="A596" s="22"/>
      <c r="B596" s="22"/>
      <c r="C596" s="4"/>
      <c r="D596" s="4"/>
      <c r="E596" s="4"/>
      <c r="F596" s="23" t="str">
        <f aca="false">IFERROR(IF(OR($B596="",$C596=""),"",INDEX('Cartes API'!$J:$J,MATCH($B596,'Cartes API'!$A:$A,0))&amp;INDEX('Cartes API'!$B:$B,MATCH($B596,'Cartes API'!$A:$A,0))&amp;"."&amp;INDEX('Cartes API'!$C:$C,MATCH($B596,'Cartes API'!$A:$A,0))&amp;"."&amp;$C596),"")</f>
        <v/>
      </c>
      <c r="G596" s="23" t="str">
        <f aca="false">IFERROR(IF($B596="","",INDEX('Cartes API'!$H:$H,MATCH($B596,'Cartes API'!$A:$A,0))),"")</f>
        <v/>
      </c>
      <c r="H596" s="4"/>
      <c r="I596" s="23" t="str">
        <f aca="false">IF(OR($G596="",$H596=""),"",$G596&amp;"["&amp;$H596&amp;"]")</f>
        <v/>
      </c>
      <c r="J596" s="23" t="str">
        <f aca="false">IFERROR(INDEX(Cablage!$A:$A,MATCH($I596,Cablage!$F:$F,0)),"")</f>
        <v/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customFormat="false" ht="15" hidden="false" customHeight="true" outlineLevel="0" collapsed="false">
      <c r="A597" s="22"/>
      <c r="B597" s="22"/>
      <c r="C597" s="4"/>
      <c r="D597" s="4"/>
      <c r="E597" s="4"/>
      <c r="F597" s="23" t="str">
        <f aca="false">IFERROR(IF(OR($B597="",$C597=""),"",INDEX('Cartes API'!$J:$J,MATCH($B597,'Cartes API'!$A:$A,0))&amp;INDEX('Cartes API'!$B:$B,MATCH($B597,'Cartes API'!$A:$A,0))&amp;"."&amp;INDEX('Cartes API'!$C:$C,MATCH($B597,'Cartes API'!$A:$A,0))&amp;"."&amp;$C597),"")</f>
        <v/>
      </c>
      <c r="G597" s="23" t="str">
        <f aca="false">IFERROR(IF($B597="","",INDEX('Cartes API'!$H:$H,MATCH($B597,'Cartes API'!$A:$A,0))),"")</f>
        <v/>
      </c>
      <c r="H597" s="4"/>
      <c r="I597" s="23" t="str">
        <f aca="false">IF(OR($G597="",$H597=""),"",$G597&amp;"["&amp;$H597&amp;"]")</f>
        <v/>
      </c>
      <c r="J597" s="23" t="str">
        <f aca="false">IFERROR(INDEX(Cablage!$A:$A,MATCH($I597,Cablage!$F:$F,0)),"")</f>
        <v/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customFormat="false" ht="15" hidden="false" customHeight="true" outlineLevel="0" collapsed="false">
      <c r="A598" s="22"/>
      <c r="B598" s="22"/>
      <c r="C598" s="4"/>
      <c r="D598" s="4"/>
      <c r="E598" s="4"/>
      <c r="F598" s="23" t="str">
        <f aca="false">IFERROR(IF(OR($B598="",$C598=""),"",INDEX('Cartes API'!$J:$J,MATCH($B598,'Cartes API'!$A:$A,0))&amp;INDEX('Cartes API'!$B:$B,MATCH($B598,'Cartes API'!$A:$A,0))&amp;"."&amp;INDEX('Cartes API'!$C:$C,MATCH($B598,'Cartes API'!$A:$A,0))&amp;"."&amp;$C598),"")</f>
        <v/>
      </c>
      <c r="G598" s="23" t="str">
        <f aca="false">IFERROR(IF($B598="","",INDEX('Cartes API'!$H:$H,MATCH($B598,'Cartes API'!$A:$A,0))),"")</f>
        <v/>
      </c>
      <c r="H598" s="4"/>
      <c r="I598" s="23" t="str">
        <f aca="false">IF(OR($G598="",$H598=""),"",$G598&amp;"["&amp;$H598&amp;"]")</f>
        <v/>
      </c>
      <c r="J598" s="23" t="str">
        <f aca="false">IFERROR(INDEX(Cablage!$A:$A,MATCH($I598,Cablage!$F:$F,0)),"")</f>
        <v/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customFormat="false" ht="15" hidden="false" customHeight="true" outlineLevel="0" collapsed="false">
      <c r="A599" s="22"/>
      <c r="B599" s="22"/>
      <c r="C599" s="4"/>
      <c r="D599" s="4"/>
      <c r="E599" s="4"/>
      <c r="F599" s="23" t="str">
        <f aca="false">IFERROR(IF(OR($B599="",$C599=""),"",INDEX('Cartes API'!$J:$J,MATCH($B599,'Cartes API'!$A:$A,0))&amp;INDEX('Cartes API'!$B:$B,MATCH($B599,'Cartes API'!$A:$A,0))&amp;"."&amp;INDEX('Cartes API'!$C:$C,MATCH($B599,'Cartes API'!$A:$A,0))&amp;"."&amp;$C599),"")</f>
        <v/>
      </c>
      <c r="G599" s="23" t="str">
        <f aca="false">IFERROR(IF($B599="","",INDEX('Cartes API'!$H:$H,MATCH($B599,'Cartes API'!$A:$A,0))),"")</f>
        <v/>
      </c>
      <c r="H599" s="4"/>
      <c r="I599" s="23" t="str">
        <f aca="false">IF(OR($G599="",$H599=""),"",$G599&amp;"["&amp;$H599&amp;"]")</f>
        <v/>
      </c>
      <c r="J599" s="23" t="str">
        <f aca="false">IFERROR(INDEX(Cablage!$A:$A,MATCH($I599,Cablage!$F:$F,0)),"")</f>
        <v/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customFormat="false" ht="15" hidden="false" customHeight="true" outlineLevel="0" collapsed="false">
      <c r="A600" s="22"/>
      <c r="B600" s="22"/>
      <c r="C600" s="4"/>
      <c r="D600" s="4"/>
      <c r="E600" s="4"/>
      <c r="F600" s="23" t="str">
        <f aca="false">IFERROR(IF(OR($B600="",$C600=""),"",INDEX('Cartes API'!$J:$J,MATCH($B600,'Cartes API'!$A:$A,0))&amp;INDEX('Cartes API'!$B:$B,MATCH($B600,'Cartes API'!$A:$A,0))&amp;"."&amp;INDEX('Cartes API'!$C:$C,MATCH($B600,'Cartes API'!$A:$A,0))&amp;"."&amp;$C600),"")</f>
        <v/>
      </c>
      <c r="G600" s="23" t="str">
        <f aca="false">IFERROR(IF($B600="","",INDEX('Cartes API'!$H:$H,MATCH($B600,'Cartes API'!$A:$A,0))),"")</f>
        <v/>
      </c>
      <c r="H600" s="4"/>
      <c r="I600" s="23" t="str">
        <f aca="false">IF(OR($G600="",$H600=""),"",$G600&amp;"["&amp;$H600&amp;"]")</f>
        <v/>
      </c>
      <c r="J600" s="23" t="str">
        <f aca="false">IFERROR(INDEX(Cablage!$A:$A,MATCH($I600,Cablage!$F:$F,0)),"")</f>
        <v/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customFormat="false" ht="15" hidden="false" customHeight="true" outlineLevel="0" collapsed="false">
      <c r="A601" s="22"/>
      <c r="B601" s="22"/>
      <c r="C601" s="4"/>
      <c r="D601" s="4"/>
      <c r="E601" s="4"/>
      <c r="F601" s="23" t="str">
        <f aca="false">IFERROR(IF(OR($B601="",$C601=""),"",INDEX('Cartes API'!$J:$J,MATCH($B601,'Cartes API'!$A:$A,0))&amp;INDEX('Cartes API'!$B:$B,MATCH($B601,'Cartes API'!$A:$A,0))&amp;"."&amp;INDEX('Cartes API'!$C:$C,MATCH($B601,'Cartes API'!$A:$A,0))&amp;"."&amp;$C601),"")</f>
        <v/>
      </c>
      <c r="G601" s="23" t="str">
        <f aca="false">IFERROR(IF($B601="","",INDEX('Cartes API'!$H:$H,MATCH($B601,'Cartes API'!$A:$A,0))),"")</f>
        <v/>
      </c>
      <c r="H601" s="4"/>
      <c r="I601" s="23" t="str">
        <f aca="false">IF(OR($G601="",$H601=""),"",$G601&amp;"["&amp;$H601&amp;"]")</f>
        <v/>
      </c>
      <c r="J601" s="23" t="str">
        <f aca="false">IFERROR(INDEX(Cablage!$A:$A,MATCH($I601,Cablage!$F:$F,0)),"")</f>
        <v/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customFormat="false" ht="15" hidden="false" customHeight="true" outlineLevel="0" collapsed="false">
      <c r="A602" s="22"/>
      <c r="B602" s="22"/>
      <c r="C602" s="4"/>
      <c r="D602" s="4"/>
      <c r="E602" s="4"/>
      <c r="F602" s="23" t="str">
        <f aca="false">IFERROR(IF(OR($B602="",$C602=""),"",INDEX('Cartes API'!$J:$J,MATCH($B602,'Cartes API'!$A:$A,0))&amp;INDEX('Cartes API'!$B:$B,MATCH($B602,'Cartes API'!$A:$A,0))&amp;"."&amp;INDEX('Cartes API'!$C:$C,MATCH($B602,'Cartes API'!$A:$A,0))&amp;"."&amp;$C602),"")</f>
        <v/>
      </c>
      <c r="G602" s="23" t="str">
        <f aca="false">IFERROR(IF($B602="","",INDEX('Cartes API'!$H:$H,MATCH($B602,'Cartes API'!$A:$A,0))),"")</f>
        <v/>
      </c>
      <c r="H602" s="4"/>
      <c r="I602" s="23" t="str">
        <f aca="false">IF(OR($G602="",$H602=""),"",$G602&amp;"["&amp;$H602&amp;"]")</f>
        <v/>
      </c>
      <c r="J602" s="23" t="str">
        <f aca="false">IFERROR(INDEX(Cablage!$A:$A,MATCH($I602,Cablage!$F:$F,0)),"")</f>
        <v/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customFormat="false" ht="15" hidden="false" customHeight="true" outlineLevel="0" collapsed="false">
      <c r="A603" s="22"/>
      <c r="B603" s="22"/>
      <c r="C603" s="4"/>
      <c r="D603" s="4"/>
      <c r="E603" s="4"/>
      <c r="F603" s="23" t="str">
        <f aca="false">IFERROR(IF(OR($B603="",$C603=""),"",INDEX('Cartes API'!$J:$J,MATCH($B603,'Cartes API'!$A:$A,0))&amp;INDEX('Cartes API'!$B:$B,MATCH($B603,'Cartes API'!$A:$A,0))&amp;"."&amp;INDEX('Cartes API'!$C:$C,MATCH($B603,'Cartes API'!$A:$A,0))&amp;"."&amp;$C603),"")</f>
        <v/>
      </c>
      <c r="G603" s="23" t="str">
        <f aca="false">IFERROR(IF($B603="","",INDEX('Cartes API'!$H:$H,MATCH($B603,'Cartes API'!$A:$A,0))),"")</f>
        <v/>
      </c>
      <c r="H603" s="4"/>
      <c r="I603" s="23" t="str">
        <f aca="false">IF(OR($G603="",$H603=""),"",$G603&amp;"["&amp;$H603&amp;"]")</f>
        <v/>
      </c>
      <c r="J603" s="23" t="str">
        <f aca="false">IFERROR(INDEX(Cablage!$A:$A,MATCH($I603,Cablage!$F:$F,0)),"")</f>
        <v/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customFormat="false" ht="15" hidden="false" customHeight="true" outlineLevel="0" collapsed="false">
      <c r="A604" s="22"/>
      <c r="B604" s="22"/>
      <c r="C604" s="4"/>
      <c r="D604" s="4"/>
      <c r="E604" s="4"/>
      <c r="F604" s="23" t="str">
        <f aca="false">IFERROR(IF(OR($B604="",$C604=""),"",INDEX('Cartes API'!$J:$J,MATCH($B604,'Cartes API'!$A:$A,0))&amp;INDEX('Cartes API'!$B:$B,MATCH($B604,'Cartes API'!$A:$A,0))&amp;"."&amp;INDEX('Cartes API'!$C:$C,MATCH($B604,'Cartes API'!$A:$A,0))&amp;"."&amp;$C604),"")</f>
        <v/>
      </c>
      <c r="G604" s="23" t="str">
        <f aca="false">IFERROR(IF($B604="","",INDEX('Cartes API'!$H:$H,MATCH($B604,'Cartes API'!$A:$A,0))),"")</f>
        <v/>
      </c>
      <c r="H604" s="4"/>
      <c r="I604" s="23" t="str">
        <f aca="false">IF(OR($G604="",$H604=""),"",$G604&amp;"["&amp;$H604&amp;"]")</f>
        <v/>
      </c>
      <c r="J604" s="23" t="str">
        <f aca="false">IFERROR(INDEX(Cablage!$A:$A,MATCH($I604,Cablage!$F:$F,0)),"")</f>
        <v/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customFormat="false" ht="15" hidden="false" customHeight="true" outlineLevel="0" collapsed="false">
      <c r="A605" s="22"/>
      <c r="B605" s="22"/>
      <c r="C605" s="4"/>
      <c r="D605" s="4"/>
      <c r="E605" s="4"/>
      <c r="F605" s="23" t="str">
        <f aca="false">IFERROR(IF(OR($B605="",$C605=""),"",INDEX('Cartes API'!$J:$J,MATCH($B605,'Cartes API'!$A:$A,0))&amp;INDEX('Cartes API'!$B:$B,MATCH($B605,'Cartes API'!$A:$A,0))&amp;"."&amp;INDEX('Cartes API'!$C:$C,MATCH($B605,'Cartes API'!$A:$A,0))&amp;"."&amp;$C605),"")</f>
        <v/>
      </c>
      <c r="G605" s="23" t="str">
        <f aca="false">IFERROR(IF($B605="","",INDEX('Cartes API'!$H:$H,MATCH($B605,'Cartes API'!$A:$A,0))),"")</f>
        <v/>
      </c>
      <c r="H605" s="4"/>
      <c r="I605" s="23" t="str">
        <f aca="false">IF(OR($G605="",$H605=""),"",$G605&amp;"["&amp;$H605&amp;"]")</f>
        <v/>
      </c>
      <c r="J605" s="23" t="str">
        <f aca="false">IFERROR(INDEX(Cablage!$A:$A,MATCH($I605,Cablage!$F:$F,0)),"")</f>
        <v/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customFormat="false" ht="15" hidden="false" customHeight="true" outlineLevel="0" collapsed="false">
      <c r="A606" s="22"/>
      <c r="B606" s="22"/>
      <c r="C606" s="4"/>
      <c r="D606" s="4"/>
      <c r="E606" s="4"/>
      <c r="F606" s="23" t="str">
        <f aca="false">IFERROR(IF(OR($B606="",$C606=""),"",INDEX('Cartes API'!$J:$J,MATCH($B606,'Cartes API'!$A:$A,0))&amp;INDEX('Cartes API'!$B:$B,MATCH($B606,'Cartes API'!$A:$A,0))&amp;"."&amp;INDEX('Cartes API'!$C:$C,MATCH($B606,'Cartes API'!$A:$A,0))&amp;"."&amp;$C606),"")</f>
        <v/>
      </c>
      <c r="G606" s="23" t="str">
        <f aca="false">IFERROR(IF($B606="","",INDEX('Cartes API'!$H:$H,MATCH($B606,'Cartes API'!$A:$A,0))),"")</f>
        <v/>
      </c>
      <c r="H606" s="4"/>
      <c r="I606" s="23" t="str">
        <f aca="false">IF(OR($G606="",$H606=""),"",$G606&amp;"["&amp;$H606&amp;"]")</f>
        <v/>
      </c>
      <c r="J606" s="23" t="str">
        <f aca="false">IFERROR(INDEX(Cablage!$A:$A,MATCH($I606,Cablage!$F:$F,0)),"")</f>
        <v/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customFormat="false" ht="15" hidden="false" customHeight="true" outlineLevel="0" collapsed="false">
      <c r="A607" s="22"/>
      <c r="B607" s="22"/>
      <c r="C607" s="4"/>
      <c r="D607" s="4"/>
      <c r="E607" s="4"/>
      <c r="F607" s="23" t="str">
        <f aca="false">IFERROR(IF(OR($B607="",$C607=""),"",INDEX('Cartes API'!$J:$J,MATCH($B607,'Cartes API'!$A:$A,0))&amp;INDEX('Cartes API'!$B:$B,MATCH($B607,'Cartes API'!$A:$A,0))&amp;"."&amp;INDEX('Cartes API'!$C:$C,MATCH($B607,'Cartes API'!$A:$A,0))&amp;"."&amp;$C607),"")</f>
        <v/>
      </c>
      <c r="G607" s="23" t="str">
        <f aca="false">IFERROR(IF($B607="","",INDEX('Cartes API'!$H:$H,MATCH($B607,'Cartes API'!$A:$A,0))),"")</f>
        <v/>
      </c>
      <c r="H607" s="4"/>
      <c r="I607" s="23" t="str">
        <f aca="false">IF(OR($G607="",$H607=""),"",$G607&amp;"["&amp;$H607&amp;"]")</f>
        <v/>
      </c>
      <c r="J607" s="23" t="str">
        <f aca="false">IFERROR(INDEX(Cablage!$A:$A,MATCH($I607,Cablage!$F:$F,0)),"")</f>
        <v/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customFormat="false" ht="15" hidden="false" customHeight="true" outlineLevel="0" collapsed="false">
      <c r="A608" s="22"/>
      <c r="B608" s="22"/>
      <c r="C608" s="4"/>
      <c r="D608" s="4"/>
      <c r="E608" s="4"/>
      <c r="F608" s="23" t="str">
        <f aca="false">IFERROR(IF(OR($B608="",$C608=""),"",INDEX('Cartes API'!$J:$J,MATCH($B608,'Cartes API'!$A:$A,0))&amp;INDEX('Cartes API'!$B:$B,MATCH($B608,'Cartes API'!$A:$A,0))&amp;"."&amp;INDEX('Cartes API'!$C:$C,MATCH($B608,'Cartes API'!$A:$A,0))&amp;"."&amp;$C608),"")</f>
        <v/>
      </c>
      <c r="G608" s="23" t="str">
        <f aca="false">IFERROR(IF($B608="","",INDEX('Cartes API'!$H:$H,MATCH($B608,'Cartes API'!$A:$A,0))),"")</f>
        <v/>
      </c>
      <c r="H608" s="4"/>
      <c r="I608" s="23" t="str">
        <f aca="false">IF(OR($G608="",$H608=""),"",$G608&amp;"["&amp;$H608&amp;"]")</f>
        <v/>
      </c>
      <c r="J608" s="23" t="str">
        <f aca="false">IFERROR(INDEX(Cablage!$A:$A,MATCH($I608,Cablage!$F:$F,0)),"")</f>
        <v/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10" customFormat="false" ht="15" hidden="false" customHeight="false" outlineLevel="0" collapsed="false">
      <c r="BR610" s="11" t="s">
        <v>210</v>
      </c>
    </row>
    <row r="611" customFormat="false" ht="15" hidden="false" customHeight="false" outlineLevel="0" collapsed="false">
      <c r="BR611" s="11" t="s">
        <v>211</v>
      </c>
    </row>
    <row r="612" customFormat="false" ht="15" hidden="false" customHeight="false" outlineLevel="0" collapsed="false">
      <c r="BR612" s="11" t="s">
        <v>212</v>
      </c>
    </row>
  </sheetData>
  <autoFilter ref="A7:AX7"/>
  <mergeCells count="9">
    <mergeCell ref="A1:AX1"/>
    <mergeCell ref="A2:AX2"/>
    <mergeCell ref="A6:J6"/>
    <mergeCell ref="K6:P6"/>
    <mergeCell ref="Q6:Y6"/>
    <mergeCell ref="Z6:AE6"/>
    <mergeCell ref="AF6:AK6"/>
    <mergeCell ref="AL6:AQ6"/>
    <mergeCell ref="AR6:AW6"/>
  </mergeCells>
  <dataValidations count="2">
    <dataValidation allowBlank="true" errorStyle="stop" operator="between" showDropDown="false" showErrorMessage="false" showInputMessage="false" sqref="A9:A608" type="list">
      <formula1>"DI,DO,AI,AO"</formula1>
      <formula2>0</formula2>
    </dataValidation>
    <dataValidation allowBlank="true" errorStyle="stop" operator="between" showDropDown="false" showErrorMessage="false" showInputMessage="false" sqref="B9:B608" type="list">
      <formula1>CartesNoms</formula1>
      <formula2>0</formula2>
    </dataValidation>
  </dataValidations>
  <printOptions headings="false" gridLines="false" gridLinesSet="true" horizontalCentered="true" verticalCentered="false"/>
  <pageMargins left="0.35" right="0.35" top="0.4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Affaire 2024_06_264 - Entrees / sorties&amp;C&amp;7 &amp;D&amp;R&amp;7 page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9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4"/>
    <col collapsed="false" customWidth="true" hidden="false" outlineLevel="0" max="2" min="2" style="0" width="9.4"/>
    <col collapsed="false" customWidth="true" hidden="false" outlineLevel="0" max="3" min="3" style="0" width="30"/>
    <col collapsed="false" customWidth="true" hidden="false" outlineLevel="0" max="4" min="4" style="0" width="15.39"/>
    <col collapsed="false" customWidth="true" hidden="false" outlineLevel="0" max="5" min="5" style="0" width="21.4"/>
    <col collapsed="false" customWidth="true" hidden="false" outlineLevel="0" max="6" min="6" style="0" width="8.4"/>
    <col collapsed="false" customWidth="true" hidden="false" outlineLevel="0" max="7" min="7" style="0" width="6.39"/>
    <col collapsed="false" customWidth="true" hidden="false" outlineLevel="0" max="8" min="8" style="0" width="7.4"/>
    <col collapsed="false" customWidth="true" hidden="false" outlineLevel="0" max="9" min="9" style="0" width="10.4"/>
    <col collapsed="false" customWidth="true" hidden="false" outlineLevel="0" max="10" min="10" style="0" width="13.4"/>
    <col collapsed="false" customWidth="true" hidden="false" outlineLevel="0" max="11" min="11" style="0" width="44"/>
  </cols>
  <sheetData>
    <row r="1" customFormat="false" ht="25.5" hidden="false" customHeight="true" outlineLevel="0" collapsed="false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3" t="s">
        <v>2</v>
      </c>
      <c r="B3" s="4" t="s">
        <v>3</v>
      </c>
      <c r="D3" s="3" t="s">
        <v>4</v>
      </c>
      <c r="E3" s="4" t="s">
        <v>5</v>
      </c>
      <c r="G3" s="35" t="s">
        <v>215</v>
      </c>
      <c r="H3" s="35"/>
      <c r="I3" s="35"/>
      <c r="J3" s="35"/>
      <c r="K3" s="35"/>
    </row>
    <row r="4" customFormat="false" ht="15.75" hidden="false" customHeight="true" outlineLevel="0" collapsed="false">
      <c r="A4" s="3" t="s">
        <v>6</v>
      </c>
      <c r="B4" s="4" t="s">
        <v>7</v>
      </c>
      <c r="D4" s="3" t="s">
        <v>8</v>
      </c>
      <c r="E4" s="4" t="s">
        <v>9</v>
      </c>
      <c r="G4" s="35"/>
      <c r="H4" s="35"/>
      <c r="I4" s="35"/>
      <c r="J4" s="35"/>
      <c r="K4" s="35"/>
    </row>
    <row r="6" customFormat="false" ht="15" hidden="false" customHeight="true" outlineLevel="0" collapsed="false">
      <c r="A6" s="16" t="s">
        <v>216</v>
      </c>
      <c r="B6" s="16"/>
      <c r="C6" s="16"/>
      <c r="D6" s="17" t="s">
        <v>217</v>
      </c>
      <c r="E6" s="17"/>
      <c r="F6" s="17"/>
      <c r="G6" s="17"/>
      <c r="H6" s="18" t="s">
        <v>218</v>
      </c>
      <c r="I6" s="18"/>
      <c r="J6" s="18"/>
      <c r="K6" s="19" t="s">
        <v>65</v>
      </c>
    </row>
    <row r="7" customFormat="false" ht="30" hidden="false" customHeight="true" outlineLevel="0" collapsed="false">
      <c r="A7" s="20" t="s">
        <v>69</v>
      </c>
      <c r="B7" s="20" t="s">
        <v>219</v>
      </c>
      <c r="C7" s="20" t="s">
        <v>220</v>
      </c>
      <c r="D7" s="20" t="s">
        <v>66</v>
      </c>
      <c r="E7" s="20" t="s">
        <v>221</v>
      </c>
      <c r="F7" s="20" t="s">
        <v>222</v>
      </c>
      <c r="G7" s="20" t="s">
        <v>223</v>
      </c>
      <c r="H7" s="20" t="s">
        <v>224</v>
      </c>
      <c r="I7" s="20" t="s">
        <v>225</v>
      </c>
      <c r="J7" s="20" t="s">
        <v>226</v>
      </c>
      <c r="K7" s="20" t="s">
        <v>81</v>
      </c>
    </row>
    <row r="8" customFormat="false" ht="12.75" hidden="false" customHeight="true" outlineLevel="0" collapsed="false">
      <c r="A8" s="21" t="s">
        <v>227</v>
      </c>
      <c r="B8" s="21" t="s">
        <v>228</v>
      </c>
      <c r="C8" s="21" t="s">
        <v>229</v>
      </c>
      <c r="D8" s="21"/>
      <c r="E8" s="21"/>
      <c r="F8" s="21"/>
      <c r="G8" s="21"/>
      <c r="H8" s="21" t="s">
        <v>88</v>
      </c>
      <c r="I8" s="21" t="s">
        <v>230</v>
      </c>
      <c r="J8" s="21" t="s">
        <v>196</v>
      </c>
      <c r="K8" s="21"/>
    </row>
    <row r="9" customFormat="false" ht="15" hidden="false" customHeight="true" outlineLevel="0" collapsed="false">
      <c r="A9" s="23"/>
      <c r="B9" s="23"/>
      <c r="C9" s="23"/>
      <c r="D9" s="23"/>
      <c r="E9" s="23"/>
      <c r="F9" s="23"/>
      <c r="G9" s="23"/>
      <c r="H9" s="22"/>
      <c r="I9" s="22"/>
      <c r="J9" s="22"/>
      <c r="K9" s="23"/>
    </row>
    <row r="10" customFormat="false" ht="15" hidden="false" customHeight="true" outlineLevel="0" collapsed="false">
      <c r="A10" s="23"/>
      <c r="B10" s="23"/>
      <c r="C10" s="23"/>
      <c r="D10" s="23"/>
      <c r="E10" s="23"/>
      <c r="F10" s="23"/>
      <c r="G10" s="23"/>
      <c r="H10" s="22"/>
      <c r="I10" s="22"/>
      <c r="J10" s="22"/>
      <c r="K10" s="23"/>
    </row>
    <row r="11" customFormat="false" ht="15" hidden="false" customHeight="true" outlineLevel="0" collapsed="false">
      <c r="A11" s="23"/>
      <c r="B11" s="23"/>
      <c r="C11" s="23"/>
      <c r="D11" s="23"/>
      <c r="E11" s="23"/>
      <c r="F11" s="23"/>
      <c r="G11" s="23"/>
      <c r="H11" s="22"/>
      <c r="I11" s="22"/>
      <c r="J11" s="22"/>
      <c r="K11" s="23"/>
    </row>
    <row r="12" customFormat="false" ht="15" hidden="false" customHeight="true" outlineLevel="0" collapsed="false">
      <c r="A12" s="23"/>
      <c r="B12" s="23"/>
      <c r="C12" s="23"/>
      <c r="D12" s="23"/>
      <c r="E12" s="23"/>
      <c r="F12" s="23"/>
      <c r="G12" s="23"/>
      <c r="H12" s="22"/>
      <c r="I12" s="22"/>
      <c r="J12" s="22"/>
      <c r="K12" s="23"/>
    </row>
    <row r="13" customFormat="false" ht="15" hidden="false" customHeight="true" outlineLevel="0" collapsed="false">
      <c r="A13" s="23"/>
      <c r="B13" s="23"/>
      <c r="C13" s="23"/>
      <c r="D13" s="23"/>
      <c r="E13" s="23"/>
      <c r="F13" s="23"/>
      <c r="G13" s="23"/>
      <c r="H13" s="22"/>
      <c r="I13" s="22"/>
      <c r="J13" s="22"/>
      <c r="K13" s="23"/>
    </row>
    <row r="14" customFormat="false" ht="15" hidden="false" customHeight="true" outlineLevel="0" collapsed="false">
      <c r="A14" s="23"/>
      <c r="B14" s="23"/>
      <c r="C14" s="23"/>
      <c r="D14" s="23"/>
      <c r="E14" s="23"/>
      <c r="F14" s="23"/>
      <c r="G14" s="23"/>
      <c r="H14" s="22"/>
      <c r="I14" s="22"/>
      <c r="J14" s="22"/>
      <c r="K14" s="23"/>
    </row>
    <row r="15" customFormat="false" ht="15" hidden="false" customHeight="true" outlineLevel="0" collapsed="false">
      <c r="A15" s="23"/>
      <c r="B15" s="23"/>
      <c r="C15" s="23"/>
      <c r="D15" s="23"/>
      <c r="E15" s="23"/>
      <c r="F15" s="23"/>
      <c r="G15" s="23"/>
      <c r="H15" s="22"/>
      <c r="I15" s="22"/>
      <c r="J15" s="22"/>
      <c r="K15" s="23"/>
    </row>
    <row r="16" customFormat="false" ht="15" hidden="false" customHeight="true" outlineLevel="0" collapsed="false">
      <c r="A16" s="23"/>
      <c r="B16" s="23"/>
      <c r="C16" s="23"/>
      <c r="D16" s="23"/>
      <c r="E16" s="23"/>
      <c r="F16" s="23"/>
      <c r="G16" s="23"/>
      <c r="H16" s="22"/>
      <c r="I16" s="22"/>
      <c r="J16" s="22"/>
      <c r="K16" s="23"/>
    </row>
    <row r="17" customFormat="false" ht="15" hidden="false" customHeight="true" outlineLevel="0" collapsed="false">
      <c r="A17" s="23"/>
      <c r="B17" s="23"/>
      <c r="C17" s="23"/>
      <c r="D17" s="23"/>
      <c r="E17" s="23"/>
      <c r="F17" s="23"/>
      <c r="G17" s="23"/>
      <c r="H17" s="22"/>
      <c r="I17" s="22"/>
      <c r="J17" s="22"/>
      <c r="K17" s="23"/>
    </row>
    <row r="18" customFormat="false" ht="15" hidden="false" customHeight="true" outlineLevel="0" collapsed="false">
      <c r="A18" s="23"/>
      <c r="B18" s="23"/>
      <c r="C18" s="23"/>
      <c r="D18" s="23"/>
      <c r="E18" s="23"/>
      <c r="F18" s="23"/>
      <c r="G18" s="23"/>
      <c r="H18" s="22"/>
      <c r="I18" s="22"/>
      <c r="J18" s="22"/>
      <c r="K18" s="23"/>
    </row>
    <row r="19" customFormat="false" ht="15" hidden="false" customHeight="true" outlineLevel="0" collapsed="false">
      <c r="A19" s="23"/>
      <c r="B19" s="23"/>
      <c r="C19" s="23"/>
      <c r="D19" s="23"/>
      <c r="E19" s="23"/>
      <c r="F19" s="23"/>
      <c r="G19" s="23"/>
      <c r="H19" s="22"/>
      <c r="I19" s="22"/>
      <c r="J19" s="22"/>
      <c r="K19" s="23"/>
    </row>
    <row r="20" customFormat="false" ht="15" hidden="false" customHeight="true" outlineLevel="0" collapsed="false">
      <c r="A20" s="23"/>
      <c r="B20" s="23"/>
      <c r="C20" s="23"/>
      <c r="D20" s="23"/>
      <c r="E20" s="23"/>
      <c r="F20" s="23"/>
      <c r="G20" s="23"/>
      <c r="H20" s="22"/>
      <c r="I20" s="22"/>
      <c r="J20" s="22"/>
      <c r="K20" s="23"/>
    </row>
    <row r="21" customFormat="false" ht="15" hidden="false" customHeight="true" outlineLevel="0" collapsed="false">
      <c r="A21" s="23"/>
      <c r="B21" s="23"/>
      <c r="C21" s="23"/>
      <c r="D21" s="23"/>
      <c r="E21" s="23"/>
      <c r="F21" s="23"/>
      <c r="G21" s="23"/>
      <c r="H21" s="22"/>
      <c r="I21" s="22"/>
      <c r="J21" s="22"/>
      <c r="K21" s="23"/>
    </row>
    <row r="22" customFormat="false" ht="15" hidden="false" customHeight="true" outlineLevel="0" collapsed="false">
      <c r="A22" s="23"/>
      <c r="B22" s="23"/>
      <c r="C22" s="23"/>
      <c r="D22" s="23"/>
      <c r="E22" s="23"/>
      <c r="F22" s="23"/>
      <c r="G22" s="23"/>
      <c r="H22" s="22"/>
      <c r="I22" s="22"/>
      <c r="J22" s="22"/>
      <c r="K22" s="23"/>
    </row>
    <row r="23" customFormat="false" ht="15" hidden="false" customHeight="true" outlineLevel="0" collapsed="false">
      <c r="A23" s="23"/>
      <c r="B23" s="23"/>
      <c r="C23" s="23"/>
      <c r="D23" s="23"/>
      <c r="E23" s="23"/>
      <c r="F23" s="23"/>
      <c r="G23" s="23"/>
      <c r="H23" s="22"/>
      <c r="I23" s="22"/>
      <c r="J23" s="22"/>
      <c r="K23" s="23"/>
    </row>
    <row r="24" customFormat="false" ht="15" hidden="false" customHeight="true" outlineLevel="0" collapsed="false">
      <c r="A24" s="23"/>
      <c r="B24" s="23"/>
      <c r="C24" s="23"/>
      <c r="D24" s="23"/>
      <c r="E24" s="23"/>
      <c r="F24" s="23"/>
      <c r="G24" s="23"/>
      <c r="H24" s="22"/>
      <c r="I24" s="22"/>
      <c r="J24" s="22"/>
      <c r="K24" s="23"/>
    </row>
    <row r="25" customFormat="false" ht="15" hidden="false" customHeight="true" outlineLevel="0" collapsed="false">
      <c r="A25" s="23"/>
      <c r="B25" s="23"/>
      <c r="C25" s="23"/>
      <c r="D25" s="23"/>
      <c r="E25" s="23"/>
      <c r="F25" s="23"/>
      <c r="G25" s="23"/>
      <c r="H25" s="22"/>
      <c r="I25" s="22"/>
      <c r="J25" s="22"/>
      <c r="K25" s="23"/>
    </row>
    <row r="26" customFormat="false" ht="15" hidden="false" customHeight="true" outlineLevel="0" collapsed="false">
      <c r="A26" s="23"/>
      <c r="B26" s="23"/>
      <c r="C26" s="23"/>
      <c r="D26" s="23"/>
      <c r="E26" s="23"/>
      <c r="F26" s="23"/>
      <c r="G26" s="23"/>
      <c r="H26" s="22"/>
      <c r="I26" s="22"/>
      <c r="J26" s="22"/>
      <c r="K26" s="23"/>
    </row>
    <row r="27" customFormat="false" ht="15" hidden="false" customHeight="true" outlineLevel="0" collapsed="false">
      <c r="A27" s="23"/>
      <c r="B27" s="23"/>
      <c r="C27" s="23"/>
      <c r="D27" s="23"/>
      <c r="E27" s="23"/>
      <c r="F27" s="23"/>
      <c r="G27" s="23"/>
      <c r="H27" s="22"/>
      <c r="I27" s="22"/>
      <c r="J27" s="22"/>
      <c r="K27" s="23"/>
    </row>
    <row r="28" customFormat="false" ht="15" hidden="false" customHeight="true" outlineLevel="0" collapsed="false">
      <c r="A28" s="23"/>
      <c r="B28" s="23"/>
      <c r="C28" s="23"/>
      <c r="D28" s="23"/>
      <c r="E28" s="23"/>
      <c r="F28" s="23"/>
      <c r="G28" s="23"/>
      <c r="H28" s="22"/>
      <c r="I28" s="22"/>
      <c r="J28" s="22"/>
      <c r="K28" s="23"/>
    </row>
    <row r="29" customFormat="false" ht="15" hidden="false" customHeight="true" outlineLevel="0" collapsed="false">
      <c r="A29" s="23"/>
      <c r="B29" s="23"/>
      <c r="C29" s="23"/>
      <c r="D29" s="23"/>
      <c r="E29" s="23"/>
      <c r="F29" s="23"/>
      <c r="G29" s="23"/>
      <c r="H29" s="22"/>
      <c r="I29" s="22"/>
      <c r="J29" s="22"/>
      <c r="K29" s="23"/>
    </row>
    <row r="30" customFormat="false" ht="15" hidden="false" customHeight="true" outlineLevel="0" collapsed="false">
      <c r="A30" s="23"/>
      <c r="B30" s="23"/>
      <c r="C30" s="23"/>
      <c r="D30" s="23"/>
      <c r="E30" s="23"/>
      <c r="F30" s="23"/>
      <c r="G30" s="23"/>
      <c r="H30" s="22"/>
      <c r="I30" s="22"/>
      <c r="J30" s="22"/>
      <c r="K30" s="23"/>
    </row>
    <row r="31" customFormat="false" ht="15" hidden="false" customHeight="true" outlineLevel="0" collapsed="false">
      <c r="A31" s="23"/>
      <c r="B31" s="23"/>
      <c r="C31" s="23"/>
      <c r="D31" s="23"/>
      <c r="E31" s="23"/>
      <c r="F31" s="23"/>
      <c r="G31" s="23"/>
      <c r="H31" s="22"/>
      <c r="I31" s="22"/>
      <c r="J31" s="22"/>
      <c r="K31" s="23"/>
    </row>
    <row r="32" customFormat="false" ht="15" hidden="false" customHeight="true" outlineLevel="0" collapsed="false">
      <c r="A32" s="23"/>
      <c r="B32" s="23"/>
      <c r="C32" s="23"/>
      <c r="D32" s="23"/>
      <c r="E32" s="23"/>
      <c r="F32" s="23"/>
      <c r="G32" s="23"/>
      <c r="H32" s="22"/>
      <c r="I32" s="22"/>
      <c r="J32" s="22"/>
      <c r="K32" s="23"/>
    </row>
    <row r="33" customFormat="false" ht="15" hidden="false" customHeight="true" outlineLevel="0" collapsed="false">
      <c r="A33" s="23"/>
      <c r="B33" s="23"/>
      <c r="C33" s="23"/>
      <c r="D33" s="23"/>
      <c r="E33" s="23"/>
      <c r="F33" s="23"/>
      <c r="G33" s="23"/>
      <c r="H33" s="22"/>
      <c r="I33" s="22"/>
      <c r="J33" s="22"/>
      <c r="K33" s="23"/>
    </row>
    <row r="34" customFormat="false" ht="15" hidden="false" customHeight="true" outlineLevel="0" collapsed="false">
      <c r="A34" s="23"/>
      <c r="B34" s="23"/>
      <c r="C34" s="23"/>
      <c r="D34" s="23"/>
      <c r="E34" s="23"/>
      <c r="F34" s="23"/>
      <c r="G34" s="23"/>
      <c r="H34" s="22"/>
      <c r="I34" s="22"/>
      <c r="J34" s="22"/>
      <c r="K34" s="23"/>
    </row>
    <row r="35" customFormat="false" ht="15" hidden="false" customHeight="true" outlineLevel="0" collapsed="false">
      <c r="A35" s="23"/>
      <c r="B35" s="23"/>
      <c r="C35" s="23"/>
      <c r="D35" s="23"/>
      <c r="E35" s="23"/>
      <c r="F35" s="23"/>
      <c r="G35" s="23"/>
      <c r="H35" s="22"/>
      <c r="I35" s="22"/>
      <c r="J35" s="22"/>
      <c r="K35" s="23"/>
    </row>
    <row r="36" customFormat="false" ht="15" hidden="false" customHeight="true" outlineLevel="0" collapsed="false">
      <c r="A36" s="23"/>
      <c r="B36" s="23"/>
      <c r="C36" s="23"/>
      <c r="D36" s="23"/>
      <c r="E36" s="23"/>
      <c r="F36" s="23"/>
      <c r="G36" s="23"/>
      <c r="H36" s="22"/>
      <c r="I36" s="22"/>
      <c r="J36" s="22"/>
      <c r="K36" s="23"/>
    </row>
    <row r="37" customFormat="false" ht="15" hidden="false" customHeight="true" outlineLevel="0" collapsed="false">
      <c r="A37" s="23"/>
      <c r="B37" s="23"/>
      <c r="C37" s="23"/>
      <c r="D37" s="23"/>
      <c r="E37" s="23"/>
      <c r="F37" s="23"/>
      <c r="G37" s="23"/>
      <c r="H37" s="22"/>
      <c r="I37" s="22"/>
      <c r="J37" s="22"/>
      <c r="K37" s="23"/>
    </row>
    <row r="38" customFormat="false" ht="15" hidden="false" customHeight="true" outlineLevel="0" collapsed="false">
      <c r="A38" s="23"/>
      <c r="B38" s="23"/>
      <c r="C38" s="23"/>
      <c r="D38" s="23"/>
      <c r="E38" s="23"/>
      <c r="F38" s="23"/>
      <c r="G38" s="23"/>
      <c r="H38" s="22"/>
      <c r="I38" s="22"/>
      <c r="J38" s="22"/>
      <c r="K38" s="23"/>
    </row>
    <row r="39" customFormat="false" ht="15" hidden="false" customHeight="true" outlineLevel="0" collapsed="false">
      <c r="A39" s="23"/>
      <c r="B39" s="23"/>
      <c r="C39" s="23"/>
      <c r="D39" s="23"/>
      <c r="E39" s="23"/>
      <c r="F39" s="23"/>
      <c r="G39" s="23"/>
      <c r="H39" s="22"/>
      <c r="I39" s="22"/>
      <c r="J39" s="22"/>
      <c r="K39" s="23"/>
    </row>
    <row r="40" customFormat="false" ht="15" hidden="false" customHeight="true" outlineLevel="0" collapsed="false">
      <c r="A40" s="23"/>
      <c r="B40" s="23"/>
      <c r="C40" s="23"/>
      <c r="D40" s="23"/>
      <c r="E40" s="23"/>
      <c r="F40" s="23"/>
      <c r="G40" s="23"/>
      <c r="H40" s="22"/>
      <c r="I40" s="22"/>
      <c r="J40" s="22"/>
      <c r="K40" s="23"/>
    </row>
    <row r="41" customFormat="false" ht="15" hidden="false" customHeight="true" outlineLevel="0" collapsed="false">
      <c r="A41" s="23"/>
      <c r="B41" s="23"/>
      <c r="C41" s="23"/>
      <c r="D41" s="23"/>
      <c r="E41" s="23"/>
      <c r="F41" s="23"/>
      <c r="G41" s="23"/>
      <c r="H41" s="22"/>
      <c r="I41" s="22"/>
      <c r="J41" s="22"/>
      <c r="K41" s="23"/>
    </row>
    <row r="42" customFormat="false" ht="15" hidden="false" customHeight="true" outlineLevel="0" collapsed="false">
      <c r="A42" s="23"/>
      <c r="B42" s="23"/>
      <c r="C42" s="23"/>
      <c r="D42" s="23"/>
      <c r="E42" s="23"/>
      <c r="F42" s="23"/>
      <c r="G42" s="23"/>
      <c r="H42" s="22"/>
      <c r="I42" s="22"/>
      <c r="J42" s="22"/>
      <c r="K42" s="23"/>
    </row>
    <row r="43" customFormat="false" ht="15" hidden="false" customHeight="true" outlineLevel="0" collapsed="false">
      <c r="A43" s="23"/>
      <c r="B43" s="23"/>
      <c r="C43" s="23"/>
      <c r="D43" s="23"/>
      <c r="E43" s="23"/>
      <c r="F43" s="23"/>
      <c r="G43" s="23"/>
      <c r="H43" s="22"/>
      <c r="I43" s="22"/>
      <c r="J43" s="22"/>
      <c r="K43" s="23"/>
    </row>
    <row r="44" customFormat="false" ht="15" hidden="false" customHeight="true" outlineLevel="0" collapsed="false">
      <c r="A44" s="23"/>
      <c r="B44" s="23"/>
      <c r="C44" s="23"/>
      <c r="D44" s="23"/>
      <c r="E44" s="23"/>
      <c r="F44" s="23"/>
      <c r="G44" s="23"/>
      <c r="H44" s="22"/>
      <c r="I44" s="22"/>
      <c r="J44" s="22"/>
      <c r="K44" s="23"/>
    </row>
    <row r="45" customFormat="false" ht="15" hidden="false" customHeight="true" outlineLevel="0" collapsed="false">
      <c r="A45" s="23"/>
      <c r="B45" s="23"/>
      <c r="C45" s="23"/>
      <c r="D45" s="23"/>
      <c r="E45" s="23"/>
      <c r="F45" s="23"/>
      <c r="G45" s="23"/>
      <c r="H45" s="22"/>
      <c r="I45" s="22"/>
      <c r="J45" s="22"/>
      <c r="K45" s="23"/>
    </row>
    <row r="46" customFormat="false" ht="15" hidden="false" customHeight="true" outlineLevel="0" collapsed="false">
      <c r="A46" s="23"/>
      <c r="B46" s="23"/>
      <c r="C46" s="23"/>
      <c r="D46" s="23"/>
      <c r="E46" s="23"/>
      <c r="F46" s="23"/>
      <c r="G46" s="23"/>
      <c r="H46" s="22"/>
      <c r="I46" s="22"/>
      <c r="J46" s="22"/>
      <c r="K46" s="23"/>
    </row>
    <row r="47" customFormat="false" ht="15" hidden="false" customHeight="true" outlineLevel="0" collapsed="false">
      <c r="A47" s="23"/>
      <c r="B47" s="23"/>
      <c r="C47" s="23"/>
      <c r="D47" s="23"/>
      <c r="E47" s="23"/>
      <c r="F47" s="23"/>
      <c r="G47" s="23"/>
      <c r="H47" s="22"/>
      <c r="I47" s="22"/>
      <c r="J47" s="22"/>
      <c r="K47" s="23"/>
    </row>
    <row r="48" customFormat="false" ht="15" hidden="false" customHeight="true" outlineLevel="0" collapsed="false">
      <c r="A48" s="23"/>
      <c r="B48" s="23"/>
      <c r="C48" s="23"/>
      <c r="D48" s="23"/>
      <c r="E48" s="23"/>
      <c r="F48" s="23"/>
      <c r="G48" s="23"/>
      <c r="H48" s="22"/>
      <c r="I48" s="22"/>
      <c r="J48" s="22"/>
      <c r="K48" s="23"/>
    </row>
    <row r="49" customFormat="false" ht="15" hidden="false" customHeight="true" outlineLevel="0" collapsed="false">
      <c r="A49" s="23"/>
      <c r="B49" s="23"/>
      <c r="C49" s="23"/>
      <c r="D49" s="23"/>
      <c r="E49" s="23"/>
      <c r="F49" s="23"/>
      <c r="G49" s="23"/>
      <c r="H49" s="22"/>
      <c r="I49" s="22"/>
      <c r="J49" s="22"/>
      <c r="K49" s="23"/>
    </row>
    <row r="50" customFormat="false" ht="15" hidden="false" customHeight="true" outlineLevel="0" collapsed="false">
      <c r="A50" s="23"/>
      <c r="B50" s="23"/>
      <c r="C50" s="23"/>
      <c r="D50" s="23"/>
      <c r="E50" s="23"/>
      <c r="F50" s="23"/>
      <c r="G50" s="23"/>
      <c r="H50" s="22"/>
      <c r="I50" s="22"/>
      <c r="J50" s="22"/>
      <c r="K50" s="23"/>
    </row>
    <row r="51" customFormat="false" ht="15" hidden="false" customHeight="true" outlineLevel="0" collapsed="false">
      <c r="A51" s="23"/>
      <c r="B51" s="23"/>
      <c r="C51" s="23"/>
      <c r="D51" s="23"/>
      <c r="E51" s="23"/>
      <c r="F51" s="23"/>
      <c r="G51" s="23"/>
      <c r="H51" s="22"/>
      <c r="I51" s="22"/>
      <c r="J51" s="22"/>
      <c r="K51" s="23"/>
    </row>
    <row r="52" customFormat="false" ht="15" hidden="false" customHeight="true" outlineLevel="0" collapsed="false">
      <c r="A52" s="23"/>
      <c r="B52" s="23"/>
      <c r="C52" s="23"/>
      <c r="D52" s="23"/>
      <c r="E52" s="23"/>
      <c r="F52" s="23"/>
      <c r="G52" s="23"/>
      <c r="H52" s="22"/>
      <c r="I52" s="22"/>
      <c r="J52" s="22"/>
      <c r="K52" s="23"/>
    </row>
    <row r="53" customFormat="false" ht="15" hidden="false" customHeight="true" outlineLevel="0" collapsed="false">
      <c r="A53" s="23"/>
      <c r="B53" s="23"/>
      <c r="C53" s="23"/>
      <c r="D53" s="23"/>
      <c r="E53" s="23"/>
      <c r="F53" s="23"/>
      <c r="G53" s="23"/>
      <c r="H53" s="22"/>
      <c r="I53" s="22"/>
      <c r="J53" s="22"/>
      <c r="K53" s="23"/>
    </row>
    <row r="54" customFormat="false" ht="15" hidden="false" customHeight="true" outlineLevel="0" collapsed="false">
      <c r="A54" s="23"/>
      <c r="B54" s="23"/>
      <c r="C54" s="23"/>
      <c r="D54" s="23"/>
      <c r="E54" s="23"/>
      <c r="F54" s="23"/>
      <c r="G54" s="23"/>
      <c r="H54" s="22"/>
      <c r="I54" s="22"/>
      <c r="J54" s="22"/>
      <c r="K54" s="23"/>
    </row>
    <row r="55" customFormat="false" ht="15" hidden="false" customHeight="true" outlineLevel="0" collapsed="false">
      <c r="A55" s="23"/>
      <c r="B55" s="23"/>
      <c r="C55" s="23"/>
      <c r="D55" s="23"/>
      <c r="E55" s="23"/>
      <c r="F55" s="23"/>
      <c r="G55" s="23"/>
      <c r="H55" s="22"/>
      <c r="I55" s="22"/>
      <c r="J55" s="22"/>
      <c r="K55" s="23"/>
    </row>
    <row r="56" customFormat="false" ht="15" hidden="false" customHeight="true" outlineLevel="0" collapsed="false">
      <c r="A56" s="23"/>
      <c r="B56" s="23"/>
      <c r="C56" s="23"/>
      <c r="D56" s="23"/>
      <c r="E56" s="23"/>
      <c r="F56" s="23"/>
      <c r="G56" s="23"/>
      <c r="H56" s="22"/>
      <c r="I56" s="22"/>
      <c r="J56" s="22"/>
      <c r="K56" s="23"/>
    </row>
    <row r="57" customFormat="false" ht="15" hidden="false" customHeight="true" outlineLevel="0" collapsed="false">
      <c r="A57" s="23"/>
      <c r="B57" s="23"/>
      <c r="C57" s="23"/>
      <c r="D57" s="23"/>
      <c r="E57" s="23"/>
      <c r="F57" s="23"/>
      <c r="G57" s="23"/>
      <c r="H57" s="22"/>
      <c r="I57" s="22"/>
      <c r="J57" s="22"/>
      <c r="K57" s="23"/>
    </row>
    <row r="58" customFormat="false" ht="15" hidden="false" customHeight="true" outlineLevel="0" collapsed="false">
      <c r="A58" s="23"/>
      <c r="B58" s="23"/>
      <c r="C58" s="23"/>
      <c r="D58" s="23"/>
      <c r="E58" s="23"/>
      <c r="F58" s="23"/>
      <c r="G58" s="23"/>
      <c r="H58" s="22"/>
      <c r="I58" s="22"/>
      <c r="J58" s="22"/>
      <c r="K58" s="23"/>
    </row>
    <row r="59" customFormat="false" ht="15" hidden="false" customHeight="true" outlineLevel="0" collapsed="false">
      <c r="A59" s="23"/>
      <c r="B59" s="23"/>
      <c r="C59" s="23"/>
      <c r="D59" s="23"/>
      <c r="E59" s="23"/>
      <c r="F59" s="23"/>
      <c r="G59" s="23"/>
      <c r="H59" s="22"/>
      <c r="I59" s="22"/>
      <c r="J59" s="22"/>
      <c r="K59" s="23"/>
    </row>
    <row r="60" customFormat="false" ht="15" hidden="false" customHeight="true" outlineLevel="0" collapsed="false">
      <c r="A60" s="23"/>
      <c r="B60" s="23"/>
      <c r="C60" s="23"/>
      <c r="D60" s="23"/>
      <c r="E60" s="23"/>
      <c r="F60" s="23"/>
      <c r="G60" s="23"/>
      <c r="H60" s="22"/>
      <c r="I60" s="22"/>
      <c r="J60" s="22"/>
      <c r="K60" s="23"/>
    </row>
    <row r="61" customFormat="false" ht="15" hidden="false" customHeight="true" outlineLevel="0" collapsed="false">
      <c r="A61" s="23"/>
      <c r="B61" s="23"/>
      <c r="C61" s="23"/>
      <c r="D61" s="23"/>
      <c r="E61" s="23"/>
      <c r="F61" s="23"/>
      <c r="G61" s="23"/>
      <c r="H61" s="22"/>
      <c r="I61" s="22"/>
      <c r="J61" s="22"/>
      <c r="K61" s="23"/>
    </row>
    <row r="62" customFormat="false" ht="15" hidden="false" customHeight="true" outlineLevel="0" collapsed="false">
      <c r="A62" s="23"/>
      <c r="B62" s="23"/>
      <c r="C62" s="23"/>
      <c r="D62" s="23"/>
      <c r="E62" s="23"/>
      <c r="F62" s="23"/>
      <c r="G62" s="23"/>
      <c r="H62" s="22"/>
      <c r="I62" s="22"/>
      <c r="J62" s="22"/>
      <c r="K62" s="23"/>
    </row>
    <row r="63" customFormat="false" ht="15" hidden="false" customHeight="true" outlineLevel="0" collapsed="false">
      <c r="A63" s="23"/>
      <c r="B63" s="23"/>
      <c r="C63" s="23"/>
      <c r="D63" s="23"/>
      <c r="E63" s="23"/>
      <c r="F63" s="23"/>
      <c r="G63" s="23"/>
      <c r="H63" s="22"/>
      <c r="I63" s="22"/>
      <c r="J63" s="22"/>
      <c r="K63" s="23"/>
    </row>
    <row r="64" customFormat="false" ht="15" hidden="false" customHeight="true" outlineLevel="0" collapsed="false">
      <c r="A64" s="23"/>
      <c r="B64" s="23"/>
      <c r="C64" s="23"/>
      <c r="D64" s="23"/>
      <c r="E64" s="23"/>
      <c r="F64" s="23"/>
      <c r="G64" s="23"/>
      <c r="H64" s="22"/>
      <c r="I64" s="22"/>
      <c r="J64" s="22"/>
      <c r="K64" s="23"/>
    </row>
    <row r="65" customFormat="false" ht="15" hidden="false" customHeight="true" outlineLevel="0" collapsed="false">
      <c r="A65" s="23"/>
      <c r="B65" s="23"/>
      <c r="C65" s="23"/>
      <c r="D65" s="23"/>
      <c r="E65" s="23"/>
      <c r="F65" s="23"/>
      <c r="G65" s="23"/>
      <c r="H65" s="22"/>
      <c r="I65" s="22"/>
      <c r="J65" s="22"/>
      <c r="K65" s="23"/>
    </row>
    <row r="66" customFormat="false" ht="15" hidden="false" customHeight="true" outlineLevel="0" collapsed="false">
      <c r="A66" s="23"/>
      <c r="B66" s="23"/>
      <c r="C66" s="23"/>
      <c r="D66" s="23"/>
      <c r="E66" s="23"/>
      <c r="F66" s="23"/>
      <c r="G66" s="23"/>
      <c r="H66" s="22"/>
      <c r="I66" s="22"/>
      <c r="J66" s="22"/>
      <c r="K66" s="23"/>
    </row>
    <row r="67" customFormat="false" ht="15" hidden="false" customHeight="true" outlineLevel="0" collapsed="false">
      <c r="A67" s="23"/>
      <c r="B67" s="23"/>
      <c r="C67" s="23"/>
      <c r="D67" s="23"/>
      <c r="E67" s="23"/>
      <c r="F67" s="23"/>
      <c r="G67" s="23"/>
      <c r="H67" s="22"/>
      <c r="I67" s="22"/>
      <c r="J67" s="22"/>
      <c r="K67" s="23"/>
    </row>
    <row r="68" customFormat="false" ht="15" hidden="false" customHeight="true" outlineLevel="0" collapsed="false">
      <c r="A68" s="23"/>
      <c r="B68" s="23"/>
      <c r="C68" s="23"/>
      <c r="D68" s="23"/>
      <c r="E68" s="23"/>
      <c r="F68" s="23"/>
      <c r="G68" s="23"/>
      <c r="H68" s="22"/>
      <c r="I68" s="22"/>
      <c r="J68" s="22"/>
      <c r="K68" s="23"/>
    </row>
    <row r="69" customFormat="false" ht="15" hidden="false" customHeight="true" outlineLevel="0" collapsed="false">
      <c r="A69" s="23"/>
      <c r="B69" s="23"/>
      <c r="C69" s="23"/>
      <c r="D69" s="23"/>
      <c r="E69" s="23"/>
      <c r="F69" s="23"/>
      <c r="G69" s="23"/>
      <c r="H69" s="22"/>
      <c r="I69" s="22"/>
      <c r="J69" s="22"/>
      <c r="K69" s="23"/>
    </row>
    <row r="70" customFormat="false" ht="15" hidden="false" customHeight="true" outlineLevel="0" collapsed="false">
      <c r="A70" s="23"/>
      <c r="B70" s="23"/>
      <c r="C70" s="23"/>
      <c r="D70" s="23"/>
      <c r="E70" s="23"/>
      <c r="F70" s="23"/>
      <c r="G70" s="23"/>
      <c r="H70" s="22"/>
      <c r="I70" s="22"/>
      <c r="J70" s="22"/>
      <c r="K70" s="23"/>
    </row>
    <row r="71" customFormat="false" ht="15" hidden="false" customHeight="true" outlineLevel="0" collapsed="false">
      <c r="A71" s="23"/>
      <c r="B71" s="23"/>
      <c r="C71" s="23"/>
      <c r="D71" s="23"/>
      <c r="E71" s="23"/>
      <c r="F71" s="23"/>
      <c r="G71" s="23"/>
      <c r="H71" s="22"/>
      <c r="I71" s="22"/>
      <c r="J71" s="22"/>
      <c r="K71" s="23"/>
    </row>
    <row r="72" customFormat="false" ht="15" hidden="false" customHeight="true" outlineLevel="0" collapsed="false">
      <c r="A72" s="23"/>
      <c r="B72" s="23"/>
      <c r="C72" s="23"/>
      <c r="D72" s="23"/>
      <c r="E72" s="23"/>
      <c r="F72" s="23"/>
      <c r="G72" s="23"/>
      <c r="H72" s="22"/>
      <c r="I72" s="22"/>
      <c r="J72" s="22"/>
      <c r="K72" s="23"/>
    </row>
    <row r="73" customFormat="false" ht="15" hidden="false" customHeight="true" outlineLevel="0" collapsed="false">
      <c r="A73" s="23"/>
      <c r="B73" s="23"/>
      <c r="C73" s="23"/>
      <c r="D73" s="23"/>
      <c r="E73" s="23"/>
      <c r="F73" s="23"/>
      <c r="G73" s="23"/>
      <c r="H73" s="22"/>
      <c r="I73" s="22"/>
      <c r="J73" s="22"/>
      <c r="K73" s="23"/>
    </row>
    <row r="74" customFormat="false" ht="15" hidden="false" customHeight="true" outlineLevel="0" collapsed="false">
      <c r="A74" s="23"/>
      <c r="B74" s="23"/>
      <c r="C74" s="23"/>
      <c r="D74" s="23"/>
      <c r="E74" s="23"/>
      <c r="F74" s="23"/>
      <c r="G74" s="23"/>
      <c r="H74" s="22"/>
      <c r="I74" s="22"/>
      <c r="J74" s="22"/>
      <c r="K74" s="23"/>
    </row>
    <row r="75" customFormat="false" ht="15" hidden="false" customHeight="true" outlineLevel="0" collapsed="false">
      <c r="A75" s="23"/>
      <c r="B75" s="23"/>
      <c r="C75" s="23"/>
      <c r="D75" s="23"/>
      <c r="E75" s="23"/>
      <c r="F75" s="23"/>
      <c r="G75" s="23"/>
      <c r="H75" s="22"/>
      <c r="I75" s="22"/>
      <c r="J75" s="22"/>
      <c r="K75" s="23"/>
    </row>
    <row r="76" customFormat="false" ht="15" hidden="false" customHeight="true" outlineLevel="0" collapsed="false">
      <c r="A76" s="23"/>
      <c r="B76" s="23"/>
      <c r="C76" s="23"/>
      <c r="D76" s="23"/>
      <c r="E76" s="23"/>
      <c r="F76" s="23"/>
      <c r="G76" s="23"/>
      <c r="H76" s="22"/>
      <c r="I76" s="22"/>
      <c r="J76" s="22"/>
      <c r="K76" s="23"/>
    </row>
    <row r="77" customFormat="false" ht="15" hidden="false" customHeight="true" outlineLevel="0" collapsed="false">
      <c r="A77" s="23"/>
      <c r="B77" s="23"/>
      <c r="C77" s="23"/>
      <c r="D77" s="23"/>
      <c r="E77" s="23"/>
      <c r="F77" s="23"/>
      <c r="G77" s="23"/>
      <c r="H77" s="22"/>
      <c r="I77" s="22"/>
      <c r="J77" s="22"/>
      <c r="K77" s="23"/>
    </row>
    <row r="78" customFormat="false" ht="15" hidden="false" customHeight="true" outlineLevel="0" collapsed="false">
      <c r="A78" s="23"/>
      <c r="B78" s="23"/>
      <c r="C78" s="23"/>
      <c r="D78" s="23"/>
      <c r="E78" s="23"/>
      <c r="F78" s="23"/>
      <c r="G78" s="23"/>
      <c r="H78" s="22"/>
      <c r="I78" s="22"/>
      <c r="J78" s="22"/>
      <c r="K78" s="23"/>
    </row>
    <row r="79" customFormat="false" ht="15" hidden="false" customHeight="true" outlineLevel="0" collapsed="false">
      <c r="A79" s="23"/>
      <c r="B79" s="23"/>
      <c r="C79" s="23"/>
      <c r="D79" s="23"/>
      <c r="E79" s="23"/>
      <c r="F79" s="23"/>
      <c r="G79" s="23"/>
      <c r="H79" s="22"/>
      <c r="I79" s="22"/>
      <c r="J79" s="22"/>
      <c r="K79" s="23"/>
    </row>
    <row r="80" customFormat="false" ht="15" hidden="false" customHeight="true" outlineLevel="0" collapsed="false">
      <c r="A80" s="23"/>
      <c r="B80" s="23"/>
      <c r="C80" s="23"/>
      <c r="D80" s="23"/>
      <c r="E80" s="23"/>
      <c r="F80" s="23"/>
      <c r="G80" s="23"/>
      <c r="H80" s="22"/>
      <c r="I80" s="22"/>
      <c r="J80" s="22"/>
      <c r="K80" s="23"/>
    </row>
    <row r="81" customFormat="false" ht="15" hidden="false" customHeight="true" outlineLevel="0" collapsed="false">
      <c r="A81" s="23"/>
      <c r="B81" s="23"/>
      <c r="C81" s="23"/>
      <c r="D81" s="23"/>
      <c r="E81" s="23"/>
      <c r="F81" s="23"/>
      <c r="G81" s="23"/>
      <c r="H81" s="22"/>
      <c r="I81" s="22"/>
      <c r="J81" s="22"/>
      <c r="K81" s="23"/>
    </row>
    <row r="82" customFormat="false" ht="15" hidden="false" customHeight="true" outlineLevel="0" collapsed="false">
      <c r="A82" s="23"/>
      <c r="B82" s="23"/>
      <c r="C82" s="23"/>
      <c r="D82" s="23"/>
      <c r="E82" s="23"/>
      <c r="F82" s="23"/>
      <c r="G82" s="23"/>
      <c r="H82" s="22"/>
      <c r="I82" s="22"/>
      <c r="J82" s="22"/>
      <c r="K82" s="23"/>
    </row>
    <row r="83" customFormat="false" ht="15" hidden="false" customHeight="true" outlineLevel="0" collapsed="false">
      <c r="A83" s="23"/>
      <c r="B83" s="23"/>
      <c r="C83" s="23"/>
      <c r="D83" s="23"/>
      <c r="E83" s="23"/>
      <c r="F83" s="23"/>
      <c r="G83" s="23"/>
      <c r="H83" s="22"/>
      <c r="I83" s="22"/>
      <c r="J83" s="22"/>
      <c r="K83" s="23"/>
    </row>
    <row r="84" customFormat="false" ht="15" hidden="false" customHeight="true" outlineLevel="0" collapsed="false">
      <c r="A84" s="23"/>
      <c r="B84" s="23"/>
      <c r="C84" s="23"/>
      <c r="D84" s="23"/>
      <c r="E84" s="23"/>
      <c r="F84" s="23"/>
      <c r="G84" s="23"/>
      <c r="H84" s="22"/>
      <c r="I84" s="22"/>
      <c r="J84" s="22"/>
      <c r="K84" s="23"/>
    </row>
    <row r="85" customFormat="false" ht="15" hidden="false" customHeight="true" outlineLevel="0" collapsed="false">
      <c r="A85" s="23"/>
      <c r="B85" s="23"/>
      <c r="C85" s="23"/>
      <c r="D85" s="23"/>
      <c r="E85" s="23"/>
      <c r="F85" s="23"/>
      <c r="G85" s="23"/>
      <c r="H85" s="22"/>
      <c r="I85" s="22"/>
      <c r="J85" s="22"/>
      <c r="K85" s="23"/>
    </row>
    <row r="86" customFormat="false" ht="15" hidden="false" customHeight="true" outlineLevel="0" collapsed="false">
      <c r="A86" s="23"/>
      <c r="B86" s="23"/>
      <c r="C86" s="23"/>
      <c r="D86" s="23"/>
      <c r="E86" s="23"/>
      <c r="F86" s="23"/>
      <c r="G86" s="23"/>
      <c r="H86" s="22"/>
      <c r="I86" s="22"/>
      <c r="J86" s="22"/>
      <c r="K86" s="23"/>
    </row>
    <row r="87" customFormat="false" ht="15" hidden="false" customHeight="true" outlineLevel="0" collapsed="false">
      <c r="A87" s="23"/>
      <c r="B87" s="23"/>
      <c r="C87" s="23"/>
      <c r="D87" s="23"/>
      <c r="E87" s="23"/>
      <c r="F87" s="23"/>
      <c r="G87" s="23"/>
      <c r="H87" s="22"/>
      <c r="I87" s="22"/>
      <c r="J87" s="22"/>
      <c r="K87" s="23"/>
    </row>
    <row r="88" customFormat="false" ht="15" hidden="false" customHeight="true" outlineLevel="0" collapsed="false">
      <c r="A88" s="23"/>
      <c r="B88" s="23"/>
      <c r="C88" s="23"/>
      <c r="D88" s="23"/>
      <c r="E88" s="23"/>
      <c r="F88" s="23"/>
      <c r="G88" s="23"/>
      <c r="H88" s="22"/>
      <c r="I88" s="22"/>
      <c r="J88" s="22"/>
      <c r="K88" s="23"/>
    </row>
    <row r="89" customFormat="false" ht="15" hidden="false" customHeight="true" outlineLevel="0" collapsed="false">
      <c r="A89" s="23"/>
      <c r="B89" s="23"/>
      <c r="C89" s="23"/>
      <c r="D89" s="23"/>
      <c r="E89" s="23"/>
      <c r="F89" s="23"/>
      <c r="G89" s="23"/>
      <c r="H89" s="22"/>
      <c r="I89" s="22"/>
      <c r="J89" s="22"/>
      <c r="K89" s="23"/>
    </row>
    <row r="90" customFormat="false" ht="15" hidden="false" customHeight="true" outlineLevel="0" collapsed="false">
      <c r="A90" s="23"/>
      <c r="B90" s="23"/>
      <c r="C90" s="23"/>
      <c r="D90" s="23"/>
      <c r="E90" s="23"/>
      <c r="F90" s="23"/>
      <c r="G90" s="23"/>
      <c r="H90" s="22"/>
      <c r="I90" s="22"/>
      <c r="J90" s="22"/>
      <c r="K90" s="23"/>
    </row>
    <row r="91" customFormat="false" ht="15" hidden="false" customHeight="true" outlineLevel="0" collapsed="false">
      <c r="A91" s="23"/>
      <c r="B91" s="23"/>
      <c r="C91" s="23"/>
      <c r="D91" s="23"/>
      <c r="E91" s="23"/>
      <c r="F91" s="23"/>
      <c r="G91" s="23"/>
      <c r="H91" s="22"/>
      <c r="I91" s="22"/>
      <c r="J91" s="22"/>
      <c r="K91" s="23"/>
    </row>
    <row r="92" customFormat="false" ht="15" hidden="false" customHeight="true" outlineLevel="0" collapsed="false">
      <c r="A92" s="23"/>
      <c r="B92" s="23"/>
      <c r="C92" s="23"/>
      <c r="D92" s="23"/>
      <c r="E92" s="23"/>
      <c r="F92" s="23"/>
      <c r="G92" s="23"/>
      <c r="H92" s="22"/>
      <c r="I92" s="22"/>
      <c r="J92" s="22"/>
      <c r="K92" s="23"/>
    </row>
    <row r="93" customFormat="false" ht="15" hidden="false" customHeight="true" outlineLevel="0" collapsed="false">
      <c r="A93" s="23"/>
      <c r="B93" s="23"/>
      <c r="C93" s="23"/>
      <c r="D93" s="23"/>
      <c r="E93" s="23"/>
      <c r="F93" s="23"/>
      <c r="G93" s="23"/>
      <c r="H93" s="22"/>
      <c r="I93" s="22"/>
      <c r="J93" s="22"/>
      <c r="K93" s="23"/>
    </row>
    <row r="94" customFormat="false" ht="15" hidden="false" customHeight="true" outlineLevel="0" collapsed="false">
      <c r="A94" s="23"/>
      <c r="B94" s="23"/>
      <c r="C94" s="23"/>
      <c r="D94" s="23"/>
      <c r="E94" s="23"/>
      <c r="F94" s="23"/>
      <c r="G94" s="23"/>
      <c r="H94" s="22"/>
      <c r="I94" s="22"/>
      <c r="J94" s="22"/>
      <c r="K94" s="23"/>
    </row>
    <row r="95" customFormat="false" ht="15" hidden="false" customHeight="true" outlineLevel="0" collapsed="false">
      <c r="A95" s="23"/>
      <c r="B95" s="23"/>
      <c r="C95" s="23"/>
      <c r="D95" s="23"/>
      <c r="E95" s="23"/>
      <c r="F95" s="23"/>
      <c r="G95" s="23"/>
      <c r="H95" s="22"/>
      <c r="I95" s="22"/>
      <c r="J95" s="22"/>
      <c r="K95" s="23"/>
    </row>
    <row r="96" customFormat="false" ht="15" hidden="false" customHeight="true" outlineLevel="0" collapsed="false">
      <c r="A96" s="23"/>
      <c r="B96" s="23"/>
      <c r="C96" s="23"/>
      <c r="D96" s="23"/>
      <c r="E96" s="23"/>
      <c r="F96" s="23"/>
      <c r="G96" s="23"/>
      <c r="H96" s="22"/>
      <c r="I96" s="22"/>
      <c r="J96" s="22"/>
      <c r="K96" s="23"/>
    </row>
    <row r="97" customFormat="false" ht="15" hidden="false" customHeight="true" outlineLevel="0" collapsed="false">
      <c r="A97" s="23"/>
      <c r="B97" s="23"/>
      <c r="C97" s="23"/>
      <c r="D97" s="23"/>
      <c r="E97" s="23"/>
      <c r="F97" s="23"/>
      <c r="G97" s="23"/>
      <c r="H97" s="22"/>
      <c r="I97" s="22"/>
      <c r="J97" s="22"/>
      <c r="K97" s="23"/>
    </row>
    <row r="98" customFormat="false" ht="15" hidden="false" customHeight="true" outlineLevel="0" collapsed="false">
      <c r="A98" s="23"/>
      <c r="B98" s="23"/>
      <c r="C98" s="23"/>
      <c r="D98" s="23"/>
      <c r="E98" s="23"/>
      <c r="F98" s="23"/>
      <c r="G98" s="23"/>
      <c r="H98" s="22"/>
      <c r="I98" s="22"/>
      <c r="J98" s="22"/>
      <c r="K98" s="23"/>
    </row>
    <row r="99" customFormat="false" ht="15" hidden="false" customHeight="true" outlineLevel="0" collapsed="false">
      <c r="A99" s="23"/>
      <c r="B99" s="23"/>
      <c r="C99" s="23"/>
      <c r="D99" s="23"/>
      <c r="E99" s="23"/>
      <c r="F99" s="23"/>
      <c r="G99" s="23"/>
      <c r="H99" s="22"/>
      <c r="I99" s="22"/>
      <c r="J99" s="22"/>
      <c r="K99" s="23"/>
    </row>
    <row r="100" customFormat="false" ht="15" hidden="false" customHeight="true" outlineLevel="0" collapsed="false">
      <c r="A100" s="23"/>
      <c r="B100" s="23"/>
      <c r="C100" s="23"/>
      <c r="D100" s="23"/>
      <c r="E100" s="23"/>
      <c r="F100" s="23"/>
      <c r="G100" s="23"/>
      <c r="H100" s="22"/>
      <c r="I100" s="22"/>
      <c r="J100" s="22"/>
      <c r="K100" s="23"/>
    </row>
    <row r="101" customFormat="false" ht="15" hidden="false" customHeight="true" outlineLevel="0" collapsed="false">
      <c r="A101" s="23"/>
      <c r="B101" s="23"/>
      <c r="C101" s="23"/>
      <c r="D101" s="23"/>
      <c r="E101" s="23"/>
      <c r="F101" s="23"/>
      <c r="G101" s="23"/>
      <c r="H101" s="22"/>
      <c r="I101" s="22"/>
      <c r="J101" s="22"/>
      <c r="K101" s="23"/>
    </row>
    <row r="102" customFormat="false" ht="15" hidden="false" customHeight="true" outlineLevel="0" collapsed="false">
      <c r="A102" s="23"/>
      <c r="B102" s="23"/>
      <c r="C102" s="23"/>
      <c r="D102" s="23"/>
      <c r="E102" s="23"/>
      <c r="F102" s="23"/>
      <c r="G102" s="23"/>
      <c r="H102" s="22"/>
      <c r="I102" s="22"/>
      <c r="J102" s="22"/>
      <c r="K102" s="23"/>
    </row>
    <row r="103" customFormat="false" ht="15" hidden="false" customHeight="true" outlineLevel="0" collapsed="false">
      <c r="A103" s="23"/>
      <c r="B103" s="23"/>
      <c r="C103" s="23"/>
      <c r="D103" s="23"/>
      <c r="E103" s="23"/>
      <c r="F103" s="23"/>
      <c r="G103" s="23"/>
      <c r="H103" s="22"/>
      <c r="I103" s="22"/>
      <c r="J103" s="22"/>
      <c r="K103" s="23"/>
    </row>
    <row r="104" customFormat="false" ht="15" hidden="false" customHeight="true" outlineLevel="0" collapsed="false">
      <c r="A104" s="23"/>
      <c r="B104" s="23"/>
      <c r="C104" s="23"/>
      <c r="D104" s="23"/>
      <c r="E104" s="23"/>
      <c r="F104" s="23"/>
      <c r="G104" s="23"/>
      <c r="H104" s="22"/>
      <c r="I104" s="22"/>
      <c r="J104" s="22"/>
      <c r="K104" s="23"/>
    </row>
    <row r="105" customFormat="false" ht="15" hidden="false" customHeight="true" outlineLevel="0" collapsed="false">
      <c r="A105" s="23"/>
      <c r="B105" s="23"/>
      <c r="C105" s="23"/>
      <c r="D105" s="23"/>
      <c r="E105" s="23"/>
      <c r="F105" s="23"/>
      <c r="G105" s="23"/>
      <c r="H105" s="22"/>
      <c r="I105" s="22"/>
      <c r="J105" s="22"/>
      <c r="K105" s="23"/>
    </row>
    <row r="106" customFormat="false" ht="15" hidden="false" customHeight="true" outlineLevel="0" collapsed="false">
      <c r="A106" s="23"/>
      <c r="B106" s="23"/>
      <c r="C106" s="23"/>
      <c r="D106" s="23"/>
      <c r="E106" s="23"/>
      <c r="F106" s="23"/>
      <c r="G106" s="23"/>
      <c r="H106" s="22"/>
      <c r="I106" s="22"/>
      <c r="J106" s="22"/>
      <c r="K106" s="23"/>
    </row>
    <row r="107" customFormat="false" ht="15" hidden="false" customHeight="true" outlineLevel="0" collapsed="false">
      <c r="A107" s="23"/>
      <c r="B107" s="23"/>
      <c r="C107" s="23"/>
      <c r="D107" s="23"/>
      <c r="E107" s="23"/>
      <c r="F107" s="23"/>
      <c r="G107" s="23"/>
      <c r="H107" s="22"/>
      <c r="I107" s="22"/>
      <c r="J107" s="22"/>
      <c r="K107" s="23"/>
    </row>
    <row r="108" customFormat="false" ht="15" hidden="false" customHeight="true" outlineLevel="0" collapsed="false">
      <c r="A108" s="23"/>
      <c r="B108" s="23"/>
      <c r="C108" s="23"/>
      <c r="D108" s="23"/>
      <c r="E108" s="23"/>
      <c r="F108" s="23"/>
      <c r="G108" s="23"/>
      <c r="H108" s="22"/>
      <c r="I108" s="22"/>
      <c r="J108" s="22"/>
      <c r="K108" s="23"/>
    </row>
    <row r="109" customFormat="false" ht="15" hidden="false" customHeight="true" outlineLevel="0" collapsed="false">
      <c r="A109" s="23"/>
      <c r="B109" s="23"/>
      <c r="C109" s="23"/>
      <c r="D109" s="23"/>
      <c r="E109" s="23"/>
      <c r="F109" s="23"/>
      <c r="G109" s="23"/>
      <c r="H109" s="22"/>
      <c r="I109" s="22"/>
      <c r="J109" s="22"/>
      <c r="K109" s="23"/>
    </row>
    <row r="110" customFormat="false" ht="15" hidden="false" customHeight="true" outlineLevel="0" collapsed="false">
      <c r="A110" s="23"/>
      <c r="B110" s="23"/>
      <c r="C110" s="23"/>
      <c r="D110" s="23"/>
      <c r="E110" s="23"/>
      <c r="F110" s="23"/>
      <c r="G110" s="23"/>
      <c r="H110" s="22"/>
      <c r="I110" s="22"/>
      <c r="J110" s="22"/>
      <c r="K110" s="23"/>
    </row>
    <row r="111" customFormat="false" ht="15" hidden="false" customHeight="true" outlineLevel="0" collapsed="false">
      <c r="A111" s="23"/>
      <c r="B111" s="23"/>
      <c r="C111" s="23"/>
      <c r="D111" s="23"/>
      <c r="E111" s="23"/>
      <c r="F111" s="23"/>
      <c r="G111" s="23"/>
      <c r="H111" s="22"/>
      <c r="I111" s="22"/>
      <c r="J111" s="22"/>
      <c r="K111" s="23"/>
    </row>
    <row r="112" customFormat="false" ht="15" hidden="false" customHeight="true" outlineLevel="0" collapsed="false">
      <c r="A112" s="23"/>
      <c r="B112" s="23"/>
      <c r="C112" s="23"/>
      <c r="D112" s="23"/>
      <c r="E112" s="23"/>
      <c r="F112" s="23"/>
      <c r="G112" s="23"/>
      <c r="H112" s="22"/>
      <c r="I112" s="22"/>
      <c r="J112" s="22"/>
      <c r="K112" s="23"/>
    </row>
    <row r="113" customFormat="false" ht="15" hidden="false" customHeight="true" outlineLevel="0" collapsed="false">
      <c r="A113" s="23"/>
      <c r="B113" s="23"/>
      <c r="C113" s="23"/>
      <c r="D113" s="23"/>
      <c r="E113" s="23"/>
      <c r="F113" s="23"/>
      <c r="G113" s="23"/>
      <c r="H113" s="22"/>
      <c r="I113" s="22"/>
      <c r="J113" s="22"/>
      <c r="K113" s="23"/>
    </row>
    <row r="114" customFormat="false" ht="15" hidden="false" customHeight="true" outlineLevel="0" collapsed="false">
      <c r="A114" s="23"/>
      <c r="B114" s="23"/>
      <c r="C114" s="23"/>
      <c r="D114" s="23"/>
      <c r="E114" s="23"/>
      <c r="F114" s="23"/>
      <c r="G114" s="23"/>
      <c r="H114" s="22"/>
      <c r="I114" s="22"/>
      <c r="J114" s="22"/>
      <c r="K114" s="23"/>
    </row>
    <row r="115" customFormat="false" ht="15" hidden="false" customHeight="true" outlineLevel="0" collapsed="false">
      <c r="A115" s="23"/>
      <c r="B115" s="23"/>
      <c r="C115" s="23"/>
      <c r="D115" s="23"/>
      <c r="E115" s="23"/>
      <c r="F115" s="23"/>
      <c r="G115" s="23"/>
      <c r="H115" s="22"/>
      <c r="I115" s="22"/>
      <c r="J115" s="22"/>
      <c r="K115" s="23"/>
    </row>
    <row r="116" customFormat="false" ht="15" hidden="false" customHeight="true" outlineLevel="0" collapsed="false">
      <c r="A116" s="23"/>
      <c r="B116" s="23"/>
      <c r="C116" s="23"/>
      <c r="D116" s="23"/>
      <c r="E116" s="23"/>
      <c r="F116" s="23"/>
      <c r="G116" s="23"/>
      <c r="H116" s="22"/>
      <c r="I116" s="22"/>
      <c r="J116" s="22"/>
      <c r="K116" s="23"/>
    </row>
    <row r="117" customFormat="false" ht="15" hidden="false" customHeight="true" outlineLevel="0" collapsed="false">
      <c r="A117" s="23"/>
      <c r="B117" s="23"/>
      <c r="C117" s="23"/>
      <c r="D117" s="23"/>
      <c r="E117" s="23"/>
      <c r="F117" s="23"/>
      <c r="G117" s="23"/>
      <c r="H117" s="22"/>
      <c r="I117" s="22"/>
      <c r="J117" s="22"/>
      <c r="K117" s="23"/>
    </row>
    <row r="118" customFormat="false" ht="15" hidden="false" customHeight="true" outlineLevel="0" collapsed="false">
      <c r="A118" s="23"/>
      <c r="B118" s="23"/>
      <c r="C118" s="23"/>
      <c r="D118" s="23"/>
      <c r="E118" s="23"/>
      <c r="F118" s="23"/>
      <c r="G118" s="23"/>
      <c r="H118" s="22"/>
      <c r="I118" s="22"/>
      <c r="J118" s="22"/>
      <c r="K118" s="23"/>
    </row>
    <row r="119" customFormat="false" ht="15" hidden="false" customHeight="true" outlineLevel="0" collapsed="false">
      <c r="A119" s="23"/>
      <c r="B119" s="23"/>
      <c r="C119" s="23"/>
      <c r="D119" s="23"/>
      <c r="E119" s="23"/>
      <c r="F119" s="23"/>
      <c r="G119" s="23"/>
      <c r="H119" s="22"/>
      <c r="I119" s="22"/>
      <c r="J119" s="22"/>
      <c r="K119" s="23"/>
    </row>
    <row r="120" customFormat="false" ht="15" hidden="false" customHeight="true" outlineLevel="0" collapsed="false">
      <c r="A120" s="23"/>
      <c r="B120" s="23"/>
      <c r="C120" s="23"/>
      <c r="D120" s="23"/>
      <c r="E120" s="23"/>
      <c r="F120" s="23"/>
      <c r="G120" s="23"/>
      <c r="H120" s="22"/>
      <c r="I120" s="22"/>
      <c r="J120" s="22"/>
      <c r="K120" s="23"/>
    </row>
    <row r="121" customFormat="false" ht="15" hidden="false" customHeight="true" outlineLevel="0" collapsed="false">
      <c r="A121" s="23"/>
      <c r="B121" s="23"/>
      <c r="C121" s="23"/>
      <c r="D121" s="23"/>
      <c r="E121" s="23"/>
      <c r="F121" s="23"/>
      <c r="G121" s="23"/>
      <c r="H121" s="22"/>
      <c r="I121" s="22"/>
      <c r="J121" s="22"/>
      <c r="K121" s="23"/>
    </row>
    <row r="122" customFormat="false" ht="15" hidden="false" customHeight="true" outlineLevel="0" collapsed="false">
      <c r="A122" s="23"/>
      <c r="B122" s="23"/>
      <c r="C122" s="23"/>
      <c r="D122" s="23"/>
      <c r="E122" s="23"/>
      <c r="F122" s="23"/>
      <c r="G122" s="23"/>
      <c r="H122" s="22"/>
      <c r="I122" s="22"/>
      <c r="J122" s="22"/>
      <c r="K122" s="23"/>
    </row>
    <row r="123" customFormat="false" ht="15" hidden="false" customHeight="true" outlineLevel="0" collapsed="false">
      <c r="A123" s="23"/>
      <c r="B123" s="23"/>
      <c r="C123" s="23"/>
      <c r="D123" s="23"/>
      <c r="E123" s="23"/>
      <c r="F123" s="23"/>
      <c r="G123" s="23"/>
      <c r="H123" s="22"/>
      <c r="I123" s="22"/>
      <c r="J123" s="22"/>
      <c r="K123" s="23"/>
    </row>
    <row r="124" customFormat="false" ht="15" hidden="false" customHeight="true" outlineLevel="0" collapsed="false">
      <c r="A124" s="23"/>
      <c r="B124" s="23"/>
      <c r="C124" s="23"/>
      <c r="D124" s="23"/>
      <c r="E124" s="23"/>
      <c r="F124" s="23"/>
      <c r="G124" s="23"/>
      <c r="H124" s="22"/>
      <c r="I124" s="22"/>
      <c r="J124" s="22"/>
      <c r="K124" s="23"/>
    </row>
    <row r="125" customFormat="false" ht="15" hidden="false" customHeight="true" outlineLevel="0" collapsed="false">
      <c r="A125" s="23"/>
      <c r="B125" s="23"/>
      <c r="C125" s="23"/>
      <c r="D125" s="23"/>
      <c r="E125" s="23"/>
      <c r="F125" s="23"/>
      <c r="G125" s="23"/>
      <c r="H125" s="22"/>
      <c r="I125" s="22"/>
      <c r="J125" s="22"/>
      <c r="K125" s="23"/>
    </row>
    <row r="126" customFormat="false" ht="15" hidden="false" customHeight="true" outlineLevel="0" collapsed="false">
      <c r="A126" s="23"/>
      <c r="B126" s="23"/>
      <c r="C126" s="23"/>
      <c r="D126" s="23"/>
      <c r="E126" s="23"/>
      <c r="F126" s="23"/>
      <c r="G126" s="23"/>
      <c r="H126" s="22"/>
      <c r="I126" s="22"/>
      <c r="J126" s="22"/>
      <c r="K126" s="23"/>
    </row>
    <row r="127" customFormat="false" ht="15" hidden="false" customHeight="true" outlineLevel="0" collapsed="false">
      <c r="A127" s="23"/>
      <c r="B127" s="23"/>
      <c r="C127" s="23"/>
      <c r="D127" s="23"/>
      <c r="E127" s="23"/>
      <c r="F127" s="23"/>
      <c r="G127" s="23"/>
      <c r="H127" s="22"/>
      <c r="I127" s="22"/>
      <c r="J127" s="22"/>
      <c r="K127" s="23"/>
    </row>
    <row r="128" customFormat="false" ht="15" hidden="false" customHeight="true" outlineLevel="0" collapsed="false">
      <c r="A128" s="23"/>
      <c r="B128" s="23"/>
      <c r="C128" s="23"/>
      <c r="D128" s="23"/>
      <c r="E128" s="23"/>
      <c r="F128" s="23"/>
      <c r="G128" s="23"/>
      <c r="H128" s="22"/>
      <c r="I128" s="22"/>
      <c r="J128" s="22"/>
      <c r="K128" s="23"/>
    </row>
    <row r="129" customFormat="false" ht="15" hidden="false" customHeight="true" outlineLevel="0" collapsed="false">
      <c r="A129" s="23"/>
      <c r="B129" s="23"/>
      <c r="C129" s="23"/>
      <c r="D129" s="23"/>
      <c r="E129" s="23"/>
      <c r="F129" s="23"/>
      <c r="G129" s="23"/>
      <c r="H129" s="22"/>
      <c r="I129" s="22"/>
      <c r="J129" s="22"/>
      <c r="K129" s="23"/>
    </row>
    <row r="130" customFormat="false" ht="15" hidden="false" customHeight="true" outlineLevel="0" collapsed="false">
      <c r="A130" s="23"/>
      <c r="B130" s="23"/>
      <c r="C130" s="23"/>
      <c r="D130" s="23"/>
      <c r="E130" s="23"/>
      <c r="F130" s="23"/>
      <c r="G130" s="23"/>
      <c r="H130" s="22"/>
      <c r="I130" s="22"/>
      <c r="J130" s="22"/>
      <c r="K130" s="23"/>
    </row>
    <row r="131" customFormat="false" ht="15" hidden="false" customHeight="true" outlineLevel="0" collapsed="false">
      <c r="A131" s="23"/>
      <c r="B131" s="23"/>
      <c r="C131" s="23"/>
      <c r="D131" s="23"/>
      <c r="E131" s="23"/>
      <c r="F131" s="23"/>
      <c r="G131" s="23"/>
      <c r="H131" s="22"/>
      <c r="I131" s="22"/>
      <c r="J131" s="22"/>
      <c r="K131" s="23"/>
    </row>
    <row r="132" customFormat="false" ht="15" hidden="false" customHeight="true" outlineLevel="0" collapsed="false">
      <c r="A132" s="23"/>
      <c r="B132" s="23"/>
      <c r="C132" s="23"/>
      <c r="D132" s="23"/>
      <c r="E132" s="23"/>
      <c r="F132" s="23"/>
      <c r="G132" s="23"/>
      <c r="H132" s="22"/>
      <c r="I132" s="22"/>
      <c r="J132" s="22"/>
      <c r="K132" s="23"/>
    </row>
    <row r="133" customFormat="false" ht="15" hidden="false" customHeight="true" outlineLevel="0" collapsed="false">
      <c r="A133" s="23"/>
      <c r="B133" s="23"/>
      <c r="C133" s="23"/>
      <c r="D133" s="23"/>
      <c r="E133" s="23"/>
      <c r="F133" s="23"/>
      <c r="G133" s="23"/>
      <c r="H133" s="22"/>
      <c r="I133" s="22"/>
      <c r="J133" s="22"/>
      <c r="K133" s="23"/>
    </row>
    <row r="134" customFormat="false" ht="15" hidden="false" customHeight="true" outlineLevel="0" collapsed="false">
      <c r="A134" s="23"/>
      <c r="B134" s="23"/>
      <c r="C134" s="23"/>
      <c r="D134" s="23"/>
      <c r="E134" s="23"/>
      <c r="F134" s="23"/>
      <c r="G134" s="23"/>
      <c r="H134" s="22"/>
      <c r="I134" s="22"/>
      <c r="J134" s="22"/>
      <c r="K134" s="23"/>
    </row>
    <row r="135" customFormat="false" ht="15" hidden="false" customHeight="true" outlineLevel="0" collapsed="false">
      <c r="A135" s="23"/>
      <c r="B135" s="23"/>
      <c r="C135" s="23"/>
      <c r="D135" s="23"/>
      <c r="E135" s="23"/>
      <c r="F135" s="23"/>
      <c r="G135" s="23"/>
      <c r="H135" s="22"/>
      <c r="I135" s="22"/>
      <c r="J135" s="22"/>
      <c r="K135" s="23"/>
    </row>
    <row r="136" customFormat="false" ht="15" hidden="false" customHeight="true" outlineLevel="0" collapsed="false">
      <c r="A136" s="23"/>
      <c r="B136" s="23"/>
      <c r="C136" s="23"/>
      <c r="D136" s="23"/>
      <c r="E136" s="23"/>
      <c r="F136" s="23"/>
      <c r="G136" s="23"/>
      <c r="H136" s="22"/>
      <c r="I136" s="22"/>
      <c r="J136" s="22"/>
      <c r="K136" s="23"/>
    </row>
    <row r="137" customFormat="false" ht="15" hidden="false" customHeight="true" outlineLevel="0" collapsed="false">
      <c r="A137" s="23"/>
      <c r="B137" s="23"/>
      <c r="C137" s="23"/>
      <c r="D137" s="23"/>
      <c r="E137" s="23"/>
      <c r="F137" s="23"/>
      <c r="G137" s="23"/>
      <c r="H137" s="22"/>
      <c r="I137" s="22"/>
      <c r="J137" s="22"/>
      <c r="K137" s="23"/>
    </row>
    <row r="138" customFormat="false" ht="15" hidden="false" customHeight="true" outlineLevel="0" collapsed="false">
      <c r="A138" s="23"/>
      <c r="B138" s="23"/>
      <c r="C138" s="23"/>
      <c r="D138" s="23"/>
      <c r="E138" s="23"/>
      <c r="F138" s="23"/>
      <c r="G138" s="23"/>
      <c r="H138" s="22"/>
      <c r="I138" s="22"/>
      <c r="J138" s="22"/>
      <c r="K138" s="23"/>
    </row>
    <row r="139" customFormat="false" ht="15" hidden="false" customHeight="true" outlineLevel="0" collapsed="false">
      <c r="A139" s="23"/>
      <c r="B139" s="23"/>
      <c r="C139" s="23"/>
      <c r="D139" s="23"/>
      <c r="E139" s="23"/>
      <c r="F139" s="23"/>
      <c r="G139" s="23"/>
      <c r="H139" s="22"/>
      <c r="I139" s="22"/>
      <c r="J139" s="22"/>
      <c r="K139" s="23"/>
    </row>
    <row r="140" customFormat="false" ht="15" hidden="false" customHeight="true" outlineLevel="0" collapsed="false">
      <c r="A140" s="23"/>
      <c r="B140" s="23"/>
      <c r="C140" s="23"/>
      <c r="D140" s="23"/>
      <c r="E140" s="23"/>
      <c r="F140" s="23"/>
      <c r="G140" s="23"/>
      <c r="H140" s="22"/>
      <c r="I140" s="22"/>
      <c r="J140" s="22"/>
      <c r="K140" s="23"/>
    </row>
    <row r="141" customFormat="false" ht="15" hidden="false" customHeight="true" outlineLevel="0" collapsed="false">
      <c r="A141" s="23"/>
      <c r="B141" s="23"/>
      <c r="C141" s="23"/>
      <c r="D141" s="23"/>
      <c r="E141" s="23"/>
      <c r="F141" s="23"/>
      <c r="G141" s="23"/>
      <c r="H141" s="22"/>
      <c r="I141" s="22"/>
      <c r="J141" s="22"/>
      <c r="K141" s="23"/>
    </row>
    <row r="142" customFormat="false" ht="15" hidden="false" customHeight="true" outlineLevel="0" collapsed="false">
      <c r="A142" s="23"/>
      <c r="B142" s="23"/>
      <c r="C142" s="23"/>
      <c r="D142" s="23"/>
      <c r="E142" s="23"/>
      <c r="F142" s="23"/>
      <c r="G142" s="23"/>
      <c r="H142" s="22"/>
      <c r="I142" s="22"/>
      <c r="J142" s="22"/>
      <c r="K142" s="23"/>
    </row>
    <row r="143" customFormat="false" ht="15" hidden="false" customHeight="true" outlineLevel="0" collapsed="false">
      <c r="A143" s="23"/>
      <c r="B143" s="23"/>
      <c r="C143" s="23"/>
      <c r="D143" s="23"/>
      <c r="E143" s="23"/>
      <c r="F143" s="23"/>
      <c r="G143" s="23"/>
      <c r="H143" s="22"/>
      <c r="I143" s="22"/>
      <c r="J143" s="22"/>
      <c r="K143" s="23"/>
    </row>
    <row r="144" customFormat="false" ht="15" hidden="false" customHeight="true" outlineLevel="0" collapsed="false">
      <c r="A144" s="23"/>
      <c r="B144" s="23"/>
      <c r="C144" s="23"/>
      <c r="D144" s="23"/>
      <c r="E144" s="23"/>
      <c r="F144" s="23"/>
      <c r="G144" s="23"/>
      <c r="H144" s="22"/>
      <c r="I144" s="22"/>
      <c r="J144" s="22"/>
      <c r="K144" s="23"/>
    </row>
    <row r="145" customFormat="false" ht="15" hidden="false" customHeight="true" outlineLevel="0" collapsed="false">
      <c r="A145" s="23"/>
      <c r="B145" s="23"/>
      <c r="C145" s="23"/>
      <c r="D145" s="23"/>
      <c r="E145" s="23"/>
      <c r="F145" s="23"/>
      <c r="G145" s="23"/>
      <c r="H145" s="22"/>
      <c r="I145" s="22"/>
      <c r="J145" s="22"/>
      <c r="K145" s="23"/>
    </row>
    <row r="146" customFormat="false" ht="15" hidden="false" customHeight="true" outlineLevel="0" collapsed="false">
      <c r="A146" s="23"/>
      <c r="B146" s="23"/>
      <c r="C146" s="23"/>
      <c r="D146" s="23"/>
      <c r="E146" s="23"/>
      <c r="F146" s="23"/>
      <c r="G146" s="23"/>
      <c r="H146" s="22"/>
      <c r="I146" s="22"/>
      <c r="J146" s="22"/>
      <c r="K146" s="23"/>
    </row>
    <row r="147" customFormat="false" ht="15" hidden="false" customHeight="true" outlineLevel="0" collapsed="false">
      <c r="A147" s="23"/>
      <c r="B147" s="23"/>
      <c r="C147" s="23"/>
      <c r="D147" s="23"/>
      <c r="E147" s="23"/>
      <c r="F147" s="23"/>
      <c r="G147" s="23"/>
      <c r="H147" s="22"/>
      <c r="I147" s="22"/>
      <c r="J147" s="22"/>
      <c r="K147" s="23"/>
    </row>
    <row r="148" customFormat="false" ht="15" hidden="false" customHeight="true" outlineLevel="0" collapsed="false">
      <c r="A148" s="23"/>
      <c r="B148" s="23"/>
      <c r="C148" s="23"/>
      <c r="D148" s="23"/>
      <c r="E148" s="23"/>
      <c r="F148" s="23"/>
      <c r="G148" s="23"/>
      <c r="H148" s="22"/>
      <c r="I148" s="22"/>
      <c r="J148" s="22"/>
      <c r="K148" s="23"/>
    </row>
    <row r="149" customFormat="false" ht="15" hidden="false" customHeight="true" outlineLevel="0" collapsed="false">
      <c r="A149" s="23"/>
      <c r="B149" s="23"/>
      <c r="C149" s="23"/>
      <c r="D149" s="23"/>
      <c r="E149" s="23"/>
      <c r="F149" s="23"/>
      <c r="G149" s="23"/>
      <c r="H149" s="22"/>
      <c r="I149" s="22"/>
      <c r="J149" s="22"/>
      <c r="K149" s="23"/>
    </row>
    <row r="150" customFormat="false" ht="15" hidden="false" customHeight="true" outlineLevel="0" collapsed="false">
      <c r="A150" s="23"/>
      <c r="B150" s="23"/>
      <c r="C150" s="23"/>
      <c r="D150" s="23"/>
      <c r="E150" s="23"/>
      <c r="F150" s="23"/>
      <c r="G150" s="23"/>
      <c r="H150" s="22"/>
      <c r="I150" s="22"/>
      <c r="J150" s="22"/>
      <c r="K150" s="23"/>
    </row>
    <row r="151" customFormat="false" ht="15" hidden="false" customHeight="true" outlineLevel="0" collapsed="false">
      <c r="A151" s="23"/>
      <c r="B151" s="23"/>
      <c r="C151" s="23"/>
      <c r="D151" s="23"/>
      <c r="E151" s="23"/>
      <c r="F151" s="23"/>
      <c r="G151" s="23"/>
      <c r="H151" s="22"/>
      <c r="I151" s="22"/>
      <c r="J151" s="22"/>
      <c r="K151" s="23"/>
    </row>
    <row r="152" customFormat="false" ht="15" hidden="false" customHeight="true" outlineLevel="0" collapsed="false">
      <c r="A152" s="23"/>
      <c r="B152" s="23"/>
      <c r="C152" s="23"/>
      <c r="D152" s="23"/>
      <c r="E152" s="23"/>
      <c r="F152" s="23"/>
      <c r="G152" s="23"/>
      <c r="H152" s="22"/>
      <c r="I152" s="22"/>
      <c r="J152" s="22"/>
      <c r="K152" s="23"/>
    </row>
    <row r="153" customFormat="false" ht="15" hidden="false" customHeight="true" outlineLevel="0" collapsed="false">
      <c r="A153" s="23"/>
      <c r="B153" s="23"/>
      <c r="C153" s="23"/>
      <c r="D153" s="23"/>
      <c r="E153" s="23"/>
      <c r="F153" s="23"/>
      <c r="G153" s="23"/>
      <c r="H153" s="22"/>
      <c r="I153" s="22"/>
      <c r="J153" s="22"/>
      <c r="K153" s="23"/>
    </row>
    <row r="154" customFormat="false" ht="15" hidden="false" customHeight="true" outlineLevel="0" collapsed="false">
      <c r="A154" s="23"/>
      <c r="B154" s="23"/>
      <c r="C154" s="23"/>
      <c r="D154" s="23"/>
      <c r="E154" s="23"/>
      <c r="F154" s="23"/>
      <c r="G154" s="23"/>
      <c r="H154" s="22"/>
      <c r="I154" s="22"/>
      <c r="J154" s="22"/>
      <c r="K154" s="23"/>
    </row>
    <row r="155" customFormat="false" ht="15" hidden="false" customHeight="true" outlineLevel="0" collapsed="false">
      <c r="A155" s="23"/>
      <c r="B155" s="23"/>
      <c r="C155" s="23"/>
      <c r="D155" s="23"/>
      <c r="E155" s="23"/>
      <c r="F155" s="23"/>
      <c r="G155" s="23"/>
      <c r="H155" s="22"/>
      <c r="I155" s="22"/>
      <c r="J155" s="22"/>
      <c r="K155" s="23"/>
    </row>
    <row r="156" customFormat="false" ht="15" hidden="false" customHeight="true" outlineLevel="0" collapsed="false">
      <c r="A156" s="23"/>
      <c r="B156" s="23"/>
      <c r="C156" s="23"/>
      <c r="D156" s="23"/>
      <c r="E156" s="23"/>
      <c r="F156" s="23"/>
      <c r="G156" s="23"/>
      <c r="H156" s="22"/>
      <c r="I156" s="22"/>
      <c r="J156" s="22"/>
      <c r="K156" s="23"/>
    </row>
    <row r="157" customFormat="false" ht="15" hidden="false" customHeight="true" outlineLevel="0" collapsed="false">
      <c r="A157" s="23"/>
      <c r="B157" s="23"/>
      <c r="C157" s="23"/>
      <c r="D157" s="23"/>
      <c r="E157" s="23"/>
      <c r="F157" s="23"/>
      <c r="G157" s="23"/>
      <c r="H157" s="22"/>
      <c r="I157" s="22"/>
      <c r="J157" s="22"/>
      <c r="K157" s="23"/>
    </row>
    <row r="158" customFormat="false" ht="15" hidden="false" customHeight="true" outlineLevel="0" collapsed="false">
      <c r="A158" s="23"/>
      <c r="B158" s="23"/>
      <c r="C158" s="23"/>
      <c r="D158" s="23"/>
      <c r="E158" s="23"/>
      <c r="F158" s="23"/>
      <c r="G158" s="23"/>
      <c r="H158" s="22"/>
      <c r="I158" s="22"/>
      <c r="J158" s="22"/>
      <c r="K158" s="23"/>
    </row>
    <row r="159" customFormat="false" ht="15" hidden="false" customHeight="true" outlineLevel="0" collapsed="false">
      <c r="A159" s="23"/>
      <c r="B159" s="23"/>
      <c r="C159" s="23"/>
      <c r="D159" s="23"/>
      <c r="E159" s="23"/>
      <c r="F159" s="23"/>
      <c r="G159" s="23"/>
      <c r="H159" s="22"/>
      <c r="I159" s="22"/>
      <c r="J159" s="22"/>
      <c r="K159" s="23"/>
    </row>
    <row r="160" customFormat="false" ht="15" hidden="false" customHeight="true" outlineLevel="0" collapsed="false">
      <c r="A160" s="23"/>
      <c r="B160" s="23"/>
      <c r="C160" s="23"/>
      <c r="D160" s="23"/>
      <c r="E160" s="23"/>
      <c r="F160" s="23"/>
      <c r="G160" s="23"/>
      <c r="H160" s="22"/>
      <c r="I160" s="22"/>
      <c r="J160" s="22"/>
      <c r="K160" s="23"/>
    </row>
    <row r="161" customFormat="false" ht="15" hidden="false" customHeight="true" outlineLevel="0" collapsed="false">
      <c r="A161" s="23"/>
      <c r="B161" s="23"/>
      <c r="C161" s="23"/>
      <c r="D161" s="23"/>
      <c r="E161" s="23"/>
      <c r="F161" s="23"/>
      <c r="G161" s="23"/>
      <c r="H161" s="22"/>
      <c r="I161" s="22"/>
      <c r="J161" s="22"/>
      <c r="K161" s="23"/>
    </row>
    <row r="162" customFormat="false" ht="15" hidden="false" customHeight="true" outlineLevel="0" collapsed="false">
      <c r="A162" s="23"/>
      <c r="B162" s="23"/>
      <c r="C162" s="23"/>
      <c r="D162" s="23"/>
      <c r="E162" s="23"/>
      <c r="F162" s="23"/>
      <c r="G162" s="23"/>
      <c r="H162" s="22"/>
      <c r="I162" s="22"/>
      <c r="J162" s="22"/>
      <c r="K162" s="23"/>
    </row>
    <row r="163" customFormat="false" ht="15" hidden="false" customHeight="true" outlineLevel="0" collapsed="false">
      <c r="A163" s="23"/>
      <c r="B163" s="23"/>
      <c r="C163" s="23"/>
      <c r="D163" s="23"/>
      <c r="E163" s="23"/>
      <c r="F163" s="23"/>
      <c r="G163" s="23"/>
      <c r="H163" s="22"/>
      <c r="I163" s="22"/>
      <c r="J163" s="22"/>
      <c r="K163" s="23"/>
    </row>
    <row r="164" customFormat="false" ht="15" hidden="false" customHeight="true" outlineLevel="0" collapsed="false">
      <c r="A164" s="23"/>
      <c r="B164" s="23"/>
      <c r="C164" s="23"/>
      <c r="D164" s="23"/>
      <c r="E164" s="23"/>
      <c r="F164" s="23"/>
      <c r="G164" s="23"/>
      <c r="H164" s="22"/>
      <c r="I164" s="22"/>
      <c r="J164" s="22"/>
      <c r="K164" s="23"/>
    </row>
    <row r="165" customFormat="false" ht="15" hidden="false" customHeight="true" outlineLevel="0" collapsed="false">
      <c r="A165" s="23"/>
      <c r="B165" s="23"/>
      <c r="C165" s="23"/>
      <c r="D165" s="23"/>
      <c r="E165" s="23"/>
      <c r="F165" s="23"/>
      <c r="G165" s="23"/>
      <c r="H165" s="22"/>
      <c r="I165" s="22"/>
      <c r="J165" s="22"/>
      <c r="K165" s="23"/>
    </row>
    <row r="166" customFormat="false" ht="15" hidden="false" customHeight="true" outlineLevel="0" collapsed="false">
      <c r="A166" s="23"/>
      <c r="B166" s="23"/>
      <c r="C166" s="23"/>
      <c r="D166" s="23"/>
      <c r="E166" s="23"/>
      <c r="F166" s="23"/>
      <c r="G166" s="23"/>
      <c r="H166" s="22"/>
      <c r="I166" s="22"/>
      <c r="J166" s="22"/>
      <c r="K166" s="23"/>
    </row>
    <row r="167" customFormat="false" ht="15" hidden="false" customHeight="true" outlineLevel="0" collapsed="false">
      <c r="A167" s="23"/>
      <c r="B167" s="23"/>
      <c r="C167" s="23"/>
      <c r="D167" s="23"/>
      <c r="E167" s="23"/>
      <c r="F167" s="23"/>
      <c r="G167" s="23"/>
      <c r="H167" s="22"/>
      <c r="I167" s="22"/>
      <c r="J167" s="22"/>
      <c r="K167" s="23"/>
    </row>
    <row r="168" customFormat="false" ht="15" hidden="false" customHeight="true" outlineLevel="0" collapsed="false">
      <c r="A168" s="23"/>
      <c r="B168" s="23"/>
      <c r="C168" s="23"/>
      <c r="D168" s="23"/>
      <c r="E168" s="23"/>
      <c r="F168" s="23"/>
      <c r="G168" s="23"/>
      <c r="H168" s="22"/>
      <c r="I168" s="22"/>
      <c r="J168" s="22"/>
      <c r="K168" s="23"/>
    </row>
    <row r="169" customFormat="false" ht="15" hidden="false" customHeight="true" outlineLevel="0" collapsed="false">
      <c r="A169" s="23"/>
      <c r="B169" s="23"/>
      <c r="C169" s="23"/>
      <c r="D169" s="23"/>
      <c r="E169" s="23"/>
      <c r="F169" s="23"/>
      <c r="G169" s="23"/>
      <c r="H169" s="22"/>
      <c r="I169" s="22"/>
      <c r="J169" s="22"/>
      <c r="K169" s="23"/>
    </row>
    <row r="170" customFormat="false" ht="15" hidden="false" customHeight="true" outlineLevel="0" collapsed="false">
      <c r="A170" s="23"/>
      <c r="B170" s="23"/>
      <c r="C170" s="23"/>
      <c r="D170" s="23"/>
      <c r="E170" s="23"/>
      <c r="F170" s="23"/>
      <c r="G170" s="23"/>
      <c r="H170" s="22"/>
      <c r="I170" s="22"/>
      <c r="J170" s="22"/>
      <c r="K170" s="23"/>
    </row>
    <row r="171" customFormat="false" ht="15" hidden="false" customHeight="true" outlineLevel="0" collapsed="false">
      <c r="A171" s="23"/>
      <c r="B171" s="23"/>
      <c r="C171" s="23"/>
      <c r="D171" s="23"/>
      <c r="E171" s="23"/>
      <c r="F171" s="23"/>
      <c r="G171" s="23"/>
      <c r="H171" s="22"/>
      <c r="I171" s="22"/>
      <c r="J171" s="22"/>
      <c r="K171" s="23"/>
    </row>
    <row r="172" customFormat="false" ht="15" hidden="false" customHeight="true" outlineLevel="0" collapsed="false">
      <c r="A172" s="23"/>
      <c r="B172" s="23"/>
      <c r="C172" s="23"/>
      <c r="D172" s="23"/>
      <c r="E172" s="23"/>
      <c r="F172" s="23"/>
      <c r="G172" s="23"/>
      <c r="H172" s="22"/>
      <c r="I172" s="22"/>
      <c r="J172" s="22"/>
      <c r="K172" s="23"/>
    </row>
    <row r="173" customFormat="false" ht="15" hidden="false" customHeight="true" outlineLevel="0" collapsed="false">
      <c r="A173" s="23"/>
      <c r="B173" s="23"/>
      <c r="C173" s="23"/>
      <c r="D173" s="23"/>
      <c r="E173" s="23"/>
      <c r="F173" s="23"/>
      <c r="G173" s="23"/>
      <c r="H173" s="22"/>
      <c r="I173" s="22"/>
      <c r="J173" s="22"/>
      <c r="K173" s="23"/>
    </row>
    <row r="174" customFormat="false" ht="15" hidden="false" customHeight="true" outlineLevel="0" collapsed="false">
      <c r="A174" s="23"/>
      <c r="B174" s="23"/>
      <c r="C174" s="23"/>
      <c r="D174" s="23"/>
      <c r="E174" s="23"/>
      <c r="F174" s="23"/>
      <c r="G174" s="23"/>
      <c r="H174" s="22"/>
      <c r="I174" s="22"/>
      <c r="J174" s="22"/>
      <c r="K174" s="23"/>
    </row>
    <row r="175" customFormat="false" ht="15" hidden="false" customHeight="true" outlineLevel="0" collapsed="false">
      <c r="A175" s="23"/>
      <c r="B175" s="23"/>
      <c r="C175" s="23"/>
      <c r="D175" s="23"/>
      <c r="E175" s="23"/>
      <c r="F175" s="23"/>
      <c r="G175" s="23"/>
      <c r="H175" s="22"/>
      <c r="I175" s="22"/>
      <c r="J175" s="22"/>
      <c r="K175" s="23"/>
    </row>
    <row r="176" customFormat="false" ht="15" hidden="false" customHeight="true" outlineLevel="0" collapsed="false">
      <c r="A176" s="23"/>
      <c r="B176" s="23"/>
      <c r="C176" s="23"/>
      <c r="D176" s="23"/>
      <c r="E176" s="23"/>
      <c r="F176" s="23"/>
      <c r="G176" s="23"/>
      <c r="H176" s="22"/>
      <c r="I176" s="22"/>
      <c r="J176" s="22"/>
      <c r="K176" s="23"/>
    </row>
    <row r="177" customFormat="false" ht="15" hidden="false" customHeight="true" outlineLevel="0" collapsed="false">
      <c r="A177" s="23"/>
      <c r="B177" s="23"/>
      <c r="C177" s="23"/>
      <c r="D177" s="23"/>
      <c r="E177" s="23"/>
      <c r="F177" s="23"/>
      <c r="G177" s="23"/>
      <c r="H177" s="22"/>
      <c r="I177" s="22"/>
      <c r="J177" s="22"/>
      <c r="K177" s="23"/>
    </row>
    <row r="178" customFormat="false" ht="15" hidden="false" customHeight="true" outlineLevel="0" collapsed="false">
      <c r="A178" s="23"/>
      <c r="B178" s="23"/>
      <c r="C178" s="23"/>
      <c r="D178" s="23"/>
      <c r="E178" s="23"/>
      <c r="F178" s="23"/>
      <c r="G178" s="23"/>
      <c r="H178" s="22"/>
      <c r="I178" s="22"/>
      <c r="J178" s="22"/>
      <c r="K178" s="23"/>
    </row>
    <row r="179" customFormat="false" ht="15" hidden="false" customHeight="true" outlineLevel="0" collapsed="false">
      <c r="A179" s="23"/>
      <c r="B179" s="23"/>
      <c r="C179" s="23"/>
      <c r="D179" s="23"/>
      <c r="E179" s="23"/>
      <c r="F179" s="23"/>
      <c r="G179" s="23"/>
      <c r="H179" s="22"/>
      <c r="I179" s="22"/>
      <c r="J179" s="22"/>
      <c r="K179" s="23"/>
    </row>
    <row r="180" customFormat="false" ht="15" hidden="false" customHeight="true" outlineLevel="0" collapsed="false">
      <c r="A180" s="23"/>
      <c r="B180" s="23"/>
      <c r="C180" s="23"/>
      <c r="D180" s="23"/>
      <c r="E180" s="23"/>
      <c r="F180" s="23"/>
      <c r="G180" s="23"/>
      <c r="H180" s="22"/>
      <c r="I180" s="22"/>
      <c r="J180" s="22"/>
      <c r="K180" s="23"/>
    </row>
    <row r="181" customFormat="false" ht="15" hidden="false" customHeight="true" outlineLevel="0" collapsed="false">
      <c r="A181" s="23"/>
      <c r="B181" s="23"/>
      <c r="C181" s="23"/>
      <c r="D181" s="23"/>
      <c r="E181" s="23"/>
      <c r="F181" s="23"/>
      <c r="G181" s="23"/>
      <c r="H181" s="22"/>
      <c r="I181" s="22"/>
      <c r="J181" s="22"/>
      <c r="K181" s="23"/>
    </row>
    <row r="182" customFormat="false" ht="15" hidden="false" customHeight="true" outlineLevel="0" collapsed="false">
      <c r="A182" s="23"/>
      <c r="B182" s="23"/>
      <c r="C182" s="23"/>
      <c r="D182" s="23"/>
      <c r="E182" s="23"/>
      <c r="F182" s="23"/>
      <c r="G182" s="23"/>
      <c r="H182" s="22"/>
      <c r="I182" s="22"/>
      <c r="J182" s="22"/>
      <c r="K182" s="23"/>
    </row>
    <row r="183" customFormat="false" ht="15" hidden="false" customHeight="true" outlineLevel="0" collapsed="false">
      <c r="A183" s="23"/>
      <c r="B183" s="23"/>
      <c r="C183" s="23"/>
      <c r="D183" s="23"/>
      <c r="E183" s="23"/>
      <c r="F183" s="23"/>
      <c r="G183" s="23"/>
      <c r="H183" s="22"/>
      <c r="I183" s="22"/>
      <c r="J183" s="22"/>
      <c r="K183" s="23"/>
    </row>
    <row r="184" customFormat="false" ht="15" hidden="false" customHeight="true" outlineLevel="0" collapsed="false">
      <c r="A184" s="23"/>
      <c r="B184" s="23"/>
      <c r="C184" s="23"/>
      <c r="D184" s="23"/>
      <c r="E184" s="23"/>
      <c r="F184" s="23"/>
      <c r="G184" s="23"/>
      <c r="H184" s="22"/>
      <c r="I184" s="22"/>
      <c r="J184" s="22"/>
      <c r="K184" s="23"/>
    </row>
    <row r="185" customFormat="false" ht="15" hidden="false" customHeight="true" outlineLevel="0" collapsed="false">
      <c r="A185" s="23"/>
      <c r="B185" s="23"/>
      <c r="C185" s="23"/>
      <c r="D185" s="23"/>
      <c r="E185" s="23"/>
      <c r="F185" s="23"/>
      <c r="G185" s="23"/>
      <c r="H185" s="22"/>
      <c r="I185" s="22"/>
      <c r="J185" s="22"/>
      <c r="K185" s="23"/>
    </row>
    <row r="186" customFormat="false" ht="15" hidden="false" customHeight="true" outlineLevel="0" collapsed="false">
      <c r="A186" s="23"/>
      <c r="B186" s="23"/>
      <c r="C186" s="23"/>
      <c r="D186" s="23"/>
      <c r="E186" s="23"/>
      <c r="F186" s="23"/>
      <c r="G186" s="23"/>
      <c r="H186" s="22"/>
      <c r="I186" s="22"/>
      <c r="J186" s="22"/>
      <c r="K186" s="23"/>
    </row>
    <row r="187" customFormat="false" ht="15" hidden="false" customHeight="true" outlineLevel="0" collapsed="false">
      <c r="A187" s="23"/>
      <c r="B187" s="23"/>
      <c r="C187" s="23"/>
      <c r="D187" s="23"/>
      <c r="E187" s="23"/>
      <c r="F187" s="23"/>
      <c r="G187" s="23"/>
      <c r="H187" s="22"/>
      <c r="I187" s="22"/>
      <c r="J187" s="22"/>
      <c r="K187" s="23"/>
    </row>
    <row r="188" customFormat="false" ht="15" hidden="false" customHeight="true" outlineLevel="0" collapsed="false">
      <c r="A188" s="23"/>
      <c r="B188" s="23"/>
      <c r="C188" s="23"/>
      <c r="D188" s="23"/>
      <c r="E188" s="23"/>
      <c r="F188" s="23"/>
      <c r="G188" s="23"/>
      <c r="H188" s="22"/>
      <c r="I188" s="22"/>
      <c r="J188" s="22"/>
      <c r="K188" s="23"/>
    </row>
    <row r="189" customFormat="false" ht="15" hidden="false" customHeight="true" outlineLevel="0" collapsed="false">
      <c r="A189" s="23"/>
      <c r="B189" s="23"/>
      <c r="C189" s="23"/>
      <c r="D189" s="23"/>
      <c r="E189" s="23"/>
      <c r="F189" s="23"/>
      <c r="G189" s="23"/>
      <c r="H189" s="22"/>
      <c r="I189" s="22"/>
      <c r="J189" s="22"/>
      <c r="K189" s="23"/>
    </row>
    <row r="190" customFormat="false" ht="15" hidden="false" customHeight="true" outlineLevel="0" collapsed="false">
      <c r="A190" s="23"/>
      <c r="B190" s="23"/>
      <c r="C190" s="23"/>
      <c r="D190" s="23"/>
      <c r="E190" s="23"/>
      <c r="F190" s="23"/>
      <c r="G190" s="23"/>
      <c r="H190" s="22"/>
      <c r="I190" s="22"/>
      <c r="J190" s="22"/>
      <c r="K190" s="23"/>
    </row>
    <row r="191" customFormat="false" ht="15" hidden="false" customHeight="true" outlineLevel="0" collapsed="false">
      <c r="A191" s="23"/>
      <c r="B191" s="23"/>
      <c r="C191" s="23"/>
      <c r="D191" s="23"/>
      <c r="E191" s="23"/>
      <c r="F191" s="23"/>
      <c r="G191" s="23"/>
      <c r="H191" s="22"/>
      <c r="I191" s="22"/>
      <c r="J191" s="22"/>
      <c r="K191" s="23"/>
    </row>
    <row r="192" customFormat="false" ht="15" hidden="false" customHeight="true" outlineLevel="0" collapsed="false">
      <c r="A192" s="23"/>
      <c r="B192" s="23"/>
      <c r="C192" s="23"/>
      <c r="D192" s="23"/>
      <c r="E192" s="23"/>
      <c r="F192" s="23"/>
      <c r="G192" s="23"/>
      <c r="H192" s="22"/>
      <c r="I192" s="22"/>
      <c r="J192" s="22"/>
      <c r="K192" s="23"/>
    </row>
    <row r="193" customFormat="false" ht="15" hidden="false" customHeight="true" outlineLevel="0" collapsed="false">
      <c r="A193" s="23"/>
      <c r="B193" s="23"/>
      <c r="C193" s="23"/>
      <c r="D193" s="23"/>
      <c r="E193" s="23"/>
      <c r="F193" s="23"/>
      <c r="G193" s="23"/>
      <c r="H193" s="22"/>
      <c r="I193" s="22"/>
      <c r="J193" s="22"/>
      <c r="K193" s="23"/>
    </row>
    <row r="194" customFormat="false" ht="15" hidden="false" customHeight="true" outlineLevel="0" collapsed="false">
      <c r="A194" s="23"/>
      <c r="B194" s="23"/>
      <c r="C194" s="23"/>
      <c r="D194" s="23"/>
      <c r="E194" s="23"/>
      <c r="F194" s="23"/>
      <c r="G194" s="23"/>
      <c r="H194" s="22"/>
      <c r="I194" s="22"/>
      <c r="J194" s="22"/>
      <c r="K194" s="23"/>
    </row>
    <row r="195" customFormat="false" ht="15" hidden="false" customHeight="true" outlineLevel="0" collapsed="false">
      <c r="A195" s="23"/>
      <c r="B195" s="23"/>
      <c r="C195" s="23"/>
      <c r="D195" s="23"/>
      <c r="E195" s="23"/>
      <c r="F195" s="23"/>
      <c r="G195" s="23"/>
      <c r="H195" s="22"/>
      <c r="I195" s="22"/>
      <c r="J195" s="22"/>
      <c r="K195" s="23"/>
    </row>
    <row r="196" customFormat="false" ht="15" hidden="false" customHeight="true" outlineLevel="0" collapsed="false">
      <c r="A196" s="23"/>
      <c r="B196" s="23"/>
      <c r="C196" s="23"/>
      <c r="D196" s="23"/>
      <c r="E196" s="23"/>
      <c r="F196" s="23"/>
      <c r="G196" s="23"/>
      <c r="H196" s="22"/>
      <c r="I196" s="22"/>
      <c r="J196" s="22"/>
      <c r="K196" s="23"/>
    </row>
    <row r="197" customFormat="false" ht="15" hidden="false" customHeight="true" outlineLevel="0" collapsed="false">
      <c r="A197" s="23"/>
      <c r="B197" s="23"/>
      <c r="C197" s="23"/>
      <c r="D197" s="23"/>
      <c r="E197" s="23"/>
      <c r="F197" s="23"/>
      <c r="G197" s="23"/>
      <c r="H197" s="22"/>
      <c r="I197" s="22"/>
      <c r="J197" s="22"/>
      <c r="K197" s="23"/>
    </row>
    <row r="198" customFormat="false" ht="15" hidden="false" customHeight="true" outlineLevel="0" collapsed="false">
      <c r="A198" s="23"/>
      <c r="B198" s="23"/>
      <c r="C198" s="23"/>
      <c r="D198" s="23"/>
      <c r="E198" s="23"/>
      <c r="F198" s="23"/>
      <c r="G198" s="23"/>
      <c r="H198" s="22"/>
      <c r="I198" s="22"/>
      <c r="J198" s="22"/>
      <c r="K198" s="23"/>
    </row>
    <row r="199" customFormat="false" ht="15" hidden="false" customHeight="true" outlineLevel="0" collapsed="false">
      <c r="A199" s="23"/>
      <c r="B199" s="23"/>
      <c r="C199" s="23"/>
      <c r="D199" s="23"/>
      <c r="E199" s="23"/>
      <c r="F199" s="23"/>
      <c r="G199" s="23"/>
      <c r="H199" s="22"/>
      <c r="I199" s="22"/>
      <c r="J199" s="22"/>
      <c r="K199" s="23"/>
    </row>
    <row r="200" customFormat="false" ht="15" hidden="false" customHeight="true" outlineLevel="0" collapsed="false">
      <c r="A200" s="23"/>
      <c r="B200" s="23"/>
      <c r="C200" s="23"/>
      <c r="D200" s="23"/>
      <c r="E200" s="23"/>
      <c r="F200" s="23"/>
      <c r="G200" s="23"/>
      <c r="H200" s="22"/>
      <c r="I200" s="22"/>
      <c r="J200" s="22"/>
      <c r="K200" s="23"/>
    </row>
    <row r="201" customFormat="false" ht="15" hidden="false" customHeight="true" outlineLevel="0" collapsed="false">
      <c r="A201" s="23"/>
      <c r="B201" s="23"/>
      <c r="C201" s="23"/>
      <c r="D201" s="23"/>
      <c r="E201" s="23"/>
      <c r="F201" s="23"/>
      <c r="G201" s="23"/>
      <c r="H201" s="22"/>
      <c r="I201" s="22"/>
      <c r="J201" s="22"/>
      <c r="K201" s="23"/>
    </row>
    <row r="202" customFormat="false" ht="15" hidden="false" customHeight="true" outlineLevel="0" collapsed="false">
      <c r="A202" s="23"/>
      <c r="B202" s="23"/>
      <c r="C202" s="23"/>
      <c r="D202" s="23"/>
      <c r="E202" s="23"/>
      <c r="F202" s="23"/>
      <c r="G202" s="23"/>
      <c r="H202" s="22"/>
      <c r="I202" s="22"/>
      <c r="J202" s="22"/>
      <c r="K202" s="23"/>
    </row>
    <row r="203" customFormat="false" ht="15" hidden="false" customHeight="true" outlineLevel="0" collapsed="false">
      <c r="A203" s="23"/>
      <c r="B203" s="23"/>
      <c r="C203" s="23"/>
      <c r="D203" s="23"/>
      <c r="E203" s="23"/>
      <c r="F203" s="23"/>
      <c r="G203" s="23"/>
      <c r="H203" s="22"/>
      <c r="I203" s="22"/>
      <c r="J203" s="22"/>
      <c r="K203" s="23"/>
    </row>
    <row r="204" customFormat="false" ht="15" hidden="false" customHeight="true" outlineLevel="0" collapsed="false">
      <c r="A204" s="23"/>
      <c r="B204" s="23"/>
      <c r="C204" s="23"/>
      <c r="D204" s="23"/>
      <c r="E204" s="23"/>
      <c r="F204" s="23"/>
      <c r="G204" s="23"/>
      <c r="H204" s="22"/>
      <c r="I204" s="22"/>
      <c r="J204" s="22"/>
      <c r="K204" s="23"/>
    </row>
    <row r="205" customFormat="false" ht="15" hidden="false" customHeight="true" outlineLevel="0" collapsed="false">
      <c r="A205" s="23"/>
      <c r="B205" s="23"/>
      <c r="C205" s="23"/>
      <c r="D205" s="23"/>
      <c r="E205" s="23"/>
      <c r="F205" s="23"/>
      <c r="G205" s="23"/>
      <c r="H205" s="22"/>
      <c r="I205" s="22"/>
      <c r="J205" s="22"/>
      <c r="K205" s="23"/>
    </row>
    <row r="206" customFormat="false" ht="15" hidden="false" customHeight="true" outlineLevel="0" collapsed="false">
      <c r="A206" s="23"/>
      <c r="B206" s="23"/>
      <c r="C206" s="23"/>
      <c r="D206" s="23"/>
      <c r="E206" s="23"/>
      <c r="F206" s="23"/>
      <c r="G206" s="23"/>
      <c r="H206" s="22"/>
      <c r="I206" s="22"/>
      <c r="J206" s="22"/>
      <c r="K206" s="23"/>
    </row>
    <row r="207" customFormat="false" ht="15" hidden="false" customHeight="true" outlineLevel="0" collapsed="false">
      <c r="A207" s="23"/>
      <c r="B207" s="23"/>
      <c r="C207" s="23"/>
      <c r="D207" s="23"/>
      <c r="E207" s="23"/>
      <c r="F207" s="23"/>
      <c r="G207" s="23"/>
      <c r="H207" s="22"/>
      <c r="I207" s="22"/>
      <c r="J207" s="22"/>
      <c r="K207" s="23"/>
    </row>
    <row r="208" customFormat="false" ht="15" hidden="false" customHeight="true" outlineLevel="0" collapsed="false">
      <c r="A208" s="23"/>
      <c r="B208" s="23"/>
      <c r="C208" s="23"/>
      <c r="D208" s="23"/>
      <c r="E208" s="23"/>
      <c r="F208" s="23"/>
      <c r="G208" s="23"/>
      <c r="H208" s="22"/>
      <c r="I208" s="22"/>
      <c r="J208" s="22"/>
      <c r="K208" s="23"/>
    </row>
    <row r="209" customFormat="false" ht="15" hidden="false" customHeight="true" outlineLevel="0" collapsed="false">
      <c r="A209" s="23"/>
      <c r="B209" s="23"/>
      <c r="C209" s="23"/>
      <c r="D209" s="23"/>
      <c r="E209" s="23"/>
      <c r="F209" s="23"/>
      <c r="G209" s="23"/>
      <c r="H209" s="22"/>
      <c r="I209" s="22"/>
      <c r="J209" s="22"/>
      <c r="K209" s="23"/>
    </row>
    <row r="210" customFormat="false" ht="15" hidden="false" customHeight="true" outlineLevel="0" collapsed="false">
      <c r="A210" s="23"/>
      <c r="B210" s="23"/>
      <c r="C210" s="23"/>
      <c r="D210" s="23"/>
      <c r="E210" s="23"/>
      <c r="F210" s="23"/>
      <c r="G210" s="23"/>
      <c r="H210" s="22"/>
      <c r="I210" s="22"/>
      <c r="J210" s="22"/>
      <c r="K210" s="23"/>
    </row>
    <row r="211" customFormat="false" ht="15" hidden="false" customHeight="true" outlineLevel="0" collapsed="false">
      <c r="A211" s="23"/>
      <c r="B211" s="23"/>
      <c r="C211" s="23"/>
      <c r="D211" s="23"/>
      <c r="E211" s="23"/>
      <c r="F211" s="23"/>
      <c r="G211" s="23"/>
      <c r="H211" s="22"/>
      <c r="I211" s="22"/>
      <c r="J211" s="22"/>
      <c r="K211" s="23"/>
    </row>
    <row r="212" customFormat="false" ht="15" hidden="false" customHeight="true" outlineLevel="0" collapsed="false">
      <c r="A212" s="23"/>
      <c r="B212" s="23"/>
      <c r="C212" s="23"/>
      <c r="D212" s="23"/>
      <c r="E212" s="23"/>
      <c r="F212" s="23"/>
      <c r="G212" s="23"/>
      <c r="H212" s="22"/>
      <c r="I212" s="22"/>
      <c r="J212" s="22"/>
      <c r="K212" s="23"/>
    </row>
    <row r="213" customFormat="false" ht="15" hidden="false" customHeight="true" outlineLevel="0" collapsed="false">
      <c r="A213" s="23"/>
      <c r="B213" s="23"/>
      <c r="C213" s="23"/>
      <c r="D213" s="23"/>
      <c r="E213" s="23"/>
      <c r="F213" s="23"/>
      <c r="G213" s="23"/>
      <c r="H213" s="22"/>
      <c r="I213" s="22"/>
      <c r="J213" s="22"/>
      <c r="K213" s="23"/>
    </row>
    <row r="214" customFormat="false" ht="15" hidden="false" customHeight="true" outlineLevel="0" collapsed="false">
      <c r="A214" s="23"/>
      <c r="B214" s="23"/>
      <c r="C214" s="23"/>
      <c r="D214" s="23"/>
      <c r="E214" s="23"/>
      <c r="F214" s="23"/>
      <c r="G214" s="23"/>
      <c r="H214" s="22"/>
      <c r="I214" s="22"/>
      <c r="J214" s="22"/>
      <c r="K214" s="23"/>
    </row>
    <row r="215" customFormat="false" ht="15" hidden="false" customHeight="true" outlineLevel="0" collapsed="false">
      <c r="A215" s="23"/>
      <c r="B215" s="23"/>
      <c r="C215" s="23"/>
      <c r="D215" s="23"/>
      <c r="E215" s="23"/>
      <c r="F215" s="23"/>
      <c r="G215" s="23"/>
      <c r="H215" s="22"/>
      <c r="I215" s="22"/>
      <c r="J215" s="22"/>
      <c r="K215" s="23"/>
    </row>
    <row r="216" customFormat="false" ht="15" hidden="false" customHeight="true" outlineLevel="0" collapsed="false">
      <c r="A216" s="23"/>
      <c r="B216" s="23"/>
      <c r="C216" s="23"/>
      <c r="D216" s="23"/>
      <c r="E216" s="23"/>
      <c r="F216" s="23"/>
      <c r="G216" s="23"/>
      <c r="H216" s="22"/>
      <c r="I216" s="22"/>
      <c r="J216" s="22"/>
      <c r="K216" s="23"/>
    </row>
    <row r="217" customFormat="false" ht="15" hidden="false" customHeight="true" outlineLevel="0" collapsed="false">
      <c r="A217" s="23"/>
      <c r="B217" s="23"/>
      <c r="C217" s="23"/>
      <c r="D217" s="23"/>
      <c r="E217" s="23"/>
      <c r="F217" s="23"/>
      <c r="G217" s="23"/>
      <c r="H217" s="22"/>
      <c r="I217" s="22"/>
      <c r="J217" s="22"/>
      <c r="K217" s="23"/>
    </row>
    <row r="218" customFormat="false" ht="15" hidden="false" customHeight="true" outlineLevel="0" collapsed="false">
      <c r="A218" s="23"/>
      <c r="B218" s="23"/>
      <c r="C218" s="23"/>
      <c r="D218" s="23"/>
      <c r="E218" s="23"/>
      <c r="F218" s="23"/>
      <c r="G218" s="23"/>
      <c r="H218" s="22"/>
      <c r="I218" s="22"/>
      <c r="J218" s="22"/>
      <c r="K218" s="23"/>
    </row>
    <row r="219" customFormat="false" ht="15" hidden="false" customHeight="true" outlineLevel="0" collapsed="false">
      <c r="A219" s="23"/>
      <c r="B219" s="23"/>
      <c r="C219" s="23"/>
      <c r="D219" s="23"/>
      <c r="E219" s="23"/>
      <c r="F219" s="23"/>
      <c r="G219" s="23"/>
      <c r="H219" s="22"/>
      <c r="I219" s="22"/>
      <c r="J219" s="22"/>
      <c r="K219" s="23"/>
    </row>
    <row r="220" customFormat="false" ht="15" hidden="false" customHeight="true" outlineLevel="0" collapsed="false">
      <c r="A220" s="23"/>
      <c r="B220" s="23"/>
      <c r="C220" s="23"/>
      <c r="D220" s="23"/>
      <c r="E220" s="23"/>
      <c r="F220" s="23"/>
      <c r="G220" s="23"/>
      <c r="H220" s="22"/>
      <c r="I220" s="22"/>
      <c r="J220" s="22"/>
      <c r="K220" s="23"/>
    </row>
    <row r="221" customFormat="false" ht="15" hidden="false" customHeight="true" outlineLevel="0" collapsed="false">
      <c r="A221" s="23"/>
      <c r="B221" s="23"/>
      <c r="C221" s="23"/>
      <c r="D221" s="23"/>
      <c r="E221" s="23"/>
      <c r="F221" s="23"/>
      <c r="G221" s="23"/>
      <c r="H221" s="22"/>
      <c r="I221" s="22"/>
      <c r="J221" s="22"/>
      <c r="K221" s="23"/>
    </row>
    <row r="222" customFormat="false" ht="15" hidden="false" customHeight="true" outlineLevel="0" collapsed="false">
      <c r="A222" s="23"/>
      <c r="B222" s="23"/>
      <c r="C222" s="23"/>
      <c r="D222" s="23"/>
      <c r="E222" s="23"/>
      <c r="F222" s="23"/>
      <c r="G222" s="23"/>
      <c r="H222" s="22"/>
      <c r="I222" s="22"/>
      <c r="J222" s="22"/>
      <c r="K222" s="23"/>
    </row>
    <row r="223" customFormat="false" ht="15" hidden="false" customHeight="true" outlineLevel="0" collapsed="false">
      <c r="A223" s="23"/>
      <c r="B223" s="23"/>
      <c r="C223" s="23"/>
      <c r="D223" s="23"/>
      <c r="E223" s="23"/>
      <c r="F223" s="23"/>
      <c r="G223" s="23"/>
      <c r="H223" s="22"/>
      <c r="I223" s="22"/>
      <c r="J223" s="22"/>
      <c r="K223" s="23"/>
    </row>
    <row r="224" customFormat="false" ht="15" hidden="false" customHeight="true" outlineLevel="0" collapsed="false">
      <c r="A224" s="23"/>
      <c r="B224" s="23"/>
      <c r="C224" s="23"/>
      <c r="D224" s="23"/>
      <c r="E224" s="23"/>
      <c r="F224" s="23"/>
      <c r="G224" s="23"/>
      <c r="H224" s="22"/>
      <c r="I224" s="22"/>
      <c r="J224" s="22"/>
      <c r="K224" s="23"/>
    </row>
    <row r="225" customFormat="false" ht="15" hidden="false" customHeight="true" outlineLevel="0" collapsed="false">
      <c r="A225" s="23"/>
      <c r="B225" s="23"/>
      <c r="C225" s="23"/>
      <c r="D225" s="23"/>
      <c r="E225" s="23"/>
      <c r="F225" s="23"/>
      <c r="G225" s="23"/>
      <c r="H225" s="22"/>
      <c r="I225" s="22"/>
      <c r="J225" s="22"/>
      <c r="K225" s="23"/>
    </row>
    <row r="226" customFormat="false" ht="15" hidden="false" customHeight="true" outlineLevel="0" collapsed="false">
      <c r="A226" s="23"/>
      <c r="B226" s="23"/>
      <c r="C226" s="23"/>
      <c r="D226" s="23"/>
      <c r="E226" s="23"/>
      <c r="F226" s="23"/>
      <c r="G226" s="23"/>
      <c r="H226" s="22"/>
      <c r="I226" s="22"/>
      <c r="J226" s="22"/>
      <c r="K226" s="23"/>
    </row>
    <row r="227" customFormat="false" ht="15" hidden="false" customHeight="true" outlineLevel="0" collapsed="false">
      <c r="A227" s="23"/>
      <c r="B227" s="23"/>
      <c r="C227" s="23"/>
      <c r="D227" s="23"/>
      <c r="E227" s="23"/>
      <c r="F227" s="23"/>
      <c r="G227" s="23"/>
      <c r="H227" s="22"/>
      <c r="I227" s="22"/>
      <c r="J227" s="22"/>
      <c r="K227" s="23"/>
    </row>
    <row r="228" customFormat="false" ht="15" hidden="false" customHeight="true" outlineLevel="0" collapsed="false">
      <c r="A228" s="23"/>
      <c r="B228" s="23"/>
      <c r="C228" s="23"/>
      <c r="D228" s="23"/>
      <c r="E228" s="23"/>
      <c r="F228" s="23"/>
      <c r="G228" s="23"/>
      <c r="H228" s="22"/>
      <c r="I228" s="22"/>
      <c r="J228" s="22"/>
      <c r="K228" s="23"/>
    </row>
    <row r="229" customFormat="false" ht="15" hidden="false" customHeight="true" outlineLevel="0" collapsed="false">
      <c r="A229" s="23"/>
      <c r="B229" s="23"/>
      <c r="C229" s="23"/>
      <c r="D229" s="23"/>
      <c r="E229" s="23"/>
      <c r="F229" s="23"/>
      <c r="G229" s="23"/>
      <c r="H229" s="22"/>
      <c r="I229" s="22"/>
      <c r="J229" s="22"/>
      <c r="K229" s="23"/>
    </row>
    <row r="230" customFormat="false" ht="15" hidden="false" customHeight="true" outlineLevel="0" collapsed="false">
      <c r="A230" s="23"/>
      <c r="B230" s="23"/>
      <c r="C230" s="23"/>
      <c r="D230" s="23"/>
      <c r="E230" s="23"/>
      <c r="F230" s="23"/>
      <c r="G230" s="23"/>
      <c r="H230" s="22"/>
      <c r="I230" s="22"/>
      <c r="J230" s="22"/>
      <c r="K230" s="23"/>
    </row>
    <row r="231" customFormat="false" ht="15" hidden="false" customHeight="true" outlineLevel="0" collapsed="false">
      <c r="A231" s="23"/>
      <c r="B231" s="23"/>
      <c r="C231" s="23"/>
      <c r="D231" s="23"/>
      <c r="E231" s="23"/>
      <c r="F231" s="23"/>
      <c r="G231" s="23"/>
      <c r="H231" s="22"/>
      <c r="I231" s="22"/>
      <c r="J231" s="22"/>
      <c r="K231" s="23"/>
    </row>
    <row r="232" customFormat="false" ht="15" hidden="false" customHeight="true" outlineLevel="0" collapsed="false">
      <c r="A232" s="23"/>
      <c r="B232" s="23"/>
      <c r="C232" s="23"/>
      <c r="D232" s="23"/>
      <c r="E232" s="23"/>
      <c r="F232" s="23"/>
      <c r="G232" s="23"/>
      <c r="H232" s="22"/>
      <c r="I232" s="22"/>
      <c r="J232" s="22"/>
      <c r="K232" s="23"/>
    </row>
    <row r="233" customFormat="false" ht="15" hidden="false" customHeight="true" outlineLevel="0" collapsed="false">
      <c r="A233" s="23"/>
      <c r="B233" s="23"/>
      <c r="C233" s="23"/>
      <c r="D233" s="23"/>
      <c r="E233" s="23"/>
      <c r="F233" s="23"/>
      <c r="G233" s="23"/>
      <c r="H233" s="22"/>
      <c r="I233" s="22"/>
      <c r="J233" s="22"/>
      <c r="K233" s="23"/>
    </row>
    <row r="234" customFormat="false" ht="15" hidden="false" customHeight="true" outlineLevel="0" collapsed="false">
      <c r="A234" s="23"/>
      <c r="B234" s="23"/>
      <c r="C234" s="23"/>
      <c r="D234" s="23"/>
      <c r="E234" s="23"/>
      <c r="F234" s="23"/>
      <c r="G234" s="23"/>
      <c r="H234" s="22"/>
      <c r="I234" s="22"/>
      <c r="J234" s="22"/>
      <c r="K234" s="23"/>
    </row>
    <row r="235" customFormat="false" ht="15" hidden="false" customHeight="true" outlineLevel="0" collapsed="false">
      <c r="A235" s="23"/>
      <c r="B235" s="23"/>
      <c r="C235" s="23"/>
      <c r="D235" s="23"/>
      <c r="E235" s="23"/>
      <c r="F235" s="23"/>
      <c r="G235" s="23"/>
      <c r="H235" s="22"/>
      <c r="I235" s="22"/>
      <c r="J235" s="22"/>
      <c r="K235" s="23"/>
    </row>
    <row r="236" customFormat="false" ht="15" hidden="false" customHeight="true" outlineLevel="0" collapsed="false">
      <c r="A236" s="23"/>
      <c r="B236" s="23"/>
      <c r="C236" s="23"/>
      <c r="D236" s="23"/>
      <c r="E236" s="23"/>
      <c r="F236" s="23"/>
      <c r="G236" s="23"/>
      <c r="H236" s="22"/>
      <c r="I236" s="22"/>
      <c r="J236" s="22"/>
      <c r="K236" s="23"/>
    </row>
    <row r="237" customFormat="false" ht="15" hidden="false" customHeight="true" outlineLevel="0" collapsed="false">
      <c r="A237" s="23"/>
      <c r="B237" s="23"/>
      <c r="C237" s="23"/>
      <c r="D237" s="23"/>
      <c r="E237" s="23"/>
      <c r="F237" s="23"/>
      <c r="G237" s="23"/>
      <c r="H237" s="22"/>
      <c r="I237" s="22"/>
      <c r="J237" s="22"/>
      <c r="K237" s="23"/>
    </row>
    <row r="238" customFormat="false" ht="15" hidden="false" customHeight="true" outlineLevel="0" collapsed="false">
      <c r="A238" s="23"/>
      <c r="B238" s="23"/>
      <c r="C238" s="23"/>
      <c r="D238" s="23"/>
      <c r="E238" s="23"/>
      <c r="F238" s="23"/>
      <c r="G238" s="23"/>
      <c r="H238" s="22"/>
      <c r="I238" s="22"/>
      <c r="J238" s="22"/>
      <c r="K238" s="23"/>
    </row>
    <row r="239" customFormat="false" ht="15" hidden="false" customHeight="true" outlineLevel="0" collapsed="false">
      <c r="A239" s="23"/>
      <c r="B239" s="23"/>
      <c r="C239" s="23"/>
      <c r="D239" s="23"/>
      <c r="E239" s="23"/>
      <c r="F239" s="23"/>
      <c r="G239" s="23"/>
      <c r="H239" s="22"/>
      <c r="I239" s="22"/>
      <c r="J239" s="22"/>
      <c r="K239" s="23"/>
    </row>
    <row r="240" customFormat="false" ht="15" hidden="false" customHeight="true" outlineLevel="0" collapsed="false">
      <c r="A240" s="23"/>
      <c r="B240" s="23"/>
      <c r="C240" s="23"/>
      <c r="D240" s="23"/>
      <c r="E240" s="23"/>
      <c r="F240" s="23"/>
      <c r="G240" s="23"/>
      <c r="H240" s="22"/>
      <c r="I240" s="22"/>
      <c r="J240" s="22"/>
      <c r="K240" s="23"/>
    </row>
    <row r="241" customFormat="false" ht="15" hidden="false" customHeight="true" outlineLevel="0" collapsed="false">
      <c r="A241" s="23"/>
      <c r="B241" s="23"/>
      <c r="C241" s="23"/>
      <c r="D241" s="23"/>
      <c r="E241" s="23"/>
      <c r="F241" s="23"/>
      <c r="G241" s="23"/>
      <c r="H241" s="22"/>
      <c r="I241" s="22"/>
      <c r="J241" s="22"/>
      <c r="K241" s="23"/>
    </row>
    <row r="242" customFormat="false" ht="15" hidden="false" customHeight="true" outlineLevel="0" collapsed="false">
      <c r="A242" s="23"/>
      <c r="B242" s="23"/>
      <c r="C242" s="23"/>
      <c r="D242" s="23"/>
      <c r="E242" s="23"/>
      <c r="F242" s="23"/>
      <c r="G242" s="23"/>
      <c r="H242" s="22"/>
      <c r="I242" s="22"/>
      <c r="J242" s="22"/>
      <c r="K242" s="23"/>
    </row>
    <row r="243" customFormat="false" ht="15" hidden="false" customHeight="true" outlineLevel="0" collapsed="false">
      <c r="A243" s="23"/>
      <c r="B243" s="23"/>
      <c r="C243" s="23"/>
      <c r="D243" s="23"/>
      <c r="E243" s="23"/>
      <c r="F243" s="23"/>
      <c r="G243" s="23"/>
      <c r="H243" s="22"/>
      <c r="I243" s="22"/>
      <c r="J243" s="22"/>
      <c r="K243" s="23"/>
    </row>
    <row r="244" customFormat="false" ht="15" hidden="false" customHeight="true" outlineLevel="0" collapsed="false">
      <c r="A244" s="23"/>
      <c r="B244" s="23"/>
      <c r="C244" s="23"/>
      <c r="D244" s="23"/>
      <c r="E244" s="23"/>
      <c r="F244" s="23"/>
      <c r="G244" s="23"/>
      <c r="H244" s="22"/>
      <c r="I244" s="22"/>
      <c r="J244" s="22"/>
      <c r="K244" s="23"/>
    </row>
    <row r="245" customFormat="false" ht="15" hidden="false" customHeight="true" outlineLevel="0" collapsed="false">
      <c r="A245" s="23"/>
      <c r="B245" s="23"/>
      <c r="C245" s="23"/>
      <c r="D245" s="23"/>
      <c r="E245" s="23"/>
      <c r="F245" s="23"/>
      <c r="G245" s="23"/>
      <c r="H245" s="22"/>
      <c r="I245" s="22"/>
      <c r="J245" s="22"/>
      <c r="K245" s="23"/>
    </row>
    <row r="246" customFormat="false" ht="15" hidden="false" customHeight="true" outlineLevel="0" collapsed="false">
      <c r="A246" s="23"/>
      <c r="B246" s="23"/>
      <c r="C246" s="23"/>
      <c r="D246" s="23"/>
      <c r="E246" s="23"/>
      <c r="F246" s="23"/>
      <c r="G246" s="23"/>
      <c r="H246" s="22"/>
      <c r="I246" s="22"/>
      <c r="J246" s="22"/>
      <c r="K246" s="23"/>
    </row>
    <row r="247" customFormat="false" ht="15" hidden="false" customHeight="true" outlineLevel="0" collapsed="false">
      <c r="A247" s="23"/>
      <c r="B247" s="23"/>
      <c r="C247" s="23"/>
      <c r="D247" s="23"/>
      <c r="E247" s="23"/>
      <c r="F247" s="23"/>
      <c r="G247" s="23"/>
      <c r="H247" s="22"/>
      <c r="I247" s="22"/>
      <c r="J247" s="22"/>
      <c r="K247" s="23"/>
    </row>
    <row r="248" customFormat="false" ht="15" hidden="false" customHeight="true" outlineLevel="0" collapsed="false">
      <c r="A248" s="23"/>
      <c r="B248" s="23"/>
      <c r="C248" s="23"/>
      <c r="D248" s="23"/>
      <c r="E248" s="23"/>
      <c r="F248" s="23"/>
      <c r="G248" s="23"/>
      <c r="H248" s="22"/>
      <c r="I248" s="22"/>
      <c r="J248" s="22"/>
      <c r="K248" s="23"/>
    </row>
    <row r="249" customFormat="false" ht="15" hidden="false" customHeight="true" outlineLevel="0" collapsed="false">
      <c r="A249" s="23"/>
      <c r="B249" s="23"/>
      <c r="C249" s="23"/>
      <c r="D249" s="23"/>
      <c r="E249" s="23"/>
      <c r="F249" s="23"/>
      <c r="G249" s="23"/>
      <c r="H249" s="22"/>
      <c r="I249" s="22"/>
      <c r="J249" s="22"/>
      <c r="K249" s="23"/>
    </row>
    <row r="250" customFormat="false" ht="15" hidden="false" customHeight="true" outlineLevel="0" collapsed="false">
      <c r="A250" s="23"/>
      <c r="B250" s="23"/>
      <c r="C250" s="23"/>
      <c r="D250" s="23"/>
      <c r="E250" s="23"/>
      <c r="F250" s="23"/>
      <c r="G250" s="23"/>
      <c r="H250" s="22"/>
      <c r="I250" s="22"/>
      <c r="J250" s="22"/>
      <c r="K250" s="23"/>
    </row>
    <row r="251" customFormat="false" ht="15" hidden="false" customHeight="true" outlineLevel="0" collapsed="false">
      <c r="A251" s="23"/>
      <c r="B251" s="23"/>
      <c r="C251" s="23"/>
      <c r="D251" s="23"/>
      <c r="E251" s="23"/>
      <c r="F251" s="23"/>
      <c r="G251" s="23"/>
      <c r="H251" s="22"/>
      <c r="I251" s="22"/>
      <c r="J251" s="22"/>
      <c r="K251" s="23"/>
    </row>
    <row r="252" customFormat="false" ht="15" hidden="false" customHeight="true" outlineLevel="0" collapsed="false">
      <c r="A252" s="23"/>
      <c r="B252" s="23"/>
      <c r="C252" s="23"/>
      <c r="D252" s="23"/>
      <c r="E252" s="23"/>
      <c r="F252" s="23"/>
      <c r="G252" s="23"/>
      <c r="H252" s="22"/>
      <c r="I252" s="22"/>
      <c r="J252" s="22"/>
      <c r="K252" s="23"/>
    </row>
    <row r="253" customFormat="false" ht="15" hidden="false" customHeight="true" outlineLevel="0" collapsed="false">
      <c r="A253" s="23"/>
      <c r="B253" s="23"/>
      <c r="C253" s="23"/>
      <c r="D253" s="23"/>
      <c r="E253" s="23"/>
      <c r="F253" s="23"/>
      <c r="G253" s="23"/>
      <c r="H253" s="22"/>
      <c r="I253" s="22"/>
      <c r="J253" s="22"/>
      <c r="K253" s="23"/>
    </row>
    <row r="254" customFormat="false" ht="15" hidden="false" customHeight="true" outlineLevel="0" collapsed="false">
      <c r="A254" s="23"/>
      <c r="B254" s="23"/>
      <c r="C254" s="23"/>
      <c r="D254" s="23"/>
      <c r="E254" s="23"/>
      <c r="F254" s="23"/>
      <c r="G254" s="23"/>
      <c r="H254" s="22"/>
      <c r="I254" s="22"/>
      <c r="J254" s="22"/>
      <c r="K254" s="23"/>
    </row>
    <row r="255" customFormat="false" ht="15" hidden="false" customHeight="true" outlineLevel="0" collapsed="false">
      <c r="A255" s="23"/>
      <c r="B255" s="23"/>
      <c r="C255" s="23"/>
      <c r="D255" s="23"/>
      <c r="E255" s="23"/>
      <c r="F255" s="23"/>
      <c r="G255" s="23"/>
      <c r="H255" s="22"/>
      <c r="I255" s="22"/>
      <c r="J255" s="22"/>
      <c r="K255" s="23"/>
    </row>
    <row r="256" customFormat="false" ht="15" hidden="false" customHeight="true" outlineLevel="0" collapsed="false">
      <c r="A256" s="23"/>
      <c r="B256" s="23"/>
      <c r="C256" s="23"/>
      <c r="D256" s="23"/>
      <c r="E256" s="23"/>
      <c r="F256" s="23"/>
      <c r="G256" s="23"/>
      <c r="H256" s="22"/>
      <c r="I256" s="22"/>
      <c r="J256" s="22"/>
      <c r="K256" s="23"/>
    </row>
    <row r="257" customFormat="false" ht="15" hidden="false" customHeight="true" outlineLevel="0" collapsed="false">
      <c r="A257" s="23"/>
      <c r="B257" s="23"/>
      <c r="C257" s="23"/>
      <c r="D257" s="23"/>
      <c r="E257" s="23"/>
      <c r="F257" s="23"/>
      <c r="G257" s="23"/>
      <c r="H257" s="22"/>
      <c r="I257" s="22"/>
      <c r="J257" s="22"/>
      <c r="K257" s="23"/>
    </row>
    <row r="258" customFormat="false" ht="15" hidden="false" customHeight="true" outlineLevel="0" collapsed="false">
      <c r="A258" s="23"/>
      <c r="B258" s="23"/>
      <c r="C258" s="23"/>
      <c r="D258" s="23"/>
      <c r="E258" s="23"/>
      <c r="F258" s="23"/>
      <c r="G258" s="23"/>
      <c r="H258" s="22"/>
      <c r="I258" s="22"/>
      <c r="J258" s="22"/>
      <c r="K258" s="23"/>
    </row>
    <row r="259" customFormat="false" ht="15" hidden="false" customHeight="true" outlineLevel="0" collapsed="false">
      <c r="A259" s="23"/>
      <c r="B259" s="23"/>
      <c r="C259" s="23"/>
      <c r="D259" s="23"/>
      <c r="E259" s="23"/>
      <c r="F259" s="23"/>
      <c r="G259" s="23"/>
      <c r="H259" s="22"/>
      <c r="I259" s="22"/>
      <c r="J259" s="22"/>
      <c r="K259" s="23"/>
    </row>
    <row r="260" customFormat="false" ht="15" hidden="false" customHeight="true" outlineLevel="0" collapsed="false">
      <c r="A260" s="23"/>
      <c r="B260" s="23"/>
      <c r="C260" s="23"/>
      <c r="D260" s="23"/>
      <c r="E260" s="23"/>
      <c r="F260" s="23"/>
      <c r="G260" s="23"/>
      <c r="H260" s="22"/>
      <c r="I260" s="22"/>
      <c r="J260" s="22"/>
      <c r="K260" s="23"/>
    </row>
    <row r="261" customFormat="false" ht="15" hidden="false" customHeight="true" outlineLevel="0" collapsed="false">
      <c r="A261" s="23"/>
      <c r="B261" s="23"/>
      <c r="C261" s="23"/>
      <c r="D261" s="23"/>
      <c r="E261" s="23"/>
      <c r="F261" s="23"/>
      <c r="G261" s="23"/>
      <c r="H261" s="22"/>
      <c r="I261" s="22"/>
      <c r="J261" s="22"/>
      <c r="K261" s="23"/>
    </row>
    <row r="262" customFormat="false" ht="15" hidden="false" customHeight="true" outlineLevel="0" collapsed="false">
      <c r="A262" s="23"/>
      <c r="B262" s="23"/>
      <c r="C262" s="23"/>
      <c r="D262" s="23"/>
      <c r="E262" s="23"/>
      <c r="F262" s="23"/>
      <c r="G262" s="23"/>
      <c r="H262" s="22"/>
      <c r="I262" s="22"/>
      <c r="J262" s="22"/>
      <c r="K262" s="23"/>
    </row>
    <row r="263" customFormat="false" ht="15" hidden="false" customHeight="true" outlineLevel="0" collapsed="false">
      <c r="A263" s="23"/>
      <c r="B263" s="23"/>
      <c r="C263" s="23"/>
      <c r="D263" s="23"/>
      <c r="E263" s="23"/>
      <c r="F263" s="23"/>
      <c r="G263" s="23"/>
      <c r="H263" s="22"/>
      <c r="I263" s="22"/>
      <c r="J263" s="22"/>
      <c r="K263" s="23"/>
    </row>
    <row r="264" customFormat="false" ht="15" hidden="false" customHeight="true" outlineLevel="0" collapsed="false">
      <c r="A264" s="23"/>
      <c r="B264" s="23"/>
      <c r="C264" s="23"/>
      <c r="D264" s="23"/>
      <c r="E264" s="23"/>
      <c r="F264" s="23"/>
      <c r="G264" s="23"/>
      <c r="H264" s="22"/>
      <c r="I264" s="22"/>
      <c r="J264" s="22"/>
      <c r="K264" s="23"/>
    </row>
    <row r="265" customFormat="false" ht="15" hidden="false" customHeight="true" outlineLevel="0" collapsed="false">
      <c r="A265" s="23"/>
      <c r="B265" s="23"/>
      <c r="C265" s="23"/>
      <c r="D265" s="23"/>
      <c r="E265" s="23"/>
      <c r="F265" s="23"/>
      <c r="G265" s="23"/>
      <c r="H265" s="22"/>
      <c r="I265" s="22"/>
      <c r="J265" s="22"/>
      <c r="K265" s="23"/>
    </row>
    <row r="266" customFormat="false" ht="15" hidden="false" customHeight="true" outlineLevel="0" collapsed="false">
      <c r="A266" s="23"/>
      <c r="B266" s="23"/>
      <c r="C266" s="23"/>
      <c r="D266" s="23"/>
      <c r="E266" s="23"/>
      <c r="F266" s="23"/>
      <c r="G266" s="23"/>
      <c r="H266" s="22"/>
      <c r="I266" s="22"/>
      <c r="J266" s="22"/>
      <c r="K266" s="23"/>
    </row>
    <row r="267" customFormat="false" ht="15" hidden="false" customHeight="true" outlineLevel="0" collapsed="false">
      <c r="A267" s="23"/>
      <c r="B267" s="23"/>
      <c r="C267" s="23"/>
      <c r="D267" s="23"/>
      <c r="E267" s="23"/>
      <c r="F267" s="23"/>
      <c r="G267" s="23"/>
      <c r="H267" s="22"/>
      <c r="I267" s="22"/>
      <c r="J267" s="22"/>
      <c r="K267" s="23"/>
    </row>
    <row r="268" customFormat="false" ht="15" hidden="false" customHeight="true" outlineLevel="0" collapsed="false">
      <c r="A268" s="23"/>
      <c r="B268" s="23"/>
      <c r="C268" s="23"/>
      <c r="D268" s="23"/>
      <c r="E268" s="23"/>
      <c r="F268" s="23"/>
      <c r="G268" s="23"/>
      <c r="H268" s="22"/>
      <c r="I268" s="22"/>
      <c r="J268" s="22"/>
      <c r="K268" s="23"/>
    </row>
    <row r="269" customFormat="false" ht="15" hidden="false" customHeight="true" outlineLevel="0" collapsed="false">
      <c r="A269" s="23"/>
      <c r="B269" s="23"/>
      <c r="C269" s="23"/>
      <c r="D269" s="23"/>
      <c r="E269" s="23"/>
      <c r="F269" s="23"/>
      <c r="G269" s="23"/>
      <c r="H269" s="22"/>
      <c r="I269" s="22"/>
      <c r="J269" s="22"/>
      <c r="K269" s="23"/>
    </row>
    <row r="270" customFormat="false" ht="15" hidden="false" customHeight="true" outlineLevel="0" collapsed="false">
      <c r="A270" s="23"/>
      <c r="B270" s="23"/>
      <c r="C270" s="23"/>
      <c r="D270" s="23"/>
      <c r="E270" s="23"/>
      <c r="F270" s="23"/>
      <c r="G270" s="23"/>
      <c r="H270" s="22"/>
      <c r="I270" s="22"/>
      <c r="J270" s="22"/>
      <c r="K270" s="23"/>
    </row>
    <row r="271" customFormat="false" ht="15" hidden="false" customHeight="true" outlineLevel="0" collapsed="false">
      <c r="A271" s="23"/>
      <c r="B271" s="23"/>
      <c r="C271" s="23"/>
      <c r="D271" s="23"/>
      <c r="E271" s="23"/>
      <c r="F271" s="23"/>
      <c r="G271" s="23"/>
      <c r="H271" s="22"/>
      <c r="I271" s="22"/>
      <c r="J271" s="22"/>
      <c r="K271" s="23"/>
    </row>
    <row r="272" customFormat="false" ht="15" hidden="false" customHeight="true" outlineLevel="0" collapsed="false">
      <c r="A272" s="23"/>
      <c r="B272" s="23"/>
      <c r="C272" s="23"/>
      <c r="D272" s="23"/>
      <c r="E272" s="23"/>
      <c r="F272" s="23"/>
      <c r="G272" s="23"/>
      <c r="H272" s="22"/>
      <c r="I272" s="22"/>
      <c r="J272" s="22"/>
      <c r="K272" s="23"/>
    </row>
    <row r="273" customFormat="false" ht="15" hidden="false" customHeight="true" outlineLevel="0" collapsed="false">
      <c r="A273" s="23"/>
      <c r="B273" s="23"/>
      <c r="C273" s="23"/>
      <c r="D273" s="23"/>
      <c r="E273" s="23"/>
      <c r="F273" s="23"/>
      <c r="G273" s="23"/>
      <c r="H273" s="22"/>
      <c r="I273" s="22"/>
      <c r="J273" s="22"/>
      <c r="K273" s="23"/>
    </row>
    <row r="274" customFormat="false" ht="15" hidden="false" customHeight="true" outlineLevel="0" collapsed="false">
      <c r="A274" s="23"/>
      <c r="B274" s="23"/>
      <c r="C274" s="23"/>
      <c r="D274" s="23"/>
      <c r="E274" s="23"/>
      <c r="F274" s="23"/>
      <c r="G274" s="23"/>
      <c r="H274" s="22"/>
      <c r="I274" s="22"/>
      <c r="J274" s="22"/>
      <c r="K274" s="23"/>
    </row>
    <row r="275" customFormat="false" ht="15" hidden="false" customHeight="true" outlineLevel="0" collapsed="false">
      <c r="A275" s="23"/>
      <c r="B275" s="23"/>
      <c r="C275" s="23"/>
      <c r="D275" s="23"/>
      <c r="E275" s="23"/>
      <c r="F275" s="23"/>
      <c r="G275" s="23"/>
      <c r="H275" s="22"/>
      <c r="I275" s="22"/>
      <c r="J275" s="22"/>
      <c r="K275" s="23"/>
    </row>
    <row r="276" customFormat="false" ht="15" hidden="false" customHeight="true" outlineLevel="0" collapsed="false">
      <c r="A276" s="23"/>
      <c r="B276" s="23"/>
      <c r="C276" s="23"/>
      <c r="D276" s="23"/>
      <c r="E276" s="23"/>
      <c r="F276" s="23"/>
      <c r="G276" s="23"/>
      <c r="H276" s="22"/>
      <c r="I276" s="22"/>
      <c r="J276" s="22"/>
      <c r="K276" s="23"/>
    </row>
    <row r="277" customFormat="false" ht="15" hidden="false" customHeight="true" outlineLevel="0" collapsed="false">
      <c r="A277" s="23"/>
      <c r="B277" s="23"/>
      <c r="C277" s="23"/>
      <c r="D277" s="23"/>
      <c r="E277" s="23"/>
      <c r="F277" s="23"/>
      <c r="G277" s="23"/>
      <c r="H277" s="22"/>
      <c r="I277" s="22"/>
      <c r="J277" s="22"/>
      <c r="K277" s="23"/>
    </row>
    <row r="278" customFormat="false" ht="15" hidden="false" customHeight="true" outlineLevel="0" collapsed="false">
      <c r="A278" s="23"/>
      <c r="B278" s="23"/>
      <c r="C278" s="23"/>
      <c r="D278" s="23"/>
      <c r="E278" s="23"/>
      <c r="F278" s="23"/>
      <c r="G278" s="23"/>
      <c r="H278" s="22"/>
      <c r="I278" s="22"/>
      <c r="J278" s="22"/>
      <c r="K278" s="23"/>
    </row>
    <row r="279" customFormat="false" ht="15" hidden="false" customHeight="true" outlineLevel="0" collapsed="false">
      <c r="A279" s="23"/>
      <c r="B279" s="23"/>
      <c r="C279" s="23"/>
      <c r="D279" s="23"/>
      <c r="E279" s="23"/>
      <c r="F279" s="23"/>
      <c r="G279" s="23"/>
      <c r="H279" s="22"/>
      <c r="I279" s="22"/>
      <c r="J279" s="22"/>
      <c r="K279" s="23"/>
    </row>
    <row r="280" customFormat="false" ht="15" hidden="false" customHeight="true" outlineLevel="0" collapsed="false">
      <c r="A280" s="23"/>
      <c r="B280" s="23"/>
      <c r="C280" s="23"/>
      <c r="D280" s="23"/>
      <c r="E280" s="23"/>
      <c r="F280" s="23"/>
      <c r="G280" s="23"/>
      <c r="H280" s="22"/>
      <c r="I280" s="22"/>
      <c r="J280" s="22"/>
      <c r="K280" s="23"/>
    </row>
    <row r="281" customFormat="false" ht="15" hidden="false" customHeight="true" outlineLevel="0" collapsed="false">
      <c r="A281" s="23"/>
      <c r="B281" s="23"/>
      <c r="C281" s="23"/>
      <c r="D281" s="23"/>
      <c r="E281" s="23"/>
      <c r="F281" s="23"/>
      <c r="G281" s="23"/>
      <c r="H281" s="22"/>
      <c r="I281" s="22"/>
      <c r="J281" s="22"/>
      <c r="K281" s="23"/>
    </row>
    <row r="282" customFormat="false" ht="15" hidden="false" customHeight="true" outlineLevel="0" collapsed="false">
      <c r="A282" s="23"/>
      <c r="B282" s="23"/>
      <c r="C282" s="23"/>
      <c r="D282" s="23"/>
      <c r="E282" s="23"/>
      <c r="F282" s="23"/>
      <c r="G282" s="23"/>
      <c r="H282" s="22"/>
      <c r="I282" s="22"/>
      <c r="J282" s="22"/>
      <c r="K282" s="23"/>
    </row>
    <row r="283" customFormat="false" ht="15" hidden="false" customHeight="true" outlineLevel="0" collapsed="false">
      <c r="A283" s="23"/>
      <c r="B283" s="23"/>
      <c r="C283" s="23"/>
      <c r="D283" s="23"/>
      <c r="E283" s="23"/>
      <c r="F283" s="23"/>
      <c r="G283" s="23"/>
      <c r="H283" s="22"/>
      <c r="I283" s="22"/>
      <c r="J283" s="22"/>
      <c r="K283" s="23"/>
    </row>
    <row r="284" customFormat="false" ht="15" hidden="false" customHeight="true" outlineLevel="0" collapsed="false">
      <c r="A284" s="23"/>
      <c r="B284" s="23"/>
      <c r="C284" s="23"/>
      <c r="D284" s="23"/>
      <c r="E284" s="23"/>
      <c r="F284" s="23"/>
      <c r="G284" s="23"/>
      <c r="H284" s="22"/>
      <c r="I284" s="22"/>
      <c r="J284" s="22"/>
      <c r="K284" s="23"/>
    </row>
    <row r="285" customFormat="false" ht="15" hidden="false" customHeight="true" outlineLevel="0" collapsed="false">
      <c r="A285" s="23"/>
      <c r="B285" s="23"/>
      <c r="C285" s="23"/>
      <c r="D285" s="23"/>
      <c r="E285" s="23"/>
      <c r="F285" s="23"/>
      <c r="G285" s="23"/>
      <c r="H285" s="22"/>
      <c r="I285" s="22"/>
      <c r="J285" s="22"/>
      <c r="K285" s="23"/>
    </row>
    <row r="286" customFormat="false" ht="15" hidden="false" customHeight="true" outlineLevel="0" collapsed="false">
      <c r="A286" s="23"/>
      <c r="B286" s="23"/>
      <c r="C286" s="23"/>
      <c r="D286" s="23"/>
      <c r="E286" s="23"/>
      <c r="F286" s="23"/>
      <c r="G286" s="23"/>
      <c r="H286" s="22"/>
      <c r="I286" s="22"/>
      <c r="J286" s="22"/>
      <c r="K286" s="23"/>
    </row>
    <row r="287" customFormat="false" ht="15" hidden="false" customHeight="true" outlineLevel="0" collapsed="false">
      <c r="A287" s="23"/>
      <c r="B287" s="23"/>
      <c r="C287" s="23"/>
      <c r="D287" s="23"/>
      <c r="E287" s="23"/>
      <c r="F287" s="23"/>
      <c r="G287" s="23"/>
      <c r="H287" s="22"/>
      <c r="I287" s="22"/>
      <c r="J287" s="22"/>
      <c r="K287" s="23"/>
    </row>
    <row r="288" customFormat="false" ht="15" hidden="false" customHeight="true" outlineLevel="0" collapsed="false">
      <c r="A288" s="23"/>
      <c r="B288" s="23"/>
      <c r="C288" s="23"/>
      <c r="D288" s="23"/>
      <c r="E288" s="23"/>
      <c r="F288" s="23"/>
      <c r="G288" s="23"/>
      <c r="H288" s="22"/>
      <c r="I288" s="22"/>
      <c r="J288" s="22"/>
      <c r="K288" s="23"/>
    </row>
    <row r="289" customFormat="false" ht="15" hidden="false" customHeight="true" outlineLevel="0" collapsed="false">
      <c r="A289" s="23"/>
      <c r="B289" s="23"/>
      <c r="C289" s="23"/>
      <c r="D289" s="23"/>
      <c r="E289" s="23"/>
      <c r="F289" s="23"/>
      <c r="G289" s="23"/>
      <c r="H289" s="22"/>
      <c r="I289" s="22"/>
      <c r="J289" s="22"/>
      <c r="K289" s="23"/>
    </row>
    <row r="290" customFormat="false" ht="15" hidden="false" customHeight="true" outlineLevel="0" collapsed="false">
      <c r="A290" s="23"/>
      <c r="B290" s="23"/>
      <c r="C290" s="23"/>
      <c r="D290" s="23"/>
      <c r="E290" s="23"/>
      <c r="F290" s="23"/>
      <c r="G290" s="23"/>
      <c r="H290" s="22"/>
      <c r="I290" s="22"/>
      <c r="J290" s="22"/>
      <c r="K290" s="23"/>
    </row>
    <row r="291" customFormat="false" ht="15" hidden="false" customHeight="true" outlineLevel="0" collapsed="false">
      <c r="A291" s="23"/>
      <c r="B291" s="23"/>
      <c r="C291" s="23"/>
      <c r="D291" s="23"/>
      <c r="E291" s="23"/>
      <c r="F291" s="23"/>
      <c r="G291" s="23"/>
      <c r="H291" s="22"/>
      <c r="I291" s="22"/>
      <c r="J291" s="22"/>
      <c r="K291" s="23"/>
    </row>
    <row r="292" customFormat="false" ht="15" hidden="false" customHeight="true" outlineLevel="0" collapsed="false">
      <c r="A292" s="23"/>
      <c r="B292" s="23"/>
      <c r="C292" s="23"/>
      <c r="D292" s="23"/>
      <c r="E292" s="23"/>
      <c r="F292" s="23"/>
      <c r="G292" s="23"/>
      <c r="H292" s="22"/>
      <c r="I292" s="22"/>
      <c r="J292" s="22"/>
      <c r="K292" s="23"/>
    </row>
    <row r="293" customFormat="false" ht="15" hidden="false" customHeight="true" outlineLevel="0" collapsed="false">
      <c r="A293" s="23"/>
      <c r="B293" s="23"/>
      <c r="C293" s="23"/>
      <c r="D293" s="23"/>
      <c r="E293" s="23"/>
      <c r="F293" s="23"/>
      <c r="G293" s="23"/>
      <c r="H293" s="22"/>
      <c r="I293" s="22"/>
      <c r="J293" s="22"/>
      <c r="K293" s="23"/>
    </row>
    <row r="294" customFormat="false" ht="15" hidden="false" customHeight="true" outlineLevel="0" collapsed="false">
      <c r="A294" s="23"/>
      <c r="B294" s="23"/>
      <c r="C294" s="23"/>
      <c r="D294" s="23"/>
      <c r="E294" s="23"/>
      <c r="F294" s="23"/>
      <c r="G294" s="23"/>
      <c r="H294" s="22"/>
      <c r="I294" s="22"/>
      <c r="J294" s="22"/>
      <c r="K294" s="23"/>
    </row>
    <row r="295" customFormat="false" ht="15" hidden="false" customHeight="true" outlineLevel="0" collapsed="false">
      <c r="A295" s="23"/>
      <c r="B295" s="23"/>
      <c r="C295" s="23"/>
      <c r="D295" s="23"/>
      <c r="E295" s="23"/>
      <c r="F295" s="23"/>
      <c r="G295" s="23"/>
      <c r="H295" s="22"/>
      <c r="I295" s="22"/>
      <c r="J295" s="22"/>
      <c r="K295" s="23"/>
    </row>
    <row r="296" customFormat="false" ht="15" hidden="false" customHeight="true" outlineLevel="0" collapsed="false">
      <c r="A296" s="23"/>
      <c r="B296" s="23"/>
      <c r="C296" s="23"/>
      <c r="D296" s="23"/>
      <c r="E296" s="23"/>
      <c r="F296" s="23"/>
      <c r="G296" s="23"/>
      <c r="H296" s="22"/>
      <c r="I296" s="22"/>
      <c r="J296" s="22"/>
      <c r="K296" s="23"/>
    </row>
    <row r="297" customFormat="false" ht="15" hidden="false" customHeight="true" outlineLevel="0" collapsed="false">
      <c r="A297" s="23"/>
      <c r="B297" s="23"/>
      <c r="C297" s="23"/>
      <c r="D297" s="23"/>
      <c r="E297" s="23"/>
      <c r="F297" s="23"/>
      <c r="G297" s="23"/>
      <c r="H297" s="22"/>
      <c r="I297" s="22"/>
      <c r="J297" s="22"/>
      <c r="K297" s="23"/>
    </row>
    <row r="298" customFormat="false" ht="15" hidden="false" customHeight="true" outlineLevel="0" collapsed="false">
      <c r="A298" s="23"/>
      <c r="B298" s="23"/>
      <c r="C298" s="23"/>
      <c r="D298" s="23"/>
      <c r="E298" s="23"/>
      <c r="F298" s="23"/>
      <c r="G298" s="23"/>
      <c r="H298" s="22"/>
      <c r="I298" s="22"/>
      <c r="J298" s="22"/>
      <c r="K298" s="23"/>
    </row>
    <row r="299" customFormat="false" ht="15" hidden="false" customHeight="true" outlineLevel="0" collapsed="false">
      <c r="A299" s="23"/>
      <c r="B299" s="23"/>
      <c r="C299" s="23"/>
      <c r="D299" s="23"/>
      <c r="E299" s="23"/>
      <c r="F299" s="23"/>
      <c r="G299" s="23"/>
      <c r="H299" s="22"/>
      <c r="I299" s="22"/>
      <c r="J299" s="22"/>
      <c r="K299" s="23"/>
    </row>
    <row r="300" customFormat="false" ht="15" hidden="false" customHeight="true" outlineLevel="0" collapsed="false">
      <c r="A300" s="23"/>
      <c r="B300" s="23"/>
      <c r="C300" s="23"/>
      <c r="D300" s="23"/>
      <c r="E300" s="23"/>
      <c r="F300" s="23"/>
      <c r="G300" s="23"/>
      <c r="H300" s="22"/>
      <c r="I300" s="22"/>
      <c r="J300" s="22"/>
      <c r="K300" s="23"/>
    </row>
    <row r="301" customFormat="false" ht="15" hidden="false" customHeight="true" outlineLevel="0" collapsed="false">
      <c r="A301" s="23"/>
      <c r="B301" s="23"/>
      <c r="C301" s="23"/>
      <c r="D301" s="23"/>
      <c r="E301" s="23"/>
      <c r="F301" s="23"/>
      <c r="G301" s="23"/>
      <c r="H301" s="22"/>
      <c r="I301" s="22"/>
      <c r="J301" s="22"/>
      <c r="K301" s="23"/>
    </row>
    <row r="302" customFormat="false" ht="15" hidden="false" customHeight="true" outlineLevel="0" collapsed="false">
      <c r="A302" s="23"/>
      <c r="B302" s="23"/>
      <c r="C302" s="23"/>
      <c r="D302" s="23"/>
      <c r="E302" s="23"/>
      <c r="F302" s="23"/>
      <c r="G302" s="23"/>
      <c r="H302" s="22"/>
      <c r="I302" s="22"/>
      <c r="J302" s="22"/>
      <c r="K302" s="23"/>
    </row>
    <row r="303" customFormat="false" ht="15" hidden="false" customHeight="true" outlineLevel="0" collapsed="false">
      <c r="A303" s="23"/>
      <c r="B303" s="23"/>
      <c r="C303" s="23"/>
      <c r="D303" s="23"/>
      <c r="E303" s="23"/>
      <c r="F303" s="23"/>
      <c r="G303" s="23"/>
      <c r="H303" s="22"/>
      <c r="I303" s="22"/>
      <c r="J303" s="22"/>
      <c r="K303" s="23"/>
    </row>
    <row r="304" customFormat="false" ht="15" hidden="false" customHeight="true" outlineLevel="0" collapsed="false">
      <c r="A304" s="23"/>
      <c r="B304" s="23"/>
      <c r="C304" s="23"/>
      <c r="D304" s="23"/>
      <c r="E304" s="23"/>
      <c r="F304" s="23"/>
      <c r="G304" s="23"/>
      <c r="H304" s="22"/>
      <c r="I304" s="22"/>
      <c r="J304" s="22"/>
      <c r="K304" s="23"/>
    </row>
    <row r="305" customFormat="false" ht="15" hidden="false" customHeight="true" outlineLevel="0" collapsed="false">
      <c r="A305" s="23"/>
      <c r="B305" s="23"/>
      <c r="C305" s="23"/>
      <c r="D305" s="23"/>
      <c r="E305" s="23"/>
      <c r="F305" s="23"/>
      <c r="G305" s="23"/>
      <c r="H305" s="22"/>
      <c r="I305" s="22"/>
      <c r="J305" s="22"/>
      <c r="K305" s="23"/>
    </row>
    <row r="306" customFormat="false" ht="15" hidden="false" customHeight="true" outlineLevel="0" collapsed="false">
      <c r="A306" s="23"/>
      <c r="B306" s="23"/>
      <c r="C306" s="23"/>
      <c r="D306" s="23"/>
      <c r="E306" s="23"/>
      <c r="F306" s="23"/>
      <c r="G306" s="23"/>
      <c r="H306" s="22"/>
      <c r="I306" s="22"/>
      <c r="J306" s="22"/>
      <c r="K306" s="23"/>
    </row>
    <row r="307" customFormat="false" ht="15" hidden="false" customHeight="true" outlineLevel="0" collapsed="false">
      <c r="A307" s="23"/>
      <c r="B307" s="23"/>
      <c r="C307" s="23"/>
      <c r="D307" s="23"/>
      <c r="E307" s="23"/>
      <c r="F307" s="23"/>
      <c r="G307" s="23"/>
      <c r="H307" s="22"/>
      <c r="I307" s="22"/>
      <c r="J307" s="22"/>
      <c r="K307" s="23"/>
    </row>
    <row r="308" customFormat="false" ht="15" hidden="false" customHeight="true" outlineLevel="0" collapsed="false">
      <c r="A308" s="23"/>
      <c r="B308" s="23"/>
      <c r="C308" s="23"/>
      <c r="D308" s="23"/>
      <c r="E308" s="23"/>
      <c r="F308" s="23"/>
      <c r="G308" s="23"/>
      <c r="H308" s="22"/>
      <c r="I308" s="22"/>
      <c r="J308" s="22"/>
      <c r="K308" s="23"/>
    </row>
    <row r="309" customFormat="false" ht="15" hidden="false" customHeight="true" outlineLevel="0" collapsed="false">
      <c r="A309" s="23"/>
      <c r="B309" s="23"/>
      <c r="C309" s="23"/>
      <c r="D309" s="23"/>
      <c r="E309" s="23"/>
      <c r="F309" s="23"/>
      <c r="G309" s="23"/>
      <c r="H309" s="22"/>
      <c r="I309" s="22"/>
      <c r="J309" s="22"/>
      <c r="K309" s="23"/>
    </row>
    <row r="310" customFormat="false" ht="15" hidden="false" customHeight="true" outlineLevel="0" collapsed="false">
      <c r="A310" s="23"/>
      <c r="B310" s="23"/>
      <c r="C310" s="23"/>
      <c r="D310" s="23"/>
      <c r="E310" s="23"/>
      <c r="F310" s="23"/>
      <c r="G310" s="23"/>
      <c r="H310" s="22"/>
      <c r="I310" s="22"/>
      <c r="J310" s="22"/>
      <c r="K310" s="23"/>
    </row>
    <row r="311" customFormat="false" ht="15" hidden="false" customHeight="true" outlineLevel="0" collapsed="false">
      <c r="A311" s="23"/>
      <c r="B311" s="23"/>
      <c r="C311" s="23"/>
      <c r="D311" s="23"/>
      <c r="E311" s="23"/>
      <c r="F311" s="23"/>
      <c r="G311" s="23"/>
      <c r="H311" s="22"/>
      <c r="I311" s="22"/>
      <c r="J311" s="22"/>
      <c r="K311" s="23"/>
    </row>
    <row r="312" customFormat="false" ht="15" hidden="false" customHeight="true" outlineLevel="0" collapsed="false">
      <c r="A312" s="23"/>
      <c r="B312" s="23"/>
      <c r="C312" s="23"/>
      <c r="D312" s="23"/>
      <c r="E312" s="23"/>
      <c r="F312" s="23"/>
      <c r="G312" s="23"/>
      <c r="H312" s="22"/>
      <c r="I312" s="22"/>
      <c r="J312" s="22"/>
      <c r="K312" s="23"/>
    </row>
    <row r="313" customFormat="false" ht="15" hidden="false" customHeight="true" outlineLevel="0" collapsed="false">
      <c r="A313" s="23"/>
      <c r="B313" s="23"/>
      <c r="C313" s="23"/>
      <c r="D313" s="23"/>
      <c r="E313" s="23"/>
      <c r="F313" s="23"/>
      <c r="G313" s="23"/>
      <c r="H313" s="22"/>
      <c r="I313" s="22"/>
      <c r="J313" s="22"/>
      <c r="K313" s="23"/>
    </row>
    <row r="314" customFormat="false" ht="15" hidden="false" customHeight="true" outlineLevel="0" collapsed="false">
      <c r="A314" s="23"/>
      <c r="B314" s="23"/>
      <c r="C314" s="23"/>
      <c r="D314" s="23"/>
      <c r="E314" s="23"/>
      <c r="F314" s="23"/>
      <c r="G314" s="23"/>
      <c r="H314" s="22"/>
      <c r="I314" s="22"/>
      <c r="J314" s="22"/>
      <c r="K314" s="23"/>
    </row>
    <row r="315" customFormat="false" ht="15" hidden="false" customHeight="true" outlineLevel="0" collapsed="false">
      <c r="A315" s="23"/>
      <c r="B315" s="23"/>
      <c r="C315" s="23"/>
      <c r="D315" s="23"/>
      <c r="E315" s="23"/>
      <c r="F315" s="23"/>
      <c r="G315" s="23"/>
      <c r="H315" s="22"/>
      <c r="I315" s="22"/>
      <c r="J315" s="22"/>
      <c r="K315" s="23"/>
    </row>
    <row r="316" customFormat="false" ht="15" hidden="false" customHeight="true" outlineLevel="0" collapsed="false">
      <c r="A316" s="23"/>
      <c r="B316" s="23"/>
      <c r="C316" s="23"/>
      <c r="D316" s="23"/>
      <c r="E316" s="23"/>
      <c r="F316" s="23"/>
      <c r="G316" s="23"/>
      <c r="H316" s="22"/>
      <c r="I316" s="22"/>
      <c r="J316" s="22"/>
      <c r="K316" s="23"/>
    </row>
    <row r="317" customFormat="false" ht="15" hidden="false" customHeight="true" outlineLevel="0" collapsed="false">
      <c r="A317" s="23"/>
      <c r="B317" s="23"/>
      <c r="C317" s="23"/>
      <c r="D317" s="23"/>
      <c r="E317" s="23"/>
      <c r="F317" s="23"/>
      <c r="G317" s="23"/>
      <c r="H317" s="22"/>
      <c r="I317" s="22"/>
      <c r="J317" s="22"/>
      <c r="K317" s="23"/>
    </row>
    <row r="318" customFormat="false" ht="15" hidden="false" customHeight="true" outlineLevel="0" collapsed="false">
      <c r="A318" s="23"/>
      <c r="B318" s="23"/>
      <c r="C318" s="23"/>
      <c r="D318" s="23"/>
      <c r="E318" s="23"/>
      <c r="F318" s="23"/>
      <c r="G318" s="23"/>
      <c r="H318" s="22"/>
      <c r="I318" s="22"/>
      <c r="J318" s="22"/>
      <c r="K318" s="23"/>
    </row>
    <row r="319" customFormat="false" ht="15" hidden="false" customHeight="true" outlineLevel="0" collapsed="false">
      <c r="A319" s="23"/>
      <c r="B319" s="23"/>
      <c r="C319" s="23"/>
      <c r="D319" s="23"/>
      <c r="E319" s="23"/>
      <c r="F319" s="23"/>
      <c r="G319" s="23"/>
      <c r="H319" s="22"/>
      <c r="I319" s="22"/>
      <c r="J319" s="22"/>
      <c r="K319" s="23"/>
    </row>
    <row r="320" customFormat="false" ht="15" hidden="false" customHeight="true" outlineLevel="0" collapsed="false">
      <c r="A320" s="23"/>
      <c r="B320" s="23"/>
      <c r="C320" s="23"/>
      <c r="D320" s="23"/>
      <c r="E320" s="23"/>
      <c r="F320" s="23"/>
      <c r="G320" s="23"/>
      <c r="H320" s="22"/>
      <c r="I320" s="22"/>
      <c r="J320" s="22"/>
      <c r="K320" s="23"/>
    </row>
    <row r="321" customFormat="false" ht="15" hidden="false" customHeight="true" outlineLevel="0" collapsed="false">
      <c r="A321" s="23"/>
      <c r="B321" s="23"/>
      <c r="C321" s="23"/>
      <c r="D321" s="23"/>
      <c r="E321" s="23"/>
      <c r="F321" s="23"/>
      <c r="G321" s="23"/>
      <c r="H321" s="22"/>
      <c r="I321" s="22"/>
      <c r="J321" s="22"/>
      <c r="K321" s="23"/>
    </row>
    <row r="322" customFormat="false" ht="15" hidden="false" customHeight="true" outlineLevel="0" collapsed="false">
      <c r="A322" s="23"/>
      <c r="B322" s="23"/>
      <c r="C322" s="23"/>
      <c r="D322" s="23"/>
      <c r="E322" s="23"/>
      <c r="F322" s="23"/>
      <c r="G322" s="23"/>
      <c r="H322" s="22"/>
      <c r="I322" s="22"/>
      <c r="J322" s="22"/>
      <c r="K322" s="23"/>
    </row>
    <row r="323" customFormat="false" ht="15" hidden="false" customHeight="true" outlineLevel="0" collapsed="false">
      <c r="A323" s="23"/>
      <c r="B323" s="23"/>
      <c r="C323" s="23"/>
      <c r="D323" s="23"/>
      <c r="E323" s="23"/>
      <c r="F323" s="23"/>
      <c r="G323" s="23"/>
      <c r="H323" s="22"/>
      <c r="I323" s="22"/>
      <c r="J323" s="22"/>
      <c r="K323" s="23"/>
    </row>
    <row r="324" customFormat="false" ht="15" hidden="false" customHeight="true" outlineLevel="0" collapsed="false">
      <c r="A324" s="23"/>
      <c r="B324" s="23"/>
      <c r="C324" s="23"/>
      <c r="D324" s="23"/>
      <c r="E324" s="23"/>
      <c r="F324" s="23"/>
      <c r="G324" s="23"/>
      <c r="H324" s="22"/>
      <c r="I324" s="22"/>
      <c r="J324" s="22"/>
      <c r="K324" s="23"/>
    </row>
    <row r="325" customFormat="false" ht="15" hidden="false" customHeight="true" outlineLevel="0" collapsed="false">
      <c r="A325" s="23"/>
      <c r="B325" s="23"/>
      <c r="C325" s="23"/>
      <c r="D325" s="23"/>
      <c r="E325" s="23"/>
      <c r="F325" s="23"/>
      <c r="G325" s="23"/>
      <c r="H325" s="22"/>
      <c r="I325" s="22"/>
      <c r="J325" s="22"/>
      <c r="K325" s="23"/>
    </row>
    <row r="326" customFormat="false" ht="15" hidden="false" customHeight="true" outlineLevel="0" collapsed="false">
      <c r="A326" s="23"/>
      <c r="B326" s="23"/>
      <c r="C326" s="23"/>
      <c r="D326" s="23"/>
      <c r="E326" s="23"/>
      <c r="F326" s="23"/>
      <c r="G326" s="23"/>
      <c r="H326" s="22"/>
      <c r="I326" s="22"/>
      <c r="J326" s="22"/>
      <c r="K326" s="23"/>
    </row>
    <row r="327" customFormat="false" ht="15" hidden="false" customHeight="true" outlineLevel="0" collapsed="false">
      <c r="A327" s="23"/>
      <c r="B327" s="23"/>
      <c r="C327" s="23"/>
      <c r="D327" s="23"/>
      <c r="E327" s="23"/>
      <c r="F327" s="23"/>
      <c r="G327" s="23"/>
      <c r="H327" s="22"/>
      <c r="I327" s="22"/>
      <c r="J327" s="22"/>
      <c r="K327" s="23"/>
    </row>
    <row r="328" customFormat="false" ht="15" hidden="false" customHeight="true" outlineLevel="0" collapsed="false">
      <c r="A328" s="23"/>
      <c r="B328" s="23"/>
      <c r="C328" s="23"/>
      <c r="D328" s="23"/>
      <c r="E328" s="23"/>
      <c r="F328" s="23"/>
      <c r="G328" s="23"/>
      <c r="H328" s="22"/>
      <c r="I328" s="22"/>
      <c r="J328" s="22"/>
      <c r="K328" s="23"/>
    </row>
    <row r="329" customFormat="false" ht="15" hidden="false" customHeight="true" outlineLevel="0" collapsed="false">
      <c r="A329" s="23"/>
      <c r="B329" s="23"/>
      <c r="C329" s="23"/>
      <c r="D329" s="23"/>
      <c r="E329" s="23"/>
      <c r="F329" s="23"/>
      <c r="G329" s="23"/>
      <c r="H329" s="22"/>
      <c r="I329" s="22"/>
      <c r="J329" s="22"/>
      <c r="K329" s="23"/>
    </row>
    <row r="330" customFormat="false" ht="15" hidden="false" customHeight="true" outlineLevel="0" collapsed="false">
      <c r="A330" s="23"/>
      <c r="B330" s="23"/>
      <c r="C330" s="23"/>
      <c r="D330" s="23"/>
      <c r="E330" s="23"/>
      <c r="F330" s="23"/>
      <c r="G330" s="23"/>
      <c r="H330" s="22"/>
      <c r="I330" s="22"/>
      <c r="J330" s="22"/>
      <c r="K330" s="23"/>
    </row>
    <row r="331" customFormat="false" ht="15" hidden="false" customHeight="true" outlineLevel="0" collapsed="false">
      <c r="A331" s="23"/>
      <c r="B331" s="23"/>
      <c r="C331" s="23"/>
      <c r="D331" s="23"/>
      <c r="E331" s="23"/>
      <c r="F331" s="23"/>
      <c r="G331" s="23"/>
      <c r="H331" s="22"/>
      <c r="I331" s="22"/>
      <c r="J331" s="22"/>
      <c r="K331" s="23"/>
    </row>
    <row r="332" customFormat="false" ht="15" hidden="false" customHeight="true" outlineLevel="0" collapsed="false">
      <c r="A332" s="23"/>
      <c r="B332" s="23"/>
      <c r="C332" s="23"/>
      <c r="D332" s="23"/>
      <c r="E332" s="23"/>
      <c r="F332" s="23"/>
      <c r="G332" s="23"/>
      <c r="H332" s="22"/>
      <c r="I332" s="22"/>
      <c r="J332" s="22"/>
      <c r="K332" s="23"/>
    </row>
    <row r="333" customFormat="false" ht="15" hidden="false" customHeight="true" outlineLevel="0" collapsed="false">
      <c r="A333" s="23"/>
      <c r="B333" s="23"/>
      <c r="C333" s="23"/>
      <c r="D333" s="23"/>
      <c r="E333" s="23"/>
      <c r="F333" s="23"/>
      <c r="G333" s="23"/>
      <c r="H333" s="22"/>
      <c r="I333" s="22"/>
      <c r="J333" s="22"/>
      <c r="K333" s="23"/>
    </row>
    <row r="334" customFormat="false" ht="15" hidden="false" customHeight="true" outlineLevel="0" collapsed="false">
      <c r="A334" s="23"/>
      <c r="B334" s="23"/>
      <c r="C334" s="23"/>
      <c r="D334" s="23"/>
      <c r="E334" s="23"/>
      <c r="F334" s="23"/>
      <c r="G334" s="23"/>
      <c r="H334" s="22"/>
      <c r="I334" s="22"/>
      <c r="J334" s="22"/>
      <c r="K334" s="23"/>
    </row>
    <row r="335" customFormat="false" ht="15" hidden="false" customHeight="true" outlineLevel="0" collapsed="false">
      <c r="A335" s="23"/>
      <c r="B335" s="23"/>
      <c r="C335" s="23"/>
      <c r="D335" s="23"/>
      <c r="E335" s="23"/>
      <c r="F335" s="23"/>
      <c r="G335" s="23"/>
      <c r="H335" s="22"/>
      <c r="I335" s="22"/>
      <c r="J335" s="22"/>
      <c r="K335" s="23"/>
    </row>
    <row r="336" customFormat="false" ht="15" hidden="false" customHeight="true" outlineLevel="0" collapsed="false">
      <c r="A336" s="23"/>
      <c r="B336" s="23"/>
      <c r="C336" s="23"/>
      <c r="D336" s="23"/>
      <c r="E336" s="23"/>
      <c r="F336" s="23"/>
      <c r="G336" s="23"/>
      <c r="H336" s="22"/>
      <c r="I336" s="22"/>
      <c r="J336" s="22"/>
      <c r="K336" s="23"/>
    </row>
    <row r="337" customFormat="false" ht="15" hidden="false" customHeight="true" outlineLevel="0" collapsed="false">
      <c r="A337" s="23"/>
      <c r="B337" s="23"/>
      <c r="C337" s="23"/>
      <c r="D337" s="23"/>
      <c r="E337" s="23"/>
      <c r="F337" s="23"/>
      <c r="G337" s="23"/>
      <c r="H337" s="22"/>
      <c r="I337" s="22"/>
      <c r="J337" s="22"/>
      <c r="K337" s="23"/>
    </row>
    <row r="338" customFormat="false" ht="15" hidden="false" customHeight="true" outlineLevel="0" collapsed="false">
      <c r="A338" s="23"/>
      <c r="B338" s="23"/>
      <c r="C338" s="23"/>
      <c r="D338" s="23"/>
      <c r="E338" s="23"/>
      <c r="F338" s="23"/>
      <c r="G338" s="23"/>
      <c r="H338" s="22"/>
      <c r="I338" s="22"/>
      <c r="J338" s="22"/>
      <c r="K338" s="23"/>
    </row>
    <row r="339" customFormat="false" ht="15" hidden="false" customHeight="true" outlineLevel="0" collapsed="false">
      <c r="A339" s="23"/>
      <c r="B339" s="23"/>
      <c r="C339" s="23"/>
      <c r="D339" s="23"/>
      <c r="E339" s="23"/>
      <c r="F339" s="23"/>
      <c r="G339" s="23"/>
      <c r="H339" s="22"/>
      <c r="I339" s="22"/>
      <c r="J339" s="22"/>
      <c r="K339" s="23"/>
    </row>
    <row r="340" customFormat="false" ht="15" hidden="false" customHeight="true" outlineLevel="0" collapsed="false">
      <c r="A340" s="23"/>
      <c r="B340" s="23"/>
      <c r="C340" s="23"/>
      <c r="D340" s="23"/>
      <c r="E340" s="23"/>
      <c r="F340" s="23"/>
      <c r="G340" s="23"/>
      <c r="H340" s="22"/>
      <c r="I340" s="22"/>
      <c r="J340" s="22"/>
      <c r="K340" s="23"/>
    </row>
    <row r="341" customFormat="false" ht="15" hidden="false" customHeight="true" outlineLevel="0" collapsed="false">
      <c r="A341" s="23"/>
      <c r="B341" s="23"/>
      <c r="C341" s="23"/>
      <c r="D341" s="23"/>
      <c r="E341" s="23"/>
      <c r="F341" s="23"/>
      <c r="G341" s="23"/>
      <c r="H341" s="22"/>
      <c r="I341" s="22"/>
      <c r="J341" s="22"/>
      <c r="K341" s="23"/>
    </row>
    <row r="342" customFormat="false" ht="15" hidden="false" customHeight="true" outlineLevel="0" collapsed="false">
      <c r="A342" s="23"/>
      <c r="B342" s="23"/>
      <c r="C342" s="23"/>
      <c r="D342" s="23"/>
      <c r="E342" s="23"/>
      <c r="F342" s="23"/>
      <c r="G342" s="23"/>
      <c r="H342" s="22"/>
      <c r="I342" s="22"/>
      <c r="J342" s="22"/>
      <c r="K342" s="23"/>
    </row>
    <row r="343" customFormat="false" ht="15" hidden="false" customHeight="true" outlineLevel="0" collapsed="false">
      <c r="A343" s="23"/>
      <c r="B343" s="23"/>
      <c r="C343" s="23"/>
      <c r="D343" s="23"/>
      <c r="E343" s="23"/>
      <c r="F343" s="23"/>
      <c r="G343" s="23"/>
      <c r="H343" s="22"/>
      <c r="I343" s="22"/>
      <c r="J343" s="22"/>
      <c r="K343" s="23"/>
    </row>
    <row r="344" customFormat="false" ht="15" hidden="false" customHeight="true" outlineLevel="0" collapsed="false">
      <c r="A344" s="23"/>
      <c r="B344" s="23"/>
      <c r="C344" s="23"/>
      <c r="D344" s="23"/>
      <c r="E344" s="23"/>
      <c r="F344" s="23"/>
      <c r="G344" s="23"/>
      <c r="H344" s="22"/>
      <c r="I344" s="22"/>
      <c r="J344" s="22"/>
      <c r="K344" s="23"/>
    </row>
    <row r="345" customFormat="false" ht="15" hidden="false" customHeight="true" outlineLevel="0" collapsed="false">
      <c r="A345" s="23"/>
      <c r="B345" s="23"/>
      <c r="C345" s="23"/>
      <c r="D345" s="23"/>
      <c r="E345" s="23"/>
      <c r="F345" s="23"/>
      <c r="G345" s="23"/>
      <c r="H345" s="22"/>
      <c r="I345" s="22"/>
      <c r="J345" s="22"/>
      <c r="K345" s="23"/>
    </row>
    <row r="346" customFormat="false" ht="15" hidden="false" customHeight="true" outlineLevel="0" collapsed="false">
      <c r="A346" s="23"/>
      <c r="B346" s="23"/>
      <c r="C346" s="23"/>
      <c r="D346" s="23"/>
      <c r="E346" s="23"/>
      <c r="F346" s="23"/>
      <c r="G346" s="23"/>
      <c r="H346" s="22"/>
      <c r="I346" s="22"/>
      <c r="J346" s="22"/>
      <c r="K346" s="23"/>
    </row>
    <row r="347" customFormat="false" ht="15" hidden="false" customHeight="true" outlineLevel="0" collapsed="false">
      <c r="A347" s="23"/>
      <c r="B347" s="23"/>
      <c r="C347" s="23"/>
      <c r="D347" s="23"/>
      <c r="E347" s="23"/>
      <c r="F347" s="23"/>
      <c r="G347" s="23"/>
      <c r="H347" s="22"/>
      <c r="I347" s="22"/>
      <c r="J347" s="22"/>
      <c r="K347" s="23"/>
    </row>
    <row r="348" customFormat="false" ht="15" hidden="false" customHeight="true" outlineLevel="0" collapsed="false">
      <c r="A348" s="23"/>
      <c r="B348" s="23"/>
      <c r="C348" s="23"/>
      <c r="D348" s="23"/>
      <c r="E348" s="23"/>
      <c r="F348" s="23"/>
      <c r="G348" s="23"/>
      <c r="H348" s="22"/>
      <c r="I348" s="22"/>
      <c r="J348" s="22"/>
      <c r="K348" s="23"/>
    </row>
    <row r="349" customFormat="false" ht="15" hidden="false" customHeight="true" outlineLevel="0" collapsed="false">
      <c r="A349" s="23"/>
      <c r="B349" s="23"/>
      <c r="C349" s="23"/>
      <c r="D349" s="23"/>
      <c r="E349" s="23"/>
      <c r="F349" s="23"/>
      <c r="G349" s="23"/>
      <c r="H349" s="22"/>
      <c r="I349" s="22"/>
      <c r="J349" s="22"/>
      <c r="K349" s="23"/>
    </row>
    <row r="350" customFormat="false" ht="15" hidden="false" customHeight="true" outlineLevel="0" collapsed="false">
      <c r="A350" s="23"/>
      <c r="B350" s="23"/>
      <c r="C350" s="23"/>
      <c r="D350" s="23"/>
      <c r="E350" s="23"/>
      <c r="F350" s="23"/>
      <c r="G350" s="23"/>
      <c r="H350" s="22"/>
      <c r="I350" s="22"/>
      <c r="J350" s="22"/>
      <c r="K350" s="23"/>
    </row>
    <row r="351" customFormat="false" ht="15" hidden="false" customHeight="true" outlineLevel="0" collapsed="false">
      <c r="A351" s="23"/>
      <c r="B351" s="23"/>
      <c r="C351" s="23"/>
      <c r="D351" s="23"/>
      <c r="E351" s="23"/>
      <c r="F351" s="23"/>
      <c r="G351" s="23"/>
      <c r="H351" s="22"/>
      <c r="I351" s="22"/>
      <c r="J351" s="22"/>
      <c r="K351" s="23"/>
    </row>
    <row r="352" customFormat="false" ht="15" hidden="false" customHeight="true" outlineLevel="0" collapsed="false">
      <c r="A352" s="23"/>
      <c r="B352" s="23"/>
      <c r="C352" s="23"/>
      <c r="D352" s="23"/>
      <c r="E352" s="23"/>
      <c r="F352" s="23"/>
      <c r="G352" s="23"/>
      <c r="H352" s="22"/>
      <c r="I352" s="22"/>
      <c r="J352" s="22"/>
      <c r="K352" s="23"/>
    </row>
    <row r="353" customFormat="false" ht="15" hidden="false" customHeight="true" outlineLevel="0" collapsed="false">
      <c r="A353" s="23"/>
      <c r="B353" s="23"/>
      <c r="C353" s="23"/>
      <c r="D353" s="23"/>
      <c r="E353" s="23"/>
      <c r="F353" s="23"/>
      <c r="G353" s="23"/>
      <c r="H353" s="22"/>
      <c r="I353" s="22"/>
      <c r="J353" s="22"/>
      <c r="K353" s="23"/>
    </row>
    <row r="354" customFormat="false" ht="15" hidden="false" customHeight="true" outlineLevel="0" collapsed="false">
      <c r="A354" s="23"/>
      <c r="B354" s="23"/>
      <c r="C354" s="23"/>
      <c r="D354" s="23"/>
      <c r="E354" s="23"/>
      <c r="F354" s="23"/>
      <c r="G354" s="23"/>
      <c r="H354" s="22"/>
      <c r="I354" s="22"/>
      <c r="J354" s="22"/>
      <c r="K354" s="23"/>
    </row>
    <row r="355" customFormat="false" ht="15" hidden="false" customHeight="true" outlineLevel="0" collapsed="false">
      <c r="A355" s="23"/>
      <c r="B355" s="23"/>
      <c r="C355" s="23"/>
      <c r="D355" s="23"/>
      <c r="E355" s="23"/>
      <c r="F355" s="23"/>
      <c r="G355" s="23"/>
      <c r="H355" s="22"/>
      <c r="I355" s="22"/>
      <c r="J355" s="22"/>
      <c r="K355" s="23"/>
    </row>
    <row r="356" customFormat="false" ht="15" hidden="false" customHeight="true" outlineLevel="0" collapsed="false">
      <c r="A356" s="23"/>
      <c r="B356" s="23"/>
      <c r="C356" s="23"/>
      <c r="D356" s="23"/>
      <c r="E356" s="23"/>
      <c r="F356" s="23"/>
      <c r="G356" s="23"/>
      <c r="H356" s="22"/>
      <c r="I356" s="22"/>
      <c r="J356" s="22"/>
      <c r="K356" s="23"/>
    </row>
    <row r="357" customFormat="false" ht="15" hidden="false" customHeight="true" outlineLevel="0" collapsed="false">
      <c r="A357" s="23"/>
      <c r="B357" s="23"/>
      <c r="C357" s="23"/>
      <c r="D357" s="23"/>
      <c r="E357" s="23"/>
      <c r="F357" s="23"/>
      <c r="G357" s="23"/>
      <c r="H357" s="22"/>
      <c r="I357" s="22"/>
      <c r="J357" s="22"/>
      <c r="K357" s="23"/>
    </row>
    <row r="358" customFormat="false" ht="15" hidden="false" customHeight="true" outlineLevel="0" collapsed="false">
      <c r="A358" s="23"/>
      <c r="B358" s="23"/>
      <c r="C358" s="23"/>
      <c r="D358" s="23"/>
      <c r="E358" s="23"/>
      <c r="F358" s="23"/>
      <c r="G358" s="23"/>
      <c r="H358" s="22"/>
      <c r="I358" s="22"/>
      <c r="J358" s="22"/>
      <c r="K358" s="23"/>
    </row>
    <row r="359" customFormat="false" ht="15" hidden="false" customHeight="true" outlineLevel="0" collapsed="false">
      <c r="A359" s="23"/>
      <c r="B359" s="23"/>
      <c r="C359" s="23"/>
      <c r="D359" s="23"/>
      <c r="E359" s="23"/>
      <c r="F359" s="23"/>
      <c r="G359" s="23"/>
      <c r="H359" s="22"/>
      <c r="I359" s="22"/>
      <c r="J359" s="22"/>
      <c r="K359" s="23"/>
    </row>
    <row r="360" customFormat="false" ht="15" hidden="false" customHeight="true" outlineLevel="0" collapsed="false">
      <c r="A360" s="23"/>
      <c r="B360" s="23"/>
      <c r="C360" s="23"/>
      <c r="D360" s="23"/>
      <c r="E360" s="23"/>
      <c r="F360" s="23"/>
      <c r="G360" s="23"/>
      <c r="H360" s="22"/>
      <c r="I360" s="22"/>
      <c r="J360" s="22"/>
      <c r="K360" s="23"/>
    </row>
    <row r="361" customFormat="false" ht="15" hidden="false" customHeight="true" outlineLevel="0" collapsed="false">
      <c r="A361" s="23"/>
      <c r="B361" s="23"/>
      <c r="C361" s="23"/>
      <c r="D361" s="23"/>
      <c r="E361" s="23"/>
      <c r="F361" s="23"/>
      <c r="G361" s="23"/>
      <c r="H361" s="22"/>
      <c r="I361" s="22"/>
      <c r="J361" s="22"/>
      <c r="K361" s="23"/>
    </row>
    <row r="362" customFormat="false" ht="15" hidden="false" customHeight="true" outlineLevel="0" collapsed="false">
      <c r="A362" s="23"/>
      <c r="B362" s="23"/>
      <c r="C362" s="23"/>
      <c r="D362" s="23"/>
      <c r="E362" s="23"/>
      <c r="F362" s="23"/>
      <c r="G362" s="23"/>
      <c r="H362" s="22"/>
      <c r="I362" s="22"/>
      <c r="J362" s="22"/>
      <c r="K362" s="23"/>
    </row>
    <row r="363" customFormat="false" ht="15" hidden="false" customHeight="true" outlineLevel="0" collapsed="false">
      <c r="A363" s="23"/>
      <c r="B363" s="23"/>
      <c r="C363" s="23"/>
      <c r="D363" s="23"/>
      <c r="E363" s="23"/>
      <c r="F363" s="23"/>
      <c r="G363" s="23"/>
      <c r="H363" s="22"/>
      <c r="I363" s="22"/>
      <c r="J363" s="22"/>
      <c r="K363" s="23"/>
    </row>
    <row r="364" customFormat="false" ht="15" hidden="false" customHeight="true" outlineLevel="0" collapsed="false">
      <c r="A364" s="23"/>
      <c r="B364" s="23"/>
      <c r="C364" s="23"/>
      <c r="D364" s="23"/>
      <c r="E364" s="23"/>
      <c r="F364" s="23"/>
      <c r="G364" s="23"/>
      <c r="H364" s="22"/>
      <c r="I364" s="22"/>
      <c r="J364" s="22"/>
      <c r="K364" s="23"/>
    </row>
    <row r="365" customFormat="false" ht="15" hidden="false" customHeight="true" outlineLevel="0" collapsed="false">
      <c r="A365" s="23"/>
      <c r="B365" s="23"/>
      <c r="C365" s="23"/>
      <c r="D365" s="23"/>
      <c r="E365" s="23"/>
      <c r="F365" s="23"/>
      <c r="G365" s="23"/>
      <c r="H365" s="22"/>
      <c r="I365" s="22"/>
      <c r="J365" s="22"/>
      <c r="K365" s="23"/>
    </row>
    <row r="366" customFormat="false" ht="15" hidden="false" customHeight="true" outlineLevel="0" collapsed="false">
      <c r="A366" s="23"/>
      <c r="B366" s="23"/>
      <c r="C366" s="23"/>
      <c r="D366" s="23"/>
      <c r="E366" s="23"/>
      <c r="F366" s="23"/>
      <c r="G366" s="23"/>
      <c r="H366" s="22"/>
      <c r="I366" s="22"/>
      <c r="J366" s="22"/>
      <c r="K366" s="23"/>
    </row>
    <row r="367" customFormat="false" ht="15" hidden="false" customHeight="true" outlineLevel="0" collapsed="false">
      <c r="A367" s="23"/>
      <c r="B367" s="23"/>
      <c r="C367" s="23"/>
      <c r="D367" s="23"/>
      <c r="E367" s="23"/>
      <c r="F367" s="23"/>
      <c r="G367" s="23"/>
      <c r="H367" s="22"/>
      <c r="I367" s="22"/>
      <c r="J367" s="22"/>
      <c r="K367" s="23"/>
    </row>
    <row r="368" customFormat="false" ht="15" hidden="false" customHeight="true" outlineLevel="0" collapsed="false">
      <c r="A368" s="23"/>
      <c r="B368" s="23"/>
      <c r="C368" s="23"/>
      <c r="D368" s="23"/>
      <c r="E368" s="23"/>
      <c r="F368" s="23"/>
      <c r="G368" s="23"/>
      <c r="H368" s="22"/>
      <c r="I368" s="22"/>
      <c r="J368" s="22"/>
      <c r="K368" s="23"/>
    </row>
    <row r="369" customFormat="false" ht="15" hidden="false" customHeight="true" outlineLevel="0" collapsed="false">
      <c r="A369" s="23"/>
      <c r="B369" s="23"/>
      <c r="C369" s="23"/>
      <c r="D369" s="23"/>
      <c r="E369" s="23"/>
      <c r="F369" s="23"/>
      <c r="G369" s="23"/>
      <c r="H369" s="22"/>
      <c r="I369" s="22"/>
      <c r="J369" s="22"/>
      <c r="K369" s="23"/>
    </row>
    <row r="370" customFormat="false" ht="15" hidden="false" customHeight="true" outlineLevel="0" collapsed="false">
      <c r="A370" s="23"/>
      <c r="B370" s="23"/>
      <c r="C370" s="23"/>
      <c r="D370" s="23"/>
      <c r="E370" s="23"/>
      <c r="F370" s="23"/>
      <c r="G370" s="23"/>
      <c r="H370" s="22"/>
      <c r="I370" s="22"/>
      <c r="J370" s="22"/>
      <c r="K370" s="23"/>
    </row>
    <row r="371" customFormat="false" ht="15" hidden="false" customHeight="true" outlineLevel="0" collapsed="false">
      <c r="A371" s="23"/>
      <c r="B371" s="23"/>
      <c r="C371" s="23"/>
      <c r="D371" s="23"/>
      <c r="E371" s="23"/>
      <c r="F371" s="23"/>
      <c r="G371" s="23"/>
      <c r="H371" s="22"/>
      <c r="I371" s="22"/>
      <c r="J371" s="22"/>
      <c r="K371" s="23"/>
    </row>
    <row r="372" customFormat="false" ht="15" hidden="false" customHeight="true" outlineLevel="0" collapsed="false">
      <c r="A372" s="23"/>
      <c r="B372" s="23"/>
      <c r="C372" s="23"/>
      <c r="D372" s="23"/>
      <c r="E372" s="23"/>
      <c r="F372" s="23"/>
      <c r="G372" s="23"/>
      <c r="H372" s="22"/>
      <c r="I372" s="22"/>
      <c r="J372" s="22"/>
      <c r="K372" s="23"/>
    </row>
    <row r="373" customFormat="false" ht="15" hidden="false" customHeight="true" outlineLevel="0" collapsed="false">
      <c r="A373" s="23"/>
      <c r="B373" s="23"/>
      <c r="C373" s="23"/>
      <c r="D373" s="23"/>
      <c r="E373" s="23"/>
      <c r="F373" s="23"/>
      <c r="G373" s="23"/>
      <c r="H373" s="22"/>
      <c r="I373" s="22"/>
      <c r="J373" s="22"/>
      <c r="K373" s="23"/>
    </row>
    <row r="374" customFormat="false" ht="15" hidden="false" customHeight="true" outlineLevel="0" collapsed="false">
      <c r="A374" s="23"/>
      <c r="B374" s="23"/>
      <c r="C374" s="23"/>
      <c r="D374" s="23"/>
      <c r="E374" s="23"/>
      <c r="F374" s="23"/>
      <c r="G374" s="23"/>
      <c r="H374" s="22"/>
      <c r="I374" s="22"/>
      <c r="J374" s="22"/>
      <c r="K374" s="23"/>
    </row>
    <row r="375" customFormat="false" ht="15" hidden="false" customHeight="true" outlineLevel="0" collapsed="false">
      <c r="A375" s="23"/>
      <c r="B375" s="23"/>
      <c r="C375" s="23"/>
      <c r="D375" s="23"/>
      <c r="E375" s="23"/>
      <c r="F375" s="23"/>
      <c r="G375" s="23"/>
      <c r="H375" s="22"/>
      <c r="I375" s="22"/>
      <c r="J375" s="22"/>
      <c r="K375" s="23"/>
    </row>
    <row r="376" customFormat="false" ht="15" hidden="false" customHeight="true" outlineLevel="0" collapsed="false">
      <c r="A376" s="23"/>
      <c r="B376" s="23"/>
      <c r="C376" s="23"/>
      <c r="D376" s="23"/>
      <c r="E376" s="23"/>
      <c r="F376" s="23"/>
      <c r="G376" s="23"/>
      <c r="H376" s="22"/>
      <c r="I376" s="22"/>
      <c r="J376" s="22"/>
      <c r="K376" s="23"/>
    </row>
    <row r="377" customFormat="false" ht="15" hidden="false" customHeight="true" outlineLevel="0" collapsed="false">
      <c r="A377" s="23"/>
      <c r="B377" s="23"/>
      <c r="C377" s="23"/>
      <c r="D377" s="23"/>
      <c r="E377" s="23"/>
      <c r="F377" s="23"/>
      <c r="G377" s="23"/>
      <c r="H377" s="22"/>
      <c r="I377" s="22"/>
      <c r="J377" s="22"/>
      <c r="K377" s="23"/>
    </row>
    <row r="378" customFormat="false" ht="15" hidden="false" customHeight="true" outlineLevel="0" collapsed="false">
      <c r="A378" s="23"/>
      <c r="B378" s="23"/>
      <c r="C378" s="23"/>
      <c r="D378" s="23"/>
      <c r="E378" s="23"/>
      <c r="F378" s="23"/>
      <c r="G378" s="23"/>
      <c r="H378" s="22"/>
      <c r="I378" s="22"/>
      <c r="J378" s="22"/>
      <c r="K378" s="23"/>
    </row>
    <row r="379" customFormat="false" ht="15" hidden="false" customHeight="true" outlineLevel="0" collapsed="false">
      <c r="A379" s="23"/>
      <c r="B379" s="23"/>
      <c r="C379" s="23"/>
      <c r="D379" s="23"/>
      <c r="E379" s="23"/>
      <c r="F379" s="23"/>
      <c r="G379" s="23"/>
      <c r="H379" s="22"/>
      <c r="I379" s="22"/>
      <c r="J379" s="22"/>
      <c r="K379" s="23"/>
    </row>
    <row r="380" customFormat="false" ht="15" hidden="false" customHeight="true" outlineLevel="0" collapsed="false">
      <c r="A380" s="23"/>
      <c r="B380" s="23"/>
      <c r="C380" s="23"/>
      <c r="D380" s="23"/>
      <c r="E380" s="23"/>
      <c r="F380" s="23"/>
      <c r="G380" s="23"/>
      <c r="H380" s="22"/>
      <c r="I380" s="22"/>
      <c r="J380" s="22"/>
      <c r="K380" s="23"/>
    </row>
    <row r="381" customFormat="false" ht="15" hidden="false" customHeight="true" outlineLevel="0" collapsed="false">
      <c r="A381" s="23"/>
      <c r="B381" s="23"/>
      <c r="C381" s="23"/>
      <c r="D381" s="23"/>
      <c r="E381" s="23"/>
      <c r="F381" s="23"/>
      <c r="G381" s="23"/>
      <c r="H381" s="22"/>
      <c r="I381" s="22"/>
      <c r="J381" s="22"/>
      <c r="K381" s="23"/>
    </row>
    <row r="382" customFormat="false" ht="15" hidden="false" customHeight="true" outlineLevel="0" collapsed="false">
      <c r="A382" s="23"/>
      <c r="B382" s="23"/>
      <c r="C382" s="23"/>
      <c r="D382" s="23"/>
      <c r="E382" s="23"/>
      <c r="F382" s="23"/>
      <c r="G382" s="23"/>
      <c r="H382" s="22"/>
      <c r="I382" s="22"/>
      <c r="J382" s="22"/>
      <c r="K382" s="23"/>
    </row>
    <row r="383" customFormat="false" ht="15" hidden="false" customHeight="true" outlineLevel="0" collapsed="false">
      <c r="A383" s="23"/>
      <c r="B383" s="23"/>
      <c r="C383" s="23"/>
      <c r="D383" s="23"/>
      <c r="E383" s="23"/>
      <c r="F383" s="23"/>
      <c r="G383" s="23"/>
      <c r="H383" s="22"/>
      <c r="I383" s="22"/>
      <c r="J383" s="22"/>
      <c r="K383" s="23"/>
    </row>
    <row r="384" customFormat="false" ht="15" hidden="false" customHeight="true" outlineLevel="0" collapsed="false">
      <c r="A384" s="23"/>
      <c r="B384" s="23"/>
      <c r="C384" s="23"/>
      <c r="D384" s="23"/>
      <c r="E384" s="23"/>
      <c r="F384" s="23"/>
      <c r="G384" s="23"/>
      <c r="H384" s="22"/>
      <c r="I384" s="22"/>
      <c r="J384" s="22"/>
      <c r="K384" s="23"/>
    </row>
    <row r="385" customFormat="false" ht="15" hidden="false" customHeight="true" outlineLevel="0" collapsed="false">
      <c r="A385" s="23"/>
      <c r="B385" s="23"/>
      <c r="C385" s="23"/>
      <c r="D385" s="23"/>
      <c r="E385" s="23"/>
      <c r="F385" s="23"/>
      <c r="G385" s="23"/>
      <c r="H385" s="22"/>
      <c r="I385" s="22"/>
      <c r="J385" s="22"/>
      <c r="K385" s="23"/>
    </row>
    <row r="386" customFormat="false" ht="15" hidden="false" customHeight="true" outlineLevel="0" collapsed="false">
      <c r="A386" s="23"/>
      <c r="B386" s="23"/>
      <c r="C386" s="23"/>
      <c r="D386" s="23"/>
      <c r="E386" s="23"/>
      <c r="F386" s="23"/>
      <c r="G386" s="23"/>
      <c r="H386" s="22"/>
      <c r="I386" s="22"/>
      <c r="J386" s="22"/>
      <c r="K386" s="23"/>
    </row>
    <row r="387" customFormat="false" ht="15" hidden="false" customHeight="true" outlineLevel="0" collapsed="false">
      <c r="A387" s="23"/>
      <c r="B387" s="23"/>
      <c r="C387" s="23"/>
      <c r="D387" s="23"/>
      <c r="E387" s="23"/>
      <c r="F387" s="23"/>
      <c r="G387" s="23"/>
      <c r="H387" s="22"/>
      <c r="I387" s="22"/>
      <c r="J387" s="22"/>
      <c r="K387" s="23"/>
    </row>
    <row r="388" customFormat="false" ht="15" hidden="false" customHeight="true" outlineLevel="0" collapsed="false">
      <c r="A388" s="23"/>
      <c r="B388" s="23"/>
      <c r="C388" s="23"/>
      <c r="D388" s="23"/>
      <c r="E388" s="23"/>
      <c r="F388" s="23"/>
      <c r="G388" s="23"/>
      <c r="H388" s="22"/>
      <c r="I388" s="22"/>
      <c r="J388" s="22"/>
      <c r="K388" s="23"/>
    </row>
    <row r="389" customFormat="false" ht="15" hidden="false" customHeight="true" outlineLevel="0" collapsed="false">
      <c r="A389" s="23"/>
      <c r="B389" s="23"/>
      <c r="C389" s="23"/>
      <c r="D389" s="23"/>
      <c r="E389" s="23"/>
      <c r="F389" s="23"/>
      <c r="G389" s="23"/>
      <c r="H389" s="22"/>
      <c r="I389" s="22"/>
      <c r="J389" s="22"/>
      <c r="K389" s="23"/>
    </row>
    <row r="390" customFormat="false" ht="15" hidden="false" customHeight="true" outlineLevel="0" collapsed="false">
      <c r="A390" s="23"/>
      <c r="B390" s="23"/>
      <c r="C390" s="23"/>
      <c r="D390" s="23"/>
      <c r="E390" s="23"/>
      <c r="F390" s="23"/>
      <c r="G390" s="23"/>
      <c r="H390" s="22"/>
      <c r="I390" s="22"/>
      <c r="J390" s="22"/>
      <c r="K390" s="23"/>
    </row>
    <row r="391" customFormat="false" ht="15" hidden="false" customHeight="true" outlineLevel="0" collapsed="false">
      <c r="A391" s="23"/>
      <c r="B391" s="23"/>
      <c r="C391" s="23"/>
      <c r="D391" s="23"/>
      <c r="E391" s="23"/>
      <c r="F391" s="23"/>
      <c r="G391" s="23"/>
      <c r="H391" s="22"/>
      <c r="I391" s="22"/>
      <c r="J391" s="22"/>
      <c r="K391" s="23"/>
    </row>
    <row r="392" customFormat="false" ht="15" hidden="false" customHeight="true" outlineLevel="0" collapsed="false">
      <c r="A392" s="23"/>
      <c r="B392" s="23"/>
      <c r="C392" s="23"/>
      <c r="D392" s="23"/>
      <c r="E392" s="23"/>
      <c r="F392" s="23"/>
      <c r="G392" s="23"/>
      <c r="H392" s="22"/>
      <c r="I392" s="22"/>
      <c r="J392" s="22"/>
      <c r="K392" s="23"/>
    </row>
    <row r="393" customFormat="false" ht="15" hidden="false" customHeight="true" outlineLevel="0" collapsed="false">
      <c r="A393" s="23"/>
      <c r="B393" s="23"/>
      <c r="C393" s="23"/>
      <c r="D393" s="23"/>
      <c r="E393" s="23"/>
      <c r="F393" s="23"/>
      <c r="G393" s="23"/>
      <c r="H393" s="22"/>
      <c r="I393" s="22"/>
      <c r="J393" s="22"/>
      <c r="K393" s="23"/>
    </row>
    <row r="394" customFormat="false" ht="15" hidden="false" customHeight="true" outlineLevel="0" collapsed="false">
      <c r="A394" s="23"/>
      <c r="B394" s="23"/>
      <c r="C394" s="23"/>
      <c r="D394" s="23"/>
      <c r="E394" s="23"/>
      <c r="F394" s="23"/>
      <c r="G394" s="23"/>
      <c r="H394" s="22"/>
      <c r="I394" s="22"/>
      <c r="J394" s="22"/>
      <c r="K394" s="23"/>
    </row>
    <row r="395" customFormat="false" ht="15" hidden="false" customHeight="true" outlineLevel="0" collapsed="false">
      <c r="A395" s="23"/>
      <c r="B395" s="23"/>
      <c r="C395" s="23"/>
      <c r="D395" s="23"/>
      <c r="E395" s="23"/>
      <c r="F395" s="23"/>
      <c r="G395" s="23"/>
      <c r="H395" s="22"/>
      <c r="I395" s="22"/>
      <c r="J395" s="22"/>
      <c r="K395" s="23"/>
    </row>
    <row r="396" customFormat="false" ht="15" hidden="false" customHeight="true" outlineLevel="0" collapsed="false">
      <c r="A396" s="23"/>
      <c r="B396" s="23"/>
      <c r="C396" s="23"/>
      <c r="D396" s="23"/>
      <c r="E396" s="23"/>
      <c r="F396" s="23"/>
      <c r="G396" s="23"/>
      <c r="H396" s="22"/>
      <c r="I396" s="22"/>
      <c r="J396" s="22"/>
      <c r="K396" s="23"/>
    </row>
    <row r="397" customFormat="false" ht="15" hidden="false" customHeight="true" outlineLevel="0" collapsed="false">
      <c r="A397" s="23"/>
      <c r="B397" s="23"/>
      <c r="C397" s="23"/>
      <c r="D397" s="23"/>
      <c r="E397" s="23"/>
      <c r="F397" s="23"/>
      <c r="G397" s="23"/>
      <c r="H397" s="22"/>
      <c r="I397" s="22"/>
      <c r="J397" s="22"/>
      <c r="K397" s="23"/>
    </row>
    <row r="398" customFormat="false" ht="15" hidden="false" customHeight="true" outlineLevel="0" collapsed="false">
      <c r="A398" s="23"/>
      <c r="B398" s="23"/>
      <c r="C398" s="23"/>
      <c r="D398" s="23"/>
      <c r="E398" s="23"/>
      <c r="F398" s="23"/>
      <c r="G398" s="23"/>
      <c r="H398" s="22"/>
      <c r="I398" s="22"/>
      <c r="J398" s="22"/>
      <c r="K398" s="23"/>
    </row>
    <row r="399" customFormat="false" ht="15" hidden="false" customHeight="true" outlineLevel="0" collapsed="false">
      <c r="A399" s="23"/>
      <c r="B399" s="23"/>
      <c r="C399" s="23"/>
      <c r="D399" s="23"/>
      <c r="E399" s="23"/>
      <c r="F399" s="23"/>
      <c r="G399" s="23"/>
      <c r="H399" s="22"/>
      <c r="I399" s="22"/>
      <c r="J399" s="22"/>
      <c r="K399" s="23"/>
    </row>
    <row r="400" customFormat="false" ht="15" hidden="false" customHeight="true" outlineLevel="0" collapsed="false">
      <c r="A400" s="23"/>
      <c r="B400" s="23"/>
      <c r="C400" s="23"/>
      <c r="D400" s="23"/>
      <c r="E400" s="23"/>
      <c r="F400" s="23"/>
      <c r="G400" s="23"/>
      <c r="H400" s="22"/>
      <c r="I400" s="22"/>
      <c r="J400" s="22"/>
      <c r="K400" s="23"/>
    </row>
    <row r="401" customFormat="false" ht="15" hidden="false" customHeight="true" outlineLevel="0" collapsed="false">
      <c r="A401" s="23"/>
      <c r="B401" s="23"/>
      <c r="C401" s="23"/>
      <c r="D401" s="23"/>
      <c r="E401" s="23"/>
      <c r="F401" s="23"/>
      <c r="G401" s="23"/>
      <c r="H401" s="22"/>
      <c r="I401" s="22"/>
      <c r="J401" s="22"/>
      <c r="K401" s="23"/>
    </row>
    <row r="402" customFormat="false" ht="15" hidden="false" customHeight="true" outlineLevel="0" collapsed="false">
      <c r="A402" s="23"/>
      <c r="B402" s="23"/>
      <c r="C402" s="23"/>
      <c r="D402" s="23"/>
      <c r="E402" s="23"/>
      <c r="F402" s="23"/>
      <c r="G402" s="23"/>
      <c r="H402" s="22"/>
      <c r="I402" s="22"/>
      <c r="J402" s="22"/>
      <c r="K402" s="23"/>
    </row>
    <row r="403" customFormat="false" ht="15" hidden="false" customHeight="true" outlineLevel="0" collapsed="false">
      <c r="A403" s="23"/>
      <c r="B403" s="23"/>
      <c r="C403" s="23"/>
      <c r="D403" s="23"/>
      <c r="E403" s="23"/>
      <c r="F403" s="23"/>
      <c r="G403" s="23"/>
      <c r="H403" s="22"/>
      <c r="I403" s="22"/>
      <c r="J403" s="22"/>
      <c r="K403" s="23"/>
    </row>
    <row r="404" customFormat="false" ht="15" hidden="false" customHeight="true" outlineLevel="0" collapsed="false">
      <c r="A404" s="23"/>
      <c r="B404" s="23"/>
      <c r="C404" s="23"/>
      <c r="D404" s="23"/>
      <c r="E404" s="23"/>
      <c r="F404" s="23"/>
      <c r="G404" s="23"/>
      <c r="H404" s="22"/>
      <c r="I404" s="22"/>
      <c r="J404" s="22"/>
      <c r="K404" s="23"/>
    </row>
    <row r="405" customFormat="false" ht="15" hidden="false" customHeight="true" outlineLevel="0" collapsed="false">
      <c r="A405" s="23"/>
      <c r="B405" s="23"/>
      <c r="C405" s="23"/>
      <c r="D405" s="23"/>
      <c r="E405" s="23"/>
      <c r="F405" s="23"/>
      <c r="G405" s="23"/>
      <c r="H405" s="22"/>
      <c r="I405" s="22"/>
      <c r="J405" s="22"/>
      <c r="K405" s="23"/>
    </row>
    <row r="406" customFormat="false" ht="15" hidden="false" customHeight="true" outlineLevel="0" collapsed="false">
      <c r="A406" s="23"/>
      <c r="B406" s="23"/>
      <c r="C406" s="23"/>
      <c r="D406" s="23"/>
      <c r="E406" s="23"/>
      <c r="F406" s="23"/>
      <c r="G406" s="23"/>
      <c r="H406" s="22"/>
      <c r="I406" s="22"/>
      <c r="J406" s="22"/>
      <c r="K406" s="23"/>
    </row>
    <row r="407" customFormat="false" ht="15" hidden="false" customHeight="true" outlineLevel="0" collapsed="false">
      <c r="A407" s="23"/>
      <c r="B407" s="23"/>
      <c r="C407" s="23"/>
      <c r="D407" s="23"/>
      <c r="E407" s="23"/>
      <c r="F407" s="23"/>
      <c r="G407" s="23"/>
      <c r="H407" s="22"/>
      <c r="I407" s="22"/>
      <c r="J407" s="22"/>
      <c r="K407" s="23"/>
    </row>
    <row r="408" customFormat="false" ht="15" hidden="false" customHeight="true" outlineLevel="0" collapsed="false">
      <c r="A408" s="23"/>
      <c r="B408" s="23"/>
      <c r="C408" s="23"/>
      <c r="D408" s="23"/>
      <c r="E408" s="23"/>
      <c r="F408" s="23"/>
      <c r="G408" s="23"/>
      <c r="H408" s="22"/>
      <c r="I408" s="22"/>
      <c r="J408" s="22"/>
      <c r="K408" s="23"/>
    </row>
    <row r="409" customFormat="false" ht="15" hidden="false" customHeight="true" outlineLevel="0" collapsed="false">
      <c r="A409" s="23"/>
      <c r="B409" s="23"/>
      <c r="C409" s="23"/>
      <c r="D409" s="23"/>
      <c r="E409" s="23"/>
      <c r="F409" s="23"/>
      <c r="G409" s="23"/>
      <c r="H409" s="22"/>
      <c r="I409" s="22"/>
      <c r="J409" s="22"/>
      <c r="K409" s="23"/>
    </row>
    <row r="410" customFormat="false" ht="15" hidden="false" customHeight="true" outlineLevel="0" collapsed="false">
      <c r="A410" s="23"/>
      <c r="B410" s="23"/>
      <c r="C410" s="23"/>
      <c r="D410" s="23"/>
      <c r="E410" s="23"/>
      <c r="F410" s="23"/>
      <c r="G410" s="23"/>
      <c r="H410" s="22"/>
      <c r="I410" s="22"/>
      <c r="J410" s="22"/>
      <c r="K410" s="23"/>
    </row>
    <row r="411" customFormat="false" ht="15" hidden="false" customHeight="true" outlineLevel="0" collapsed="false">
      <c r="A411" s="23"/>
      <c r="B411" s="23"/>
      <c r="C411" s="23"/>
      <c r="D411" s="23"/>
      <c r="E411" s="23"/>
      <c r="F411" s="23"/>
      <c r="G411" s="23"/>
      <c r="H411" s="22"/>
      <c r="I411" s="22"/>
      <c r="J411" s="22"/>
      <c r="K411" s="23"/>
    </row>
    <row r="412" customFormat="false" ht="15" hidden="false" customHeight="true" outlineLevel="0" collapsed="false">
      <c r="A412" s="23"/>
      <c r="B412" s="23"/>
      <c r="C412" s="23"/>
      <c r="D412" s="23"/>
      <c r="E412" s="23"/>
      <c r="F412" s="23"/>
      <c r="G412" s="23"/>
      <c r="H412" s="22"/>
      <c r="I412" s="22"/>
      <c r="J412" s="22"/>
      <c r="K412" s="23"/>
    </row>
    <row r="413" customFormat="false" ht="15" hidden="false" customHeight="true" outlineLevel="0" collapsed="false">
      <c r="A413" s="23"/>
      <c r="B413" s="23"/>
      <c r="C413" s="23"/>
      <c r="D413" s="23"/>
      <c r="E413" s="23"/>
      <c r="F413" s="23"/>
      <c r="G413" s="23"/>
      <c r="H413" s="22"/>
      <c r="I413" s="22"/>
      <c r="J413" s="22"/>
      <c r="K413" s="23"/>
    </row>
    <row r="414" customFormat="false" ht="15" hidden="false" customHeight="true" outlineLevel="0" collapsed="false">
      <c r="A414" s="23"/>
      <c r="B414" s="23"/>
      <c r="C414" s="23"/>
      <c r="D414" s="23"/>
      <c r="E414" s="23"/>
      <c r="F414" s="23"/>
      <c r="G414" s="23"/>
      <c r="H414" s="22"/>
      <c r="I414" s="22"/>
      <c r="J414" s="22"/>
      <c r="K414" s="23"/>
    </row>
    <row r="415" customFormat="false" ht="15" hidden="false" customHeight="true" outlineLevel="0" collapsed="false">
      <c r="A415" s="23"/>
      <c r="B415" s="23"/>
      <c r="C415" s="23"/>
      <c r="D415" s="23"/>
      <c r="E415" s="23"/>
      <c r="F415" s="23"/>
      <c r="G415" s="23"/>
      <c r="H415" s="22"/>
      <c r="I415" s="22"/>
      <c r="J415" s="22"/>
      <c r="K415" s="23"/>
    </row>
    <row r="416" customFormat="false" ht="15" hidden="false" customHeight="true" outlineLevel="0" collapsed="false">
      <c r="A416" s="23"/>
      <c r="B416" s="23"/>
      <c r="C416" s="23"/>
      <c r="D416" s="23"/>
      <c r="E416" s="23"/>
      <c r="F416" s="23"/>
      <c r="G416" s="23"/>
      <c r="H416" s="22"/>
      <c r="I416" s="22"/>
      <c r="J416" s="22"/>
      <c r="K416" s="23"/>
    </row>
    <row r="417" customFormat="false" ht="15" hidden="false" customHeight="true" outlineLevel="0" collapsed="false">
      <c r="A417" s="23"/>
      <c r="B417" s="23"/>
      <c r="C417" s="23"/>
      <c r="D417" s="23"/>
      <c r="E417" s="23"/>
      <c r="F417" s="23"/>
      <c r="G417" s="23"/>
      <c r="H417" s="22"/>
      <c r="I417" s="22"/>
      <c r="J417" s="22"/>
      <c r="K417" s="23"/>
    </row>
    <row r="418" customFormat="false" ht="15" hidden="false" customHeight="true" outlineLevel="0" collapsed="false">
      <c r="A418" s="23"/>
      <c r="B418" s="23"/>
      <c r="C418" s="23"/>
      <c r="D418" s="23"/>
      <c r="E418" s="23"/>
      <c r="F418" s="23"/>
      <c r="G418" s="23"/>
      <c r="H418" s="22"/>
      <c r="I418" s="22"/>
      <c r="J418" s="22"/>
      <c r="K418" s="23"/>
    </row>
    <row r="419" customFormat="false" ht="15" hidden="false" customHeight="true" outlineLevel="0" collapsed="false">
      <c r="A419" s="23"/>
      <c r="B419" s="23"/>
      <c r="C419" s="23"/>
      <c r="D419" s="23"/>
      <c r="E419" s="23"/>
      <c r="F419" s="23"/>
      <c r="G419" s="23"/>
      <c r="H419" s="22"/>
      <c r="I419" s="22"/>
      <c r="J419" s="22"/>
      <c r="K419" s="23"/>
    </row>
    <row r="420" customFormat="false" ht="15" hidden="false" customHeight="true" outlineLevel="0" collapsed="false">
      <c r="A420" s="23"/>
      <c r="B420" s="23"/>
      <c r="C420" s="23"/>
      <c r="D420" s="23"/>
      <c r="E420" s="23"/>
      <c r="F420" s="23"/>
      <c r="G420" s="23"/>
      <c r="H420" s="22"/>
      <c r="I420" s="22"/>
      <c r="J420" s="22"/>
      <c r="K420" s="23"/>
    </row>
    <row r="421" customFormat="false" ht="15" hidden="false" customHeight="true" outlineLevel="0" collapsed="false">
      <c r="A421" s="23"/>
      <c r="B421" s="23"/>
      <c r="C421" s="23"/>
      <c r="D421" s="23"/>
      <c r="E421" s="23"/>
      <c r="F421" s="23"/>
      <c r="G421" s="23"/>
      <c r="H421" s="22"/>
      <c r="I421" s="22"/>
      <c r="J421" s="22"/>
      <c r="K421" s="23"/>
    </row>
    <row r="422" customFormat="false" ht="15" hidden="false" customHeight="true" outlineLevel="0" collapsed="false">
      <c r="A422" s="23"/>
      <c r="B422" s="23"/>
      <c r="C422" s="23"/>
      <c r="D422" s="23"/>
      <c r="E422" s="23"/>
      <c r="F422" s="23"/>
      <c r="G422" s="23"/>
      <c r="H422" s="22"/>
      <c r="I422" s="22"/>
      <c r="J422" s="22"/>
      <c r="K422" s="23"/>
    </row>
    <row r="423" customFormat="false" ht="15" hidden="false" customHeight="true" outlineLevel="0" collapsed="false">
      <c r="A423" s="23"/>
      <c r="B423" s="23"/>
      <c r="C423" s="23"/>
      <c r="D423" s="23"/>
      <c r="E423" s="23"/>
      <c r="F423" s="23"/>
      <c r="G423" s="23"/>
      <c r="H423" s="22"/>
      <c r="I423" s="22"/>
      <c r="J423" s="22"/>
      <c r="K423" s="23"/>
    </row>
    <row r="424" customFormat="false" ht="15" hidden="false" customHeight="true" outlineLevel="0" collapsed="false">
      <c r="A424" s="23"/>
      <c r="B424" s="23"/>
      <c r="C424" s="23"/>
      <c r="D424" s="23"/>
      <c r="E424" s="23"/>
      <c r="F424" s="23"/>
      <c r="G424" s="23"/>
      <c r="H424" s="22"/>
      <c r="I424" s="22"/>
      <c r="J424" s="22"/>
      <c r="K424" s="23"/>
    </row>
    <row r="425" customFormat="false" ht="15" hidden="false" customHeight="true" outlineLevel="0" collapsed="false">
      <c r="A425" s="23"/>
      <c r="B425" s="23"/>
      <c r="C425" s="23"/>
      <c r="D425" s="23"/>
      <c r="E425" s="23"/>
      <c r="F425" s="23"/>
      <c r="G425" s="23"/>
      <c r="H425" s="22"/>
      <c r="I425" s="22"/>
      <c r="J425" s="22"/>
      <c r="K425" s="23"/>
    </row>
    <row r="426" customFormat="false" ht="15" hidden="false" customHeight="true" outlineLevel="0" collapsed="false">
      <c r="A426" s="23"/>
      <c r="B426" s="23"/>
      <c r="C426" s="23"/>
      <c r="D426" s="23"/>
      <c r="E426" s="23"/>
      <c r="F426" s="23"/>
      <c r="G426" s="23"/>
      <c r="H426" s="22"/>
      <c r="I426" s="22"/>
      <c r="J426" s="22"/>
      <c r="K426" s="23"/>
    </row>
    <row r="427" customFormat="false" ht="15" hidden="false" customHeight="true" outlineLevel="0" collapsed="false">
      <c r="A427" s="23"/>
      <c r="B427" s="23"/>
      <c r="C427" s="23"/>
      <c r="D427" s="23"/>
      <c r="E427" s="23"/>
      <c r="F427" s="23"/>
      <c r="G427" s="23"/>
      <c r="H427" s="22"/>
      <c r="I427" s="22"/>
      <c r="J427" s="22"/>
      <c r="K427" s="23"/>
    </row>
    <row r="428" customFormat="false" ht="15" hidden="false" customHeight="true" outlineLevel="0" collapsed="false">
      <c r="A428" s="23"/>
      <c r="B428" s="23"/>
      <c r="C428" s="23"/>
      <c r="D428" s="23"/>
      <c r="E428" s="23"/>
      <c r="F428" s="23"/>
      <c r="G428" s="23"/>
      <c r="H428" s="22"/>
      <c r="I428" s="22"/>
      <c r="J428" s="22"/>
      <c r="K428" s="23"/>
    </row>
    <row r="429" customFormat="false" ht="15" hidden="false" customHeight="true" outlineLevel="0" collapsed="false">
      <c r="A429" s="23"/>
      <c r="B429" s="23"/>
      <c r="C429" s="23"/>
      <c r="D429" s="23"/>
      <c r="E429" s="23"/>
      <c r="F429" s="23"/>
      <c r="G429" s="23"/>
      <c r="H429" s="22"/>
      <c r="I429" s="22"/>
      <c r="J429" s="22"/>
      <c r="K429" s="23"/>
    </row>
    <row r="430" customFormat="false" ht="15" hidden="false" customHeight="true" outlineLevel="0" collapsed="false">
      <c r="A430" s="23"/>
      <c r="B430" s="23"/>
      <c r="C430" s="23"/>
      <c r="D430" s="23"/>
      <c r="E430" s="23"/>
      <c r="F430" s="23"/>
      <c r="G430" s="23"/>
      <c r="H430" s="22"/>
      <c r="I430" s="22"/>
      <c r="J430" s="22"/>
      <c r="K430" s="23"/>
    </row>
    <row r="431" customFormat="false" ht="15" hidden="false" customHeight="true" outlineLevel="0" collapsed="false">
      <c r="A431" s="23"/>
      <c r="B431" s="23"/>
      <c r="C431" s="23"/>
      <c r="D431" s="23"/>
      <c r="E431" s="23"/>
      <c r="F431" s="23"/>
      <c r="G431" s="23"/>
      <c r="H431" s="22"/>
      <c r="I431" s="22"/>
      <c r="J431" s="22"/>
      <c r="K431" s="23"/>
    </row>
    <row r="432" customFormat="false" ht="15" hidden="false" customHeight="true" outlineLevel="0" collapsed="false">
      <c r="A432" s="23"/>
      <c r="B432" s="23"/>
      <c r="C432" s="23"/>
      <c r="D432" s="23"/>
      <c r="E432" s="23"/>
      <c r="F432" s="23"/>
      <c r="G432" s="23"/>
      <c r="H432" s="22"/>
      <c r="I432" s="22"/>
      <c r="J432" s="22"/>
      <c r="K432" s="23"/>
    </row>
    <row r="433" customFormat="false" ht="15" hidden="false" customHeight="true" outlineLevel="0" collapsed="false">
      <c r="A433" s="23"/>
      <c r="B433" s="23"/>
      <c r="C433" s="23"/>
      <c r="D433" s="23"/>
      <c r="E433" s="23"/>
      <c r="F433" s="23"/>
      <c r="G433" s="23"/>
      <c r="H433" s="22"/>
      <c r="I433" s="22"/>
      <c r="J433" s="22"/>
      <c r="K433" s="23"/>
    </row>
    <row r="434" customFormat="false" ht="15" hidden="false" customHeight="true" outlineLevel="0" collapsed="false">
      <c r="A434" s="23"/>
      <c r="B434" s="23"/>
      <c r="C434" s="23"/>
      <c r="D434" s="23"/>
      <c r="E434" s="23"/>
      <c r="F434" s="23"/>
      <c r="G434" s="23"/>
      <c r="H434" s="22"/>
      <c r="I434" s="22"/>
      <c r="J434" s="22"/>
      <c r="K434" s="23"/>
    </row>
    <row r="435" customFormat="false" ht="15" hidden="false" customHeight="true" outlineLevel="0" collapsed="false">
      <c r="A435" s="23"/>
      <c r="B435" s="23"/>
      <c r="C435" s="23"/>
      <c r="D435" s="23"/>
      <c r="E435" s="23"/>
      <c r="F435" s="23"/>
      <c r="G435" s="23"/>
      <c r="H435" s="22"/>
      <c r="I435" s="22"/>
      <c r="J435" s="22"/>
      <c r="K435" s="23"/>
    </row>
    <row r="436" customFormat="false" ht="15" hidden="false" customHeight="true" outlineLevel="0" collapsed="false">
      <c r="A436" s="23"/>
      <c r="B436" s="23"/>
      <c r="C436" s="23"/>
      <c r="D436" s="23"/>
      <c r="E436" s="23"/>
      <c r="F436" s="23"/>
      <c r="G436" s="23"/>
      <c r="H436" s="22"/>
      <c r="I436" s="22"/>
      <c r="J436" s="22"/>
      <c r="K436" s="23"/>
    </row>
    <row r="437" customFormat="false" ht="15" hidden="false" customHeight="true" outlineLevel="0" collapsed="false">
      <c r="A437" s="23"/>
      <c r="B437" s="23"/>
      <c r="C437" s="23"/>
      <c r="D437" s="23"/>
      <c r="E437" s="23"/>
      <c r="F437" s="23"/>
      <c r="G437" s="23"/>
      <c r="H437" s="22"/>
      <c r="I437" s="22"/>
      <c r="J437" s="22"/>
      <c r="K437" s="23"/>
    </row>
    <row r="438" customFormat="false" ht="15" hidden="false" customHeight="true" outlineLevel="0" collapsed="false">
      <c r="A438" s="23"/>
      <c r="B438" s="23"/>
      <c r="C438" s="23"/>
      <c r="D438" s="23"/>
      <c r="E438" s="23"/>
      <c r="F438" s="23"/>
      <c r="G438" s="23"/>
      <c r="H438" s="22"/>
      <c r="I438" s="22"/>
      <c r="J438" s="22"/>
      <c r="K438" s="23"/>
    </row>
    <row r="439" customFormat="false" ht="15" hidden="false" customHeight="true" outlineLevel="0" collapsed="false">
      <c r="A439" s="23"/>
      <c r="B439" s="23"/>
      <c r="C439" s="23"/>
      <c r="D439" s="23"/>
      <c r="E439" s="23"/>
      <c r="F439" s="23"/>
      <c r="G439" s="23"/>
      <c r="H439" s="22"/>
      <c r="I439" s="22"/>
      <c r="J439" s="22"/>
      <c r="K439" s="23"/>
    </row>
    <row r="440" customFormat="false" ht="15" hidden="false" customHeight="true" outlineLevel="0" collapsed="false">
      <c r="A440" s="23"/>
      <c r="B440" s="23"/>
      <c r="C440" s="23"/>
      <c r="D440" s="23"/>
      <c r="E440" s="23"/>
      <c r="F440" s="23"/>
      <c r="G440" s="23"/>
      <c r="H440" s="22"/>
      <c r="I440" s="22"/>
      <c r="J440" s="22"/>
      <c r="K440" s="23"/>
    </row>
    <row r="441" customFormat="false" ht="15" hidden="false" customHeight="true" outlineLevel="0" collapsed="false">
      <c r="A441" s="23"/>
      <c r="B441" s="23"/>
      <c r="C441" s="23"/>
      <c r="D441" s="23"/>
      <c r="E441" s="23"/>
      <c r="F441" s="23"/>
      <c r="G441" s="23"/>
      <c r="H441" s="22"/>
      <c r="I441" s="22"/>
      <c r="J441" s="22"/>
      <c r="K441" s="23"/>
    </row>
    <row r="442" customFormat="false" ht="15" hidden="false" customHeight="true" outlineLevel="0" collapsed="false">
      <c r="A442" s="23"/>
      <c r="B442" s="23"/>
      <c r="C442" s="23"/>
      <c r="D442" s="23"/>
      <c r="E442" s="23"/>
      <c r="F442" s="23"/>
      <c r="G442" s="23"/>
      <c r="H442" s="22"/>
      <c r="I442" s="22"/>
      <c r="J442" s="22"/>
      <c r="K442" s="23"/>
    </row>
    <row r="443" customFormat="false" ht="15" hidden="false" customHeight="true" outlineLevel="0" collapsed="false">
      <c r="A443" s="23"/>
      <c r="B443" s="23"/>
      <c r="C443" s="23"/>
      <c r="D443" s="23"/>
      <c r="E443" s="23"/>
      <c r="F443" s="23"/>
      <c r="G443" s="23"/>
      <c r="H443" s="22"/>
      <c r="I443" s="22"/>
      <c r="J443" s="22"/>
      <c r="K443" s="23"/>
    </row>
    <row r="444" customFormat="false" ht="15" hidden="false" customHeight="true" outlineLevel="0" collapsed="false">
      <c r="A444" s="23"/>
      <c r="B444" s="23"/>
      <c r="C444" s="23"/>
      <c r="D444" s="23"/>
      <c r="E444" s="23"/>
      <c r="F444" s="23"/>
      <c r="G444" s="23"/>
      <c r="H444" s="22"/>
      <c r="I444" s="22"/>
      <c r="J444" s="22"/>
      <c r="K444" s="23"/>
    </row>
    <row r="445" customFormat="false" ht="15" hidden="false" customHeight="true" outlineLevel="0" collapsed="false">
      <c r="A445" s="23"/>
      <c r="B445" s="23"/>
      <c r="C445" s="23"/>
      <c r="D445" s="23"/>
      <c r="E445" s="23"/>
      <c r="F445" s="23"/>
      <c r="G445" s="23"/>
      <c r="H445" s="22"/>
      <c r="I445" s="22"/>
      <c r="J445" s="22"/>
      <c r="K445" s="23"/>
    </row>
    <row r="446" customFormat="false" ht="15" hidden="false" customHeight="true" outlineLevel="0" collapsed="false">
      <c r="A446" s="23"/>
      <c r="B446" s="23"/>
      <c r="C446" s="23"/>
      <c r="D446" s="23"/>
      <c r="E446" s="23"/>
      <c r="F446" s="23"/>
      <c r="G446" s="23"/>
      <c r="H446" s="22"/>
      <c r="I446" s="22"/>
      <c r="J446" s="22"/>
      <c r="K446" s="23"/>
    </row>
    <row r="447" customFormat="false" ht="15" hidden="false" customHeight="true" outlineLevel="0" collapsed="false">
      <c r="A447" s="23"/>
      <c r="B447" s="23"/>
      <c r="C447" s="23"/>
      <c r="D447" s="23"/>
      <c r="E447" s="23"/>
      <c r="F447" s="23"/>
      <c r="G447" s="23"/>
      <c r="H447" s="22"/>
      <c r="I447" s="22"/>
      <c r="J447" s="22"/>
      <c r="K447" s="23"/>
    </row>
    <row r="448" customFormat="false" ht="15" hidden="false" customHeight="true" outlineLevel="0" collapsed="false">
      <c r="A448" s="23"/>
      <c r="B448" s="23"/>
      <c r="C448" s="23"/>
      <c r="D448" s="23"/>
      <c r="E448" s="23"/>
      <c r="F448" s="23"/>
      <c r="G448" s="23"/>
      <c r="H448" s="22"/>
      <c r="I448" s="22"/>
      <c r="J448" s="22"/>
      <c r="K448" s="23"/>
    </row>
    <row r="449" customFormat="false" ht="15" hidden="false" customHeight="true" outlineLevel="0" collapsed="false">
      <c r="A449" s="23"/>
      <c r="B449" s="23"/>
      <c r="C449" s="23"/>
      <c r="D449" s="23"/>
      <c r="E449" s="23"/>
      <c r="F449" s="23"/>
      <c r="G449" s="23"/>
      <c r="H449" s="22"/>
      <c r="I449" s="22"/>
      <c r="J449" s="22"/>
      <c r="K449" s="23"/>
    </row>
    <row r="450" customFormat="false" ht="15" hidden="false" customHeight="true" outlineLevel="0" collapsed="false">
      <c r="A450" s="23"/>
      <c r="B450" s="23"/>
      <c r="C450" s="23"/>
      <c r="D450" s="23"/>
      <c r="E450" s="23"/>
      <c r="F450" s="23"/>
      <c r="G450" s="23"/>
      <c r="H450" s="22"/>
      <c r="I450" s="22"/>
      <c r="J450" s="22"/>
      <c r="K450" s="23"/>
    </row>
    <row r="451" customFormat="false" ht="15" hidden="false" customHeight="true" outlineLevel="0" collapsed="false">
      <c r="A451" s="23"/>
      <c r="B451" s="23"/>
      <c r="C451" s="23"/>
      <c r="D451" s="23"/>
      <c r="E451" s="23"/>
      <c r="F451" s="23"/>
      <c r="G451" s="23"/>
      <c r="H451" s="22"/>
      <c r="I451" s="22"/>
      <c r="J451" s="22"/>
      <c r="K451" s="23"/>
    </row>
    <row r="452" customFormat="false" ht="15" hidden="false" customHeight="true" outlineLevel="0" collapsed="false">
      <c r="A452" s="23"/>
      <c r="B452" s="23"/>
      <c r="C452" s="23"/>
      <c r="D452" s="23"/>
      <c r="E452" s="23"/>
      <c r="F452" s="23"/>
      <c r="G452" s="23"/>
      <c r="H452" s="22"/>
      <c r="I452" s="22"/>
      <c r="J452" s="22"/>
      <c r="K452" s="23"/>
    </row>
    <row r="453" customFormat="false" ht="15" hidden="false" customHeight="true" outlineLevel="0" collapsed="false">
      <c r="A453" s="23"/>
      <c r="B453" s="23"/>
      <c r="C453" s="23"/>
      <c r="D453" s="23"/>
      <c r="E453" s="23"/>
      <c r="F453" s="23"/>
      <c r="G453" s="23"/>
      <c r="H453" s="22"/>
      <c r="I453" s="22"/>
      <c r="J453" s="22"/>
      <c r="K453" s="23"/>
    </row>
    <row r="454" customFormat="false" ht="15" hidden="false" customHeight="true" outlineLevel="0" collapsed="false">
      <c r="A454" s="23"/>
      <c r="B454" s="23"/>
      <c r="C454" s="23"/>
      <c r="D454" s="23"/>
      <c r="E454" s="23"/>
      <c r="F454" s="23"/>
      <c r="G454" s="23"/>
      <c r="H454" s="22"/>
      <c r="I454" s="22"/>
      <c r="J454" s="22"/>
      <c r="K454" s="23"/>
    </row>
    <row r="455" customFormat="false" ht="15" hidden="false" customHeight="true" outlineLevel="0" collapsed="false">
      <c r="A455" s="23"/>
      <c r="B455" s="23"/>
      <c r="C455" s="23"/>
      <c r="D455" s="23"/>
      <c r="E455" s="23"/>
      <c r="F455" s="23"/>
      <c r="G455" s="23"/>
      <c r="H455" s="22"/>
      <c r="I455" s="22"/>
      <c r="J455" s="22"/>
      <c r="K455" s="23"/>
    </row>
    <row r="456" customFormat="false" ht="15" hidden="false" customHeight="true" outlineLevel="0" collapsed="false">
      <c r="A456" s="23"/>
      <c r="B456" s="23"/>
      <c r="C456" s="23"/>
      <c r="D456" s="23"/>
      <c r="E456" s="23"/>
      <c r="F456" s="23"/>
      <c r="G456" s="23"/>
      <c r="H456" s="22"/>
      <c r="I456" s="22"/>
      <c r="J456" s="22"/>
      <c r="K456" s="23"/>
    </row>
    <row r="457" customFormat="false" ht="15" hidden="false" customHeight="true" outlineLevel="0" collapsed="false">
      <c r="A457" s="23"/>
      <c r="B457" s="23"/>
      <c r="C457" s="23"/>
      <c r="D457" s="23"/>
      <c r="E457" s="23"/>
      <c r="F457" s="23"/>
      <c r="G457" s="23"/>
      <c r="H457" s="22"/>
      <c r="I457" s="22"/>
      <c r="J457" s="22"/>
      <c r="K457" s="23"/>
    </row>
    <row r="458" customFormat="false" ht="15" hidden="false" customHeight="true" outlineLevel="0" collapsed="false">
      <c r="A458" s="23"/>
      <c r="B458" s="23"/>
      <c r="C458" s="23"/>
      <c r="D458" s="23"/>
      <c r="E458" s="23"/>
      <c r="F458" s="23"/>
      <c r="G458" s="23"/>
      <c r="H458" s="22"/>
      <c r="I458" s="22"/>
      <c r="J458" s="22"/>
      <c r="K458" s="23"/>
    </row>
    <row r="459" customFormat="false" ht="15" hidden="false" customHeight="true" outlineLevel="0" collapsed="false">
      <c r="A459" s="23"/>
      <c r="B459" s="23"/>
      <c r="C459" s="23"/>
      <c r="D459" s="23"/>
      <c r="E459" s="23"/>
      <c r="F459" s="23"/>
      <c r="G459" s="23"/>
      <c r="H459" s="22"/>
      <c r="I459" s="22"/>
      <c r="J459" s="22"/>
      <c r="K459" s="23"/>
    </row>
    <row r="460" customFormat="false" ht="15" hidden="false" customHeight="true" outlineLevel="0" collapsed="false">
      <c r="A460" s="23"/>
      <c r="B460" s="23"/>
      <c r="C460" s="23"/>
      <c r="D460" s="23"/>
      <c r="E460" s="23"/>
      <c r="F460" s="23"/>
      <c r="G460" s="23"/>
      <c r="H460" s="22"/>
      <c r="I460" s="22"/>
      <c r="J460" s="22"/>
      <c r="K460" s="23"/>
    </row>
    <row r="461" customFormat="false" ht="15" hidden="false" customHeight="true" outlineLevel="0" collapsed="false">
      <c r="A461" s="23"/>
      <c r="B461" s="23"/>
      <c r="C461" s="23"/>
      <c r="D461" s="23"/>
      <c r="E461" s="23"/>
      <c r="F461" s="23"/>
      <c r="G461" s="23"/>
      <c r="H461" s="22"/>
      <c r="I461" s="22"/>
      <c r="J461" s="22"/>
      <c r="K461" s="23"/>
    </row>
    <row r="462" customFormat="false" ht="15" hidden="false" customHeight="true" outlineLevel="0" collapsed="false">
      <c r="A462" s="23"/>
      <c r="B462" s="23"/>
      <c r="C462" s="23"/>
      <c r="D462" s="23"/>
      <c r="E462" s="23"/>
      <c r="F462" s="23"/>
      <c r="G462" s="23"/>
      <c r="H462" s="22"/>
      <c r="I462" s="22"/>
      <c r="J462" s="22"/>
      <c r="K462" s="23"/>
    </row>
    <row r="463" customFormat="false" ht="15" hidden="false" customHeight="true" outlineLevel="0" collapsed="false">
      <c r="A463" s="23"/>
      <c r="B463" s="23"/>
      <c r="C463" s="23"/>
      <c r="D463" s="23"/>
      <c r="E463" s="23"/>
      <c r="F463" s="23"/>
      <c r="G463" s="23"/>
      <c r="H463" s="22"/>
      <c r="I463" s="22"/>
      <c r="J463" s="22"/>
      <c r="K463" s="23"/>
    </row>
    <row r="464" customFormat="false" ht="15" hidden="false" customHeight="true" outlineLevel="0" collapsed="false">
      <c r="A464" s="23"/>
      <c r="B464" s="23"/>
      <c r="C464" s="23"/>
      <c r="D464" s="23"/>
      <c r="E464" s="23"/>
      <c r="F464" s="23"/>
      <c r="G464" s="23"/>
      <c r="H464" s="22"/>
      <c r="I464" s="22"/>
      <c r="J464" s="22"/>
      <c r="K464" s="23"/>
    </row>
    <row r="465" customFormat="false" ht="15" hidden="false" customHeight="true" outlineLevel="0" collapsed="false">
      <c r="A465" s="23"/>
      <c r="B465" s="23"/>
      <c r="C465" s="23"/>
      <c r="D465" s="23"/>
      <c r="E465" s="23"/>
      <c r="F465" s="23"/>
      <c r="G465" s="23"/>
      <c r="H465" s="22"/>
      <c r="I465" s="22"/>
      <c r="J465" s="22"/>
      <c r="K465" s="23"/>
    </row>
    <row r="466" customFormat="false" ht="15" hidden="false" customHeight="true" outlineLevel="0" collapsed="false">
      <c r="A466" s="23"/>
      <c r="B466" s="23"/>
      <c r="C466" s="23"/>
      <c r="D466" s="23"/>
      <c r="E466" s="23"/>
      <c r="F466" s="23"/>
      <c r="G466" s="23"/>
      <c r="H466" s="22"/>
      <c r="I466" s="22"/>
      <c r="J466" s="22"/>
      <c r="K466" s="23"/>
    </row>
    <row r="467" customFormat="false" ht="15" hidden="false" customHeight="true" outlineLevel="0" collapsed="false">
      <c r="A467" s="23"/>
      <c r="B467" s="23"/>
      <c r="C467" s="23"/>
      <c r="D467" s="23"/>
      <c r="E467" s="23"/>
      <c r="F467" s="23"/>
      <c r="G467" s="23"/>
      <c r="H467" s="22"/>
      <c r="I467" s="22"/>
      <c r="J467" s="22"/>
      <c r="K467" s="23"/>
    </row>
    <row r="468" customFormat="false" ht="15" hidden="false" customHeight="true" outlineLevel="0" collapsed="false">
      <c r="A468" s="23"/>
      <c r="B468" s="23"/>
      <c r="C468" s="23"/>
      <c r="D468" s="23"/>
      <c r="E468" s="23"/>
      <c r="F468" s="23"/>
      <c r="G468" s="23"/>
      <c r="H468" s="22"/>
      <c r="I468" s="22"/>
      <c r="J468" s="22"/>
      <c r="K468" s="23"/>
    </row>
    <row r="469" customFormat="false" ht="15" hidden="false" customHeight="true" outlineLevel="0" collapsed="false">
      <c r="A469" s="23"/>
      <c r="B469" s="23"/>
      <c r="C469" s="23"/>
      <c r="D469" s="23"/>
      <c r="E469" s="23"/>
      <c r="F469" s="23"/>
      <c r="G469" s="23"/>
      <c r="H469" s="22"/>
      <c r="I469" s="22"/>
      <c r="J469" s="22"/>
      <c r="K469" s="23"/>
    </row>
    <row r="470" customFormat="false" ht="15" hidden="false" customHeight="true" outlineLevel="0" collapsed="false">
      <c r="A470" s="23"/>
      <c r="B470" s="23"/>
      <c r="C470" s="23"/>
      <c r="D470" s="23"/>
      <c r="E470" s="23"/>
      <c r="F470" s="23"/>
      <c r="G470" s="23"/>
      <c r="H470" s="22"/>
      <c r="I470" s="22"/>
      <c r="J470" s="22"/>
      <c r="K470" s="23"/>
    </row>
    <row r="471" customFormat="false" ht="15" hidden="false" customHeight="true" outlineLevel="0" collapsed="false">
      <c r="A471" s="23"/>
      <c r="B471" s="23"/>
      <c r="C471" s="23"/>
      <c r="D471" s="23"/>
      <c r="E471" s="23"/>
      <c r="F471" s="23"/>
      <c r="G471" s="23"/>
      <c r="H471" s="22"/>
      <c r="I471" s="22"/>
      <c r="J471" s="22"/>
      <c r="K471" s="23"/>
    </row>
    <row r="472" customFormat="false" ht="15" hidden="false" customHeight="true" outlineLevel="0" collapsed="false">
      <c r="A472" s="23"/>
      <c r="B472" s="23"/>
      <c r="C472" s="23"/>
      <c r="D472" s="23"/>
      <c r="E472" s="23"/>
      <c r="F472" s="23"/>
      <c r="G472" s="23"/>
      <c r="H472" s="22"/>
      <c r="I472" s="22"/>
      <c r="J472" s="22"/>
      <c r="K472" s="23"/>
    </row>
    <row r="473" customFormat="false" ht="15" hidden="false" customHeight="true" outlineLevel="0" collapsed="false">
      <c r="A473" s="23"/>
      <c r="B473" s="23"/>
      <c r="C473" s="23"/>
      <c r="D473" s="23"/>
      <c r="E473" s="23"/>
      <c r="F473" s="23"/>
      <c r="G473" s="23"/>
      <c r="H473" s="22"/>
      <c r="I473" s="22"/>
      <c r="J473" s="22"/>
      <c r="K473" s="23"/>
    </row>
    <row r="474" customFormat="false" ht="15" hidden="false" customHeight="true" outlineLevel="0" collapsed="false">
      <c r="A474" s="23"/>
      <c r="B474" s="23"/>
      <c r="C474" s="23"/>
      <c r="D474" s="23"/>
      <c r="E474" s="23"/>
      <c r="F474" s="23"/>
      <c r="G474" s="23"/>
      <c r="H474" s="22"/>
      <c r="I474" s="22"/>
      <c r="J474" s="22"/>
      <c r="K474" s="23"/>
    </row>
    <row r="475" customFormat="false" ht="15" hidden="false" customHeight="true" outlineLevel="0" collapsed="false">
      <c r="A475" s="23"/>
      <c r="B475" s="23"/>
      <c r="C475" s="23"/>
      <c r="D475" s="23"/>
      <c r="E475" s="23"/>
      <c r="F475" s="23"/>
      <c r="G475" s="23"/>
      <c r="H475" s="22"/>
      <c r="I475" s="22"/>
      <c r="J475" s="22"/>
      <c r="K475" s="23"/>
    </row>
    <row r="476" customFormat="false" ht="15" hidden="false" customHeight="true" outlineLevel="0" collapsed="false">
      <c r="A476" s="23"/>
      <c r="B476" s="23"/>
      <c r="C476" s="23"/>
      <c r="D476" s="23"/>
      <c r="E476" s="23"/>
      <c r="F476" s="23"/>
      <c r="G476" s="23"/>
      <c r="H476" s="22"/>
      <c r="I476" s="22"/>
      <c r="J476" s="22"/>
      <c r="K476" s="23"/>
    </row>
    <row r="477" customFormat="false" ht="15" hidden="false" customHeight="true" outlineLevel="0" collapsed="false">
      <c r="A477" s="23"/>
      <c r="B477" s="23"/>
      <c r="C477" s="23"/>
      <c r="D477" s="23"/>
      <c r="E477" s="23"/>
      <c r="F477" s="23"/>
      <c r="G477" s="23"/>
      <c r="H477" s="22"/>
      <c r="I477" s="22"/>
      <c r="J477" s="22"/>
      <c r="K477" s="23"/>
    </row>
    <row r="478" customFormat="false" ht="15" hidden="false" customHeight="true" outlineLevel="0" collapsed="false">
      <c r="A478" s="23"/>
      <c r="B478" s="23"/>
      <c r="C478" s="23"/>
      <c r="D478" s="23"/>
      <c r="E478" s="23"/>
      <c r="F478" s="23"/>
      <c r="G478" s="23"/>
      <c r="H478" s="22"/>
      <c r="I478" s="22"/>
      <c r="J478" s="22"/>
      <c r="K478" s="23"/>
    </row>
    <row r="479" customFormat="false" ht="15" hidden="false" customHeight="true" outlineLevel="0" collapsed="false">
      <c r="A479" s="23"/>
      <c r="B479" s="23"/>
      <c r="C479" s="23"/>
      <c r="D479" s="23"/>
      <c r="E479" s="23"/>
      <c r="F479" s="23"/>
      <c r="G479" s="23"/>
      <c r="H479" s="22"/>
      <c r="I479" s="22"/>
      <c r="J479" s="22"/>
      <c r="K479" s="23"/>
    </row>
    <row r="480" customFormat="false" ht="15" hidden="false" customHeight="true" outlineLevel="0" collapsed="false">
      <c r="A480" s="23"/>
      <c r="B480" s="23"/>
      <c r="C480" s="23"/>
      <c r="D480" s="23"/>
      <c r="E480" s="23"/>
      <c r="F480" s="23"/>
      <c r="G480" s="23"/>
      <c r="H480" s="22"/>
      <c r="I480" s="22"/>
      <c r="J480" s="22"/>
      <c r="K480" s="23"/>
    </row>
    <row r="481" customFormat="false" ht="15" hidden="false" customHeight="true" outlineLevel="0" collapsed="false">
      <c r="A481" s="23"/>
      <c r="B481" s="23"/>
      <c r="C481" s="23"/>
      <c r="D481" s="23"/>
      <c r="E481" s="23"/>
      <c r="F481" s="23"/>
      <c r="G481" s="23"/>
      <c r="H481" s="22"/>
      <c r="I481" s="22"/>
      <c r="J481" s="22"/>
      <c r="K481" s="23"/>
    </row>
    <row r="482" customFormat="false" ht="15" hidden="false" customHeight="true" outlineLevel="0" collapsed="false">
      <c r="A482" s="23"/>
      <c r="B482" s="23"/>
      <c r="C482" s="23"/>
      <c r="D482" s="23"/>
      <c r="E482" s="23"/>
      <c r="F482" s="23"/>
      <c r="G482" s="23"/>
      <c r="H482" s="22"/>
      <c r="I482" s="22"/>
      <c r="J482" s="22"/>
      <c r="K482" s="23"/>
    </row>
    <row r="483" customFormat="false" ht="15" hidden="false" customHeight="true" outlineLevel="0" collapsed="false">
      <c r="A483" s="23"/>
      <c r="B483" s="23"/>
      <c r="C483" s="23"/>
      <c r="D483" s="23"/>
      <c r="E483" s="23"/>
      <c r="F483" s="23"/>
      <c r="G483" s="23"/>
      <c r="H483" s="22"/>
      <c r="I483" s="22"/>
      <c r="J483" s="22"/>
      <c r="K483" s="23"/>
    </row>
    <row r="484" customFormat="false" ht="15" hidden="false" customHeight="true" outlineLevel="0" collapsed="false">
      <c r="A484" s="23"/>
      <c r="B484" s="23"/>
      <c r="C484" s="23"/>
      <c r="D484" s="23"/>
      <c r="E484" s="23"/>
      <c r="F484" s="23"/>
      <c r="G484" s="23"/>
      <c r="H484" s="22"/>
      <c r="I484" s="22"/>
      <c r="J484" s="22"/>
      <c r="K484" s="23"/>
    </row>
    <row r="485" customFormat="false" ht="15" hidden="false" customHeight="true" outlineLevel="0" collapsed="false">
      <c r="A485" s="23"/>
      <c r="B485" s="23"/>
      <c r="C485" s="23"/>
      <c r="D485" s="23"/>
      <c r="E485" s="23"/>
      <c r="F485" s="23"/>
      <c r="G485" s="23"/>
      <c r="H485" s="22"/>
      <c r="I485" s="22"/>
      <c r="J485" s="22"/>
      <c r="K485" s="23"/>
    </row>
    <row r="486" customFormat="false" ht="15" hidden="false" customHeight="true" outlineLevel="0" collapsed="false">
      <c r="A486" s="23"/>
      <c r="B486" s="23"/>
      <c r="C486" s="23"/>
      <c r="D486" s="23"/>
      <c r="E486" s="23"/>
      <c r="F486" s="23"/>
      <c r="G486" s="23"/>
      <c r="H486" s="22"/>
      <c r="I486" s="22"/>
      <c r="J486" s="22"/>
      <c r="K486" s="23"/>
    </row>
    <row r="487" customFormat="false" ht="15" hidden="false" customHeight="true" outlineLevel="0" collapsed="false">
      <c r="A487" s="23"/>
      <c r="B487" s="23"/>
      <c r="C487" s="23"/>
      <c r="D487" s="23"/>
      <c r="E487" s="23"/>
      <c r="F487" s="23"/>
      <c r="G487" s="23"/>
      <c r="H487" s="22"/>
      <c r="I487" s="22"/>
      <c r="J487" s="22"/>
      <c r="K487" s="23"/>
    </row>
    <row r="488" customFormat="false" ht="15" hidden="false" customHeight="true" outlineLevel="0" collapsed="false">
      <c r="A488" s="23"/>
      <c r="B488" s="23"/>
      <c r="C488" s="23"/>
      <c r="D488" s="23"/>
      <c r="E488" s="23"/>
      <c r="F488" s="23"/>
      <c r="G488" s="23"/>
      <c r="H488" s="22"/>
      <c r="I488" s="22"/>
      <c r="J488" s="22"/>
      <c r="K488" s="23"/>
    </row>
    <row r="489" customFormat="false" ht="15" hidden="false" customHeight="true" outlineLevel="0" collapsed="false">
      <c r="A489" s="23"/>
      <c r="B489" s="23"/>
      <c r="C489" s="23"/>
      <c r="D489" s="23"/>
      <c r="E489" s="23"/>
      <c r="F489" s="23"/>
      <c r="G489" s="23"/>
      <c r="H489" s="22"/>
      <c r="I489" s="22"/>
      <c r="J489" s="22"/>
      <c r="K489" s="23"/>
    </row>
    <row r="490" customFormat="false" ht="15" hidden="false" customHeight="true" outlineLevel="0" collapsed="false">
      <c r="A490" s="23"/>
      <c r="B490" s="23"/>
      <c r="C490" s="23"/>
      <c r="D490" s="23"/>
      <c r="E490" s="23"/>
      <c r="F490" s="23"/>
      <c r="G490" s="23"/>
      <c r="H490" s="22"/>
      <c r="I490" s="22"/>
      <c r="J490" s="22"/>
      <c r="K490" s="23"/>
    </row>
    <row r="491" customFormat="false" ht="15" hidden="false" customHeight="true" outlineLevel="0" collapsed="false">
      <c r="A491" s="23"/>
      <c r="B491" s="23"/>
      <c r="C491" s="23"/>
      <c r="D491" s="23"/>
      <c r="E491" s="23"/>
      <c r="F491" s="23"/>
      <c r="G491" s="23"/>
      <c r="H491" s="22"/>
      <c r="I491" s="22"/>
      <c r="J491" s="22"/>
      <c r="K491" s="23"/>
    </row>
    <row r="492" customFormat="false" ht="15" hidden="false" customHeight="true" outlineLevel="0" collapsed="false">
      <c r="A492" s="23"/>
      <c r="B492" s="23"/>
      <c r="C492" s="23"/>
      <c r="D492" s="23"/>
      <c r="E492" s="23"/>
      <c r="F492" s="23"/>
      <c r="G492" s="23"/>
      <c r="H492" s="22"/>
      <c r="I492" s="22"/>
      <c r="J492" s="22"/>
      <c r="K492" s="23"/>
    </row>
    <row r="493" customFormat="false" ht="15" hidden="false" customHeight="true" outlineLevel="0" collapsed="false">
      <c r="A493" s="23"/>
      <c r="B493" s="23"/>
      <c r="C493" s="23"/>
      <c r="D493" s="23"/>
      <c r="E493" s="23"/>
      <c r="F493" s="23"/>
      <c r="G493" s="23"/>
      <c r="H493" s="22"/>
      <c r="I493" s="22"/>
      <c r="J493" s="22"/>
      <c r="K493" s="23"/>
    </row>
    <row r="494" customFormat="false" ht="15" hidden="false" customHeight="true" outlineLevel="0" collapsed="false">
      <c r="A494" s="23"/>
      <c r="B494" s="23"/>
      <c r="C494" s="23"/>
      <c r="D494" s="23"/>
      <c r="E494" s="23"/>
      <c r="F494" s="23"/>
      <c r="G494" s="23"/>
      <c r="H494" s="22"/>
      <c r="I494" s="22"/>
      <c r="J494" s="22"/>
      <c r="K494" s="23"/>
    </row>
    <row r="495" customFormat="false" ht="15" hidden="false" customHeight="true" outlineLevel="0" collapsed="false">
      <c r="A495" s="23"/>
      <c r="B495" s="23"/>
      <c r="C495" s="23"/>
      <c r="D495" s="23"/>
      <c r="E495" s="23"/>
      <c r="F495" s="23"/>
      <c r="G495" s="23"/>
      <c r="H495" s="22"/>
      <c r="I495" s="22"/>
      <c r="J495" s="22"/>
      <c r="K495" s="23"/>
    </row>
    <row r="496" customFormat="false" ht="15" hidden="false" customHeight="true" outlineLevel="0" collapsed="false">
      <c r="A496" s="23"/>
      <c r="B496" s="23"/>
      <c r="C496" s="23"/>
      <c r="D496" s="23"/>
      <c r="E496" s="23"/>
      <c r="F496" s="23"/>
      <c r="G496" s="23"/>
      <c r="H496" s="22"/>
      <c r="I496" s="22"/>
      <c r="J496" s="22"/>
      <c r="K496" s="23"/>
    </row>
    <row r="497" customFormat="false" ht="15" hidden="false" customHeight="true" outlineLevel="0" collapsed="false">
      <c r="A497" s="23"/>
      <c r="B497" s="23"/>
      <c r="C497" s="23"/>
      <c r="D497" s="23"/>
      <c r="E497" s="23"/>
      <c r="F497" s="23"/>
      <c r="G497" s="23"/>
      <c r="H497" s="22"/>
      <c r="I497" s="22"/>
      <c r="J497" s="22"/>
      <c r="K497" s="23"/>
    </row>
    <row r="498" customFormat="false" ht="15" hidden="false" customHeight="true" outlineLevel="0" collapsed="false">
      <c r="A498" s="23"/>
      <c r="B498" s="23"/>
      <c r="C498" s="23"/>
      <c r="D498" s="23"/>
      <c r="E498" s="23"/>
      <c r="F498" s="23"/>
      <c r="G498" s="23"/>
      <c r="H498" s="22"/>
      <c r="I498" s="22"/>
      <c r="J498" s="22"/>
      <c r="K498" s="23"/>
    </row>
    <row r="499" customFormat="false" ht="15" hidden="false" customHeight="true" outlineLevel="0" collapsed="false">
      <c r="A499" s="23"/>
      <c r="B499" s="23"/>
      <c r="C499" s="23"/>
      <c r="D499" s="23"/>
      <c r="E499" s="23"/>
      <c r="F499" s="23"/>
      <c r="G499" s="23"/>
      <c r="H499" s="22"/>
      <c r="I499" s="22"/>
      <c r="J499" s="22"/>
      <c r="K499" s="23"/>
    </row>
    <row r="500" customFormat="false" ht="15" hidden="false" customHeight="true" outlineLevel="0" collapsed="false">
      <c r="A500" s="23"/>
      <c r="B500" s="23"/>
      <c r="C500" s="23"/>
      <c r="D500" s="23"/>
      <c r="E500" s="23"/>
      <c r="F500" s="23"/>
      <c r="G500" s="23"/>
      <c r="H500" s="22"/>
      <c r="I500" s="22"/>
      <c r="J500" s="22"/>
      <c r="K500" s="23"/>
    </row>
    <row r="501" customFormat="false" ht="15" hidden="false" customHeight="true" outlineLevel="0" collapsed="false">
      <c r="A501" s="23"/>
      <c r="B501" s="23"/>
      <c r="C501" s="23"/>
      <c r="D501" s="23"/>
      <c r="E501" s="23"/>
      <c r="F501" s="23"/>
      <c r="G501" s="23"/>
      <c r="H501" s="22"/>
      <c r="I501" s="22"/>
      <c r="J501" s="22"/>
      <c r="K501" s="23"/>
    </row>
    <row r="502" customFormat="false" ht="15" hidden="false" customHeight="true" outlineLevel="0" collapsed="false">
      <c r="A502" s="23"/>
      <c r="B502" s="23"/>
      <c r="C502" s="23"/>
      <c r="D502" s="23"/>
      <c r="E502" s="23"/>
      <c r="F502" s="23"/>
      <c r="G502" s="23"/>
      <c r="H502" s="22"/>
      <c r="I502" s="22"/>
      <c r="J502" s="22"/>
      <c r="K502" s="23"/>
    </row>
    <row r="503" customFormat="false" ht="15" hidden="false" customHeight="true" outlineLevel="0" collapsed="false">
      <c r="A503" s="23"/>
      <c r="B503" s="23"/>
      <c r="C503" s="23"/>
      <c r="D503" s="23"/>
      <c r="E503" s="23"/>
      <c r="F503" s="23"/>
      <c r="G503" s="23"/>
      <c r="H503" s="22"/>
      <c r="I503" s="22"/>
      <c r="J503" s="22"/>
      <c r="K503" s="23"/>
    </row>
    <row r="504" customFormat="false" ht="15" hidden="false" customHeight="true" outlineLevel="0" collapsed="false">
      <c r="A504" s="23"/>
      <c r="B504" s="23"/>
      <c r="C504" s="23"/>
      <c r="D504" s="23"/>
      <c r="E504" s="23"/>
      <c r="F504" s="23"/>
      <c r="G504" s="23"/>
      <c r="H504" s="22"/>
      <c r="I504" s="22"/>
      <c r="J504" s="22"/>
      <c r="K504" s="23"/>
    </row>
    <row r="505" customFormat="false" ht="15" hidden="false" customHeight="true" outlineLevel="0" collapsed="false">
      <c r="A505" s="23"/>
      <c r="B505" s="23"/>
      <c r="C505" s="23"/>
      <c r="D505" s="23"/>
      <c r="E505" s="23"/>
      <c r="F505" s="23"/>
      <c r="G505" s="23"/>
      <c r="H505" s="22"/>
      <c r="I505" s="22"/>
      <c r="J505" s="22"/>
      <c r="K505" s="23"/>
    </row>
    <row r="506" customFormat="false" ht="15" hidden="false" customHeight="true" outlineLevel="0" collapsed="false">
      <c r="A506" s="23"/>
      <c r="B506" s="23"/>
      <c r="C506" s="23"/>
      <c r="D506" s="23"/>
      <c r="E506" s="23"/>
      <c r="F506" s="23"/>
      <c r="G506" s="23"/>
      <c r="H506" s="22"/>
      <c r="I506" s="22"/>
      <c r="J506" s="22"/>
      <c r="K506" s="23"/>
    </row>
    <row r="507" customFormat="false" ht="15" hidden="false" customHeight="true" outlineLevel="0" collapsed="false">
      <c r="A507" s="23"/>
      <c r="B507" s="23"/>
      <c r="C507" s="23"/>
      <c r="D507" s="23"/>
      <c r="E507" s="23"/>
      <c r="F507" s="23"/>
      <c r="G507" s="23"/>
      <c r="H507" s="22"/>
      <c r="I507" s="22"/>
      <c r="J507" s="22"/>
      <c r="K507" s="23"/>
    </row>
    <row r="508" customFormat="false" ht="15" hidden="false" customHeight="true" outlineLevel="0" collapsed="false">
      <c r="A508" s="23"/>
      <c r="B508" s="23"/>
      <c r="C508" s="23"/>
      <c r="D508" s="23"/>
      <c r="E508" s="23"/>
      <c r="F508" s="23"/>
      <c r="G508" s="23"/>
      <c r="H508" s="22"/>
      <c r="I508" s="22"/>
      <c r="J508" s="22"/>
      <c r="K508" s="23"/>
    </row>
    <row r="509" customFormat="false" ht="15" hidden="false" customHeight="true" outlineLevel="0" collapsed="false">
      <c r="A509" s="23"/>
      <c r="B509" s="23"/>
      <c r="C509" s="23"/>
      <c r="D509" s="23"/>
      <c r="E509" s="23"/>
      <c r="F509" s="23"/>
      <c r="G509" s="23"/>
      <c r="H509" s="22"/>
      <c r="I509" s="22"/>
      <c r="J509" s="22"/>
      <c r="K509" s="23"/>
    </row>
    <row r="510" customFormat="false" ht="15" hidden="false" customHeight="true" outlineLevel="0" collapsed="false">
      <c r="A510" s="23"/>
      <c r="B510" s="23"/>
      <c r="C510" s="23"/>
      <c r="D510" s="23"/>
      <c r="E510" s="23"/>
      <c r="F510" s="23"/>
      <c r="G510" s="23"/>
      <c r="H510" s="22"/>
      <c r="I510" s="22"/>
      <c r="J510" s="22"/>
      <c r="K510" s="23"/>
    </row>
    <row r="511" customFormat="false" ht="15" hidden="false" customHeight="true" outlineLevel="0" collapsed="false">
      <c r="A511" s="23"/>
      <c r="B511" s="23"/>
      <c r="C511" s="23"/>
      <c r="D511" s="23"/>
      <c r="E511" s="23"/>
      <c r="F511" s="23"/>
      <c r="G511" s="23"/>
      <c r="H511" s="22"/>
      <c r="I511" s="22"/>
      <c r="J511" s="22"/>
      <c r="K511" s="23"/>
    </row>
    <row r="512" customFormat="false" ht="15" hidden="false" customHeight="true" outlineLevel="0" collapsed="false">
      <c r="A512" s="23"/>
      <c r="B512" s="23"/>
      <c r="C512" s="23"/>
      <c r="D512" s="23"/>
      <c r="E512" s="23"/>
      <c r="F512" s="23"/>
      <c r="G512" s="23"/>
      <c r="H512" s="22"/>
      <c r="I512" s="22"/>
      <c r="J512" s="22"/>
      <c r="K512" s="23"/>
    </row>
    <row r="513" customFormat="false" ht="15" hidden="false" customHeight="true" outlineLevel="0" collapsed="false">
      <c r="A513" s="23"/>
      <c r="B513" s="23"/>
      <c r="C513" s="23"/>
      <c r="D513" s="23"/>
      <c r="E513" s="23"/>
      <c r="F513" s="23"/>
      <c r="G513" s="23"/>
      <c r="H513" s="22"/>
      <c r="I513" s="22"/>
      <c r="J513" s="22"/>
      <c r="K513" s="23"/>
    </row>
    <row r="514" customFormat="false" ht="15" hidden="false" customHeight="true" outlineLevel="0" collapsed="false">
      <c r="A514" s="23"/>
      <c r="B514" s="23"/>
      <c r="C514" s="23"/>
      <c r="D514" s="23"/>
      <c r="E514" s="23"/>
      <c r="F514" s="23"/>
      <c r="G514" s="23"/>
      <c r="H514" s="22"/>
      <c r="I514" s="22"/>
      <c r="J514" s="22"/>
      <c r="K514" s="23"/>
    </row>
    <row r="515" customFormat="false" ht="15" hidden="false" customHeight="true" outlineLevel="0" collapsed="false">
      <c r="A515" s="23"/>
      <c r="B515" s="23"/>
      <c r="C515" s="23"/>
      <c r="D515" s="23"/>
      <c r="E515" s="23"/>
      <c r="F515" s="23"/>
      <c r="G515" s="23"/>
      <c r="H515" s="22"/>
      <c r="I515" s="22"/>
      <c r="J515" s="22"/>
      <c r="K515" s="23"/>
    </row>
    <row r="516" customFormat="false" ht="15" hidden="false" customHeight="true" outlineLevel="0" collapsed="false">
      <c r="A516" s="23"/>
      <c r="B516" s="23"/>
      <c r="C516" s="23"/>
      <c r="D516" s="23"/>
      <c r="E516" s="23"/>
      <c r="F516" s="23"/>
      <c r="G516" s="23"/>
      <c r="H516" s="22"/>
      <c r="I516" s="22"/>
      <c r="J516" s="22"/>
      <c r="K516" s="23"/>
    </row>
    <row r="517" customFormat="false" ht="15" hidden="false" customHeight="true" outlineLevel="0" collapsed="false">
      <c r="A517" s="23"/>
      <c r="B517" s="23"/>
      <c r="C517" s="23"/>
      <c r="D517" s="23"/>
      <c r="E517" s="23"/>
      <c r="F517" s="23"/>
      <c r="G517" s="23"/>
      <c r="H517" s="22"/>
      <c r="I517" s="22"/>
      <c r="J517" s="22"/>
      <c r="K517" s="23"/>
    </row>
    <row r="518" customFormat="false" ht="15" hidden="false" customHeight="true" outlineLevel="0" collapsed="false">
      <c r="A518" s="23"/>
      <c r="B518" s="23"/>
      <c r="C518" s="23"/>
      <c r="D518" s="23"/>
      <c r="E518" s="23"/>
      <c r="F518" s="23"/>
      <c r="G518" s="23"/>
      <c r="H518" s="22"/>
      <c r="I518" s="22"/>
      <c r="J518" s="22"/>
      <c r="K518" s="23"/>
    </row>
    <row r="519" customFormat="false" ht="15" hidden="false" customHeight="true" outlineLevel="0" collapsed="false">
      <c r="A519" s="23"/>
      <c r="B519" s="23"/>
      <c r="C519" s="23"/>
      <c r="D519" s="23"/>
      <c r="E519" s="23"/>
      <c r="F519" s="23"/>
      <c r="G519" s="23"/>
      <c r="H519" s="22"/>
      <c r="I519" s="22"/>
      <c r="J519" s="22"/>
      <c r="K519" s="23"/>
    </row>
    <row r="520" customFormat="false" ht="15" hidden="false" customHeight="true" outlineLevel="0" collapsed="false">
      <c r="A520" s="23"/>
      <c r="B520" s="23"/>
      <c r="C520" s="23"/>
      <c r="D520" s="23"/>
      <c r="E520" s="23"/>
      <c r="F520" s="23"/>
      <c r="G520" s="23"/>
      <c r="H520" s="22"/>
      <c r="I520" s="22"/>
      <c r="J520" s="22"/>
      <c r="K520" s="23"/>
    </row>
    <row r="521" customFormat="false" ht="15" hidden="false" customHeight="true" outlineLevel="0" collapsed="false">
      <c r="A521" s="23"/>
      <c r="B521" s="23"/>
      <c r="C521" s="23"/>
      <c r="D521" s="23"/>
      <c r="E521" s="23"/>
      <c r="F521" s="23"/>
      <c r="G521" s="23"/>
      <c r="H521" s="22"/>
      <c r="I521" s="22"/>
      <c r="J521" s="22"/>
      <c r="K521" s="23"/>
    </row>
    <row r="522" customFormat="false" ht="15" hidden="false" customHeight="true" outlineLevel="0" collapsed="false">
      <c r="A522" s="23"/>
      <c r="B522" s="23"/>
      <c r="C522" s="23"/>
      <c r="D522" s="23"/>
      <c r="E522" s="23"/>
      <c r="F522" s="23"/>
      <c r="G522" s="23"/>
      <c r="H522" s="22"/>
      <c r="I522" s="22"/>
      <c r="J522" s="22"/>
      <c r="K522" s="23"/>
    </row>
    <row r="523" customFormat="false" ht="15" hidden="false" customHeight="true" outlineLevel="0" collapsed="false">
      <c r="A523" s="23"/>
      <c r="B523" s="23"/>
      <c r="C523" s="23"/>
      <c r="D523" s="23"/>
      <c r="E523" s="23"/>
      <c r="F523" s="23"/>
      <c r="G523" s="23"/>
      <c r="H523" s="22"/>
      <c r="I523" s="22"/>
      <c r="J523" s="22"/>
      <c r="K523" s="23"/>
    </row>
    <row r="524" customFormat="false" ht="15" hidden="false" customHeight="true" outlineLevel="0" collapsed="false">
      <c r="A524" s="23"/>
      <c r="B524" s="23"/>
      <c r="C524" s="23"/>
      <c r="D524" s="23"/>
      <c r="E524" s="23"/>
      <c r="F524" s="23"/>
      <c r="G524" s="23"/>
      <c r="H524" s="22"/>
      <c r="I524" s="22"/>
      <c r="J524" s="22"/>
      <c r="K524" s="23"/>
    </row>
    <row r="525" customFormat="false" ht="15" hidden="false" customHeight="true" outlineLevel="0" collapsed="false">
      <c r="A525" s="23"/>
      <c r="B525" s="23"/>
      <c r="C525" s="23"/>
      <c r="D525" s="23"/>
      <c r="E525" s="23"/>
      <c r="F525" s="23"/>
      <c r="G525" s="23"/>
      <c r="H525" s="22"/>
      <c r="I525" s="22"/>
      <c r="J525" s="22"/>
      <c r="K525" s="23"/>
    </row>
    <row r="526" customFormat="false" ht="15" hidden="false" customHeight="true" outlineLevel="0" collapsed="false">
      <c r="A526" s="23"/>
      <c r="B526" s="23"/>
      <c r="C526" s="23"/>
      <c r="D526" s="23"/>
      <c r="E526" s="23"/>
      <c r="F526" s="23"/>
      <c r="G526" s="23"/>
      <c r="H526" s="22"/>
      <c r="I526" s="22"/>
      <c r="J526" s="22"/>
      <c r="K526" s="23"/>
    </row>
    <row r="527" customFormat="false" ht="15" hidden="false" customHeight="true" outlineLevel="0" collapsed="false">
      <c r="A527" s="23"/>
      <c r="B527" s="23"/>
      <c r="C527" s="23"/>
      <c r="D527" s="23"/>
      <c r="E527" s="23"/>
      <c r="F527" s="23"/>
      <c r="G527" s="23"/>
      <c r="H527" s="22"/>
      <c r="I527" s="22"/>
      <c r="J527" s="22"/>
      <c r="K527" s="23"/>
    </row>
    <row r="528" customFormat="false" ht="15" hidden="false" customHeight="true" outlineLevel="0" collapsed="false">
      <c r="A528" s="23"/>
      <c r="B528" s="23"/>
      <c r="C528" s="23"/>
      <c r="D528" s="23"/>
      <c r="E528" s="23"/>
      <c r="F528" s="23"/>
      <c r="G528" s="23"/>
      <c r="H528" s="22"/>
      <c r="I528" s="22"/>
      <c r="J528" s="22"/>
      <c r="K528" s="23"/>
    </row>
    <row r="529" customFormat="false" ht="15" hidden="false" customHeight="true" outlineLevel="0" collapsed="false">
      <c r="A529" s="23"/>
      <c r="B529" s="23"/>
      <c r="C529" s="23"/>
      <c r="D529" s="23"/>
      <c r="E529" s="23"/>
      <c r="F529" s="23"/>
      <c r="G529" s="23"/>
      <c r="H529" s="22"/>
      <c r="I529" s="22"/>
      <c r="J529" s="22"/>
      <c r="K529" s="23"/>
    </row>
    <row r="530" customFormat="false" ht="15" hidden="false" customHeight="true" outlineLevel="0" collapsed="false">
      <c r="A530" s="23"/>
      <c r="B530" s="23"/>
      <c r="C530" s="23"/>
      <c r="D530" s="23"/>
      <c r="E530" s="23"/>
      <c r="F530" s="23"/>
      <c r="G530" s="23"/>
      <c r="H530" s="22"/>
      <c r="I530" s="22"/>
      <c r="J530" s="22"/>
      <c r="K530" s="23"/>
    </row>
    <row r="531" customFormat="false" ht="15" hidden="false" customHeight="true" outlineLevel="0" collapsed="false">
      <c r="A531" s="23"/>
      <c r="B531" s="23"/>
      <c r="C531" s="23"/>
      <c r="D531" s="23"/>
      <c r="E531" s="23"/>
      <c r="F531" s="23"/>
      <c r="G531" s="23"/>
      <c r="H531" s="22"/>
      <c r="I531" s="22"/>
      <c r="J531" s="22"/>
      <c r="K531" s="23"/>
    </row>
    <row r="532" customFormat="false" ht="15" hidden="false" customHeight="true" outlineLevel="0" collapsed="false">
      <c r="A532" s="23"/>
      <c r="B532" s="23"/>
      <c r="C532" s="23"/>
      <c r="D532" s="23"/>
      <c r="E532" s="23"/>
      <c r="F532" s="23"/>
      <c r="G532" s="23"/>
      <c r="H532" s="22"/>
      <c r="I532" s="22"/>
      <c r="J532" s="22"/>
      <c r="K532" s="23"/>
    </row>
    <row r="533" customFormat="false" ht="15" hidden="false" customHeight="true" outlineLevel="0" collapsed="false">
      <c r="A533" s="23"/>
      <c r="B533" s="23"/>
      <c r="C533" s="23"/>
      <c r="D533" s="23"/>
      <c r="E533" s="23"/>
      <c r="F533" s="23"/>
      <c r="G533" s="23"/>
      <c r="H533" s="22"/>
      <c r="I533" s="22"/>
      <c r="J533" s="22"/>
      <c r="K533" s="23"/>
    </row>
    <row r="534" customFormat="false" ht="15" hidden="false" customHeight="true" outlineLevel="0" collapsed="false">
      <c r="A534" s="23"/>
      <c r="B534" s="23"/>
      <c r="C534" s="23"/>
      <c r="D534" s="23"/>
      <c r="E534" s="23"/>
      <c r="F534" s="23"/>
      <c r="G534" s="23"/>
      <c r="H534" s="22"/>
      <c r="I534" s="22"/>
      <c r="J534" s="22"/>
      <c r="K534" s="23"/>
    </row>
    <row r="535" customFormat="false" ht="15" hidden="false" customHeight="true" outlineLevel="0" collapsed="false">
      <c r="A535" s="23"/>
      <c r="B535" s="23"/>
      <c r="C535" s="23"/>
      <c r="D535" s="23"/>
      <c r="E535" s="23"/>
      <c r="F535" s="23"/>
      <c r="G535" s="23"/>
      <c r="H535" s="22"/>
      <c r="I535" s="22"/>
      <c r="J535" s="22"/>
      <c r="K535" s="23"/>
    </row>
    <row r="536" customFormat="false" ht="15" hidden="false" customHeight="true" outlineLevel="0" collapsed="false">
      <c r="A536" s="23"/>
      <c r="B536" s="23"/>
      <c r="C536" s="23"/>
      <c r="D536" s="23"/>
      <c r="E536" s="23"/>
      <c r="F536" s="23"/>
      <c r="G536" s="23"/>
      <c r="H536" s="22"/>
      <c r="I536" s="22"/>
      <c r="J536" s="22"/>
      <c r="K536" s="23"/>
    </row>
    <row r="537" customFormat="false" ht="15" hidden="false" customHeight="true" outlineLevel="0" collapsed="false">
      <c r="A537" s="23"/>
      <c r="B537" s="23"/>
      <c r="C537" s="23"/>
      <c r="D537" s="23"/>
      <c r="E537" s="23"/>
      <c r="F537" s="23"/>
      <c r="G537" s="23"/>
      <c r="H537" s="22"/>
      <c r="I537" s="22"/>
      <c r="J537" s="22"/>
      <c r="K537" s="23"/>
    </row>
    <row r="538" customFormat="false" ht="15" hidden="false" customHeight="true" outlineLevel="0" collapsed="false">
      <c r="A538" s="23"/>
      <c r="B538" s="23"/>
      <c r="C538" s="23"/>
      <c r="D538" s="23"/>
      <c r="E538" s="23"/>
      <c r="F538" s="23"/>
      <c r="G538" s="23"/>
      <c r="H538" s="22"/>
      <c r="I538" s="22"/>
      <c r="J538" s="22"/>
      <c r="K538" s="23"/>
    </row>
    <row r="539" customFormat="false" ht="15" hidden="false" customHeight="true" outlineLevel="0" collapsed="false">
      <c r="A539" s="23"/>
      <c r="B539" s="23"/>
      <c r="C539" s="23"/>
      <c r="D539" s="23"/>
      <c r="E539" s="23"/>
      <c r="F539" s="23"/>
      <c r="G539" s="23"/>
      <c r="H539" s="22"/>
      <c r="I539" s="22"/>
      <c r="J539" s="22"/>
      <c r="K539" s="23"/>
    </row>
    <row r="540" customFormat="false" ht="15" hidden="false" customHeight="true" outlineLevel="0" collapsed="false">
      <c r="A540" s="23"/>
      <c r="B540" s="23"/>
      <c r="C540" s="23"/>
      <c r="D540" s="23"/>
      <c r="E540" s="23"/>
      <c r="F540" s="23"/>
      <c r="G540" s="23"/>
      <c r="H540" s="22"/>
      <c r="I540" s="22"/>
      <c r="J540" s="22"/>
      <c r="K540" s="23"/>
    </row>
    <row r="541" customFormat="false" ht="15" hidden="false" customHeight="true" outlineLevel="0" collapsed="false">
      <c r="A541" s="23"/>
      <c r="B541" s="23"/>
      <c r="C541" s="23"/>
      <c r="D541" s="23"/>
      <c r="E541" s="23"/>
      <c r="F541" s="23"/>
      <c r="G541" s="23"/>
      <c r="H541" s="22"/>
      <c r="I541" s="22"/>
      <c r="J541" s="22"/>
      <c r="K541" s="23"/>
    </row>
    <row r="542" customFormat="false" ht="15" hidden="false" customHeight="true" outlineLevel="0" collapsed="false">
      <c r="A542" s="23"/>
      <c r="B542" s="23"/>
      <c r="C542" s="23"/>
      <c r="D542" s="23"/>
      <c r="E542" s="23"/>
      <c r="F542" s="23"/>
      <c r="G542" s="23"/>
      <c r="H542" s="22"/>
      <c r="I542" s="22"/>
      <c r="J542" s="22"/>
      <c r="K542" s="23"/>
    </row>
    <row r="543" customFormat="false" ht="15" hidden="false" customHeight="true" outlineLevel="0" collapsed="false">
      <c r="A543" s="23"/>
      <c r="B543" s="23"/>
      <c r="C543" s="23"/>
      <c r="D543" s="23"/>
      <c r="E543" s="23"/>
      <c r="F543" s="23"/>
      <c r="G543" s="23"/>
      <c r="H543" s="22"/>
      <c r="I543" s="22"/>
      <c r="J543" s="22"/>
      <c r="K543" s="23"/>
    </row>
    <row r="544" customFormat="false" ht="15" hidden="false" customHeight="true" outlineLevel="0" collapsed="false">
      <c r="A544" s="23"/>
      <c r="B544" s="23"/>
      <c r="C544" s="23"/>
      <c r="D544" s="23"/>
      <c r="E544" s="23"/>
      <c r="F544" s="23"/>
      <c r="G544" s="23"/>
      <c r="H544" s="22"/>
      <c r="I544" s="22"/>
      <c r="J544" s="22"/>
      <c r="K544" s="23"/>
    </row>
    <row r="545" customFormat="false" ht="15" hidden="false" customHeight="true" outlineLevel="0" collapsed="false">
      <c r="A545" s="23"/>
      <c r="B545" s="23"/>
      <c r="C545" s="23"/>
      <c r="D545" s="23"/>
      <c r="E545" s="23"/>
      <c r="F545" s="23"/>
      <c r="G545" s="23"/>
      <c r="H545" s="22"/>
      <c r="I545" s="22"/>
      <c r="J545" s="22"/>
      <c r="K545" s="23"/>
    </row>
    <row r="546" customFormat="false" ht="15" hidden="false" customHeight="true" outlineLevel="0" collapsed="false">
      <c r="A546" s="23"/>
      <c r="B546" s="23"/>
      <c r="C546" s="23"/>
      <c r="D546" s="23"/>
      <c r="E546" s="23"/>
      <c r="F546" s="23"/>
      <c r="G546" s="23"/>
      <c r="H546" s="22"/>
      <c r="I546" s="22"/>
      <c r="J546" s="22"/>
      <c r="K546" s="23"/>
    </row>
    <row r="547" customFormat="false" ht="15" hidden="false" customHeight="true" outlineLevel="0" collapsed="false">
      <c r="A547" s="23"/>
      <c r="B547" s="23"/>
      <c r="C547" s="23"/>
      <c r="D547" s="23"/>
      <c r="E547" s="23"/>
      <c r="F547" s="23"/>
      <c r="G547" s="23"/>
      <c r="H547" s="22"/>
      <c r="I547" s="22"/>
      <c r="J547" s="22"/>
      <c r="K547" s="23"/>
    </row>
    <row r="548" customFormat="false" ht="15" hidden="false" customHeight="true" outlineLevel="0" collapsed="false">
      <c r="A548" s="23"/>
      <c r="B548" s="23"/>
      <c r="C548" s="23"/>
      <c r="D548" s="23"/>
      <c r="E548" s="23"/>
      <c r="F548" s="23"/>
      <c r="G548" s="23"/>
      <c r="H548" s="22"/>
      <c r="I548" s="22"/>
      <c r="J548" s="22"/>
      <c r="K548" s="23"/>
    </row>
    <row r="549" customFormat="false" ht="15" hidden="false" customHeight="true" outlineLevel="0" collapsed="false">
      <c r="A549" s="23"/>
      <c r="B549" s="23"/>
      <c r="C549" s="23"/>
      <c r="D549" s="23"/>
      <c r="E549" s="23"/>
      <c r="F549" s="23"/>
      <c r="G549" s="23"/>
      <c r="H549" s="22"/>
      <c r="I549" s="22"/>
      <c r="J549" s="22"/>
      <c r="K549" s="23"/>
    </row>
    <row r="550" customFormat="false" ht="15" hidden="false" customHeight="true" outlineLevel="0" collapsed="false">
      <c r="A550" s="23"/>
      <c r="B550" s="23"/>
      <c r="C550" s="23"/>
      <c r="D550" s="23"/>
      <c r="E550" s="23"/>
      <c r="F550" s="23"/>
      <c r="G550" s="23"/>
      <c r="H550" s="22"/>
      <c r="I550" s="22"/>
      <c r="J550" s="22"/>
      <c r="K550" s="23"/>
    </row>
    <row r="551" customFormat="false" ht="15" hidden="false" customHeight="true" outlineLevel="0" collapsed="false">
      <c r="A551" s="23"/>
      <c r="B551" s="23"/>
      <c r="C551" s="23"/>
      <c r="D551" s="23"/>
      <c r="E551" s="23"/>
      <c r="F551" s="23"/>
      <c r="G551" s="23"/>
      <c r="H551" s="22"/>
      <c r="I551" s="22"/>
      <c r="J551" s="22"/>
      <c r="K551" s="23"/>
    </row>
    <row r="552" customFormat="false" ht="15" hidden="false" customHeight="true" outlineLevel="0" collapsed="false">
      <c r="A552" s="23"/>
      <c r="B552" s="23"/>
      <c r="C552" s="23"/>
      <c r="D552" s="23"/>
      <c r="E552" s="23"/>
      <c r="F552" s="23"/>
      <c r="G552" s="23"/>
      <c r="H552" s="22"/>
      <c r="I552" s="22"/>
      <c r="J552" s="22"/>
      <c r="K552" s="23"/>
    </row>
    <row r="553" customFormat="false" ht="15" hidden="false" customHeight="true" outlineLevel="0" collapsed="false">
      <c r="A553" s="23"/>
      <c r="B553" s="23"/>
      <c r="C553" s="23"/>
      <c r="D553" s="23"/>
      <c r="E553" s="23"/>
      <c r="F553" s="23"/>
      <c r="G553" s="23"/>
      <c r="H553" s="22"/>
      <c r="I553" s="22"/>
      <c r="J553" s="22"/>
      <c r="K553" s="23"/>
    </row>
    <row r="554" customFormat="false" ht="15" hidden="false" customHeight="true" outlineLevel="0" collapsed="false">
      <c r="A554" s="23"/>
      <c r="B554" s="23"/>
      <c r="C554" s="23"/>
      <c r="D554" s="23"/>
      <c r="E554" s="23"/>
      <c r="F554" s="23"/>
      <c r="G554" s="23"/>
      <c r="H554" s="22"/>
      <c r="I554" s="22"/>
      <c r="J554" s="22"/>
      <c r="K554" s="23"/>
    </row>
    <row r="555" customFormat="false" ht="15" hidden="false" customHeight="true" outlineLevel="0" collapsed="false">
      <c r="A555" s="23"/>
      <c r="B555" s="23"/>
      <c r="C555" s="23"/>
      <c r="D555" s="23"/>
      <c r="E555" s="23"/>
      <c r="F555" s="23"/>
      <c r="G555" s="23"/>
      <c r="H555" s="22"/>
      <c r="I555" s="22"/>
      <c r="J555" s="22"/>
      <c r="K555" s="23"/>
    </row>
    <row r="556" customFormat="false" ht="15" hidden="false" customHeight="true" outlineLevel="0" collapsed="false">
      <c r="A556" s="23"/>
      <c r="B556" s="23"/>
      <c r="C556" s="23"/>
      <c r="D556" s="23"/>
      <c r="E556" s="23"/>
      <c r="F556" s="23"/>
      <c r="G556" s="23"/>
      <c r="H556" s="22"/>
      <c r="I556" s="22"/>
      <c r="J556" s="22"/>
      <c r="K556" s="23"/>
    </row>
    <row r="557" customFormat="false" ht="15" hidden="false" customHeight="true" outlineLevel="0" collapsed="false">
      <c r="A557" s="23"/>
      <c r="B557" s="23"/>
      <c r="C557" s="23"/>
      <c r="D557" s="23"/>
      <c r="E557" s="23"/>
      <c r="F557" s="23"/>
      <c r="G557" s="23"/>
      <c r="H557" s="22"/>
      <c r="I557" s="22"/>
      <c r="J557" s="22"/>
      <c r="K557" s="23"/>
    </row>
    <row r="558" customFormat="false" ht="15" hidden="false" customHeight="true" outlineLevel="0" collapsed="false">
      <c r="A558" s="23"/>
      <c r="B558" s="23"/>
      <c r="C558" s="23"/>
      <c r="D558" s="23"/>
      <c r="E558" s="23"/>
      <c r="F558" s="23"/>
      <c r="G558" s="23"/>
      <c r="H558" s="22"/>
      <c r="I558" s="22"/>
      <c r="J558" s="22"/>
      <c r="K558" s="23"/>
    </row>
    <row r="559" customFormat="false" ht="15" hidden="false" customHeight="true" outlineLevel="0" collapsed="false">
      <c r="A559" s="23"/>
      <c r="B559" s="23"/>
      <c r="C559" s="23"/>
      <c r="D559" s="23"/>
      <c r="E559" s="23"/>
      <c r="F559" s="23"/>
      <c r="G559" s="23"/>
      <c r="H559" s="22"/>
      <c r="I559" s="22"/>
      <c r="J559" s="22"/>
      <c r="K559" s="23"/>
    </row>
    <row r="560" customFormat="false" ht="15" hidden="false" customHeight="true" outlineLevel="0" collapsed="false">
      <c r="A560" s="23"/>
      <c r="B560" s="23"/>
      <c r="C560" s="23"/>
      <c r="D560" s="23"/>
      <c r="E560" s="23"/>
      <c r="F560" s="23"/>
      <c r="G560" s="23"/>
      <c r="H560" s="22"/>
      <c r="I560" s="22"/>
      <c r="J560" s="22"/>
      <c r="K560" s="23"/>
    </row>
    <row r="561" customFormat="false" ht="15" hidden="false" customHeight="true" outlineLevel="0" collapsed="false">
      <c r="A561" s="23"/>
      <c r="B561" s="23"/>
      <c r="C561" s="23"/>
      <c r="D561" s="23"/>
      <c r="E561" s="23"/>
      <c r="F561" s="23"/>
      <c r="G561" s="23"/>
      <c r="H561" s="22"/>
      <c r="I561" s="22"/>
      <c r="J561" s="22"/>
      <c r="K561" s="23"/>
    </row>
    <row r="562" customFormat="false" ht="15" hidden="false" customHeight="true" outlineLevel="0" collapsed="false">
      <c r="A562" s="23"/>
      <c r="B562" s="23"/>
      <c r="C562" s="23"/>
      <c r="D562" s="23"/>
      <c r="E562" s="23"/>
      <c r="F562" s="23"/>
      <c r="G562" s="23"/>
      <c r="H562" s="22"/>
      <c r="I562" s="22"/>
      <c r="J562" s="22"/>
      <c r="K562" s="23"/>
    </row>
    <row r="563" customFormat="false" ht="15" hidden="false" customHeight="true" outlineLevel="0" collapsed="false">
      <c r="A563" s="23"/>
      <c r="B563" s="23"/>
      <c r="C563" s="23"/>
      <c r="D563" s="23"/>
      <c r="E563" s="23"/>
      <c r="F563" s="23"/>
      <c r="G563" s="23"/>
      <c r="H563" s="22"/>
      <c r="I563" s="22"/>
      <c r="J563" s="22"/>
      <c r="K563" s="23"/>
    </row>
    <row r="564" customFormat="false" ht="15" hidden="false" customHeight="true" outlineLevel="0" collapsed="false">
      <c r="A564" s="23"/>
      <c r="B564" s="23"/>
      <c r="C564" s="23"/>
      <c r="D564" s="23"/>
      <c r="E564" s="23"/>
      <c r="F564" s="23"/>
      <c r="G564" s="23"/>
      <c r="H564" s="22"/>
      <c r="I564" s="22"/>
      <c r="J564" s="22"/>
      <c r="K564" s="23"/>
    </row>
    <row r="565" customFormat="false" ht="15" hidden="false" customHeight="true" outlineLevel="0" collapsed="false">
      <c r="A565" s="23"/>
      <c r="B565" s="23"/>
      <c r="C565" s="23"/>
      <c r="D565" s="23"/>
      <c r="E565" s="23"/>
      <c r="F565" s="23"/>
      <c r="G565" s="23"/>
      <c r="H565" s="22"/>
      <c r="I565" s="22"/>
      <c r="J565" s="22"/>
      <c r="K565" s="23"/>
    </row>
    <row r="566" customFormat="false" ht="15" hidden="false" customHeight="true" outlineLevel="0" collapsed="false">
      <c r="A566" s="23"/>
      <c r="B566" s="23"/>
      <c r="C566" s="23"/>
      <c r="D566" s="23"/>
      <c r="E566" s="23"/>
      <c r="F566" s="23"/>
      <c r="G566" s="23"/>
      <c r="H566" s="22"/>
      <c r="I566" s="22"/>
      <c r="J566" s="22"/>
      <c r="K566" s="23"/>
    </row>
    <row r="567" customFormat="false" ht="15" hidden="false" customHeight="true" outlineLevel="0" collapsed="false">
      <c r="A567" s="23"/>
      <c r="B567" s="23"/>
      <c r="C567" s="23"/>
      <c r="D567" s="23"/>
      <c r="E567" s="23"/>
      <c r="F567" s="23"/>
      <c r="G567" s="23"/>
      <c r="H567" s="22"/>
      <c r="I567" s="22"/>
      <c r="J567" s="22"/>
      <c r="K567" s="23"/>
    </row>
    <row r="568" customFormat="false" ht="15" hidden="false" customHeight="true" outlineLevel="0" collapsed="false">
      <c r="A568" s="23"/>
      <c r="B568" s="23"/>
      <c r="C568" s="23"/>
      <c r="D568" s="23"/>
      <c r="E568" s="23"/>
      <c r="F568" s="23"/>
      <c r="G568" s="23"/>
      <c r="H568" s="22"/>
      <c r="I568" s="22"/>
      <c r="J568" s="22"/>
      <c r="K568" s="23"/>
    </row>
    <row r="569" customFormat="false" ht="15" hidden="false" customHeight="true" outlineLevel="0" collapsed="false">
      <c r="A569" s="23"/>
      <c r="B569" s="23"/>
      <c r="C569" s="23"/>
      <c r="D569" s="23"/>
      <c r="E569" s="23"/>
      <c r="F569" s="23"/>
      <c r="G569" s="23"/>
      <c r="H569" s="22"/>
      <c r="I569" s="22"/>
      <c r="J569" s="22"/>
      <c r="K569" s="23"/>
    </row>
    <row r="570" customFormat="false" ht="15" hidden="false" customHeight="true" outlineLevel="0" collapsed="false">
      <c r="A570" s="23"/>
      <c r="B570" s="23"/>
      <c r="C570" s="23"/>
      <c r="D570" s="23"/>
      <c r="E570" s="23"/>
      <c r="F570" s="23"/>
      <c r="G570" s="23"/>
      <c r="H570" s="22"/>
      <c r="I570" s="22"/>
      <c r="J570" s="22"/>
      <c r="K570" s="23"/>
    </row>
    <row r="571" customFormat="false" ht="15" hidden="false" customHeight="true" outlineLevel="0" collapsed="false">
      <c r="A571" s="23"/>
      <c r="B571" s="23"/>
      <c r="C571" s="23"/>
      <c r="D571" s="23"/>
      <c r="E571" s="23"/>
      <c r="F571" s="23"/>
      <c r="G571" s="23"/>
      <c r="H571" s="22"/>
      <c r="I571" s="22"/>
      <c r="J571" s="22"/>
      <c r="K571" s="23"/>
    </row>
    <row r="572" customFormat="false" ht="15" hidden="false" customHeight="true" outlineLevel="0" collapsed="false">
      <c r="A572" s="23"/>
      <c r="B572" s="23"/>
      <c r="C572" s="23"/>
      <c r="D572" s="23"/>
      <c r="E572" s="23"/>
      <c r="F572" s="23"/>
      <c r="G572" s="23"/>
      <c r="H572" s="22"/>
      <c r="I572" s="22"/>
      <c r="J572" s="22"/>
      <c r="K572" s="23"/>
    </row>
    <row r="573" customFormat="false" ht="15" hidden="false" customHeight="true" outlineLevel="0" collapsed="false">
      <c r="A573" s="23"/>
      <c r="B573" s="23"/>
      <c r="C573" s="23"/>
      <c r="D573" s="23"/>
      <c r="E573" s="23"/>
      <c r="F573" s="23"/>
      <c r="G573" s="23"/>
      <c r="H573" s="22"/>
      <c r="I573" s="22"/>
      <c r="J573" s="22"/>
      <c r="K573" s="23"/>
    </row>
    <row r="574" customFormat="false" ht="15" hidden="false" customHeight="true" outlineLevel="0" collapsed="false">
      <c r="A574" s="23"/>
      <c r="B574" s="23"/>
      <c r="C574" s="23"/>
      <c r="D574" s="23"/>
      <c r="E574" s="23"/>
      <c r="F574" s="23"/>
      <c r="G574" s="23"/>
      <c r="H574" s="22"/>
      <c r="I574" s="22"/>
      <c r="J574" s="22"/>
      <c r="K574" s="23"/>
    </row>
    <row r="575" customFormat="false" ht="15" hidden="false" customHeight="true" outlineLevel="0" collapsed="false">
      <c r="A575" s="23"/>
      <c r="B575" s="23"/>
      <c r="C575" s="23"/>
      <c r="D575" s="23"/>
      <c r="E575" s="23"/>
      <c r="F575" s="23"/>
      <c r="G575" s="23"/>
      <c r="H575" s="22"/>
      <c r="I575" s="22"/>
      <c r="J575" s="22"/>
      <c r="K575" s="23"/>
    </row>
    <row r="576" customFormat="false" ht="15" hidden="false" customHeight="true" outlineLevel="0" collapsed="false">
      <c r="A576" s="23"/>
      <c r="B576" s="23"/>
      <c r="C576" s="23"/>
      <c r="D576" s="23"/>
      <c r="E576" s="23"/>
      <c r="F576" s="23"/>
      <c r="G576" s="23"/>
      <c r="H576" s="22"/>
      <c r="I576" s="22"/>
      <c r="J576" s="22"/>
      <c r="K576" s="23"/>
    </row>
    <row r="577" customFormat="false" ht="15" hidden="false" customHeight="true" outlineLevel="0" collapsed="false">
      <c r="A577" s="23"/>
      <c r="B577" s="23"/>
      <c r="C577" s="23"/>
      <c r="D577" s="23"/>
      <c r="E577" s="23"/>
      <c r="F577" s="23"/>
      <c r="G577" s="23"/>
      <c r="H577" s="22"/>
      <c r="I577" s="22"/>
      <c r="J577" s="22"/>
      <c r="K577" s="23"/>
    </row>
    <row r="578" customFormat="false" ht="15" hidden="false" customHeight="true" outlineLevel="0" collapsed="false">
      <c r="A578" s="23"/>
      <c r="B578" s="23"/>
      <c r="C578" s="23"/>
      <c r="D578" s="23"/>
      <c r="E578" s="23"/>
      <c r="F578" s="23"/>
      <c r="G578" s="23"/>
      <c r="H578" s="22"/>
      <c r="I578" s="22"/>
      <c r="J578" s="22"/>
      <c r="K578" s="23"/>
    </row>
    <row r="579" customFormat="false" ht="15" hidden="false" customHeight="true" outlineLevel="0" collapsed="false">
      <c r="A579" s="23"/>
      <c r="B579" s="23"/>
      <c r="C579" s="23"/>
      <c r="D579" s="23"/>
      <c r="E579" s="23"/>
      <c r="F579" s="23"/>
      <c r="G579" s="23"/>
      <c r="H579" s="22"/>
      <c r="I579" s="22"/>
      <c r="J579" s="22"/>
      <c r="K579" s="23"/>
    </row>
    <row r="580" customFormat="false" ht="15" hidden="false" customHeight="true" outlineLevel="0" collapsed="false">
      <c r="A580" s="23"/>
      <c r="B580" s="23"/>
      <c r="C580" s="23"/>
      <c r="D580" s="23"/>
      <c r="E580" s="23"/>
      <c r="F580" s="23"/>
      <c r="G580" s="23"/>
      <c r="H580" s="22"/>
      <c r="I580" s="22"/>
      <c r="J580" s="22"/>
      <c r="K580" s="23"/>
    </row>
    <row r="581" customFormat="false" ht="15" hidden="false" customHeight="true" outlineLevel="0" collapsed="false">
      <c r="A581" s="23"/>
      <c r="B581" s="23"/>
      <c r="C581" s="23"/>
      <c r="D581" s="23"/>
      <c r="E581" s="23"/>
      <c r="F581" s="23"/>
      <c r="G581" s="23"/>
      <c r="H581" s="22"/>
      <c r="I581" s="22"/>
      <c r="J581" s="22"/>
      <c r="K581" s="23"/>
    </row>
    <row r="582" customFormat="false" ht="15" hidden="false" customHeight="true" outlineLevel="0" collapsed="false">
      <c r="A582" s="23"/>
      <c r="B582" s="23"/>
      <c r="C582" s="23"/>
      <c r="D582" s="23"/>
      <c r="E582" s="23"/>
      <c r="F582" s="23"/>
      <c r="G582" s="23"/>
      <c r="H582" s="22"/>
      <c r="I582" s="22"/>
      <c r="J582" s="22"/>
      <c r="K582" s="23"/>
    </row>
    <row r="583" customFormat="false" ht="15" hidden="false" customHeight="true" outlineLevel="0" collapsed="false">
      <c r="A583" s="23"/>
      <c r="B583" s="23"/>
      <c r="C583" s="23"/>
      <c r="D583" s="23"/>
      <c r="E583" s="23"/>
      <c r="F583" s="23"/>
      <c r="G583" s="23"/>
      <c r="H583" s="22"/>
      <c r="I583" s="22"/>
      <c r="J583" s="22"/>
      <c r="K583" s="23"/>
    </row>
    <row r="584" customFormat="false" ht="15" hidden="false" customHeight="true" outlineLevel="0" collapsed="false">
      <c r="A584" s="23"/>
      <c r="B584" s="23"/>
      <c r="C584" s="23"/>
      <c r="D584" s="23"/>
      <c r="E584" s="23"/>
      <c r="F584" s="23"/>
      <c r="G584" s="23"/>
      <c r="H584" s="22"/>
      <c r="I584" s="22"/>
      <c r="J584" s="22"/>
      <c r="K584" s="23"/>
    </row>
    <row r="585" customFormat="false" ht="15" hidden="false" customHeight="true" outlineLevel="0" collapsed="false">
      <c r="A585" s="23"/>
      <c r="B585" s="23"/>
      <c r="C585" s="23"/>
      <c r="D585" s="23"/>
      <c r="E585" s="23"/>
      <c r="F585" s="23"/>
      <c r="G585" s="23"/>
      <c r="H585" s="22"/>
      <c r="I585" s="22"/>
      <c r="J585" s="22"/>
      <c r="K585" s="23"/>
    </row>
    <row r="586" customFormat="false" ht="15" hidden="false" customHeight="true" outlineLevel="0" collapsed="false">
      <c r="A586" s="23"/>
      <c r="B586" s="23"/>
      <c r="C586" s="23"/>
      <c r="D586" s="23"/>
      <c r="E586" s="23"/>
      <c r="F586" s="23"/>
      <c r="G586" s="23"/>
      <c r="H586" s="22"/>
      <c r="I586" s="22"/>
      <c r="J586" s="22"/>
      <c r="K586" s="23"/>
    </row>
    <row r="587" customFormat="false" ht="15" hidden="false" customHeight="true" outlineLevel="0" collapsed="false">
      <c r="A587" s="23"/>
      <c r="B587" s="23"/>
      <c r="C587" s="23"/>
      <c r="D587" s="23"/>
      <c r="E587" s="23"/>
      <c r="F587" s="23"/>
      <c r="G587" s="23"/>
      <c r="H587" s="22"/>
      <c r="I587" s="22"/>
      <c r="J587" s="22"/>
      <c r="K587" s="23"/>
    </row>
    <row r="588" customFormat="false" ht="15" hidden="false" customHeight="true" outlineLevel="0" collapsed="false">
      <c r="A588" s="23"/>
      <c r="B588" s="23"/>
      <c r="C588" s="23"/>
      <c r="D588" s="23"/>
      <c r="E588" s="23"/>
      <c r="F588" s="23"/>
      <c r="G588" s="23"/>
      <c r="H588" s="22"/>
      <c r="I588" s="22"/>
      <c r="J588" s="22"/>
      <c r="K588" s="23"/>
    </row>
    <row r="589" customFormat="false" ht="15" hidden="false" customHeight="true" outlineLevel="0" collapsed="false">
      <c r="A589" s="23"/>
      <c r="B589" s="23"/>
      <c r="C589" s="23"/>
      <c r="D589" s="23"/>
      <c r="E589" s="23"/>
      <c r="F589" s="23"/>
      <c r="G589" s="23"/>
      <c r="H589" s="22"/>
      <c r="I589" s="22"/>
      <c r="J589" s="22"/>
      <c r="K589" s="23"/>
    </row>
    <row r="590" customFormat="false" ht="15" hidden="false" customHeight="true" outlineLevel="0" collapsed="false">
      <c r="A590" s="23"/>
      <c r="B590" s="23"/>
      <c r="C590" s="23"/>
      <c r="D590" s="23"/>
      <c r="E590" s="23"/>
      <c r="F590" s="23"/>
      <c r="G590" s="23"/>
      <c r="H590" s="22"/>
      <c r="I590" s="22"/>
      <c r="J590" s="22"/>
      <c r="K590" s="23"/>
    </row>
    <row r="591" customFormat="false" ht="15" hidden="false" customHeight="true" outlineLevel="0" collapsed="false">
      <c r="A591" s="23"/>
      <c r="B591" s="23"/>
      <c r="C591" s="23"/>
      <c r="D591" s="23"/>
      <c r="E591" s="23"/>
      <c r="F591" s="23"/>
      <c r="G591" s="23"/>
      <c r="H591" s="22"/>
      <c r="I591" s="22"/>
      <c r="J591" s="22"/>
      <c r="K591" s="23"/>
    </row>
    <row r="592" customFormat="false" ht="15" hidden="false" customHeight="true" outlineLevel="0" collapsed="false">
      <c r="A592" s="23"/>
      <c r="B592" s="23"/>
      <c r="C592" s="23"/>
      <c r="D592" s="23"/>
      <c r="E592" s="23"/>
      <c r="F592" s="23"/>
      <c r="G592" s="23"/>
      <c r="H592" s="22"/>
      <c r="I592" s="22"/>
      <c r="J592" s="22"/>
      <c r="K592" s="23"/>
    </row>
    <row r="593" customFormat="false" ht="15" hidden="false" customHeight="true" outlineLevel="0" collapsed="false">
      <c r="A593" s="23"/>
      <c r="B593" s="23"/>
      <c r="C593" s="23"/>
      <c r="D593" s="23"/>
      <c r="E593" s="23"/>
      <c r="F593" s="23"/>
      <c r="G593" s="23"/>
      <c r="H593" s="22"/>
      <c r="I593" s="22"/>
      <c r="J593" s="22"/>
      <c r="K593" s="23"/>
    </row>
    <row r="594" customFormat="false" ht="15" hidden="false" customHeight="true" outlineLevel="0" collapsed="false">
      <c r="A594" s="23"/>
      <c r="B594" s="23"/>
      <c r="C594" s="23"/>
      <c r="D594" s="23"/>
      <c r="E594" s="23"/>
      <c r="F594" s="23"/>
      <c r="G594" s="23"/>
      <c r="H594" s="22"/>
      <c r="I594" s="22"/>
      <c r="J594" s="22"/>
      <c r="K594" s="23"/>
    </row>
    <row r="595" customFormat="false" ht="15" hidden="false" customHeight="true" outlineLevel="0" collapsed="false">
      <c r="A595" s="23"/>
      <c r="B595" s="23"/>
      <c r="C595" s="23"/>
      <c r="D595" s="23"/>
      <c r="E595" s="23"/>
      <c r="F595" s="23"/>
      <c r="G595" s="23"/>
      <c r="H595" s="22"/>
      <c r="I595" s="22"/>
      <c r="J595" s="22"/>
      <c r="K595" s="23"/>
    </row>
    <row r="596" customFormat="false" ht="15" hidden="false" customHeight="true" outlineLevel="0" collapsed="false">
      <c r="A596" s="23"/>
      <c r="B596" s="23"/>
      <c r="C596" s="23"/>
      <c r="D596" s="23"/>
      <c r="E596" s="23"/>
      <c r="F596" s="23"/>
      <c r="G596" s="23"/>
      <c r="H596" s="22"/>
      <c r="I596" s="22"/>
      <c r="J596" s="22"/>
      <c r="K596" s="23"/>
    </row>
    <row r="597" customFormat="false" ht="15" hidden="false" customHeight="true" outlineLevel="0" collapsed="false">
      <c r="A597" s="23"/>
      <c r="B597" s="23"/>
      <c r="C597" s="23"/>
      <c r="D597" s="23"/>
      <c r="E597" s="23"/>
      <c r="F597" s="23"/>
      <c r="G597" s="23"/>
      <c r="H597" s="22"/>
      <c r="I597" s="22"/>
      <c r="J597" s="22"/>
      <c r="K597" s="23"/>
    </row>
    <row r="598" customFormat="false" ht="15" hidden="false" customHeight="true" outlineLevel="0" collapsed="false">
      <c r="A598" s="23"/>
      <c r="B598" s="23"/>
      <c r="C598" s="23"/>
      <c r="D598" s="23"/>
      <c r="E598" s="23"/>
      <c r="F598" s="23"/>
      <c r="G598" s="23"/>
      <c r="H598" s="22"/>
      <c r="I598" s="22"/>
      <c r="J598" s="22"/>
      <c r="K598" s="23"/>
    </row>
    <row r="599" customFormat="false" ht="15" hidden="false" customHeight="true" outlineLevel="0" collapsed="false">
      <c r="A599" s="23"/>
      <c r="B599" s="23"/>
      <c r="C599" s="23"/>
      <c r="D599" s="23"/>
      <c r="E599" s="23"/>
      <c r="F599" s="23"/>
      <c r="G599" s="23"/>
      <c r="H599" s="22"/>
      <c r="I599" s="22"/>
      <c r="J599" s="22"/>
      <c r="K599" s="23"/>
    </row>
    <row r="600" customFormat="false" ht="15" hidden="false" customHeight="true" outlineLevel="0" collapsed="false">
      <c r="A600" s="23"/>
      <c r="B600" s="23"/>
      <c r="C600" s="23"/>
      <c r="D600" s="23"/>
      <c r="E600" s="23"/>
      <c r="F600" s="23"/>
      <c r="G600" s="23"/>
      <c r="H600" s="22"/>
      <c r="I600" s="22"/>
      <c r="J600" s="22"/>
      <c r="K600" s="23"/>
    </row>
    <row r="601" customFormat="false" ht="15" hidden="false" customHeight="true" outlineLevel="0" collapsed="false">
      <c r="A601" s="23"/>
      <c r="B601" s="23"/>
      <c r="C601" s="23"/>
      <c r="D601" s="23"/>
      <c r="E601" s="23"/>
      <c r="F601" s="23"/>
      <c r="G601" s="23"/>
      <c r="H601" s="22"/>
      <c r="I601" s="22"/>
      <c r="J601" s="22"/>
      <c r="K601" s="23"/>
    </row>
    <row r="602" customFormat="false" ht="15" hidden="false" customHeight="true" outlineLevel="0" collapsed="false">
      <c r="A602" s="23"/>
      <c r="B602" s="23"/>
      <c r="C602" s="23"/>
      <c r="D602" s="23"/>
      <c r="E602" s="23"/>
      <c r="F602" s="23"/>
      <c r="G602" s="23"/>
      <c r="H602" s="22"/>
      <c r="I602" s="22"/>
      <c r="J602" s="22"/>
      <c r="K602" s="23"/>
    </row>
    <row r="603" customFormat="false" ht="15" hidden="false" customHeight="true" outlineLevel="0" collapsed="false">
      <c r="A603" s="23"/>
      <c r="B603" s="23"/>
      <c r="C603" s="23"/>
      <c r="D603" s="23"/>
      <c r="E603" s="23"/>
      <c r="F603" s="23"/>
      <c r="G603" s="23"/>
      <c r="H603" s="22"/>
      <c r="I603" s="22"/>
      <c r="J603" s="22"/>
      <c r="K603" s="23"/>
    </row>
    <row r="604" customFormat="false" ht="15" hidden="false" customHeight="true" outlineLevel="0" collapsed="false">
      <c r="A604" s="23"/>
      <c r="B604" s="23"/>
      <c r="C604" s="23"/>
      <c r="D604" s="23"/>
      <c r="E604" s="23"/>
      <c r="F604" s="23"/>
      <c r="G604" s="23"/>
      <c r="H604" s="22"/>
      <c r="I604" s="22"/>
      <c r="J604" s="22"/>
      <c r="K604" s="23"/>
    </row>
    <row r="605" customFormat="false" ht="15" hidden="false" customHeight="true" outlineLevel="0" collapsed="false">
      <c r="A605" s="23"/>
      <c r="B605" s="23"/>
      <c r="C605" s="23"/>
      <c r="D605" s="23"/>
      <c r="E605" s="23"/>
      <c r="F605" s="23"/>
      <c r="G605" s="23"/>
      <c r="H605" s="22"/>
      <c r="I605" s="22"/>
      <c r="J605" s="22"/>
      <c r="K605" s="23"/>
    </row>
    <row r="606" customFormat="false" ht="15" hidden="false" customHeight="true" outlineLevel="0" collapsed="false">
      <c r="A606" s="23"/>
      <c r="B606" s="23"/>
      <c r="C606" s="23"/>
      <c r="D606" s="23"/>
      <c r="E606" s="23"/>
      <c r="F606" s="23"/>
      <c r="G606" s="23"/>
      <c r="H606" s="22"/>
      <c r="I606" s="22"/>
      <c r="J606" s="22"/>
      <c r="K606" s="23"/>
    </row>
    <row r="607" customFormat="false" ht="15" hidden="false" customHeight="true" outlineLevel="0" collapsed="false">
      <c r="A607" s="23"/>
      <c r="B607" s="23"/>
      <c r="C607" s="23"/>
      <c r="D607" s="23"/>
      <c r="E607" s="23"/>
      <c r="F607" s="23"/>
      <c r="G607" s="23"/>
      <c r="H607" s="22"/>
      <c r="I607" s="22"/>
      <c r="J607" s="22"/>
      <c r="K607" s="23"/>
    </row>
    <row r="608" customFormat="false" ht="15" hidden="false" customHeight="true" outlineLevel="0" collapsed="false">
      <c r="A608" s="23"/>
      <c r="B608" s="23"/>
      <c r="C608" s="23"/>
      <c r="D608" s="23"/>
      <c r="E608" s="23"/>
      <c r="F608" s="23"/>
      <c r="G608" s="23"/>
      <c r="H608" s="22"/>
      <c r="I608" s="22"/>
      <c r="J608" s="22"/>
      <c r="K608" s="23"/>
    </row>
    <row r="609" customFormat="false" ht="15" hidden="false" customHeight="true" outlineLevel="0" collapsed="false">
      <c r="A609" s="23"/>
      <c r="B609" s="23"/>
      <c r="C609" s="23"/>
      <c r="D609" s="23"/>
      <c r="E609" s="23"/>
      <c r="F609" s="23"/>
      <c r="G609" s="23"/>
      <c r="H609" s="22"/>
      <c r="I609" s="22"/>
      <c r="J609" s="22"/>
      <c r="K609" s="23"/>
    </row>
    <row r="610" customFormat="false" ht="15" hidden="false" customHeight="true" outlineLevel="0" collapsed="false">
      <c r="A610" s="23"/>
      <c r="B610" s="23"/>
      <c r="C610" s="23"/>
      <c r="D610" s="23"/>
      <c r="E610" s="23"/>
      <c r="F610" s="23"/>
      <c r="G610" s="23"/>
      <c r="H610" s="22"/>
      <c r="I610" s="22"/>
      <c r="J610" s="22"/>
      <c r="K610" s="23"/>
    </row>
    <row r="611" customFormat="false" ht="15" hidden="false" customHeight="true" outlineLevel="0" collapsed="false">
      <c r="A611" s="23"/>
      <c r="B611" s="23"/>
      <c r="C611" s="23"/>
      <c r="D611" s="23"/>
      <c r="E611" s="23"/>
      <c r="F611" s="23"/>
      <c r="G611" s="23"/>
      <c r="H611" s="22"/>
      <c r="I611" s="22"/>
      <c r="J611" s="22"/>
      <c r="K611" s="23"/>
    </row>
    <row r="612" customFormat="false" ht="15" hidden="false" customHeight="true" outlineLevel="0" collapsed="false">
      <c r="A612" s="23"/>
      <c r="B612" s="23"/>
      <c r="C612" s="23"/>
      <c r="D612" s="23"/>
      <c r="E612" s="23"/>
      <c r="F612" s="23"/>
      <c r="G612" s="23"/>
      <c r="H612" s="22"/>
      <c r="I612" s="22"/>
      <c r="J612" s="22"/>
      <c r="K612" s="23"/>
    </row>
    <row r="613" customFormat="false" ht="15" hidden="false" customHeight="true" outlineLevel="0" collapsed="false">
      <c r="A613" s="23"/>
      <c r="B613" s="23"/>
      <c r="C613" s="23"/>
      <c r="D613" s="23"/>
      <c r="E613" s="23"/>
      <c r="F613" s="23"/>
      <c r="G613" s="23"/>
      <c r="H613" s="22"/>
      <c r="I613" s="22"/>
      <c r="J613" s="22"/>
      <c r="K613" s="23"/>
    </row>
    <row r="614" customFormat="false" ht="15" hidden="false" customHeight="true" outlineLevel="0" collapsed="false">
      <c r="A614" s="23"/>
      <c r="B614" s="23"/>
      <c r="C614" s="23"/>
      <c r="D614" s="23"/>
      <c r="E614" s="23"/>
      <c r="F614" s="23"/>
      <c r="G614" s="23"/>
      <c r="H614" s="22"/>
      <c r="I614" s="22"/>
      <c r="J614" s="22"/>
      <c r="K614" s="23"/>
    </row>
    <row r="615" customFormat="false" ht="15" hidden="false" customHeight="true" outlineLevel="0" collapsed="false">
      <c r="A615" s="23"/>
      <c r="B615" s="23"/>
      <c r="C615" s="23"/>
      <c r="D615" s="23"/>
      <c r="E615" s="23"/>
      <c r="F615" s="23"/>
      <c r="G615" s="23"/>
      <c r="H615" s="22"/>
      <c r="I615" s="22"/>
      <c r="J615" s="22"/>
      <c r="K615" s="23"/>
    </row>
    <row r="616" customFormat="false" ht="15" hidden="false" customHeight="true" outlineLevel="0" collapsed="false">
      <c r="A616" s="23"/>
      <c r="B616" s="23"/>
      <c r="C616" s="23"/>
      <c r="D616" s="23"/>
      <c r="E616" s="23"/>
      <c r="F616" s="23"/>
      <c r="G616" s="23"/>
      <c r="H616" s="22"/>
      <c r="I616" s="22"/>
      <c r="J616" s="22"/>
      <c r="K616" s="23"/>
    </row>
    <row r="617" customFormat="false" ht="15" hidden="false" customHeight="true" outlineLevel="0" collapsed="false">
      <c r="A617" s="23"/>
      <c r="B617" s="23"/>
      <c r="C617" s="23"/>
      <c r="D617" s="23"/>
      <c r="E617" s="23"/>
      <c r="F617" s="23"/>
      <c r="G617" s="23"/>
      <c r="H617" s="22"/>
      <c r="I617" s="22"/>
      <c r="J617" s="22"/>
      <c r="K617" s="23"/>
    </row>
    <row r="618" customFormat="false" ht="15" hidden="false" customHeight="true" outlineLevel="0" collapsed="false">
      <c r="A618" s="23"/>
      <c r="B618" s="23"/>
      <c r="C618" s="23"/>
      <c r="D618" s="23"/>
      <c r="E618" s="23"/>
      <c r="F618" s="23"/>
      <c r="G618" s="23"/>
      <c r="H618" s="22"/>
      <c r="I618" s="22"/>
      <c r="J618" s="22"/>
      <c r="K618" s="23"/>
    </row>
    <row r="619" customFormat="false" ht="15" hidden="false" customHeight="true" outlineLevel="0" collapsed="false">
      <c r="A619" s="23"/>
      <c r="B619" s="23"/>
      <c r="C619" s="23"/>
      <c r="D619" s="23"/>
      <c r="E619" s="23"/>
      <c r="F619" s="23"/>
      <c r="G619" s="23"/>
      <c r="H619" s="22"/>
      <c r="I619" s="22"/>
      <c r="J619" s="22"/>
      <c r="K619" s="23"/>
    </row>
    <row r="620" customFormat="false" ht="15" hidden="false" customHeight="true" outlineLevel="0" collapsed="false">
      <c r="A620" s="23"/>
      <c r="B620" s="23"/>
      <c r="C620" s="23"/>
      <c r="D620" s="23"/>
      <c r="E620" s="23"/>
      <c r="F620" s="23"/>
      <c r="G620" s="23"/>
      <c r="H620" s="22"/>
      <c r="I620" s="22"/>
      <c r="J620" s="22"/>
      <c r="K620" s="23"/>
    </row>
    <row r="621" customFormat="false" ht="15" hidden="false" customHeight="true" outlineLevel="0" collapsed="false">
      <c r="A621" s="23"/>
      <c r="B621" s="23"/>
      <c r="C621" s="23"/>
      <c r="D621" s="23"/>
      <c r="E621" s="23"/>
      <c r="F621" s="23"/>
      <c r="G621" s="23"/>
      <c r="H621" s="22"/>
      <c r="I621" s="22"/>
      <c r="J621" s="22"/>
      <c r="K621" s="23"/>
    </row>
    <row r="622" customFormat="false" ht="15" hidden="false" customHeight="true" outlineLevel="0" collapsed="false">
      <c r="A622" s="23"/>
      <c r="B622" s="23"/>
      <c r="C622" s="23"/>
      <c r="D622" s="23"/>
      <c r="E622" s="23"/>
      <c r="F622" s="23"/>
      <c r="G622" s="23"/>
      <c r="H622" s="22"/>
      <c r="I622" s="22"/>
      <c r="J622" s="22"/>
      <c r="K622" s="23"/>
    </row>
    <row r="623" customFormat="false" ht="15" hidden="false" customHeight="true" outlineLevel="0" collapsed="false">
      <c r="A623" s="23"/>
      <c r="B623" s="23"/>
      <c r="C623" s="23"/>
      <c r="D623" s="23"/>
      <c r="E623" s="23"/>
      <c r="F623" s="23"/>
      <c r="G623" s="23"/>
      <c r="H623" s="22"/>
      <c r="I623" s="22"/>
      <c r="J623" s="22"/>
      <c r="K623" s="23"/>
    </row>
    <row r="624" customFormat="false" ht="15" hidden="false" customHeight="true" outlineLevel="0" collapsed="false">
      <c r="A624" s="23"/>
      <c r="B624" s="23"/>
      <c r="C624" s="23"/>
      <c r="D624" s="23"/>
      <c r="E624" s="23"/>
      <c r="F624" s="23"/>
      <c r="G624" s="23"/>
      <c r="H624" s="22"/>
      <c r="I624" s="22"/>
      <c r="J624" s="22"/>
      <c r="K624" s="23"/>
    </row>
    <row r="625" customFormat="false" ht="15" hidden="false" customHeight="true" outlineLevel="0" collapsed="false">
      <c r="A625" s="23"/>
      <c r="B625" s="23"/>
      <c r="C625" s="23"/>
      <c r="D625" s="23"/>
      <c r="E625" s="23"/>
      <c r="F625" s="23"/>
      <c r="G625" s="23"/>
      <c r="H625" s="22"/>
      <c r="I625" s="22"/>
      <c r="J625" s="22"/>
      <c r="K625" s="23"/>
    </row>
    <row r="626" customFormat="false" ht="15" hidden="false" customHeight="true" outlineLevel="0" collapsed="false">
      <c r="A626" s="23"/>
      <c r="B626" s="23"/>
      <c r="C626" s="23"/>
      <c r="D626" s="23"/>
      <c r="E626" s="23"/>
      <c r="F626" s="23"/>
      <c r="G626" s="23"/>
      <c r="H626" s="22"/>
      <c r="I626" s="22"/>
      <c r="J626" s="22"/>
      <c r="K626" s="23"/>
    </row>
    <row r="627" customFormat="false" ht="15" hidden="false" customHeight="true" outlineLevel="0" collapsed="false">
      <c r="A627" s="23"/>
      <c r="B627" s="23"/>
      <c r="C627" s="23"/>
      <c r="D627" s="23"/>
      <c r="E627" s="23"/>
      <c r="F627" s="23"/>
      <c r="G627" s="23"/>
      <c r="H627" s="22"/>
      <c r="I627" s="22"/>
      <c r="J627" s="22"/>
      <c r="K627" s="23"/>
    </row>
    <row r="628" customFormat="false" ht="15" hidden="false" customHeight="true" outlineLevel="0" collapsed="false">
      <c r="A628" s="23"/>
      <c r="B628" s="23"/>
      <c r="C628" s="23"/>
      <c r="D628" s="23"/>
      <c r="E628" s="23"/>
      <c r="F628" s="23"/>
      <c r="G628" s="23"/>
      <c r="H628" s="22"/>
      <c r="I628" s="22"/>
      <c r="J628" s="22"/>
      <c r="K628" s="23"/>
    </row>
    <row r="629" customFormat="false" ht="15" hidden="false" customHeight="true" outlineLevel="0" collapsed="false">
      <c r="A629" s="23"/>
      <c r="B629" s="23"/>
      <c r="C629" s="23"/>
      <c r="D629" s="23"/>
      <c r="E629" s="23"/>
      <c r="F629" s="23"/>
      <c r="G629" s="23"/>
      <c r="H629" s="22"/>
      <c r="I629" s="22"/>
      <c r="J629" s="22"/>
      <c r="K629" s="23"/>
    </row>
    <row r="630" customFormat="false" ht="15" hidden="false" customHeight="true" outlineLevel="0" collapsed="false">
      <c r="A630" s="23"/>
      <c r="B630" s="23"/>
      <c r="C630" s="23"/>
      <c r="D630" s="23"/>
      <c r="E630" s="23"/>
      <c r="F630" s="23"/>
      <c r="G630" s="23"/>
      <c r="H630" s="22"/>
      <c r="I630" s="22"/>
      <c r="J630" s="22"/>
      <c r="K630" s="23"/>
    </row>
    <row r="631" customFormat="false" ht="15" hidden="false" customHeight="true" outlineLevel="0" collapsed="false">
      <c r="A631" s="23"/>
      <c r="B631" s="23"/>
      <c r="C631" s="23"/>
      <c r="D631" s="23"/>
      <c r="E631" s="23"/>
      <c r="F631" s="23"/>
      <c r="G631" s="23"/>
      <c r="H631" s="22"/>
      <c r="I631" s="22"/>
      <c r="J631" s="22"/>
      <c r="K631" s="23"/>
    </row>
    <row r="632" customFormat="false" ht="15" hidden="false" customHeight="true" outlineLevel="0" collapsed="false">
      <c r="A632" s="23"/>
      <c r="B632" s="23"/>
      <c r="C632" s="23"/>
      <c r="D632" s="23"/>
      <c r="E632" s="23"/>
      <c r="F632" s="23"/>
      <c r="G632" s="23"/>
      <c r="H632" s="22"/>
      <c r="I632" s="22"/>
      <c r="J632" s="22"/>
      <c r="K632" s="23"/>
    </row>
    <row r="633" customFormat="false" ht="15" hidden="false" customHeight="true" outlineLevel="0" collapsed="false">
      <c r="A633" s="23"/>
      <c r="B633" s="23"/>
      <c r="C633" s="23"/>
      <c r="D633" s="23"/>
      <c r="E633" s="23"/>
      <c r="F633" s="23"/>
      <c r="G633" s="23"/>
      <c r="H633" s="22"/>
      <c r="I633" s="22"/>
      <c r="J633" s="22"/>
      <c r="K633" s="23"/>
    </row>
    <row r="634" customFormat="false" ht="15" hidden="false" customHeight="true" outlineLevel="0" collapsed="false">
      <c r="A634" s="23"/>
      <c r="B634" s="23"/>
      <c r="C634" s="23"/>
      <c r="D634" s="23"/>
      <c r="E634" s="23"/>
      <c r="F634" s="23"/>
      <c r="G634" s="23"/>
      <c r="H634" s="22"/>
      <c r="I634" s="22"/>
      <c r="J634" s="22"/>
      <c r="K634" s="23"/>
    </row>
    <row r="635" customFormat="false" ht="15" hidden="false" customHeight="true" outlineLevel="0" collapsed="false">
      <c r="A635" s="23"/>
      <c r="B635" s="23"/>
      <c r="C635" s="23"/>
      <c r="D635" s="23"/>
      <c r="E635" s="23"/>
      <c r="F635" s="23"/>
      <c r="G635" s="23"/>
      <c r="H635" s="22"/>
      <c r="I635" s="22"/>
      <c r="J635" s="22"/>
      <c r="K635" s="23"/>
    </row>
    <row r="636" customFormat="false" ht="15" hidden="false" customHeight="true" outlineLevel="0" collapsed="false">
      <c r="A636" s="23"/>
      <c r="B636" s="23"/>
      <c r="C636" s="23"/>
      <c r="D636" s="23"/>
      <c r="E636" s="23"/>
      <c r="F636" s="23"/>
      <c r="G636" s="23"/>
      <c r="H636" s="22"/>
      <c r="I636" s="22"/>
      <c r="J636" s="22"/>
      <c r="K636" s="23"/>
    </row>
    <row r="637" customFormat="false" ht="15" hidden="false" customHeight="true" outlineLevel="0" collapsed="false">
      <c r="A637" s="23"/>
      <c r="B637" s="23"/>
      <c r="C637" s="23"/>
      <c r="D637" s="23"/>
      <c r="E637" s="23"/>
      <c r="F637" s="23"/>
      <c r="G637" s="23"/>
      <c r="H637" s="22"/>
      <c r="I637" s="22"/>
      <c r="J637" s="22"/>
      <c r="K637" s="23"/>
    </row>
    <row r="638" customFormat="false" ht="15" hidden="false" customHeight="true" outlineLevel="0" collapsed="false">
      <c r="A638" s="23"/>
      <c r="B638" s="23"/>
      <c r="C638" s="23"/>
      <c r="D638" s="23"/>
      <c r="E638" s="23"/>
      <c r="F638" s="23"/>
      <c r="G638" s="23"/>
      <c r="H638" s="22"/>
      <c r="I638" s="22"/>
      <c r="J638" s="22"/>
      <c r="K638" s="23"/>
    </row>
    <row r="639" customFormat="false" ht="15" hidden="false" customHeight="true" outlineLevel="0" collapsed="false">
      <c r="A639" s="23"/>
      <c r="B639" s="23"/>
      <c r="C639" s="23"/>
      <c r="D639" s="23"/>
      <c r="E639" s="23"/>
      <c r="F639" s="23"/>
      <c r="G639" s="23"/>
      <c r="H639" s="22"/>
      <c r="I639" s="22"/>
      <c r="J639" s="22"/>
      <c r="K639" s="23"/>
    </row>
    <row r="640" customFormat="false" ht="15" hidden="false" customHeight="true" outlineLevel="0" collapsed="false">
      <c r="A640" s="23"/>
      <c r="B640" s="23"/>
      <c r="C640" s="23"/>
      <c r="D640" s="23"/>
      <c r="E640" s="23"/>
      <c r="F640" s="23"/>
      <c r="G640" s="23"/>
      <c r="H640" s="22"/>
      <c r="I640" s="22"/>
      <c r="J640" s="22"/>
      <c r="K640" s="23"/>
    </row>
    <row r="641" customFormat="false" ht="15" hidden="false" customHeight="true" outlineLevel="0" collapsed="false">
      <c r="A641" s="23"/>
      <c r="B641" s="23"/>
      <c r="C641" s="23"/>
      <c r="D641" s="23"/>
      <c r="E641" s="23"/>
      <c r="F641" s="23"/>
      <c r="G641" s="23"/>
      <c r="H641" s="22"/>
      <c r="I641" s="22"/>
      <c r="J641" s="22"/>
      <c r="K641" s="23"/>
    </row>
    <row r="642" customFormat="false" ht="15" hidden="false" customHeight="true" outlineLevel="0" collapsed="false">
      <c r="A642" s="23"/>
      <c r="B642" s="23"/>
      <c r="C642" s="23"/>
      <c r="D642" s="23"/>
      <c r="E642" s="23"/>
      <c r="F642" s="23"/>
      <c r="G642" s="23"/>
      <c r="H642" s="22"/>
      <c r="I642" s="22"/>
      <c r="J642" s="22"/>
      <c r="K642" s="23"/>
    </row>
    <row r="643" customFormat="false" ht="15" hidden="false" customHeight="true" outlineLevel="0" collapsed="false">
      <c r="A643" s="23"/>
      <c r="B643" s="23"/>
      <c r="C643" s="23"/>
      <c r="D643" s="23"/>
      <c r="E643" s="23"/>
      <c r="F643" s="23"/>
      <c r="G643" s="23"/>
      <c r="H643" s="22"/>
      <c r="I643" s="22"/>
      <c r="J643" s="22"/>
      <c r="K643" s="23"/>
    </row>
    <row r="644" customFormat="false" ht="15" hidden="false" customHeight="true" outlineLevel="0" collapsed="false">
      <c r="A644" s="23"/>
      <c r="B644" s="23"/>
      <c r="C644" s="23"/>
      <c r="D644" s="23"/>
      <c r="E644" s="23"/>
      <c r="F644" s="23"/>
      <c r="G644" s="23"/>
      <c r="H644" s="22"/>
      <c r="I644" s="22"/>
      <c r="J644" s="22"/>
      <c r="K644" s="23"/>
    </row>
    <row r="645" customFormat="false" ht="15" hidden="false" customHeight="true" outlineLevel="0" collapsed="false">
      <c r="A645" s="23"/>
      <c r="B645" s="23"/>
      <c r="C645" s="23"/>
      <c r="D645" s="23"/>
      <c r="E645" s="23"/>
      <c r="F645" s="23"/>
      <c r="G645" s="23"/>
      <c r="H645" s="22"/>
      <c r="I645" s="22"/>
      <c r="J645" s="22"/>
      <c r="K645" s="23"/>
    </row>
    <row r="646" customFormat="false" ht="15" hidden="false" customHeight="true" outlineLevel="0" collapsed="false">
      <c r="A646" s="23"/>
      <c r="B646" s="23"/>
      <c r="C646" s="23"/>
      <c r="D646" s="23"/>
      <c r="E646" s="23"/>
      <c r="F646" s="23"/>
      <c r="G646" s="23"/>
      <c r="H646" s="22"/>
      <c r="I646" s="22"/>
      <c r="J646" s="22"/>
      <c r="K646" s="23"/>
    </row>
    <row r="647" customFormat="false" ht="15" hidden="false" customHeight="true" outlineLevel="0" collapsed="false">
      <c r="A647" s="23"/>
      <c r="B647" s="23"/>
      <c r="C647" s="23"/>
      <c r="D647" s="23"/>
      <c r="E647" s="23"/>
      <c r="F647" s="23"/>
      <c r="G647" s="23"/>
      <c r="H647" s="22"/>
      <c r="I647" s="22"/>
      <c r="J647" s="22"/>
      <c r="K647" s="23"/>
    </row>
    <row r="648" customFormat="false" ht="15" hidden="false" customHeight="true" outlineLevel="0" collapsed="false">
      <c r="A648" s="23"/>
      <c r="B648" s="23"/>
      <c r="C648" s="23"/>
      <c r="D648" s="23"/>
      <c r="E648" s="23"/>
      <c r="F648" s="23"/>
      <c r="G648" s="23"/>
      <c r="H648" s="22"/>
      <c r="I648" s="22"/>
      <c r="J648" s="22"/>
      <c r="K648" s="23"/>
    </row>
    <row r="649" customFormat="false" ht="15" hidden="false" customHeight="true" outlineLevel="0" collapsed="false">
      <c r="A649" s="23"/>
      <c r="B649" s="23"/>
      <c r="C649" s="23"/>
      <c r="D649" s="23"/>
      <c r="E649" s="23"/>
      <c r="F649" s="23"/>
      <c r="G649" s="23"/>
      <c r="H649" s="22"/>
      <c r="I649" s="22"/>
      <c r="J649" s="22"/>
      <c r="K649" s="23"/>
    </row>
    <row r="650" customFormat="false" ht="15" hidden="false" customHeight="true" outlineLevel="0" collapsed="false">
      <c r="A650" s="23"/>
      <c r="B650" s="23"/>
      <c r="C650" s="23"/>
      <c r="D650" s="23"/>
      <c r="E650" s="23"/>
      <c r="F650" s="23"/>
      <c r="G650" s="23"/>
      <c r="H650" s="22"/>
      <c r="I650" s="22"/>
      <c r="J650" s="22"/>
      <c r="K650" s="23"/>
    </row>
    <row r="651" customFormat="false" ht="15" hidden="false" customHeight="true" outlineLevel="0" collapsed="false">
      <c r="A651" s="23"/>
      <c r="B651" s="23"/>
      <c r="C651" s="23"/>
      <c r="D651" s="23"/>
      <c r="E651" s="23"/>
      <c r="F651" s="23"/>
      <c r="G651" s="23"/>
      <c r="H651" s="22"/>
      <c r="I651" s="22"/>
      <c r="J651" s="22"/>
      <c r="K651" s="23"/>
    </row>
    <row r="652" customFormat="false" ht="15" hidden="false" customHeight="true" outlineLevel="0" collapsed="false">
      <c r="A652" s="23"/>
      <c r="B652" s="23"/>
      <c r="C652" s="23"/>
      <c r="D652" s="23"/>
      <c r="E652" s="23"/>
      <c r="F652" s="23"/>
      <c r="G652" s="23"/>
      <c r="H652" s="22"/>
      <c r="I652" s="22"/>
      <c r="J652" s="22"/>
      <c r="K652" s="23"/>
    </row>
    <row r="653" customFormat="false" ht="15" hidden="false" customHeight="true" outlineLevel="0" collapsed="false">
      <c r="A653" s="23"/>
      <c r="B653" s="23"/>
      <c r="C653" s="23"/>
      <c r="D653" s="23"/>
      <c r="E653" s="23"/>
      <c r="F653" s="23"/>
      <c r="G653" s="23"/>
      <c r="H653" s="22"/>
      <c r="I653" s="22"/>
      <c r="J653" s="22"/>
      <c r="K653" s="23"/>
    </row>
    <row r="654" customFormat="false" ht="15" hidden="false" customHeight="true" outlineLevel="0" collapsed="false">
      <c r="A654" s="23"/>
      <c r="B654" s="23"/>
      <c r="C654" s="23"/>
      <c r="D654" s="23"/>
      <c r="E654" s="23"/>
      <c r="F654" s="23"/>
      <c r="G654" s="23"/>
      <c r="H654" s="22"/>
      <c r="I654" s="22"/>
      <c r="J654" s="22"/>
      <c r="K654" s="23"/>
    </row>
    <row r="655" customFormat="false" ht="15" hidden="false" customHeight="true" outlineLevel="0" collapsed="false">
      <c r="A655" s="23"/>
      <c r="B655" s="23"/>
      <c r="C655" s="23"/>
      <c r="D655" s="23"/>
      <c r="E655" s="23"/>
      <c r="F655" s="23"/>
      <c r="G655" s="23"/>
      <c r="H655" s="22"/>
      <c r="I655" s="22"/>
      <c r="J655" s="22"/>
      <c r="K655" s="23"/>
    </row>
    <row r="656" customFormat="false" ht="15" hidden="false" customHeight="true" outlineLevel="0" collapsed="false">
      <c r="A656" s="23"/>
      <c r="B656" s="23"/>
      <c r="C656" s="23"/>
      <c r="D656" s="23"/>
      <c r="E656" s="23"/>
      <c r="F656" s="23"/>
      <c r="G656" s="23"/>
      <c r="H656" s="22"/>
      <c r="I656" s="22"/>
      <c r="J656" s="22"/>
      <c r="K656" s="23"/>
    </row>
    <row r="657" customFormat="false" ht="15" hidden="false" customHeight="true" outlineLevel="0" collapsed="false">
      <c r="A657" s="23"/>
      <c r="B657" s="23"/>
      <c r="C657" s="23"/>
      <c r="D657" s="23"/>
      <c r="E657" s="23"/>
      <c r="F657" s="23"/>
      <c r="G657" s="23"/>
      <c r="H657" s="22"/>
      <c r="I657" s="22"/>
      <c r="J657" s="22"/>
      <c r="K657" s="23"/>
    </row>
    <row r="658" customFormat="false" ht="15" hidden="false" customHeight="true" outlineLevel="0" collapsed="false">
      <c r="A658" s="23"/>
      <c r="B658" s="23"/>
      <c r="C658" s="23"/>
      <c r="D658" s="23"/>
      <c r="E658" s="23"/>
      <c r="F658" s="23"/>
      <c r="G658" s="23"/>
      <c r="H658" s="22"/>
      <c r="I658" s="22"/>
      <c r="J658" s="22"/>
      <c r="K658" s="23"/>
    </row>
    <row r="659" customFormat="false" ht="15" hidden="false" customHeight="true" outlineLevel="0" collapsed="false">
      <c r="A659" s="23"/>
      <c r="B659" s="23"/>
      <c r="C659" s="23"/>
      <c r="D659" s="23"/>
      <c r="E659" s="23"/>
      <c r="F659" s="23"/>
      <c r="G659" s="23"/>
      <c r="H659" s="22"/>
      <c r="I659" s="22"/>
      <c r="J659" s="22"/>
      <c r="K659" s="23"/>
    </row>
    <row r="660" customFormat="false" ht="15" hidden="false" customHeight="true" outlineLevel="0" collapsed="false">
      <c r="A660" s="23"/>
      <c r="B660" s="23"/>
      <c r="C660" s="23"/>
      <c r="D660" s="23"/>
      <c r="E660" s="23"/>
      <c r="F660" s="23"/>
      <c r="G660" s="23"/>
      <c r="H660" s="22"/>
      <c r="I660" s="22"/>
      <c r="J660" s="22"/>
      <c r="K660" s="23"/>
    </row>
    <row r="661" customFormat="false" ht="15" hidden="false" customHeight="true" outlineLevel="0" collapsed="false">
      <c r="A661" s="23"/>
      <c r="B661" s="23"/>
      <c r="C661" s="23"/>
      <c r="D661" s="23"/>
      <c r="E661" s="23"/>
      <c r="F661" s="23"/>
      <c r="G661" s="23"/>
      <c r="H661" s="22"/>
      <c r="I661" s="22"/>
      <c r="J661" s="22"/>
      <c r="K661" s="23"/>
    </row>
    <row r="662" customFormat="false" ht="15" hidden="false" customHeight="true" outlineLevel="0" collapsed="false">
      <c r="A662" s="23"/>
      <c r="B662" s="23"/>
      <c r="C662" s="23"/>
      <c r="D662" s="23"/>
      <c r="E662" s="23"/>
      <c r="F662" s="23"/>
      <c r="G662" s="23"/>
      <c r="H662" s="22"/>
      <c r="I662" s="22"/>
      <c r="J662" s="22"/>
      <c r="K662" s="23"/>
    </row>
    <row r="663" customFormat="false" ht="15" hidden="false" customHeight="true" outlineLevel="0" collapsed="false">
      <c r="A663" s="23"/>
      <c r="B663" s="23"/>
      <c r="C663" s="23"/>
      <c r="D663" s="23"/>
      <c r="E663" s="23"/>
      <c r="F663" s="23"/>
      <c r="G663" s="23"/>
      <c r="H663" s="22"/>
      <c r="I663" s="22"/>
      <c r="J663" s="22"/>
      <c r="K663" s="23"/>
    </row>
    <row r="664" customFormat="false" ht="15" hidden="false" customHeight="true" outlineLevel="0" collapsed="false">
      <c r="A664" s="23"/>
      <c r="B664" s="23"/>
      <c r="C664" s="23"/>
      <c r="D664" s="23"/>
      <c r="E664" s="23"/>
      <c r="F664" s="23"/>
      <c r="G664" s="23"/>
      <c r="H664" s="22"/>
      <c r="I664" s="22"/>
      <c r="J664" s="22"/>
      <c r="K664" s="23"/>
    </row>
    <row r="665" customFormat="false" ht="15" hidden="false" customHeight="true" outlineLevel="0" collapsed="false">
      <c r="A665" s="23"/>
      <c r="B665" s="23"/>
      <c r="C665" s="23"/>
      <c r="D665" s="23"/>
      <c r="E665" s="23"/>
      <c r="F665" s="23"/>
      <c r="G665" s="23"/>
      <c r="H665" s="22"/>
      <c r="I665" s="22"/>
      <c r="J665" s="22"/>
      <c r="K665" s="23"/>
    </row>
    <row r="666" customFormat="false" ht="15" hidden="false" customHeight="true" outlineLevel="0" collapsed="false">
      <c r="A666" s="23"/>
      <c r="B666" s="23"/>
      <c r="C666" s="23"/>
      <c r="D666" s="23"/>
      <c r="E666" s="23"/>
      <c r="F666" s="23"/>
      <c r="G666" s="23"/>
      <c r="H666" s="22"/>
      <c r="I666" s="22"/>
      <c r="J666" s="22"/>
      <c r="K666" s="23"/>
    </row>
    <row r="667" customFormat="false" ht="15" hidden="false" customHeight="true" outlineLevel="0" collapsed="false">
      <c r="A667" s="23"/>
      <c r="B667" s="23"/>
      <c r="C667" s="23"/>
      <c r="D667" s="23"/>
      <c r="E667" s="23"/>
      <c r="F667" s="23"/>
      <c r="G667" s="23"/>
      <c r="H667" s="22"/>
      <c r="I667" s="22"/>
      <c r="J667" s="22"/>
      <c r="K667" s="23"/>
    </row>
    <row r="668" customFormat="false" ht="15" hidden="false" customHeight="true" outlineLevel="0" collapsed="false">
      <c r="A668" s="23"/>
      <c r="B668" s="23"/>
      <c r="C668" s="23"/>
      <c r="D668" s="23"/>
      <c r="E668" s="23"/>
      <c r="F668" s="23"/>
      <c r="G668" s="23"/>
      <c r="H668" s="22"/>
      <c r="I668" s="22"/>
      <c r="J668" s="22"/>
      <c r="K668" s="23"/>
    </row>
    <row r="669" customFormat="false" ht="15" hidden="false" customHeight="true" outlineLevel="0" collapsed="false">
      <c r="A669" s="23"/>
      <c r="B669" s="23"/>
      <c r="C669" s="23"/>
      <c r="D669" s="23"/>
      <c r="E669" s="23"/>
      <c r="F669" s="23"/>
      <c r="G669" s="23"/>
      <c r="H669" s="22"/>
      <c r="I669" s="22"/>
      <c r="J669" s="22"/>
      <c r="K669" s="23"/>
    </row>
    <row r="670" customFormat="false" ht="15" hidden="false" customHeight="true" outlineLevel="0" collapsed="false">
      <c r="A670" s="23"/>
      <c r="B670" s="23"/>
      <c r="C670" s="23"/>
      <c r="D670" s="23"/>
      <c r="E670" s="23"/>
      <c r="F670" s="23"/>
      <c r="G670" s="23"/>
      <c r="H670" s="22"/>
      <c r="I670" s="22"/>
      <c r="J670" s="22"/>
      <c r="K670" s="23"/>
    </row>
    <row r="671" customFormat="false" ht="15" hidden="false" customHeight="true" outlineLevel="0" collapsed="false">
      <c r="A671" s="23"/>
      <c r="B671" s="23"/>
      <c r="C671" s="23"/>
      <c r="D671" s="23"/>
      <c r="E671" s="23"/>
      <c r="F671" s="23"/>
      <c r="G671" s="23"/>
      <c r="H671" s="22"/>
      <c r="I671" s="22"/>
      <c r="J671" s="22"/>
      <c r="K671" s="23"/>
    </row>
    <row r="672" customFormat="false" ht="15" hidden="false" customHeight="true" outlineLevel="0" collapsed="false">
      <c r="A672" s="23"/>
      <c r="B672" s="23"/>
      <c r="C672" s="23"/>
      <c r="D672" s="23"/>
      <c r="E672" s="23"/>
      <c r="F672" s="23"/>
      <c r="G672" s="23"/>
      <c r="H672" s="22"/>
      <c r="I672" s="22"/>
      <c r="J672" s="22"/>
      <c r="K672" s="23"/>
    </row>
    <row r="673" customFormat="false" ht="15" hidden="false" customHeight="true" outlineLevel="0" collapsed="false">
      <c r="A673" s="23"/>
      <c r="B673" s="23"/>
      <c r="C673" s="23"/>
      <c r="D673" s="23"/>
      <c r="E673" s="23"/>
      <c r="F673" s="23"/>
      <c r="G673" s="23"/>
      <c r="H673" s="22"/>
      <c r="I673" s="22"/>
      <c r="J673" s="22"/>
      <c r="K673" s="23"/>
    </row>
    <row r="674" customFormat="false" ht="15" hidden="false" customHeight="true" outlineLevel="0" collapsed="false">
      <c r="A674" s="23"/>
      <c r="B674" s="23"/>
      <c r="C674" s="23"/>
      <c r="D674" s="23"/>
      <c r="E674" s="23"/>
      <c r="F674" s="23"/>
      <c r="G674" s="23"/>
      <c r="H674" s="22"/>
      <c r="I674" s="22"/>
      <c r="J674" s="22"/>
      <c r="K674" s="23"/>
    </row>
    <row r="675" customFormat="false" ht="15" hidden="false" customHeight="true" outlineLevel="0" collapsed="false">
      <c r="A675" s="23"/>
      <c r="B675" s="23"/>
      <c r="C675" s="23"/>
      <c r="D675" s="23"/>
      <c r="E675" s="23"/>
      <c r="F675" s="23"/>
      <c r="G675" s="23"/>
      <c r="H675" s="22"/>
      <c r="I675" s="22"/>
      <c r="J675" s="22"/>
      <c r="K675" s="23"/>
    </row>
    <row r="676" customFormat="false" ht="15" hidden="false" customHeight="true" outlineLevel="0" collapsed="false">
      <c r="A676" s="23"/>
      <c r="B676" s="23"/>
      <c r="C676" s="23"/>
      <c r="D676" s="23"/>
      <c r="E676" s="23"/>
      <c r="F676" s="23"/>
      <c r="G676" s="23"/>
      <c r="H676" s="22"/>
      <c r="I676" s="22"/>
      <c r="J676" s="22"/>
      <c r="K676" s="23"/>
    </row>
    <row r="677" customFormat="false" ht="15" hidden="false" customHeight="true" outlineLevel="0" collapsed="false">
      <c r="A677" s="23"/>
      <c r="B677" s="23"/>
      <c r="C677" s="23"/>
      <c r="D677" s="23"/>
      <c r="E677" s="23"/>
      <c r="F677" s="23"/>
      <c r="G677" s="23"/>
      <c r="H677" s="22"/>
      <c r="I677" s="22"/>
      <c r="J677" s="22"/>
      <c r="K677" s="23"/>
    </row>
    <row r="678" customFormat="false" ht="15" hidden="false" customHeight="true" outlineLevel="0" collapsed="false">
      <c r="A678" s="23"/>
      <c r="B678" s="23"/>
      <c r="C678" s="23"/>
      <c r="D678" s="23"/>
      <c r="E678" s="23"/>
      <c r="F678" s="23"/>
      <c r="G678" s="23"/>
      <c r="H678" s="22"/>
      <c r="I678" s="22"/>
      <c r="J678" s="22"/>
      <c r="K678" s="23"/>
    </row>
    <row r="679" customFormat="false" ht="15" hidden="false" customHeight="true" outlineLevel="0" collapsed="false">
      <c r="A679" s="23"/>
      <c r="B679" s="23"/>
      <c r="C679" s="23"/>
      <c r="D679" s="23"/>
      <c r="E679" s="23"/>
      <c r="F679" s="23"/>
      <c r="G679" s="23"/>
      <c r="H679" s="22"/>
      <c r="I679" s="22"/>
      <c r="J679" s="22"/>
      <c r="K679" s="23"/>
    </row>
    <row r="680" customFormat="false" ht="15" hidden="false" customHeight="true" outlineLevel="0" collapsed="false">
      <c r="A680" s="23"/>
      <c r="B680" s="23"/>
      <c r="C680" s="23"/>
      <c r="D680" s="23"/>
      <c r="E680" s="23"/>
      <c r="F680" s="23"/>
      <c r="G680" s="23"/>
      <c r="H680" s="22"/>
      <c r="I680" s="22"/>
      <c r="J680" s="22"/>
      <c r="K680" s="23"/>
    </row>
    <row r="681" customFormat="false" ht="15" hidden="false" customHeight="true" outlineLevel="0" collapsed="false">
      <c r="A681" s="23"/>
      <c r="B681" s="23"/>
      <c r="C681" s="23"/>
      <c r="D681" s="23"/>
      <c r="E681" s="23"/>
      <c r="F681" s="23"/>
      <c r="G681" s="23"/>
      <c r="H681" s="22"/>
      <c r="I681" s="22"/>
      <c r="J681" s="22"/>
      <c r="K681" s="23"/>
    </row>
    <row r="682" customFormat="false" ht="15" hidden="false" customHeight="true" outlineLevel="0" collapsed="false">
      <c r="A682" s="23"/>
      <c r="B682" s="23"/>
      <c r="C682" s="23"/>
      <c r="D682" s="23"/>
      <c r="E682" s="23"/>
      <c r="F682" s="23"/>
      <c r="G682" s="23"/>
      <c r="H682" s="22"/>
      <c r="I682" s="22"/>
      <c r="J682" s="22"/>
      <c r="K682" s="23"/>
    </row>
    <row r="683" customFormat="false" ht="15" hidden="false" customHeight="true" outlineLevel="0" collapsed="false">
      <c r="A683" s="23"/>
      <c r="B683" s="23"/>
      <c r="C683" s="23"/>
      <c r="D683" s="23"/>
      <c r="E683" s="23"/>
      <c r="F683" s="23"/>
      <c r="G683" s="23"/>
      <c r="H683" s="22"/>
      <c r="I683" s="22"/>
      <c r="J683" s="22"/>
      <c r="K683" s="23"/>
    </row>
    <row r="684" customFormat="false" ht="15" hidden="false" customHeight="true" outlineLevel="0" collapsed="false">
      <c r="A684" s="23"/>
      <c r="B684" s="23"/>
      <c r="C684" s="23"/>
      <c r="D684" s="23"/>
      <c r="E684" s="23"/>
      <c r="F684" s="23"/>
      <c r="G684" s="23"/>
      <c r="H684" s="22"/>
      <c r="I684" s="22"/>
      <c r="J684" s="22"/>
      <c r="K684" s="23"/>
    </row>
    <row r="685" customFormat="false" ht="15" hidden="false" customHeight="true" outlineLevel="0" collapsed="false">
      <c r="A685" s="23"/>
      <c r="B685" s="23"/>
      <c r="C685" s="23"/>
      <c r="D685" s="23"/>
      <c r="E685" s="23"/>
      <c r="F685" s="23"/>
      <c r="G685" s="23"/>
      <c r="H685" s="22"/>
      <c r="I685" s="22"/>
      <c r="J685" s="22"/>
      <c r="K685" s="23"/>
    </row>
    <row r="686" customFormat="false" ht="15" hidden="false" customHeight="true" outlineLevel="0" collapsed="false">
      <c r="A686" s="23"/>
      <c r="B686" s="23"/>
      <c r="C686" s="23"/>
      <c r="D686" s="23"/>
      <c r="E686" s="23"/>
      <c r="F686" s="23"/>
      <c r="G686" s="23"/>
      <c r="H686" s="22"/>
      <c r="I686" s="22"/>
      <c r="J686" s="22"/>
      <c r="K686" s="23"/>
    </row>
    <row r="687" customFormat="false" ht="15" hidden="false" customHeight="true" outlineLevel="0" collapsed="false">
      <c r="A687" s="23"/>
      <c r="B687" s="23"/>
      <c r="C687" s="23"/>
      <c r="D687" s="23"/>
      <c r="E687" s="23"/>
      <c r="F687" s="23"/>
      <c r="G687" s="23"/>
      <c r="H687" s="22"/>
      <c r="I687" s="22"/>
      <c r="J687" s="22"/>
      <c r="K687" s="23"/>
    </row>
    <row r="688" customFormat="false" ht="15" hidden="false" customHeight="true" outlineLevel="0" collapsed="false">
      <c r="A688" s="23"/>
      <c r="B688" s="23"/>
      <c r="C688" s="23"/>
      <c r="D688" s="23"/>
      <c r="E688" s="23"/>
      <c r="F688" s="23"/>
      <c r="G688" s="23"/>
      <c r="H688" s="22"/>
      <c r="I688" s="22"/>
      <c r="J688" s="22"/>
      <c r="K688" s="23"/>
    </row>
    <row r="689" customFormat="false" ht="15" hidden="false" customHeight="true" outlineLevel="0" collapsed="false">
      <c r="A689" s="23"/>
      <c r="B689" s="23"/>
      <c r="C689" s="23"/>
      <c r="D689" s="23"/>
      <c r="E689" s="23"/>
      <c r="F689" s="23"/>
      <c r="G689" s="23"/>
      <c r="H689" s="22"/>
      <c r="I689" s="22"/>
      <c r="J689" s="22"/>
      <c r="K689" s="23"/>
    </row>
    <row r="690" customFormat="false" ht="15" hidden="false" customHeight="true" outlineLevel="0" collapsed="false">
      <c r="A690" s="23"/>
      <c r="B690" s="23"/>
      <c r="C690" s="23"/>
      <c r="D690" s="23"/>
      <c r="E690" s="23"/>
      <c r="F690" s="23"/>
      <c r="G690" s="23"/>
      <c r="H690" s="22"/>
      <c r="I690" s="22"/>
      <c r="J690" s="22"/>
      <c r="K690" s="23"/>
    </row>
    <row r="691" customFormat="false" ht="15" hidden="false" customHeight="true" outlineLevel="0" collapsed="false">
      <c r="A691" s="23"/>
      <c r="B691" s="23"/>
      <c r="C691" s="23"/>
      <c r="D691" s="23"/>
      <c r="E691" s="23"/>
      <c r="F691" s="23"/>
      <c r="G691" s="23"/>
      <c r="H691" s="22"/>
      <c r="I691" s="22"/>
      <c r="J691" s="22"/>
      <c r="K691" s="23"/>
    </row>
    <row r="692" customFormat="false" ht="15" hidden="false" customHeight="true" outlineLevel="0" collapsed="false">
      <c r="A692" s="23"/>
      <c r="B692" s="23"/>
      <c r="C692" s="23"/>
      <c r="D692" s="23"/>
      <c r="E692" s="23"/>
      <c r="F692" s="23"/>
      <c r="G692" s="23"/>
      <c r="H692" s="22"/>
      <c r="I692" s="22"/>
      <c r="J692" s="22"/>
      <c r="K692" s="23"/>
    </row>
    <row r="693" customFormat="false" ht="15" hidden="false" customHeight="true" outlineLevel="0" collapsed="false">
      <c r="A693" s="23"/>
      <c r="B693" s="23"/>
      <c r="C693" s="23"/>
      <c r="D693" s="23"/>
      <c r="E693" s="23"/>
      <c r="F693" s="23"/>
      <c r="G693" s="23"/>
      <c r="H693" s="22"/>
      <c r="I693" s="22"/>
      <c r="J693" s="22"/>
      <c r="K693" s="23"/>
    </row>
    <row r="694" customFormat="false" ht="15" hidden="false" customHeight="true" outlineLevel="0" collapsed="false">
      <c r="A694" s="23"/>
      <c r="B694" s="23"/>
      <c r="C694" s="23"/>
      <c r="D694" s="23"/>
      <c r="E694" s="23"/>
      <c r="F694" s="23"/>
      <c r="G694" s="23"/>
      <c r="H694" s="22"/>
      <c r="I694" s="22"/>
      <c r="J694" s="22"/>
      <c r="K694" s="23"/>
    </row>
    <row r="695" customFormat="false" ht="15" hidden="false" customHeight="true" outlineLevel="0" collapsed="false">
      <c r="A695" s="23"/>
      <c r="B695" s="23"/>
      <c r="C695" s="23"/>
      <c r="D695" s="23"/>
      <c r="E695" s="23"/>
      <c r="F695" s="23"/>
      <c r="G695" s="23"/>
      <c r="H695" s="22"/>
      <c r="I695" s="22"/>
      <c r="J695" s="22"/>
      <c r="K695" s="23"/>
    </row>
    <row r="696" customFormat="false" ht="15" hidden="false" customHeight="true" outlineLevel="0" collapsed="false">
      <c r="A696" s="23"/>
      <c r="B696" s="23"/>
      <c r="C696" s="23"/>
      <c r="D696" s="23"/>
      <c r="E696" s="23"/>
      <c r="F696" s="23"/>
      <c r="G696" s="23"/>
      <c r="H696" s="22"/>
      <c r="I696" s="22"/>
      <c r="J696" s="22"/>
      <c r="K696" s="23"/>
    </row>
    <row r="697" customFormat="false" ht="15" hidden="false" customHeight="true" outlineLevel="0" collapsed="false">
      <c r="A697" s="23"/>
      <c r="B697" s="23"/>
      <c r="C697" s="23"/>
      <c r="D697" s="23"/>
      <c r="E697" s="23"/>
      <c r="F697" s="23"/>
      <c r="G697" s="23"/>
      <c r="H697" s="22"/>
      <c r="I697" s="22"/>
      <c r="J697" s="22"/>
      <c r="K697" s="23"/>
    </row>
    <row r="698" customFormat="false" ht="15" hidden="false" customHeight="true" outlineLevel="0" collapsed="false">
      <c r="A698" s="23"/>
      <c r="B698" s="23"/>
      <c r="C698" s="23"/>
      <c r="D698" s="23"/>
      <c r="E698" s="23"/>
      <c r="F698" s="23"/>
      <c r="G698" s="23"/>
      <c r="H698" s="22"/>
      <c r="I698" s="22"/>
      <c r="J698" s="22"/>
      <c r="K698" s="23"/>
    </row>
    <row r="699" customFormat="false" ht="15" hidden="false" customHeight="true" outlineLevel="0" collapsed="false">
      <c r="A699" s="23"/>
      <c r="B699" s="23"/>
      <c r="C699" s="23"/>
      <c r="D699" s="23"/>
      <c r="E699" s="23"/>
      <c r="F699" s="23"/>
      <c r="G699" s="23"/>
      <c r="H699" s="22"/>
      <c r="I699" s="22"/>
      <c r="J699" s="22"/>
      <c r="K699" s="23"/>
    </row>
    <row r="700" customFormat="false" ht="15" hidden="false" customHeight="true" outlineLevel="0" collapsed="false">
      <c r="A700" s="23"/>
      <c r="B700" s="23"/>
      <c r="C700" s="23"/>
      <c r="D700" s="23"/>
      <c r="E700" s="23"/>
      <c r="F700" s="23"/>
      <c r="G700" s="23"/>
      <c r="H700" s="22"/>
      <c r="I700" s="22"/>
      <c r="J700" s="22"/>
      <c r="K700" s="23"/>
    </row>
    <row r="701" customFormat="false" ht="15" hidden="false" customHeight="true" outlineLevel="0" collapsed="false">
      <c r="A701" s="23"/>
      <c r="B701" s="23"/>
      <c r="C701" s="23"/>
      <c r="D701" s="23"/>
      <c r="E701" s="23"/>
      <c r="F701" s="23"/>
      <c r="G701" s="23"/>
      <c r="H701" s="22"/>
      <c r="I701" s="22"/>
      <c r="J701" s="22"/>
      <c r="K701" s="23"/>
    </row>
    <row r="702" customFormat="false" ht="15" hidden="false" customHeight="true" outlineLevel="0" collapsed="false">
      <c r="A702" s="23"/>
      <c r="B702" s="23"/>
      <c r="C702" s="23"/>
      <c r="D702" s="23"/>
      <c r="E702" s="23"/>
      <c r="F702" s="23"/>
      <c r="G702" s="23"/>
      <c r="H702" s="22"/>
      <c r="I702" s="22"/>
      <c r="J702" s="22"/>
      <c r="K702" s="23"/>
    </row>
    <row r="703" customFormat="false" ht="15" hidden="false" customHeight="true" outlineLevel="0" collapsed="false">
      <c r="A703" s="23"/>
      <c r="B703" s="23"/>
      <c r="C703" s="23"/>
      <c r="D703" s="23"/>
      <c r="E703" s="23"/>
      <c r="F703" s="23"/>
      <c r="G703" s="23"/>
      <c r="H703" s="22"/>
      <c r="I703" s="22"/>
      <c r="J703" s="22"/>
      <c r="K703" s="23"/>
    </row>
    <row r="704" customFormat="false" ht="15" hidden="false" customHeight="true" outlineLevel="0" collapsed="false">
      <c r="A704" s="23"/>
      <c r="B704" s="23"/>
      <c r="C704" s="23"/>
      <c r="D704" s="23"/>
      <c r="E704" s="23"/>
      <c r="F704" s="23"/>
      <c r="G704" s="23"/>
      <c r="H704" s="22"/>
      <c r="I704" s="22"/>
      <c r="J704" s="22"/>
      <c r="K704" s="23"/>
    </row>
    <row r="705" customFormat="false" ht="15" hidden="false" customHeight="true" outlineLevel="0" collapsed="false">
      <c r="A705" s="23"/>
      <c r="B705" s="23"/>
      <c r="C705" s="23"/>
      <c r="D705" s="23"/>
      <c r="E705" s="23"/>
      <c r="F705" s="23"/>
      <c r="G705" s="23"/>
      <c r="H705" s="22"/>
      <c r="I705" s="22"/>
      <c r="J705" s="22"/>
      <c r="K705" s="23"/>
    </row>
    <row r="706" customFormat="false" ht="15" hidden="false" customHeight="true" outlineLevel="0" collapsed="false">
      <c r="A706" s="23"/>
      <c r="B706" s="23"/>
      <c r="C706" s="23"/>
      <c r="D706" s="23"/>
      <c r="E706" s="23"/>
      <c r="F706" s="23"/>
      <c r="G706" s="23"/>
      <c r="H706" s="22"/>
      <c r="I706" s="22"/>
      <c r="J706" s="22"/>
      <c r="K706" s="23"/>
    </row>
    <row r="707" customFormat="false" ht="15" hidden="false" customHeight="true" outlineLevel="0" collapsed="false">
      <c r="A707" s="23"/>
      <c r="B707" s="23"/>
      <c r="C707" s="23"/>
      <c r="D707" s="23"/>
      <c r="E707" s="23"/>
      <c r="F707" s="23"/>
      <c r="G707" s="23"/>
      <c r="H707" s="22"/>
      <c r="I707" s="22"/>
      <c r="J707" s="22"/>
      <c r="K707" s="23"/>
    </row>
    <row r="708" customFormat="false" ht="15" hidden="false" customHeight="true" outlineLevel="0" collapsed="false">
      <c r="A708" s="23"/>
      <c r="B708" s="23"/>
      <c r="C708" s="23"/>
      <c r="D708" s="23"/>
      <c r="E708" s="23"/>
      <c r="F708" s="23"/>
      <c r="G708" s="23"/>
      <c r="H708" s="22"/>
      <c r="I708" s="22"/>
      <c r="J708" s="22"/>
      <c r="K708" s="23"/>
    </row>
    <row r="709" customFormat="false" ht="15" hidden="false" customHeight="true" outlineLevel="0" collapsed="false">
      <c r="A709" s="23"/>
      <c r="B709" s="23"/>
      <c r="C709" s="23"/>
      <c r="D709" s="23"/>
      <c r="E709" s="23"/>
      <c r="F709" s="23"/>
      <c r="G709" s="23"/>
      <c r="H709" s="22"/>
      <c r="I709" s="22"/>
      <c r="J709" s="22"/>
      <c r="K709" s="23"/>
    </row>
    <row r="710" customFormat="false" ht="15" hidden="false" customHeight="true" outlineLevel="0" collapsed="false">
      <c r="A710" s="23"/>
      <c r="B710" s="23"/>
      <c r="C710" s="23"/>
      <c r="D710" s="23"/>
      <c r="E710" s="23"/>
      <c r="F710" s="23"/>
      <c r="G710" s="23"/>
      <c r="H710" s="22"/>
      <c r="I710" s="22"/>
      <c r="J710" s="22"/>
      <c r="K710" s="23"/>
    </row>
    <row r="711" customFormat="false" ht="15" hidden="false" customHeight="true" outlineLevel="0" collapsed="false">
      <c r="A711" s="23"/>
      <c r="B711" s="23"/>
      <c r="C711" s="23"/>
      <c r="D711" s="23"/>
      <c r="E711" s="23"/>
      <c r="F711" s="23"/>
      <c r="G711" s="23"/>
      <c r="H711" s="22"/>
      <c r="I711" s="22"/>
      <c r="J711" s="22"/>
      <c r="K711" s="23"/>
    </row>
    <row r="712" customFormat="false" ht="15" hidden="false" customHeight="true" outlineLevel="0" collapsed="false">
      <c r="A712" s="23"/>
      <c r="B712" s="23"/>
      <c r="C712" s="23"/>
      <c r="D712" s="23"/>
      <c r="E712" s="23"/>
      <c r="F712" s="23"/>
      <c r="G712" s="23"/>
      <c r="H712" s="22"/>
      <c r="I712" s="22"/>
      <c r="J712" s="22"/>
      <c r="K712" s="23"/>
    </row>
    <row r="713" customFormat="false" ht="15" hidden="false" customHeight="true" outlineLevel="0" collapsed="false">
      <c r="A713" s="23"/>
      <c r="B713" s="23"/>
      <c r="C713" s="23"/>
      <c r="D713" s="23"/>
      <c r="E713" s="23"/>
      <c r="F713" s="23"/>
      <c r="G713" s="23"/>
      <c r="H713" s="22"/>
      <c r="I713" s="22"/>
      <c r="J713" s="22"/>
      <c r="K713" s="23"/>
    </row>
    <row r="714" customFormat="false" ht="15" hidden="false" customHeight="true" outlineLevel="0" collapsed="false">
      <c r="A714" s="23"/>
      <c r="B714" s="23"/>
      <c r="C714" s="23"/>
      <c r="D714" s="23"/>
      <c r="E714" s="23"/>
      <c r="F714" s="23"/>
      <c r="G714" s="23"/>
      <c r="H714" s="22"/>
      <c r="I714" s="22"/>
      <c r="J714" s="22"/>
      <c r="K714" s="23"/>
    </row>
    <row r="715" customFormat="false" ht="15" hidden="false" customHeight="true" outlineLevel="0" collapsed="false">
      <c r="A715" s="23"/>
      <c r="B715" s="23"/>
      <c r="C715" s="23"/>
      <c r="D715" s="23"/>
      <c r="E715" s="23"/>
      <c r="F715" s="23"/>
      <c r="G715" s="23"/>
      <c r="H715" s="22"/>
      <c r="I715" s="22"/>
      <c r="J715" s="22"/>
      <c r="K715" s="23"/>
    </row>
    <row r="716" customFormat="false" ht="15" hidden="false" customHeight="true" outlineLevel="0" collapsed="false">
      <c r="A716" s="23"/>
      <c r="B716" s="23"/>
      <c r="C716" s="23"/>
      <c r="D716" s="23"/>
      <c r="E716" s="23"/>
      <c r="F716" s="23"/>
      <c r="G716" s="23"/>
      <c r="H716" s="22"/>
      <c r="I716" s="22"/>
      <c r="J716" s="22"/>
      <c r="K716" s="23"/>
    </row>
    <row r="717" customFormat="false" ht="15" hidden="false" customHeight="true" outlineLevel="0" collapsed="false">
      <c r="A717" s="23"/>
      <c r="B717" s="23"/>
      <c r="C717" s="23"/>
      <c r="D717" s="23"/>
      <c r="E717" s="23"/>
      <c r="F717" s="23"/>
      <c r="G717" s="23"/>
      <c r="H717" s="22"/>
      <c r="I717" s="22"/>
      <c r="J717" s="22"/>
      <c r="K717" s="23"/>
    </row>
    <row r="718" customFormat="false" ht="15" hidden="false" customHeight="true" outlineLevel="0" collapsed="false">
      <c r="A718" s="23"/>
      <c r="B718" s="23"/>
      <c r="C718" s="23"/>
      <c r="D718" s="23"/>
      <c r="E718" s="23"/>
      <c r="F718" s="23"/>
      <c r="G718" s="23"/>
      <c r="H718" s="22"/>
      <c r="I718" s="22"/>
      <c r="J718" s="22"/>
      <c r="K718" s="23"/>
    </row>
    <row r="719" customFormat="false" ht="15" hidden="false" customHeight="true" outlineLevel="0" collapsed="false">
      <c r="A719" s="23"/>
      <c r="B719" s="23"/>
      <c r="C719" s="23"/>
      <c r="D719" s="23"/>
      <c r="E719" s="23"/>
      <c r="F719" s="23"/>
      <c r="G719" s="23"/>
      <c r="H719" s="22"/>
      <c r="I719" s="22"/>
      <c r="J719" s="22"/>
      <c r="K719" s="23"/>
    </row>
    <row r="720" customFormat="false" ht="15" hidden="false" customHeight="true" outlineLevel="0" collapsed="false">
      <c r="A720" s="23"/>
      <c r="B720" s="23"/>
      <c r="C720" s="23"/>
      <c r="D720" s="23"/>
      <c r="E720" s="23"/>
      <c r="F720" s="23"/>
      <c r="G720" s="23"/>
      <c r="H720" s="22"/>
      <c r="I720" s="22"/>
      <c r="J720" s="22"/>
      <c r="K720" s="23"/>
    </row>
    <row r="721" customFormat="false" ht="15" hidden="false" customHeight="true" outlineLevel="0" collapsed="false">
      <c r="A721" s="23"/>
      <c r="B721" s="23"/>
      <c r="C721" s="23"/>
      <c r="D721" s="23"/>
      <c r="E721" s="23"/>
      <c r="F721" s="23"/>
      <c r="G721" s="23"/>
      <c r="H721" s="22"/>
      <c r="I721" s="22"/>
      <c r="J721" s="22"/>
      <c r="K721" s="23"/>
    </row>
    <row r="722" customFormat="false" ht="15" hidden="false" customHeight="true" outlineLevel="0" collapsed="false">
      <c r="A722" s="23"/>
      <c r="B722" s="23"/>
      <c r="C722" s="23"/>
      <c r="D722" s="23"/>
      <c r="E722" s="23"/>
      <c r="F722" s="23"/>
      <c r="G722" s="23"/>
      <c r="H722" s="22"/>
      <c r="I722" s="22"/>
      <c r="J722" s="22"/>
      <c r="K722" s="23"/>
    </row>
    <row r="723" customFormat="false" ht="15" hidden="false" customHeight="true" outlineLevel="0" collapsed="false">
      <c r="A723" s="23"/>
      <c r="B723" s="23"/>
      <c r="C723" s="23"/>
      <c r="D723" s="23"/>
      <c r="E723" s="23"/>
      <c r="F723" s="23"/>
      <c r="G723" s="23"/>
      <c r="H723" s="22"/>
      <c r="I723" s="22"/>
      <c r="J723" s="22"/>
      <c r="K723" s="23"/>
    </row>
    <row r="724" customFormat="false" ht="15" hidden="false" customHeight="true" outlineLevel="0" collapsed="false">
      <c r="A724" s="23"/>
      <c r="B724" s="23"/>
      <c r="C724" s="23"/>
      <c r="D724" s="23"/>
      <c r="E724" s="23"/>
      <c r="F724" s="23"/>
      <c r="G724" s="23"/>
      <c r="H724" s="22"/>
      <c r="I724" s="22"/>
      <c r="J724" s="22"/>
      <c r="K724" s="23"/>
    </row>
    <row r="725" customFormat="false" ht="15" hidden="false" customHeight="true" outlineLevel="0" collapsed="false">
      <c r="A725" s="23"/>
      <c r="B725" s="23"/>
      <c r="C725" s="23"/>
      <c r="D725" s="23"/>
      <c r="E725" s="23"/>
      <c r="F725" s="23"/>
      <c r="G725" s="23"/>
      <c r="H725" s="22"/>
      <c r="I725" s="22"/>
      <c r="J725" s="22"/>
      <c r="K725" s="23"/>
    </row>
    <row r="726" customFormat="false" ht="15" hidden="false" customHeight="true" outlineLevel="0" collapsed="false">
      <c r="A726" s="23"/>
      <c r="B726" s="23"/>
      <c r="C726" s="23"/>
      <c r="D726" s="23"/>
      <c r="E726" s="23"/>
      <c r="F726" s="23"/>
      <c r="G726" s="23"/>
      <c r="H726" s="22"/>
      <c r="I726" s="22"/>
      <c r="J726" s="22"/>
      <c r="K726" s="23"/>
    </row>
    <row r="727" customFormat="false" ht="15" hidden="false" customHeight="true" outlineLevel="0" collapsed="false">
      <c r="A727" s="23"/>
      <c r="B727" s="23"/>
      <c r="C727" s="23"/>
      <c r="D727" s="23"/>
      <c r="E727" s="23"/>
      <c r="F727" s="23"/>
      <c r="G727" s="23"/>
      <c r="H727" s="22"/>
      <c r="I727" s="22"/>
      <c r="J727" s="22"/>
      <c r="K727" s="23"/>
    </row>
    <row r="728" customFormat="false" ht="15" hidden="false" customHeight="true" outlineLevel="0" collapsed="false">
      <c r="A728" s="23"/>
      <c r="B728" s="23"/>
      <c r="C728" s="23"/>
      <c r="D728" s="23"/>
      <c r="E728" s="23"/>
      <c r="F728" s="23"/>
      <c r="G728" s="23"/>
      <c r="H728" s="22"/>
      <c r="I728" s="22"/>
      <c r="J728" s="22"/>
      <c r="K728" s="23"/>
    </row>
    <row r="729" customFormat="false" ht="15" hidden="false" customHeight="true" outlineLevel="0" collapsed="false">
      <c r="A729" s="23"/>
      <c r="B729" s="23"/>
      <c r="C729" s="23"/>
      <c r="D729" s="23"/>
      <c r="E729" s="23"/>
      <c r="F729" s="23"/>
      <c r="G729" s="23"/>
      <c r="H729" s="22"/>
      <c r="I729" s="22"/>
      <c r="J729" s="22"/>
      <c r="K729" s="23"/>
    </row>
    <row r="730" customFormat="false" ht="15" hidden="false" customHeight="true" outlineLevel="0" collapsed="false">
      <c r="A730" s="23"/>
      <c r="B730" s="23"/>
      <c r="C730" s="23"/>
      <c r="D730" s="23"/>
      <c r="E730" s="23"/>
      <c r="F730" s="23"/>
      <c r="G730" s="23"/>
      <c r="H730" s="22"/>
      <c r="I730" s="22"/>
      <c r="J730" s="22"/>
      <c r="K730" s="23"/>
    </row>
    <row r="731" customFormat="false" ht="15" hidden="false" customHeight="true" outlineLevel="0" collapsed="false">
      <c r="A731" s="23"/>
      <c r="B731" s="23"/>
      <c r="C731" s="23"/>
      <c r="D731" s="23"/>
      <c r="E731" s="23"/>
      <c r="F731" s="23"/>
      <c r="G731" s="23"/>
      <c r="H731" s="22"/>
      <c r="I731" s="22"/>
      <c r="J731" s="22"/>
      <c r="K731" s="23"/>
    </row>
    <row r="732" customFormat="false" ht="15" hidden="false" customHeight="true" outlineLevel="0" collapsed="false">
      <c r="A732" s="23"/>
      <c r="B732" s="23"/>
      <c r="C732" s="23"/>
      <c r="D732" s="23"/>
      <c r="E732" s="23"/>
      <c r="F732" s="23"/>
      <c r="G732" s="23"/>
      <c r="H732" s="22"/>
      <c r="I732" s="22"/>
      <c r="J732" s="22"/>
      <c r="K732" s="23"/>
    </row>
    <row r="733" customFormat="false" ht="15" hidden="false" customHeight="true" outlineLevel="0" collapsed="false">
      <c r="A733" s="23"/>
      <c r="B733" s="23"/>
      <c r="C733" s="23"/>
      <c r="D733" s="23"/>
      <c r="E733" s="23"/>
      <c r="F733" s="23"/>
      <c r="G733" s="23"/>
      <c r="H733" s="22"/>
      <c r="I733" s="22"/>
      <c r="J733" s="22"/>
      <c r="K733" s="23"/>
    </row>
    <row r="734" customFormat="false" ht="15" hidden="false" customHeight="true" outlineLevel="0" collapsed="false">
      <c r="A734" s="23"/>
      <c r="B734" s="23"/>
      <c r="C734" s="23"/>
      <c r="D734" s="23"/>
      <c r="E734" s="23"/>
      <c r="F734" s="23"/>
      <c r="G734" s="23"/>
      <c r="H734" s="22"/>
      <c r="I734" s="22"/>
      <c r="J734" s="22"/>
      <c r="K734" s="23"/>
    </row>
    <row r="735" customFormat="false" ht="15" hidden="false" customHeight="true" outlineLevel="0" collapsed="false">
      <c r="A735" s="23"/>
      <c r="B735" s="23"/>
      <c r="C735" s="23"/>
      <c r="D735" s="23"/>
      <c r="E735" s="23"/>
      <c r="F735" s="23"/>
      <c r="G735" s="23"/>
      <c r="H735" s="22"/>
      <c r="I735" s="22"/>
      <c r="J735" s="22"/>
      <c r="K735" s="23"/>
    </row>
    <row r="736" customFormat="false" ht="15" hidden="false" customHeight="true" outlineLevel="0" collapsed="false">
      <c r="A736" s="23"/>
      <c r="B736" s="23"/>
      <c r="C736" s="23"/>
      <c r="D736" s="23"/>
      <c r="E736" s="23"/>
      <c r="F736" s="23"/>
      <c r="G736" s="23"/>
      <c r="H736" s="22"/>
      <c r="I736" s="22"/>
      <c r="J736" s="22"/>
      <c r="K736" s="23"/>
    </row>
    <row r="737" customFormat="false" ht="15" hidden="false" customHeight="true" outlineLevel="0" collapsed="false">
      <c r="A737" s="23"/>
      <c r="B737" s="23"/>
      <c r="C737" s="23"/>
      <c r="D737" s="23"/>
      <c r="E737" s="23"/>
      <c r="F737" s="23"/>
      <c r="G737" s="23"/>
      <c r="H737" s="22"/>
      <c r="I737" s="22"/>
      <c r="J737" s="22"/>
      <c r="K737" s="23"/>
    </row>
    <row r="738" customFormat="false" ht="15" hidden="false" customHeight="true" outlineLevel="0" collapsed="false">
      <c r="A738" s="23"/>
      <c r="B738" s="23"/>
      <c r="C738" s="23"/>
      <c r="D738" s="23"/>
      <c r="E738" s="23"/>
      <c r="F738" s="23"/>
      <c r="G738" s="23"/>
      <c r="H738" s="22"/>
      <c r="I738" s="22"/>
      <c r="J738" s="22"/>
      <c r="K738" s="23"/>
    </row>
    <row r="739" customFormat="false" ht="15" hidden="false" customHeight="true" outlineLevel="0" collapsed="false">
      <c r="A739" s="23"/>
      <c r="B739" s="23"/>
      <c r="C739" s="23"/>
      <c r="D739" s="23"/>
      <c r="E739" s="23"/>
      <c r="F739" s="23"/>
      <c r="G739" s="23"/>
      <c r="H739" s="22"/>
      <c r="I739" s="22"/>
      <c r="J739" s="22"/>
      <c r="K739" s="23"/>
    </row>
    <row r="740" customFormat="false" ht="15" hidden="false" customHeight="true" outlineLevel="0" collapsed="false">
      <c r="A740" s="23"/>
      <c r="B740" s="23"/>
      <c r="C740" s="23"/>
      <c r="D740" s="23"/>
      <c r="E740" s="23"/>
      <c r="F740" s="23"/>
      <c r="G740" s="23"/>
      <c r="H740" s="22"/>
      <c r="I740" s="22"/>
      <c r="J740" s="22"/>
      <c r="K740" s="23"/>
    </row>
    <row r="741" customFormat="false" ht="15" hidden="false" customHeight="true" outlineLevel="0" collapsed="false">
      <c r="A741" s="23"/>
      <c r="B741" s="23"/>
      <c r="C741" s="23"/>
      <c r="D741" s="23"/>
      <c r="E741" s="23"/>
      <c r="F741" s="23"/>
      <c r="G741" s="23"/>
      <c r="H741" s="22"/>
      <c r="I741" s="22"/>
      <c r="J741" s="22"/>
      <c r="K741" s="23"/>
    </row>
    <row r="742" customFormat="false" ht="15" hidden="false" customHeight="true" outlineLevel="0" collapsed="false">
      <c r="A742" s="23"/>
      <c r="B742" s="23"/>
      <c r="C742" s="23"/>
      <c r="D742" s="23"/>
      <c r="E742" s="23"/>
      <c r="F742" s="23"/>
      <c r="G742" s="23"/>
      <c r="H742" s="22"/>
      <c r="I742" s="22"/>
      <c r="J742" s="22"/>
      <c r="K742" s="23"/>
    </row>
    <row r="743" customFormat="false" ht="15" hidden="false" customHeight="true" outlineLevel="0" collapsed="false">
      <c r="A743" s="23"/>
      <c r="B743" s="23"/>
      <c r="C743" s="23"/>
      <c r="D743" s="23"/>
      <c r="E743" s="23"/>
      <c r="F743" s="23"/>
      <c r="G743" s="23"/>
      <c r="H743" s="22"/>
      <c r="I743" s="22"/>
      <c r="J743" s="22"/>
      <c r="K743" s="23"/>
    </row>
    <row r="744" customFormat="false" ht="15" hidden="false" customHeight="true" outlineLevel="0" collapsed="false">
      <c r="A744" s="23"/>
      <c r="B744" s="23"/>
      <c r="C744" s="23"/>
      <c r="D744" s="23"/>
      <c r="E744" s="23"/>
      <c r="F744" s="23"/>
      <c r="G744" s="23"/>
      <c r="H744" s="22"/>
      <c r="I744" s="22"/>
      <c r="J744" s="22"/>
      <c r="K744" s="23"/>
    </row>
    <row r="745" customFormat="false" ht="15" hidden="false" customHeight="true" outlineLevel="0" collapsed="false">
      <c r="A745" s="23"/>
      <c r="B745" s="23"/>
      <c r="C745" s="23"/>
      <c r="D745" s="23"/>
      <c r="E745" s="23"/>
      <c r="F745" s="23"/>
      <c r="G745" s="23"/>
      <c r="H745" s="22"/>
      <c r="I745" s="22"/>
      <c r="J745" s="22"/>
      <c r="K745" s="23"/>
    </row>
    <row r="746" customFormat="false" ht="15" hidden="false" customHeight="true" outlineLevel="0" collapsed="false">
      <c r="A746" s="23"/>
      <c r="B746" s="23"/>
      <c r="C746" s="23"/>
      <c r="D746" s="23"/>
      <c r="E746" s="23"/>
      <c r="F746" s="23"/>
      <c r="G746" s="23"/>
      <c r="H746" s="22"/>
      <c r="I746" s="22"/>
      <c r="J746" s="22"/>
      <c r="K746" s="23"/>
    </row>
    <row r="747" customFormat="false" ht="15" hidden="false" customHeight="true" outlineLevel="0" collapsed="false">
      <c r="A747" s="23"/>
      <c r="B747" s="23"/>
      <c r="C747" s="23"/>
      <c r="D747" s="23"/>
      <c r="E747" s="23"/>
      <c r="F747" s="23"/>
      <c r="G747" s="23"/>
      <c r="H747" s="22"/>
      <c r="I747" s="22"/>
      <c r="J747" s="22"/>
      <c r="K747" s="23"/>
    </row>
    <row r="748" customFormat="false" ht="15" hidden="false" customHeight="true" outlineLevel="0" collapsed="false">
      <c r="A748" s="23"/>
      <c r="B748" s="23"/>
      <c r="C748" s="23"/>
      <c r="D748" s="23"/>
      <c r="E748" s="23"/>
      <c r="F748" s="23"/>
      <c r="G748" s="23"/>
      <c r="H748" s="22"/>
      <c r="I748" s="22"/>
      <c r="J748" s="22"/>
      <c r="K748" s="23"/>
    </row>
    <row r="749" customFormat="false" ht="15" hidden="false" customHeight="true" outlineLevel="0" collapsed="false">
      <c r="A749" s="23"/>
      <c r="B749" s="23"/>
      <c r="C749" s="23"/>
      <c r="D749" s="23"/>
      <c r="E749" s="23"/>
      <c r="F749" s="23"/>
      <c r="G749" s="23"/>
      <c r="H749" s="22"/>
      <c r="I749" s="22"/>
      <c r="J749" s="22"/>
      <c r="K749" s="23"/>
    </row>
    <row r="750" customFormat="false" ht="15" hidden="false" customHeight="true" outlineLevel="0" collapsed="false">
      <c r="A750" s="23"/>
      <c r="B750" s="23"/>
      <c r="C750" s="23"/>
      <c r="D750" s="23"/>
      <c r="E750" s="23"/>
      <c r="F750" s="23"/>
      <c r="G750" s="23"/>
      <c r="H750" s="22"/>
      <c r="I750" s="22"/>
      <c r="J750" s="22"/>
      <c r="K750" s="23"/>
    </row>
    <row r="751" customFormat="false" ht="15" hidden="false" customHeight="true" outlineLevel="0" collapsed="false">
      <c r="A751" s="23"/>
      <c r="B751" s="23"/>
      <c r="C751" s="23"/>
      <c r="D751" s="23"/>
      <c r="E751" s="23"/>
      <c r="F751" s="23"/>
      <c r="G751" s="23"/>
      <c r="H751" s="22"/>
      <c r="I751" s="22"/>
      <c r="J751" s="22"/>
      <c r="K751" s="23"/>
    </row>
    <row r="752" customFormat="false" ht="15" hidden="false" customHeight="true" outlineLevel="0" collapsed="false">
      <c r="A752" s="23"/>
      <c r="B752" s="23"/>
      <c r="C752" s="23"/>
      <c r="D752" s="23"/>
      <c r="E752" s="23"/>
      <c r="F752" s="23"/>
      <c r="G752" s="23"/>
      <c r="H752" s="22"/>
      <c r="I752" s="22"/>
      <c r="J752" s="22"/>
      <c r="K752" s="23"/>
    </row>
    <row r="753" customFormat="false" ht="15" hidden="false" customHeight="true" outlineLevel="0" collapsed="false">
      <c r="A753" s="23"/>
      <c r="B753" s="23"/>
      <c r="C753" s="23"/>
      <c r="D753" s="23"/>
      <c r="E753" s="23"/>
      <c r="F753" s="23"/>
      <c r="G753" s="23"/>
      <c r="H753" s="22"/>
      <c r="I753" s="22"/>
      <c r="J753" s="22"/>
      <c r="K753" s="23"/>
    </row>
    <row r="754" customFormat="false" ht="15" hidden="false" customHeight="true" outlineLevel="0" collapsed="false">
      <c r="A754" s="23"/>
      <c r="B754" s="23"/>
      <c r="C754" s="23"/>
      <c r="D754" s="23"/>
      <c r="E754" s="23"/>
      <c r="F754" s="23"/>
      <c r="G754" s="23"/>
      <c r="H754" s="22"/>
      <c r="I754" s="22"/>
      <c r="J754" s="22"/>
      <c r="K754" s="23"/>
    </row>
    <row r="755" customFormat="false" ht="15" hidden="false" customHeight="true" outlineLevel="0" collapsed="false">
      <c r="A755" s="23"/>
      <c r="B755" s="23"/>
      <c r="C755" s="23"/>
      <c r="D755" s="23"/>
      <c r="E755" s="23"/>
      <c r="F755" s="23"/>
      <c r="G755" s="23"/>
      <c r="H755" s="22"/>
      <c r="I755" s="22"/>
      <c r="J755" s="22"/>
      <c r="K755" s="23"/>
    </row>
    <row r="756" customFormat="false" ht="15" hidden="false" customHeight="true" outlineLevel="0" collapsed="false">
      <c r="A756" s="23"/>
      <c r="B756" s="23"/>
      <c r="C756" s="23"/>
      <c r="D756" s="23"/>
      <c r="E756" s="23"/>
      <c r="F756" s="23"/>
      <c r="G756" s="23"/>
      <c r="H756" s="22"/>
      <c r="I756" s="22"/>
      <c r="J756" s="22"/>
      <c r="K756" s="23"/>
    </row>
    <row r="757" customFormat="false" ht="15" hidden="false" customHeight="true" outlineLevel="0" collapsed="false">
      <c r="A757" s="23"/>
      <c r="B757" s="23"/>
      <c r="C757" s="23"/>
      <c r="D757" s="23"/>
      <c r="E757" s="23"/>
      <c r="F757" s="23"/>
      <c r="G757" s="23"/>
      <c r="H757" s="22"/>
      <c r="I757" s="22"/>
      <c r="J757" s="22"/>
      <c r="K757" s="23"/>
    </row>
    <row r="758" customFormat="false" ht="15" hidden="false" customHeight="true" outlineLevel="0" collapsed="false">
      <c r="A758" s="23"/>
      <c r="B758" s="23"/>
      <c r="C758" s="23"/>
      <c r="D758" s="23"/>
      <c r="E758" s="23"/>
      <c r="F758" s="23"/>
      <c r="G758" s="23"/>
      <c r="H758" s="22"/>
      <c r="I758" s="22"/>
      <c r="J758" s="22"/>
      <c r="K758" s="23"/>
    </row>
    <row r="759" customFormat="false" ht="15" hidden="false" customHeight="true" outlineLevel="0" collapsed="false">
      <c r="A759" s="23"/>
      <c r="B759" s="23"/>
      <c r="C759" s="23"/>
      <c r="D759" s="23"/>
      <c r="E759" s="23"/>
      <c r="F759" s="23"/>
      <c r="G759" s="23"/>
      <c r="H759" s="22"/>
      <c r="I759" s="22"/>
      <c r="J759" s="22"/>
      <c r="K759" s="23"/>
    </row>
    <row r="760" customFormat="false" ht="15" hidden="false" customHeight="true" outlineLevel="0" collapsed="false">
      <c r="A760" s="23"/>
      <c r="B760" s="23"/>
      <c r="C760" s="23"/>
      <c r="D760" s="23"/>
      <c r="E760" s="23"/>
      <c r="F760" s="23"/>
      <c r="G760" s="23"/>
      <c r="H760" s="22"/>
      <c r="I760" s="22"/>
      <c r="J760" s="22"/>
      <c r="K760" s="23"/>
    </row>
    <row r="761" customFormat="false" ht="15" hidden="false" customHeight="true" outlineLevel="0" collapsed="false">
      <c r="A761" s="23"/>
      <c r="B761" s="23"/>
      <c r="C761" s="23"/>
      <c r="D761" s="23"/>
      <c r="E761" s="23"/>
      <c r="F761" s="23"/>
      <c r="G761" s="23"/>
      <c r="H761" s="22"/>
      <c r="I761" s="22"/>
      <c r="J761" s="22"/>
      <c r="K761" s="23"/>
    </row>
    <row r="762" customFormat="false" ht="15" hidden="false" customHeight="true" outlineLevel="0" collapsed="false">
      <c r="A762" s="23"/>
      <c r="B762" s="23"/>
      <c r="C762" s="23"/>
      <c r="D762" s="23"/>
      <c r="E762" s="23"/>
      <c r="F762" s="23"/>
      <c r="G762" s="23"/>
      <c r="H762" s="22"/>
      <c r="I762" s="22"/>
      <c r="J762" s="22"/>
      <c r="K762" s="23"/>
    </row>
    <row r="763" customFormat="false" ht="15" hidden="false" customHeight="true" outlineLevel="0" collapsed="false">
      <c r="A763" s="23"/>
      <c r="B763" s="23"/>
      <c r="C763" s="23"/>
      <c r="D763" s="23"/>
      <c r="E763" s="23"/>
      <c r="F763" s="23"/>
      <c r="G763" s="23"/>
      <c r="H763" s="22"/>
      <c r="I763" s="22"/>
      <c r="J763" s="22"/>
      <c r="K763" s="23"/>
    </row>
    <row r="764" customFormat="false" ht="15" hidden="false" customHeight="true" outlineLevel="0" collapsed="false">
      <c r="A764" s="23"/>
      <c r="B764" s="23"/>
      <c r="C764" s="23"/>
      <c r="D764" s="23"/>
      <c r="E764" s="23"/>
      <c r="F764" s="23"/>
      <c r="G764" s="23"/>
      <c r="H764" s="22"/>
      <c r="I764" s="22"/>
      <c r="J764" s="22"/>
      <c r="K764" s="23"/>
    </row>
    <row r="765" customFormat="false" ht="15" hidden="false" customHeight="true" outlineLevel="0" collapsed="false">
      <c r="A765" s="23"/>
      <c r="B765" s="23"/>
      <c r="C765" s="23"/>
      <c r="D765" s="23"/>
      <c r="E765" s="23"/>
      <c r="F765" s="23"/>
      <c r="G765" s="23"/>
      <c r="H765" s="22"/>
      <c r="I765" s="22"/>
      <c r="J765" s="22"/>
      <c r="K765" s="23"/>
    </row>
    <row r="766" customFormat="false" ht="15" hidden="false" customHeight="true" outlineLevel="0" collapsed="false">
      <c r="A766" s="23"/>
      <c r="B766" s="23"/>
      <c r="C766" s="23"/>
      <c r="D766" s="23"/>
      <c r="E766" s="23"/>
      <c r="F766" s="23"/>
      <c r="G766" s="23"/>
      <c r="H766" s="22"/>
      <c r="I766" s="22"/>
      <c r="J766" s="22"/>
      <c r="K766" s="23"/>
    </row>
    <row r="767" customFormat="false" ht="15" hidden="false" customHeight="true" outlineLevel="0" collapsed="false">
      <c r="A767" s="23"/>
      <c r="B767" s="23"/>
      <c r="C767" s="23"/>
      <c r="D767" s="23"/>
      <c r="E767" s="23"/>
      <c r="F767" s="23"/>
      <c r="G767" s="23"/>
      <c r="H767" s="22"/>
      <c r="I767" s="22"/>
      <c r="J767" s="22"/>
      <c r="K767" s="23"/>
    </row>
    <row r="768" customFormat="false" ht="15" hidden="false" customHeight="true" outlineLevel="0" collapsed="false">
      <c r="A768" s="23"/>
      <c r="B768" s="23"/>
      <c r="C768" s="23"/>
      <c r="D768" s="23"/>
      <c r="E768" s="23"/>
      <c r="F768" s="23"/>
      <c r="G768" s="23"/>
      <c r="H768" s="22"/>
      <c r="I768" s="22"/>
      <c r="J768" s="22"/>
      <c r="K768" s="23"/>
    </row>
    <row r="769" customFormat="false" ht="15" hidden="false" customHeight="true" outlineLevel="0" collapsed="false">
      <c r="A769" s="23"/>
      <c r="B769" s="23"/>
      <c r="C769" s="23"/>
      <c r="D769" s="23"/>
      <c r="E769" s="23"/>
      <c r="F769" s="23"/>
      <c r="G769" s="23"/>
      <c r="H769" s="22"/>
      <c r="I769" s="22"/>
      <c r="J769" s="22"/>
      <c r="K769" s="23"/>
    </row>
    <row r="770" customFormat="false" ht="15" hidden="false" customHeight="true" outlineLevel="0" collapsed="false">
      <c r="A770" s="23"/>
      <c r="B770" s="23"/>
      <c r="C770" s="23"/>
      <c r="D770" s="23"/>
      <c r="E770" s="23"/>
      <c r="F770" s="23"/>
      <c r="G770" s="23"/>
      <c r="H770" s="22"/>
      <c r="I770" s="22"/>
      <c r="J770" s="22"/>
      <c r="K770" s="23"/>
    </row>
    <row r="771" customFormat="false" ht="15" hidden="false" customHeight="true" outlineLevel="0" collapsed="false">
      <c r="A771" s="23"/>
      <c r="B771" s="23"/>
      <c r="C771" s="23"/>
      <c r="D771" s="23"/>
      <c r="E771" s="23"/>
      <c r="F771" s="23"/>
      <c r="G771" s="23"/>
      <c r="H771" s="22"/>
      <c r="I771" s="22"/>
      <c r="J771" s="22"/>
      <c r="K771" s="23"/>
    </row>
    <row r="772" customFormat="false" ht="15" hidden="false" customHeight="true" outlineLevel="0" collapsed="false">
      <c r="A772" s="23"/>
      <c r="B772" s="23"/>
      <c r="C772" s="23"/>
      <c r="D772" s="23"/>
      <c r="E772" s="23"/>
      <c r="F772" s="23"/>
      <c r="G772" s="23"/>
      <c r="H772" s="22"/>
      <c r="I772" s="22"/>
      <c r="J772" s="22"/>
      <c r="K772" s="23"/>
    </row>
    <row r="773" customFormat="false" ht="15" hidden="false" customHeight="true" outlineLevel="0" collapsed="false">
      <c r="A773" s="23"/>
      <c r="B773" s="23"/>
      <c r="C773" s="23"/>
      <c r="D773" s="23"/>
      <c r="E773" s="23"/>
      <c r="F773" s="23"/>
      <c r="G773" s="23"/>
      <c r="H773" s="22"/>
      <c r="I773" s="22"/>
      <c r="J773" s="22"/>
      <c r="K773" s="23"/>
    </row>
    <row r="774" customFormat="false" ht="15" hidden="false" customHeight="true" outlineLevel="0" collapsed="false">
      <c r="A774" s="23"/>
      <c r="B774" s="23"/>
      <c r="C774" s="23"/>
      <c r="D774" s="23"/>
      <c r="E774" s="23"/>
      <c r="F774" s="23"/>
      <c r="G774" s="23"/>
      <c r="H774" s="22"/>
      <c r="I774" s="22"/>
      <c r="J774" s="22"/>
      <c r="K774" s="23"/>
    </row>
    <row r="775" customFormat="false" ht="15" hidden="false" customHeight="true" outlineLevel="0" collapsed="false">
      <c r="A775" s="23"/>
      <c r="B775" s="23"/>
      <c r="C775" s="23"/>
      <c r="D775" s="23"/>
      <c r="E775" s="23"/>
      <c r="F775" s="23"/>
      <c r="G775" s="23"/>
      <c r="H775" s="22"/>
      <c r="I775" s="22"/>
      <c r="J775" s="22"/>
      <c r="K775" s="23"/>
    </row>
    <row r="776" customFormat="false" ht="15" hidden="false" customHeight="true" outlineLevel="0" collapsed="false">
      <c r="A776" s="23"/>
      <c r="B776" s="23"/>
      <c r="C776" s="23"/>
      <c r="D776" s="23"/>
      <c r="E776" s="23"/>
      <c r="F776" s="23"/>
      <c r="G776" s="23"/>
      <c r="H776" s="22"/>
      <c r="I776" s="22"/>
      <c r="J776" s="22"/>
      <c r="K776" s="23"/>
    </row>
    <row r="777" customFormat="false" ht="15" hidden="false" customHeight="true" outlineLevel="0" collapsed="false">
      <c r="A777" s="23"/>
      <c r="B777" s="23"/>
      <c r="C777" s="23"/>
      <c r="D777" s="23"/>
      <c r="E777" s="23"/>
      <c r="F777" s="23"/>
      <c r="G777" s="23"/>
      <c r="H777" s="22"/>
      <c r="I777" s="22"/>
      <c r="J777" s="22"/>
      <c r="K777" s="23"/>
    </row>
    <row r="778" customFormat="false" ht="15" hidden="false" customHeight="true" outlineLevel="0" collapsed="false">
      <c r="A778" s="23"/>
      <c r="B778" s="23"/>
      <c r="C778" s="23"/>
      <c r="D778" s="23"/>
      <c r="E778" s="23"/>
      <c r="F778" s="23"/>
      <c r="G778" s="23"/>
      <c r="H778" s="22"/>
      <c r="I778" s="22"/>
      <c r="J778" s="22"/>
      <c r="K778" s="23"/>
    </row>
    <row r="779" customFormat="false" ht="15" hidden="false" customHeight="true" outlineLevel="0" collapsed="false">
      <c r="A779" s="23"/>
      <c r="B779" s="23"/>
      <c r="C779" s="23"/>
      <c r="D779" s="23"/>
      <c r="E779" s="23"/>
      <c r="F779" s="23"/>
      <c r="G779" s="23"/>
      <c r="H779" s="22"/>
      <c r="I779" s="22"/>
      <c r="J779" s="22"/>
      <c r="K779" s="23"/>
    </row>
    <row r="780" customFormat="false" ht="15" hidden="false" customHeight="true" outlineLevel="0" collapsed="false">
      <c r="A780" s="23"/>
      <c r="B780" s="23"/>
      <c r="C780" s="23"/>
      <c r="D780" s="23"/>
      <c r="E780" s="23"/>
      <c r="F780" s="23"/>
      <c r="G780" s="23"/>
      <c r="H780" s="22"/>
      <c r="I780" s="22"/>
      <c r="J780" s="22"/>
      <c r="K780" s="23"/>
    </row>
    <row r="781" customFormat="false" ht="15" hidden="false" customHeight="true" outlineLevel="0" collapsed="false">
      <c r="A781" s="23"/>
      <c r="B781" s="23"/>
      <c r="C781" s="23"/>
      <c r="D781" s="23"/>
      <c r="E781" s="23"/>
      <c r="F781" s="23"/>
      <c r="G781" s="23"/>
      <c r="H781" s="22"/>
      <c r="I781" s="22"/>
      <c r="J781" s="22"/>
      <c r="K781" s="23"/>
    </row>
    <row r="782" customFormat="false" ht="15" hidden="false" customHeight="true" outlineLevel="0" collapsed="false">
      <c r="A782" s="23"/>
      <c r="B782" s="23"/>
      <c r="C782" s="23"/>
      <c r="D782" s="23"/>
      <c r="E782" s="23"/>
      <c r="F782" s="23"/>
      <c r="G782" s="23"/>
      <c r="H782" s="22"/>
      <c r="I782" s="22"/>
      <c r="J782" s="22"/>
      <c r="K782" s="23"/>
    </row>
    <row r="783" customFormat="false" ht="15" hidden="false" customHeight="true" outlineLevel="0" collapsed="false">
      <c r="A783" s="23"/>
      <c r="B783" s="23"/>
      <c r="C783" s="23"/>
      <c r="D783" s="23"/>
      <c r="E783" s="23"/>
      <c r="F783" s="23"/>
      <c r="G783" s="23"/>
      <c r="H783" s="22"/>
      <c r="I783" s="22"/>
      <c r="J783" s="22"/>
      <c r="K783" s="23"/>
    </row>
    <row r="784" customFormat="false" ht="15" hidden="false" customHeight="true" outlineLevel="0" collapsed="false">
      <c r="A784" s="23"/>
      <c r="B784" s="23"/>
      <c r="C784" s="23"/>
      <c r="D784" s="23"/>
      <c r="E784" s="23"/>
      <c r="F784" s="23"/>
      <c r="G784" s="23"/>
      <c r="H784" s="22"/>
      <c r="I784" s="22"/>
      <c r="J784" s="22"/>
      <c r="K784" s="23"/>
    </row>
    <row r="785" customFormat="false" ht="15" hidden="false" customHeight="true" outlineLevel="0" collapsed="false">
      <c r="A785" s="23"/>
      <c r="B785" s="23"/>
      <c r="C785" s="23"/>
      <c r="D785" s="23"/>
      <c r="E785" s="23"/>
      <c r="F785" s="23"/>
      <c r="G785" s="23"/>
      <c r="H785" s="22"/>
      <c r="I785" s="22"/>
      <c r="J785" s="22"/>
      <c r="K785" s="23"/>
    </row>
    <row r="786" customFormat="false" ht="15" hidden="false" customHeight="true" outlineLevel="0" collapsed="false">
      <c r="A786" s="23"/>
      <c r="B786" s="23"/>
      <c r="C786" s="23"/>
      <c r="D786" s="23"/>
      <c r="E786" s="23"/>
      <c r="F786" s="23"/>
      <c r="G786" s="23"/>
      <c r="H786" s="22"/>
      <c r="I786" s="22"/>
      <c r="J786" s="22"/>
      <c r="K786" s="23"/>
    </row>
    <row r="787" customFormat="false" ht="15" hidden="false" customHeight="true" outlineLevel="0" collapsed="false">
      <c r="A787" s="23"/>
      <c r="B787" s="23"/>
      <c r="C787" s="23"/>
      <c r="D787" s="23"/>
      <c r="E787" s="23"/>
      <c r="F787" s="23"/>
      <c r="G787" s="23"/>
      <c r="H787" s="22"/>
      <c r="I787" s="22"/>
      <c r="J787" s="22"/>
      <c r="K787" s="23"/>
    </row>
    <row r="788" customFormat="false" ht="15" hidden="false" customHeight="true" outlineLevel="0" collapsed="false">
      <c r="A788" s="23"/>
      <c r="B788" s="23"/>
      <c r="C788" s="23"/>
      <c r="D788" s="23"/>
      <c r="E788" s="23"/>
      <c r="F788" s="23"/>
      <c r="G788" s="23"/>
      <c r="H788" s="22"/>
      <c r="I788" s="22"/>
      <c r="J788" s="22"/>
      <c r="K788" s="23"/>
    </row>
    <row r="789" customFormat="false" ht="15" hidden="false" customHeight="true" outlineLevel="0" collapsed="false">
      <c r="A789" s="23"/>
      <c r="B789" s="23"/>
      <c r="C789" s="23"/>
      <c r="D789" s="23"/>
      <c r="E789" s="23"/>
      <c r="F789" s="23"/>
      <c r="G789" s="23"/>
      <c r="H789" s="22"/>
      <c r="I789" s="22"/>
      <c r="J789" s="22"/>
      <c r="K789" s="23"/>
    </row>
    <row r="790" customFormat="false" ht="15" hidden="false" customHeight="true" outlineLevel="0" collapsed="false">
      <c r="A790" s="23"/>
      <c r="B790" s="23"/>
      <c r="C790" s="23"/>
      <c r="D790" s="23"/>
      <c r="E790" s="23"/>
      <c r="F790" s="23"/>
      <c r="G790" s="23"/>
      <c r="H790" s="22"/>
      <c r="I790" s="22"/>
      <c r="J790" s="22"/>
      <c r="K790" s="23"/>
    </row>
    <row r="791" customFormat="false" ht="15" hidden="false" customHeight="true" outlineLevel="0" collapsed="false">
      <c r="A791" s="23"/>
      <c r="B791" s="23"/>
      <c r="C791" s="23"/>
      <c r="D791" s="23"/>
      <c r="E791" s="23"/>
      <c r="F791" s="23"/>
      <c r="G791" s="23"/>
      <c r="H791" s="22"/>
      <c r="I791" s="22"/>
      <c r="J791" s="22"/>
      <c r="K791" s="23"/>
    </row>
    <row r="792" customFormat="false" ht="15" hidden="false" customHeight="true" outlineLevel="0" collapsed="false">
      <c r="A792" s="23"/>
      <c r="B792" s="23"/>
      <c r="C792" s="23"/>
      <c r="D792" s="23"/>
      <c r="E792" s="23"/>
      <c r="F792" s="23"/>
      <c r="G792" s="23"/>
      <c r="H792" s="22"/>
      <c r="I792" s="22"/>
      <c r="J792" s="22"/>
      <c r="K792" s="23"/>
    </row>
    <row r="793" customFormat="false" ht="15" hidden="false" customHeight="true" outlineLevel="0" collapsed="false">
      <c r="A793" s="23"/>
      <c r="B793" s="23"/>
      <c r="C793" s="23"/>
      <c r="D793" s="23"/>
      <c r="E793" s="23"/>
      <c r="F793" s="23"/>
      <c r="G793" s="23"/>
      <c r="H793" s="22"/>
      <c r="I793" s="22"/>
      <c r="J793" s="22"/>
      <c r="K793" s="23"/>
    </row>
    <row r="794" customFormat="false" ht="15" hidden="false" customHeight="true" outlineLevel="0" collapsed="false">
      <c r="A794" s="23"/>
      <c r="B794" s="23"/>
      <c r="C794" s="23"/>
      <c r="D794" s="23"/>
      <c r="E794" s="23"/>
      <c r="F794" s="23"/>
      <c r="G794" s="23"/>
      <c r="H794" s="22"/>
      <c r="I794" s="22"/>
      <c r="J794" s="22"/>
      <c r="K794" s="23"/>
    </row>
    <row r="795" customFormat="false" ht="15" hidden="false" customHeight="true" outlineLevel="0" collapsed="false">
      <c r="A795" s="23"/>
      <c r="B795" s="23"/>
      <c r="C795" s="23"/>
      <c r="D795" s="23"/>
      <c r="E795" s="23"/>
      <c r="F795" s="23"/>
      <c r="G795" s="23"/>
      <c r="H795" s="22"/>
      <c r="I795" s="22"/>
      <c r="J795" s="22"/>
      <c r="K795" s="23"/>
    </row>
    <row r="796" customFormat="false" ht="15" hidden="false" customHeight="true" outlineLevel="0" collapsed="false">
      <c r="A796" s="23"/>
      <c r="B796" s="23"/>
      <c r="C796" s="23"/>
      <c r="D796" s="23"/>
      <c r="E796" s="23"/>
      <c r="F796" s="23"/>
      <c r="G796" s="23"/>
      <c r="H796" s="22"/>
      <c r="I796" s="22"/>
      <c r="J796" s="22"/>
      <c r="K796" s="23"/>
    </row>
    <row r="797" customFormat="false" ht="15" hidden="false" customHeight="true" outlineLevel="0" collapsed="false">
      <c r="A797" s="23"/>
      <c r="B797" s="23"/>
      <c r="C797" s="23"/>
      <c r="D797" s="23"/>
      <c r="E797" s="23"/>
      <c r="F797" s="23"/>
      <c r="G797" s="23"/>
      <c r="H797" s="22"/>
      <c r="I797" s="22"/>
      <c r="J797" s="22"/>
      <c r="K797" s="23"/>
    </row>
    <row r="798" customFormat="false" ht="15" hidden="false" customHeight="true" outlineLevel="0" collapsed="false">
      <c r="A798" s="23"/>
      <c r="B798" s="23"/>
      <c r="C798" s="23"/>
      <c r="D798" s="23"/>
      <c r="E798" s="23"/>
      <c r="F798" s="23"/>
      <c r="G798" s="23"/>
      <c r="H798" s="22"/>
      <c r="I798" s="22"/>
      <c r="J798" s="22"/>
      <c r="K798" s="23"/>
    </row>
    <row r="799" customFormat="false" ht="15" hidden="false" customHeight="true" outlineLevel="0" collapsed="false">
      <c r="A799" s="23"/>
      <c r="B799" s="23"/>
      <c r="C799" s="23"/>
      <c r="D799" s="23"/>
      <c r="E799" s="23"/>
      <c r="F799" s="23"/>
      <c r="G799" s="23"/>
      <c r="H799" s="22"/>
      <c r="I799" s="22"/>
      <c r="J799" s="22"/>
      <c r="K799" s="23"/>
    </row>
    <row r="800" customFormat="false" ht="15" hidden="false" customHeight="true" outlineLevel="0" collapsed="false">
      <c r="A800" s="23"/>
      <c r="B800" s="23"/>
      <c r="C800" s="23"/>
      <c r="D800" s="23"/>
      <c r="E800" s="23"/>
      <c r="F800" s="23"/>
      <c r="G800" s="23"/>
      <c r="H800" s="22"/>
      <c r="I800" s="22"/>
      <c r="J800" s="22"/>
      <c r="K800" s="23"/>
    </row>
    <row r="801" customFormat="false" ht="15" hidden="false" customHeight="true" outlineLevel="0" collapsed="false">
      <c r="A801" s="23"/>
      <c r="B801" s="23"/>
      <c r="C801" s="23"/>
      <c r="D801" s="23"/>
      <c r="E801" s="23"/>
      <c r="F801" s="23"/>
      <c r="G801" s="23"/>
      <c r="H801" s="22"/>
      <c r="I801" s="22"/>
      <c r="J801" s="22"/>
      <c r="K801" s="23"/>
    </row>
    <row r="802" customFormat="false" ht="15" hidden="false" customHeight="true" outlineLevel="0" collapsed="false">
      <c r="A802" s="23"/>
      <c r="B802" s="23"/>
      <c r="C802" s="23"/>
      <c r="D802" s="23"/>
      <c r="E802" s="23"/>
      <c r="F802" s="23"/>
      <c r="G802" s="23"/>
      <c r="H802" s="22"/>
      <c r="I802" s="22"/>
      <c r="J802" s="22"/>
      <c r="K802" s="23"/>
    </row>
    <row r="803" customFormat="false" ht="15" hidden="false" customHeight="true" outlineLevel="0" collapsed="false">
      <c r="A803" s="23"/>
      <c r="B803" s="23"/>
      <c r="C803" s="23"/>
      <c r="D803" s="23"/>
      <c r="E803" s="23"/>
      <c r="F803" s="23"/>
      <c r="G803" s="23"/>
      <c r="H803" s="22"/>
      <c r="I803" s="22"/>
      <c r="J803" s="22"/>
      <c r="K803" s="23"/>
    </row>
    <row r="804" customFormat="false" ht="15" hidden="false" customHeight="true" outlineLevel="0" collapsed="false">
      <c r="A804" s="23"/>
      <c r="B804" s="23"/>
      <c r="C804" s="23"/>
      <c r="D804" s="23"/>
      <c r="E804" s="23"/>
      <c r="F804" s="23"/>
      <c r="G804" s="23"/>
      <c r="H804" s="22"/>
      <c r="I804" s="22"/>
      <c r="J804" s="22"/>
      <c r="K804" s="23"/>
    </row>
    <row r="805" customFormat="false" ht="15" hidden="false" customHeight="true" outlineLevel="0" collapsed="false">
      <c r="A805" s="23"/>
      <c r="B805" s="23"/>
      <c r="C805" s="23"/>
      <c r="D805" s="23"/>
      <c r="E805" s="23"/>
      <c r="F805" s="23"/>
      <c r="G805" s="23"/>
      <c r="H805" s="22"/>
      <c r="I805" s="22"/>
      <c r="J805" s="22"/>
      <c r="K805" s="23"/>
    </row>
    <row r="806" customFormat="false" ht="15" hidden="false" customHeight="true" outlineLevel="0" collapsed="false">
      <c r="A806" s="23"/>
      <c r="B806" s="23"/>
      <c r="C806" s="23"/>
      <c r="D806" s="23"/>
      <c r="E806" s="23"/>
      <c r="F806" s="23"/>
      <c r="G806" s="23"/>
      <c r="H806" s="22"/>
      <c r="I806" s="22"/>
      <c r="J806" s="22"/>
      <c r="K806" s="23"/>
    </row>
    <row r="807" customFormat="false" ht="15" hidden="false" customHeight="true" outlineLevel="0" collapsed="false">
      <c r="A807" s="23"/>
      <c r="B807" s="23"/>
      <c r="C807" s="23"/>
      <c r="D807" s="23"/>
      <c r="E807" s="23"/>
      <c r="F807" s="23"/>
      <c r="G807" s="23"/>
      <c r="H807" s="22"/>
      <c r="I807" s="22"/>
      <c r="J807" s="22"/>
      <c r="K807" s="23"/>
    </row>
    <row r="808" customFormat="false" ht="15" hidden="false" customHeight="true" outlineLevel="0" collapsed="false">
      <c r="A808" s="23"/>
      <c r="B808" s="23"/>
      <c r="C808" s="23"/>
      <c r="D808" s="23"/>
      <c r="E808" s="23"/>
      <c r="F808" s="23"/>
      <c r="G808" s="23"/>
      <c r="H808" s="22"/>
      <c r="I808" s="22"/>
      <c r="J808" s="22"/>
      <c r="K808" s="23"/>
    </row>
    <row r="809" customFormat="false" ht="15" hidden="false" customHeight="true" outlineLevel="0" collapsed="false">
      <c r="A809" s="23"/>
      <c r="B809" s="23"/>
      <c r="C809" s="23"/>
      <c r="D809" s="23"/>
      <c r="E809" s="23"/>
      <c r="F809" s="23"/>
      <c r="G809" s="23"/>
      <c r="H809" s="22"/>
      <c r="I809" s="22"/>
      <c r="J809" s="22"/>
      <c r="K809" s="23"/>
    </row>
    <row r="810" customFormat="false" ht="15" hidden="false" customHeight="true" outlineLevel="0" collapsed="false">
      <c r="A810" s="23"/>
      <c r="B810" s="23"/>
      <c r="C810" s="23"/>
      <c r="D810" s="23"/>
      <c r="E810" s="23"/>
      <c r="F810" s="23"/>
      <c r="G810" s="23"/>
      <c r="H810" s="22"/>
      <c r="I810" s="22"/>
      <c r="J810" s="22"/>
      <c r="K810" s="23"/>
    </row>
    <row r="811" customFormat="false" ht="15" hidden="false" customHeight="true" outlineLevel="0" collapsed="false">
      <c r="A811" s="23"/>
      <c r="B811" s="23"/>
      <c r="C811" s="23"/>
      <c r="D811" s="23"/>
      <c r="E811" s="23"/>
      <c r="F811" s="23"/>
      <c r="G811" s="23"/>
      <c r="H811" s="22"/>
      <c r="I811" s="22"/>
      <c r="J811" s="22"/>
      <c r="K811" s="23"/>
    </row>
    <row r="812" customFormat="false" ht="15" hidden="false" customHeight="true" outlineLevel="0" collapsed="false">
      <c r="A812" s="23"/>
      <c r="B812" s="23"/>
      <c r="C812" s="23"/>
      <c r="D812" s="23"/>
      <c r="E812" s="23"/>
      <c r="F812" s="23"/>
      <c r="G812" s="23"/>
      <c r="H812" s="22"/>
      <c r="I812" s="22"/>
      <c r="J812" s="22"/>
      <c r="K812" s="23"/>
    </row>
    <row r="813" customFormat="false" ht="15" hidden="false" customHeight="true" outlineLevel="0" collapsed="false">
      <c r="A813" s="23"/>
      <c r="B813" s="23"/>
      <c r="C813" s="23"/>
      <c r="D813" s="23"/>
      <c r="E813" s="23"/>
      <c r="F813" s="23"/>
      <c r="G813" s="23"/>
      <c r="H813" s="22"/>
      <c r="I813" s="22"/>
      <c r="J813" s="22"/>
      <c r="K813" s="23"/>
    </row>
    <row r="814" customFormat="false" ht="15" hidden="false" customHeight="true" outlineLevel="0" collapsed="false">
      <c r="A814" s="23"/>
      <c r="B814" s="23"/>
      <c r="C814" s="23"/>
      <c r="D814" s="23"/>
      <c r="E814" s="23"/>
      <c r="F814" s="23"/>
      <c r="G814" s="23"/>
      <c r="H814" s="22"/>
      <c r="I814" s="22"/>
      <c r="J814" s="22"/>
      <c r="K814" s="23"/>
    </row>
    <row r="815" customFormat="false" ht="15" hidden="false" customHeight="true" outlineLevel="0" collapsed="false">
      <c r="A815" s="23"/>
      <c r="B815" s="23"/>
      <c r="C815" s="23"/>
      <c r="D815" s="23"/>
      <c r="E815" s="23"/>
      <c r="F815" s="23"/>
      <c r="G815" s="23"/>
      <c r="H815" s="22"/>
      <c r="I815" s="22"/>
      <c r="J815" s="22"/>
      <c r="K815" s="23"/>
    </row>
    <row r="816" customFormat="false" ht="15" hidden="false" customHeight="true" outlineLevel="0" collapsed="false">
      <c r="A816" s="23"/>
      <c r="B816" s="23"/>
      <c r="C816" s="23"/>
      <c r="D816" s="23"/>
      <c r="E816" s="23"/>
      <c r="F816" s="23"/>
      <c r="G816" s="23"/>
      <c r="H816" s="22"/>
      <c r="I816" s="22"/>
      <c r="J816" s="22"/>
      <c r="K816" s="23"/>
    </row>
    <row r="817" customFormat="false" ht="15" hidden="false" customHeight="true" outlineLevel="0" collapsed="false">
      <c r="A817" s="23"/>
      <c r="B817" s="23"/>
      <c r="C817" s="23"/>
      <c r="D817" s="23"/>
      <c r="E817" s="23"/>
      <c r="F817" s="23"/>
      <c r="G817" s="23"/>
      <c r="H817" s="22"/>
      <c r="I817" s="22"/>
      <c r="J817" s="22"/>
      <c r="K817" s="23"/>
    </row>
    <row r="818" customFormat="false" ht="15" hidden="false" customHeight="true" outlineLevel="0" collapsed="false">
      <c r="A818" s="23"/>
      <c r="B818" s="23"/>
      <c r="C818" s="23"/>
      <c r="D818" s="23"/>
      <c r="E818" s="23"/>
      <c r="F818" s="23"/>
      <c r="G818" s="23"/>
      <c r="H818" s="22"/>
      <c r="I818" s="22"/>
      <c r="J818" s="22"/>
      <c r="K818" s="23"/>
    </row>
    <row r="819" customFormat="false" ht="15" hidden="false" customHeight="true" outlineLevel="0" collapsed="false">
      <c r="A819" s="23"/>
      <c r="B819" s="23"/>
      <c r="C819" s="23"/>
      <c r="D819" s="23"/>
      <c r="E819" s="23"/>
      <c r="F819" s="23"/>
      <c r="G819" s="23"/>
      <c r="H819" s="22"/>
      <c r="I819" s="22"/>
      <c r="J819" s="22"/>
      <c r="K819" s="23"/>
    </row>
    <row r="820" customFormat="false" ht="15" hidden="false" customHeight="true" outlineLevel="0" collapsed="false">
      <c r="A820" s="23"/>
      <c r="B820" s="23"/>
      <c r="C820" s="23"/>
      <c r="D820" s="23"/>
      <c r="E820" s="23"/>
      <c r="F820" s="23"/>
      <c r="G820" s="23"/>
      <c r="H820" s="22"/>
      <c r="I820" s="22"/>
      <c r="J820" s="22"/>
      <c r="K820" s="23"/>
    </row>
    <row r="821" customFormat="false" ht="15" hidden="false" customHeight="true" outlineLevel="0" collapsed="false">
      <c r="A821" s="23"/>
      <c r="B821" s="23"/>
      <c r="C821" s="23"/>
      <c r="D821" s="23"/>
      <c r="E821" s="23"/>
      <c r="F821" s="23"/>
      <c r="G821" s="23"/>
      <c r="H821" s="22"/>
      <c r="I821" s="22"/>
      <c r="J821" s="22"/>
      <c r="K821" s="23"/>
    </row>
    <row r="822" customFormat="false" ht="15" hidden="false" customHeight="true" outlineLevel="0" collapsed="false">
      <c r="A822" s="23"/>
      <c r="B822" s="23"/>
      <c r="C822" s="23"/>
      <c r="D822" s="23"/>
      <c r="E822" s="23"/>
      <c r="F822" s="23"/>
      <c r="G822" s="23"/>
      <c r="H822" s="22"/>
      <c r="I822" s="22"/>
      <c r="J822" s="22"/>
      <c r="K822" s="23"/>
    </row>
    <row r="823" customFormat="false" ht="15" hidden="false" customHeight="true" outlineLevel="0" collapsed="false">
      <c r="A823" s="23"/>
      <c r="B823" s="23"/>
      <c r="C823" s="23"/>
      <c r="D823" s="23"/>
      <c r="E823" s="23"/>
      <c r="F823" s="23"/>
      <c r="G823" s="23"/>
      <c r="H823" s="22"/>
      <c r="I823" s="22"/>
      <c r="J823" s="22"/>
      <c r="K823" s="23"/>
    </row>
    <row r="824" customFormat="false" ht="15" hidden="false" customHeight="true" outlineLevel="0" collapsed="false">
      <c r="A824" s="23"/>
      <c r="B824" s="23"/>
      <c r="C824" s="23"/>
      <c r="D824" s="23"/>
      <c r="E824" s="23"/>
      <c r="F824" s="23"/>
      <c r="G824" s="23"/>
      <c r="H824" s="22"/>
      <c r="I824" s="22"/>
      <c r="J824" s="22"/>
      <c r="K824" s="23"/>
    </row>
    <row r="825" customFormat="false" ht="15" hidden="false" customHeight="true" outlineLevel="0" collapsed="false">
      <c r="A825" s="23"/>
      <c r="B825" s="23"/>
      <c r="C825" s="23"/>
      <c r="D825" s="23"/>
      <c r="E825" s="23"/>
      <c r="F825" s="23"/>
      <c r="G825" s="23"/>
      <c r="H825" s="22"/>
      <c r="I825" s="22"/>
      <c r="J825" s="22"/>
      <c r="K825" s="23"/>
    </row>
    <row r="826" customFormat="false" ht="15" hidden="false" customHeight="true" outlineLevel="0" collapsed="false">
      <c r="A826" s="23"/>
      <c r="B826" s="23"/>
      <c r="C826" s="23"/>
      <c r="D826" s="23"/>
      <c r="E826" s="23"/>
      <c r="F826" s="23"/>
      <c r="G826" s="23"/>
      <c r="H826" s="22"/>
      <c r="I826" s="22"/>
      <c r="J826" s="22"/>
      <c r="K826" s="23"/>
    </row>
    <row r="827" customFormat="false" ht="15" hidden="false" customHeight="true" outlineLevel="0" collapsed="false">
      <c r="A827" s="23"/>
      <c r="B827" s="23"/>
      <c r="C827" s="23"/>
      <c r="D827" s="23"/>
      <c r="E827" s="23"/>
      <c r="F827" s="23"/>
      <c r="G827" s="23"/>
      <c r="H827" s="22"/>
      <c r="I827" s="22"/>
      <c r="J827" s="22"/>
      <c r="K827" s="23"/>
    </row>
    <row r="828" customFormat="false" ht="15" hidden="false" customHeight="true" outlineLevel="0" collapsed="false">
      <c r="A828" s="23"/>
      <c r="B828" s="23"/>
      <c r="C828" s="23"/>
      <c r="D828" s="23"/>
      <c r="E828" s="23"/>
      <c r="F828" s="23"/>
      <c r="G828" s="23"/>
      <c r="H828" s="22"/>
      <c r="I828" s="22"/>
      <c r="J828" s="22"/>
      <c r="K828" s="23"/>
    </row>
    <row r="829" customFormat="false" ht="15" hidden="false" customHeight="true" outlineLevel="0" collapsed="false">
      <c r="A829" s="23"/>
      <c r="B829" s="23"/>
      <c r="C829" s="23"/>
      <c r="D829" s="23"/>
      <c r="E829" s="23"/>
      <c r="F829" s="23"/>
      <c r="G829" s="23"/>
      <c r="H829" s="22"/>
      <c r="I829" s="22"/>
      <c r="J829" s="22"/>
      <c r="K829" s="23"/>
    </row>
    <row r="830" customFormat="false" ht="15" hidden="false" customHeight="true" outlineLevel="0" collapsed="false">
      <c r="A830" s="23"/>
      <c r="B830" s="23"/>
      <c r="C830" s="23"/>
      <c r="D830" s="23"/>
      <c r="E830" s="23"/>
      <c r="F830" s="23"/>
      <c r="G830" s="23"/>
      <c r="H830" s="22"/>
      <c r="I830" s="22"/>
      <c r="J830" s="22"/>
      <c r="K830" s="23"/>
    </row>
    <row r="831" customFormat="false" ht="15" hidden="false" customHeight="true" outlineLevel="0" collapsed="false">
      <c r="A831" s="23"/>
      <c r="B831" s="23"/>
      <c r="C831" s="23"/>
      <c r="D831" s="23"/>
      <c r="E831" s="23"/>
      <c r="F831" s="23"/>
      <c r="G831" s="23"/>
      <c r="H831" s="22"/>
      <c r="I831" s="22"/>
      <c r="J831" s="22"/>
      <c r="K831" s="23"/>
    </row>
    <row r="832" customFormat="false" ht="15" hidden="false" customHeight="true" outlineLevel="0" collapsed="false">
      <c r="A832" s="23"/>
      <c r="B832" s="23"/>
      <c r="C832" s="23"/>
      <c r="D832" s="23"/>
      <c r="E832" s="23"/>
      <c r="F832" s="23"/>
      <c r="G832" s="23"/>
      <c r="H832" s="22"/>
      <c r="I832" s="22"/>
      <c r="J832" s="22"/>
      <c r="K832" s="23"/>
    </row>
    <row r="833" customFormat="false" ht="15" hidden="false" customHeight="true" outlineLevel="0" collapsed="false">
      <c r="A833" s="23"/>
      <c r="B833" s="23"/>
      <c r="C833" s="23"/>
      <c r="D833" s="23"/>
      <c r="E833" s="23"/>
      <c r="F833" s="23"/>
      <c r="G833" s="23"/>
      <c r="H833" s="22"/>
      <c r="I833" s="22"/>
      <c r="J833" s="22"/>
      <c r="K833" s="23"/>
    </row>
    <row r="834" customFormat="false" ht="15" hidden="false" customHeight="true" outlineLevel="0" collapsed="false">
      <c r="A834" s="23"/>
      <c r="B834" s="23"/>
      <c r="C834" s="23"/>
      <c r="D834" s="23"/>
      <c r="E834" s="23"/>
      <c r="F834" s="23"/>
      <c r="G834" s="23"/>
      <c r="H834" s="22"/>
      <c r="I834" s="22"/>
      <c r="J834" s="22"/>
      <c r="K834" s="23"/>
    </row>
    <row r="835" customFormat="false" ht="15" hidden="false" customHeight="true" outlineLevel="0" collapsed="false">
      <c r="A835" s="23"/>
      <c r="B835" s="23"/>
      <c r="C835" s="23"/>
      <c r="D835" s="23"/>
      <c r="E835" s="23"/>
      <c r="F835" s="23"/>
      <c r="G835" s="23"/>
      <c r="H835" s="22"/>
      <c r="I835" s="22"/>
      <c r="J835" s="22"/>
      <c r="K835" s="23"/>
    </row>
    <row r="836" customFormat="false" ht="15" hidden="false" customHeight="true" outlineLevel="0" collapsed="false">
      <c r="A836" s="23"/>
      <c r="B836" s="23"/>
      <c r="C836" s="23"/>
      <c r="D836" s="23"/>
      <c r="E836" s="23"/>
      <c r="F836" s="23"/>
      <c r="G836" s="23"/>
      <c r="H836" s="22"/>
      <c r="I836" s="22"/>
      <c r="J836" s="22"/>
      <c r="K836" s="23"/>
    </row>
    <row r="837" customFormat="false" ht="15" hidden="false" customHeight="true" outlineLevel="0" collapsed="false">
      <c r="A837" s="23"/>
      <c r="B837" s="23"/>
      <c r="C837" s="23"/>
      <c r="D837" s="23"/>
      <c r="E837" s="23"/>
      <c r="F837" s="23"/>
      <c r="G837" s="23"/>
      <c r="H837" s="22"/>
      <c r="I837" s="22"/>
      <c r="J837" s="22"/>
      <c r="K837" s="23"/>
    </row>
    <row r="838" customFormat="false" ht="15" hidden="false" customHeight="true" outlineLevel="0" collapsed="false">
      <c r="A838" s="23"/>
      <c r="B838" s="23"/>
      <c r="C838" s="23"/>
      <c r="D838" s="23"/>
      <c r="E838" s="23"/>
      <c r="F838" s="23"/>
      <c r="G838" s="23"/>
      <c r="H838" s="22"/>
      <c r="I838" s="22"/>
      <c r="J838" s="22"/>
      <c r="K838" s="23"/>
    </row>
    <row r="839" customFormat="false" ht="15" hidden="false" customHeight="true" outlineLevel="0" collapsed="false">
      <c r="A839" s="23"/>
      <c r="B839" s="23"/>
      <c r="C839" s="23"/>
      <c r="D839" s="23"/>
      <c r="E839" s="23"/>
      <c r="F839" s="23"/>
      <c r="G839" s="23"/>
      <c r="H839" s="22"/>
      <c r="I839" s="22"/>
      <c r="J839" s="22"/>
      <c r="K839" s="23"/>
    </row>
    <row r="840" customFormat="false" ht="15" hidden="false" customHeight="true" outlineLevel="0" collapsed="false">
      <c r="A840" s="23"/>
      <c r="B840" s="23"/>
      <c r="C840" s="23"/>
      <c r="D840" s="23"/>
      <c r="E840" s="23"/>
      <c r="F840" s="23"/>
      <c r="G840" s="23"/>
      <c r="H840" s="22"/>
      <c r="I840" s="22"/>
      <c r="J840" s="22"/>
      <c r="K840" s="23"/>
    </row>
    <row r="841" customFormat="false" ht="15" hidden="false" customHeight="true" outlineLevel="0" collapsed="false">
      <c r="A841" s="23"/>
      <c r="B841" s="23"/>
      <c r="C841" s="23"/>
      <c r="D841" s="23"/>
      <c r="E841" s="23"/>
      <c r="F841" s="23"/>
      <c r="G841" s="23"/>
      <c r="H841" s="22"/>
      <c r="I841" s="22"/>
      <c r="J841" s="22"/>
      <c r="K841" s="23"/>
    </row>
    <row r="842" customFormat="false" ht="15" hidden="false" customHeight="true" outlineLevel="0" collapsed="false">
      <c r="A842" s="23"/>
      <c r="B842" s="23"/>
      <c r="C842" s="23"/>
      <c r="D842" s="23"/>
      <c r="E842" s="23"/>
      <c r="F842" s="23"/>
      <c r="G842" s="23"/>
      <c r="H842" s="22"/>
      <c r="I842" s="22"/>
      <c r="J842" s="22"/>
      <c r="K842" s="23"/>
    </row>
    <row r="843" customFormat="false" ht="15" hidden="false" customHeight="true" outlineLevel="0" collapsed="false">
      <c r="A843" s="23"/>
      <c r="B843" s="23"/>
      <c r="C843" s="23"/>
      <c r="D843" s="23"/>
      <c r="E843" s="23"/>
      <c r="F843" s="23"/>
      <c r="G843" s="23"/>
      <c r="H843" s="22"/>
      <c r="I843" s="22"/>
      <c r="J843" s="22"/>
      <c r="K843" s="23"/>
    </row>
    <row r="844" customFormat="false" ht="15" hidden="false" customHeight="true" outlineLevel="0" collapsed="false">
      <c r="A844" s="23"/>
      <c r="B844" s="23"/>
      <c r="C844" s="23"/>
      <c r="D844" s="23"/>
      <c r="E844" s="23"/>
      <c r="F844" s="23"/>
      <c r="G844" s="23"/>
      <c r="H844" s="22"/>
      <c r="I844" s="22"/>
      <c r="J844" s="22"/>
      <c r="K844" s="23"/>
    </row>
    <row r="845" customFormat="false" ht="15" hidden="false" customHeight="true" outlineLevel="0" collapsed="false">
      <c r="A845" s="23"/>
      <c r="B845" s="23"/>
      <c r="C845" s="23"/>
      <c r="D845" s="23"/>
      <c r="E845" s="23"/>
      <c r="F845" s="23"/>
      <c r="G845" s="23"/>
      <c r="H845" s="22"/>
      <c r="I845" s="22"/>
      <c r="J845" s="22"/>
      <c r="K845" s="23"/>
    </row>
    <row r="846" customFormat="false" ht="15" hidden="false" customHeight="true" outlineLevel="0" collapsed="false">
      <c r="A846" s="23"/>
      <c r="B846" s="23"/>
      <c r="C846" s="23"/>
      <c r="D846" s="23"/>
      <c r="E846" s="23"/>
      <c r="F846" s="23"/>
      <c r="G846" s="23"/>
      <c r="H846" s="22"/>
      <c r="I846" s="22"/>
      <c r="J846" s="22"/>
      <c r="K846" s="23"/>
    </row>
    <row r="847" customFormat="false" ht="15" hidden="false" customHeight="true" outlineLevel="0" collapsed="false">
      <c r="A847" s="23"/>
      <c r="B847" s="23"/>
      <c r="C847" s="23"/>
      <c r="D847" s="23"/>
      <c r="E847" s="23"/>
      <c r="F847" s="23"/>
      <c r="G847" s="23"/>
      <c r="H847" s="22"/>
      <c r="I847" s="22"/>
      <c r="J847" s="22"/>
      <c r="K847" s="23"/>
    </row>
    <row r="848" customFormat="false" ht="15" hidden="false" customHeight="true" outlineLevel="0" collapsed="false">
      <c r="A848" s="23"/>
      <c r="B848" s="23"/>
      <c r="C848" s="23"/>
      <c r="D848" s="23"/>
      <c r="E848" s="23"/>
      <c r="F848" s="23"/>
      <c r="G848" s="23"/>
      <c r="H848" s="22"/>
      <c r="I848" s="22"/>
      <c r="J848" s="22"/>
      <c r="K848" s="23"/>
    </row>
    <row r="849" customFormat="false" ht="15" hidden="false" customHeight="true" outlineLevel="0" collapsed="false">
      <c r="A849" s="23"/>
      <c r="B849" s="23"/>
      <c r="C849" s="23"/>
      <c r="D849" s="23"/>
      <c r="E849" s="23"/>
      <c r="F849" s="23"/>
      <c r="G849" s="23"/>
      <c r="H849" s="22"/>
      <c r="I849" s="22"/>
      <c r="J849" s="22"/>
      <c r="K849" s="23"/>
    </row>
    <row r="850" customFormat="false" ht="15" hidden="false" customHeight="true" outlineLevel="0" collapsed="false">
      <c r="A850" s="23"/>
      <c r="B850" s="23"/>
      <c r="C850" s="23"/>
      <c r="D850" s="23"/>
      <c r="E850" s="23"/>
      <c r="F850" s="23"/>
      <c r="G850" s="23"/>
      <c r="H850" s="22"/>
      <c r="I850" s="22"/>
      <c r="J850" s="22"/>
      <c r="K850" s="23"/>
    </row>
    <row r="851" customFormat="false" ht="15" hidden="false" customHeight="true" outlineLevel="0" collapsed="false">
      <c r="A851" s="23"/>
      <c r="B851" s="23"/>
      <c r="C851" s="23"/>
      <c r="D851" s="23"/>
      <c r="E851" s="23"/>
      <c r="F851" s="23"/>
      <c r="G851" s="23"/>
      <c r="H851" s="22"/>
      <c r="I851" s="22"/>
      <c r="J851" s="22"/>
      <c r="K851" s="23"/>
    </row>
    <row r="852" customFormat="false" ht="15" hidden="false" customHeight="true" outlineLevel="0" collapsed="false">
      <c r="A852" s="23"/>
      <c r="B852" s="23"/>
      <c r="C852" s="23"/>
      <c r="D852" s="23"/>
      <c r="E852" s="23"/>
      <c r="F852" s="23"/>
      <c r="G852" s="23"/>
      <c r="H852" s="22"/>
      <c r="I852" s="22"/>
      <c r="J852" s="22"/>
      <c r="K852" s="23"/>
    </row>
    <row r="853" customFormat="false" ht="15" hidden="false" customHeight="true" outlineLevel="0" collapsed="false">
      <c r="A853" s="23"/>
      <c r="B853" s="23"/>
      <c r="C853" s="23"/>
      <c r="D853" s="23"/>
      <c r="E853" s="23"/>
      <c r="F853" s="23"/>
      <c r="G853" s="23"/>
      <c r="H853" s="22"/>
      <c r="I853" s="22"/>
      <c r="J853" s="22"/>
      <c r="K853" s="23"/>
    </row>
    <row r="854" customFormat="false" ht="15" hidden="false" customHeight="true" outlineLevel="0" collapsed="false">
      <c r="A854" s="23"/>
      <c r="B854" s="23"/>
      <c r="C854" s="23"/>
      <c r="D854" s="23"/>
      <c r="E854" s="23"/>
      <c r="F854" s="23"/>
      <c r="G854" s="23"/>
      <c r="H854" s="22"/>
      <c r="I854" s="22"/>
      <c r="J854" s="22"/>
      <c r="K854" s="23"/>
    </row>
    <row r="855" customFormat="false" ht="15" hidden="false" customHeight="true" outlineLevel="0" collapsed="false">
      <c r="A855" s="23"/>
      <c r="B855" s="23"/>
      <c r="C855" s="23"/>
      <c r="D855" s="23"/>
      <c r="E855" s="23"/>
      <c r="F855" s="23"/>
      <c r="G855" s="23"/>
      <c r="H855" s="22"/>
      <c r="I855" s="22"/>
      <c r="J855" s="22"/>
      <c r="K855" s="23"/>
    </row>
    <row r="856" customFormat="false" ht="15" hidden="false" customHeight="true" outlineLevel="0" collapsed="false">
      <c r="A856" s="23"/>
      <c r="B856" s="23"/>
      <c r="C856" s="23"/>
      <c r="D856" s="23"/>
      <c r="E856" s="23"/>
      <c r="F856" s="23"/>
      <c r="G856" s="23"/>
      <c r="H856" s="22"/>
      <c r="I856" s="22"/>
      <c r="J856" s="22"/>
      <c r="K856" s="23"/>
    </row>
    <row r="857" customFormat="false" ht="15" hidden="false" customHeight="true" outlineLevel="0" collapsed="false">
      <c r="A857" s="23"/>
      <c r="B857" s="23"/>
      <c r="C857" s="23"/>
      <c r="D857" s="23"/>
      <c r="E857" s="23"/>
      <c r="F857" s="23"/>
      <c r="G857" s="23"/>
      <c r="H857" s="22"/>
      <c r="I857" s="22"/>
      <c r="J857" s="22"/>
      <c r="K857" s="23"/>
    </row>
    <row r="858" customFormat="false" ht="15" hidden="false" customHeight="true" outlineLevel="0" collapsed="false">
      <c r="A858" s="23"/>
      <c r="B858" s="23"/>
      <c r="C858" s="23"/>
      <c r="D858" s="23"/>
      <c r="E858" s="23"/>
      <c r="F858" s="23"/>
      <c r="G858" s="23"/>
      <c r="H858" s="22"/>
      <c r="I858" s="22"/>
      <c r="J858" s="22"/>
      <c r="K858" s="23"/>
    </row>
    <row r="859" customFormat="false" ht="15" hidden="false" customHeight="true" outlineLevel="0" collapsed="false">
      <c r="A859" s="23"/>
      <c r="B859" s="23"/>
      <c r="C859" s="23"/>
      <c r="D859" s="23"/>
      <c r="E859" s="23"/>
      <c r="F859" s="23"/>
      <c r="G859" s="23"/>
      <c r="H859" s="22"/>
      <c r="I859" s="22"/>
      <c r="J859" s="22"/>
      <c r="K859" s="23"/>
    </row>
    <row r="860" customFormat="false" ht="15" hidden="false" customHeight="true" outlineLevel="0" collapsed="false">
      <c r="A860" s="23"/>
      <c r="B860" s="23"/>
      <c r="C860" s="23"/>
      <c r="D860" s="23"/>
      <c r="E860" s="23"/>
      <c r="F860" s="23"/>
      <c r="G860" s="23"/>
      <c r="H860" s="22"/>
      <c r="I860" s="22"/>
      <c r="J860" s="22"/>
      <c r="K860" s="23"/>
    </row>
    <row r="861" customFormat="false" ht="15" hidden="false" customHeight="true" outlineLevel="0" collapsed="false">
      <c r="A861" s="23"/>
      <c r="B861" s="23"/>
      <c r="C861" s="23"/>
      <c r="D861" s="23"/>
      <c r="E861" s="23"/>
      <c r="F861" s="23"/>
      <c r="G861" s="23"/>
      <c r="H861" s="22"/>
      <c r="I861" s="22"/>
      <c r="J861" s="22"/>
      <c r="K861" s="23"/>
    </row>
    <row r="862" customFormat="false" ht="15" hidden="false" customHeight="true" outlineLevel="0" collapsed="false">
      <c r="A862" s="23"/>
      <c r="B862" s="23"/>
      <c r="C862" s="23"/>
      <c r="D862" s="23"/>
      <c r="E862" s="23"/>
      <c r="F862" s="23"/>
      <c r="G862" s="23"/>
      <c r="H862" s="22"/>
      <c r="I862" s="22"/>
      <c r="J862" s="22"/>
      <c r="K862" s="23"/>
    </row>
    <row r="863" customFormat="false" ht="15" hidden="false" customHeight="true" outlineLevel="0" collapsed="false">
      <c r="A863" s="23"/>
      <c r="B863" s="23"/>
      <c r="C863" s="23"/>
      <c r="D863" s="23"/>
      <c r="E863" s="23"/>
      <c r="F863" s="23"/>
      <c r="G863" s="23"/>
      <c r="H863" s="22"/>
      <c r="I863" s="22"/>
      <c r="J863" s="22"/>
      <c r="K863" s="23"/>
    </row>
    <row r="864" customFormat="false" ht="15" hidden="false" customHeight="true" outlineLevel="0" collapsed="false">
      <c r="A864" s="23"/>
      <c r="B864" s="23"/>
      <c r="C864" s="23"/>
      <c r="D864" s="23"/>
      <c r="E864" s="23"/>
      <c r="F864" s="23"/>
      <c r="G864" s="23"/>
      <c r="H864" s="22"/>
      <c r="I864" s="22"/>
      <c r="J864" s="22"/>
      <c r="K864" s="23"/>
    </row>
    <row r="865" customFormat="false" ht="15" hidden="false" customHeight="true" outlineLevel="0" collapsed="false">
      <c r="A865" s="23"/>
      <c r="B865" s="23"/>
      <c r="C865" s="23"/>
      <c r="D865" s="23"/>
      <c r="E865" s="23"/>
      <c r="F865" s="23"/>
      <c r="G865" s="23"/>
      <c r="H865" s="22"/>
      <c r="I865" s="22"/>
      <c r="J865" s="22"/>
      <c r="K865" s="23"/>
    </row>
    <row r="866" customFormat="false" ht="15" hidden="false" customHeight="true" outlineLevel="0" collapsed="false">
      <c r="A866" s="23"/>
      <c r="B866" s="23"/>
      <c r="C866" s="23"/>
      <c r="D866" s="23"/>
      <c r="E866" s="23"/>
      <c r="F866" s="23"/>
      <c r="G866" s="23"/>
      <c r="H866" s="22"/>
      <c r="I866" s="22"/>
      <c r="J866" s="22"/>
      <c r="K866" s="23"/>
    </row>
    <row r="867" customFormat="false" ht="15" hidden="false" customHeight="true" outlineLevel="0" collapsed="false">
      <c r="A867" s="23"/>
      <c r="B867" s="23"/>
      <c r="C867" s="23"/>
      <c r="D867" s="23"/>
      <c r="E867" s="23"/>
      <c r="F867" s="23"/>
      <c r="G867" s="23"/>
      <c r="H867" s="22"/>
      <c r="I867" s="22"/>
      <c r="J867" s="22"/>
      <c r="K867" s="23"/>
    </row>
    <row r="868" customFormat="false" ht="15" hidden="false" customHeight="true" outlineLevel="0" collapsed="false">
      <c r="A868" s="23"/>
      <c r="B868" s="23"/>
      <c r="C868" s="23"/>
      <c r="D868" s="23"/>
      <c r="E868" s="23"/>
      <c r="F868" s="23"/>
      <c r="G868" s="23"/>
      <c r="H868" s="22"/>
      <c r="I868" s="22"/>
      <c r="J868" s="22"/>
      <c r="K868" s="23"/>
    </row>
    <row r="869" customFormat="false" ht="15" hidden="false" customHeight="true" outlineLevel="0" collapsed="false">
      <c r="A869" s="23"/>
      <c r="B869" s="23"/>
      <c r="C869" s="23"/>
      <c r="D869" s="23"/>
      <c r="E869" s="23"/>
      <c r="F869" s="23"/>
      <c r="G869" s="23"/>
      <c r="H869" s="22"/>
      <c r="I869" s="22"/>
      <c r="J869" s="22"/>
      <c r="K869" s="23"/>
    </row>
    <row r="870" customFormat="false" ht="15" hidden="false" customHeight="true" outlineLevel="0" collapsed="false">
      <c r="A870" s="23"/>
      <c r="B870" s="23"/>
      <c r="C870" s="23"/>
      <c r="D870" s="23"/>
      <c r="E870" s="23"/>
      <c r="F870" s="23"/>
      <c r="G870" s="23"/>
      <c r="H870" s="22"/>
      <c r="I870" s="22"/>
      <c r="J870" s="22"/>
      <c r="K870" s="23"/>
    </row>
    <row r="871" customFormat="false" ht="15" hidden="false" customHeight="true" outlineLevel="0" collapsed="false">
      <c r="A871" s="23"/>
      <c r="B871" s="23"/>
      <c r="C871" s="23"/>
      <c r="D871" s="23"/>
      <c r="E871" s="23"/>
      <c r="F871" s="23"/>
      <c r="G871" s="23"/>
      <c r="H871" s="22"/>
      <c r="I871" s="22"/>
      <c r="J871" s="22"/>
      <c r="K871" s="23"/>
    </row>
    <row r="872" customFormat="false" ht="15" hidden="false" customHeight="true" outlineLevel="0" collapsed="false">
      <c r="A872" s="23"/>
      <c r="B872" s="23"/>
      <c r="C872" s="23"/>
      <c r="D872" s="23"/>
      <c r="E872" s="23"/>
      <c r="F872" s="23"/>
      <c r="G872" s="23"/>
      <c r="H872" s="22"/>
      <c r="I872" s="22"/>
      <c r="J872" s="22"/>
      <c r="K872" s="23"/>
    </row>
    <row r="873" customFormat="false" ht="15" hidden="false" customHeight="true" outlineLevel="0" collapsed="false">
      <c r="A873" s="23"/>
      <c r="B873" s="23"/>
      <c r="C873" s="23"/>
      <c r="D873" s="23"/>
      <c r="E873" s="23"/>
      <c r="F873" s="23"/>
      <c r="G873" s="23"/>
      <c r="H873" s="22"/>
      <c r="I873" s="22"/>
      <c r="J873" s="22"/>
      <c r="K873" s="23"/>
    </row>
    <row r="874" customFormat="false" ht="15" hidden="false" customHeight="true" outlineLevel="0" collapsed="false">
      <c r="A874" s="23"/>
      <c r="B874" s="23"/>
      <c r="C874" s="23"/>
      <c r="D874" s="23"/>
      <c r="E874" s="23"/>
      <c r="F874" s="23"/>
      <c r="G874" s="23"/>
      <c r="H874" s="22"/>
      <c r="I874" s="22"/>
      <c r="J874" s="22"/>
      <c r="K874" s="23"/>
    </row>
    <row r="875" customFormat="false" ht="15" hidden="false" customHeight="true" outlineLevel="0" collapsed="false">
      <c r="A875" s="23"/>
      <c r="B875" s="23"/>
      <c r="C875" s="23"/>
      <c r="D875" s="23"/>
      <c r="E875" s="23"/>
      <c r="F875" s="23"/>
      <c r="G875" s="23"/>
      <c r="H875" s="22"/>
      <c r="I875" s="22"/>
      <c r="J875" s="22"/>
      <c r="K875" s="23"/>
    </row>
    <row r="876" customFormat="false" ht="15" hidden="false" customHeight="true" outlineLevel="0" collapsed="false">
      <c r="A876" s="23"/>
      <c r="B876" s="23"/>
      <c r="C876" s="23"/>
      <c r="D876" s="23"/>
      <c r="E876" s="23"/>
      <c r="F876" s="23"/>
      <c r="G876" s="23"/>
      <c r="H876" s="22"/>
      <c r="I876" s="22"/>
      <c r="J876" s="22"/>
      <c r="K876" s="23"/>
    </row>
    <row r="877" customFormat="false" ht="15" hidden="false" customHeight="true" outlineLevel="0" collapsed="false">
      <c r="A877" s="23"/>
      <c r="B877" s="23"/>
      <c r="C877" s="23"/>
      <c r="D877" s="23"/>
      <c r="E877" s="23"/>
      <c r="F877" s="23"/>
      <c r="G877" s="23"/>
      <c r="H877" s="22"/>
      <c r="I877" s="22"/>
      <c r="J877" s="22"/>
      <c r="K877" s="23"/>
    </row>
    <row r="878" customFormat="false" ht="15" hidden="false" customHeight="true" outlineLevel="0" collapsed="false">
      <c r="A878" s="23"/>
      <c r="B878" s="23"/>
      <c r="C878" s="23"/>
      <c r="D878" s="23"/>
      <c r="E878" s="23"/>
      <c r="F878" s="23"/>
      <c r="G878" s="23"/>
      <c r="H878" s="22"/>
      <c r="I878" s="22"/>
      <c r="J878" s="22"/>
      <c r="K878" s="23"/>
    </row>
    <row r="879" customFormat="false" ht="15" hidden="false" customHeight="true" outlineLevel="0" collapsed="false">
      <c r="A879" s="23"/>
      <c r="B879" s="23"/>
      <c r="C879" s="23"/>
      <c r="D879" s="23"/>
      <c r="E879" s="23"/>
      <c r="F879" s="23"/>
      <c r="G879" s="23"/>
      <c r="H879" s="22"/>
      <c r="I879" s="22"/>
      <c r="J879" s="22"/>
      <c r="K879" s="23"/>
    </row>
    <row r="880" customFormat="false" ht="15" hidden="false" customHeight="true" outlineLevel="0" collapsed="false">
      <c r="A880" s="23"/>
      <c r="B880" s="23"/>
      <c r="C880" s="23"/>
      <c r="D880" s="23"/>
      <c r="E880" s="23"/>
      <c r="F880" s="23"/>
      <c r="G880" s="23"/>
      <c r="H880" s="22"/>
      <c r="I880" s="22"/>
      <c r="J880" s="22"/>
      <c r="K880" s="23"/>
    </row>
    <row r="881" customFormat="false" ht="15" hidden="false" customHeight="true" outlineLevel="0" collapsed="false">
      <c r="A881" s="23"/>
      <c r="B881" s="23"/>
      <c r="C881" s="23"/>
      <c r="D881" s="23"/>
      <c r="E881" s="23"/>
      <c r="F881" s="23"/>
      <c r="G881" s="23"/>
      <c r="H881" s="22"/>
      <c r="I881" s="22"/>
      <c r="J881" s="22"/>
      <c r="K881" s="23"/>
    </row>
    <row r="882" customFormat="false" ht="15" hidden="false" customHeight="true" outlineLevel="0" collapsed="false">
      <c r="A882" s="23"/>
      <c r="B882" s="23"/>
      <c r="C882" s="23"/>
      <c r="D882" s="23"/>
      <c r="E882" s="23"/>
      <c r="F882" s="23"/>
      <c r="G882" s="23"/>
      <c r="H882" s="22"/>
      <c r="I882" s="22"/>
      <c r="J882" s="22"/>
      <c r="K882" s="23"/>
    </row>
    <row r="883" customFormat="false" ht="15" hidden="false" customHeight="true" outlineLevel="0" collapsed="false">
      <c r="A883" s="23"/>
      <c r="B883" s="23"/>
      <c r="C883" s="23"/>
      <c r="D883" s="23"/>
      <c r="E883" s="23"/>
      <c r="F883" s="23"/>
      <c r="G883" s="23"/>
      <c r="H883" s="22"/>
      <c r="I883" s="22"/>
      <c r="J883" s="22"/>
      <c r="K883" s="23"/>
    </row>
    <row r="884" customFormat="false" ht="15" hidden="false" customHeight="true" outlineLevel="0" collapsed="false">
      <c r="A884" s="23"/>
      <c r="B884" s="23"/>
      <c r="C884" s="23"/>
      <c r="D884" s="23"/>
      <c r="E884" s="23"/>
      <c r="F884" s="23"/>
      <c r="G884" s="23"/>
      <c r="H884" s="22"/>
      <c r="I884" s="22"/>
      <c r="J884" s="22"/>
      <c r="K884" s="23"/>
    </row>
    <row r="885" customFormat="false" ht="15" hidden="false" customHeight="true" outlineLevel="0" collapsed="false">
      <c r="A885" s="23"/>
      <c r="B885" s="23"/>
      <c r="C885" s="23"/>
      <c r="D885" s="23"/>
      <c r="E885" s="23"/>
      <c r="F885" s="23"/>
      <c r="G885" s="23"/>
      <c r="H885" s="22"/>
      <c r="I885" s="22"/>
      <c r="J885" s="22"/>
      <c r="K885" s="23"/>
    </row>
    <row r="886" customFormat="false" ht="15" hidden="false" customHeight="true" outlineLevel="0" collapsed="false">
      <c r="A886" s="23"/>
      <c r="B886" s="23"/>
      <c r="C886" s="23"/>
      <c r="D886" s="23"/>
      <c r="E886" s="23"/>
      <c r="F886" s="23"/>
      <c r="G886" s="23"/>
      <c r="H886" s="22"/>
      <c r="I886" s="22"/>
      <c r="J886" s="22"/>
      <c r="K886" s="23"/>
    </row>
    <row r="887" customFormat="false" ht="15" hidden="false" customHeight="true" outlineLevel="0" collapsed="false">
      <c r="A887" s="23"/>
      <c r="B887" s="23"/>
      <c r="C887" s="23"/>
      <c r="D887" s="23"/>
      <c r="E887" s="23"/>
      <c r="F887" s="23"/>
      <c r="G887" s="23"/>
      <c r="H887" s="22"/>
      <c r="I887" s="22"/>
      <c r="J887" s="22"/>
      <c r="K887" s="23"/>
    </row>
    <row r="888" customFormat="false" ht="15" hidden="false" customHeight="true" outlineLevel="0" collapsed="false">
      <c r="A888" s="23"/>
      <c r="B888" s="23"/>
      <c r="C888" s="23"/>
      <c r="D888" s="23"/>
      <c r="E888" s="23"/>
      <c r="F888" s="23"/>
      <c r="G888" s="23"/>
      <c r="H888" s="22"/>
      <c r="I888" s="22"/>
      <c r="J888" s="22"/>
      <c r="K888" s="23"/>
    </row>
    <row r="889" customFormat="false" ht="15" hidden="false" customHeight="true" outlineLevel="0" collapsed="false">
      <c r="A889" s="23"/>
      <c r="B889" s="23"/>
      <c r="C889" s="23"/>
      <c r="D889" s="23"/>
      <c r="E889" s="23"/>
      <c r="F889" s="23"/>
      <c r="G889" s="23"/>
      <c r="H889" s="22"/>
      <c r="I889" s="22"/>
      <c r="J889" s="22"/>
      <c r="K889" s="23"/>
    </row>
    <row r="890" customFormat="false" ht="15" hidden="false" customHeight="true" outlineLevel="0" collapsed="false">
      <c r="A890" s="23"/>
      <c r="B890" s="23"/>
      <c r="C890" s="23"/>
      <c r="D890" s="23"/>
      <c r="E890" s="23"/>
      <c r="F890" s="23"/>
      <c r="G890" s="23"/>
      <c r="H890" s="22"/>
      <c r="I890" s="22"/>
      <c r="J890" s="22"/>
      <c r="K890" s="23"/>
    </row>
    <row r="891" customFormat="false" ht="15" hidden="false" customHeight="true" outlineLevel="0" collapsed="false">
      <c r="A891" s="23"/>
      <c r="B891" s="23"/>
      <c r="C891" s="23"/>
      <c r="D891" s="23"/>
      <c r="E891" s="23"/>
      <c r="F891" s="23"/>
      <c r="G891" s="23"/>
      <c r="H891" s="22"/>
      <c r="I891" s="22"/>
      <c r="J891" s="22"/>
      <c r="K891" s="23"/>
    </row>
    <row r="892" customFormat="false" ht="15" hidden="false" customHeight="true" outlineLevel="0" collapsed="false">
      <c r="A892" s="23"/>
      <c r="B892" s="23"/>
      <c r="C892" s="23"/>
      <c r="D892" s="23"/>
      <c r="E892" s="23"/>
      <c r="F892" s="23"/>
      <c r="G892" s="23"/>
      <c r="H892" s="22"/>
      <c r="I892" s="22"/>
      <c r="J892" s="22"/>
      <c r="K892" s="23"/>
    </row>
    <row r="893" customFormat="false" ht="15" hidden="false" customHeight="true" outlineLevel="0" collapsed="false">
      <c r="A893" s="23"/>
      <c r="B893" s="23"/>
      <c r="C893" s="23"/>
      <c r="D893" s="23"/>
      <c r="E893" s="23"/>
      <c r="F893" s="23"/>
      <c r="G893" s="23"/>
      <c r="H893" s="22"/>
      <c r="I893" s="22"/>
      <c r="J893" s="22"/>
      <c r="K893" s="23"/>
    </row>
    <row r="894" customFormat="false" ht="15" hidden="false" customHeight="true" outlineLevel="0" collapsed="false">
      <c r="A894" s="23"/>
      <c r="B894" s="23"/>
      <c r="C894" s="23"/>
      <c r="D894" s="23"/>
      <c r="E894" s="23"/>
      <c r="F894" s="23"/>
      <c r="G894" s="23"/>
      <c r="H894" s="22"/>
      <c r="I894" s="22"/>
      <c r="J894" s="22"/>
      <c r="K894" s="23"/>
    </row>
    <row r="895" customFormat="false" ht="15" hidden="false" customHeight="true" outlineLevel="0" collapsed="false">
      <c r="A895" s="23"/>
      <c r="B895" s="23"/>
      <c r="C895" s="23"/>
      <c r="D895" s="23"/>
      <c r="E895" s="23"/>
      <c r="F895" s="23"/>
      <c r="G895" s="23"/>
      <c r="H895" s="22"/>
      <c r="I895" s="22"/>
      <c r="J895" s="22"/>
      <c r="K895" s="23"/>
    </row>
    <row r="896" customFormat="false" ht="15" hidden="false" customHeight="true" outlineLevel="0" collapsed="false">
      <c r="A896" s="23"/>
      <c r="B896" s="23"/>
      <c r="C896" s="23"/>
      <c r="D896" s="23"/>
      <c r="E896" s="23"/>
      <c r="F896" s="23"/>
      <c r="G896" s="23"/>
      <c r="H896" s="22"/>
      <c r="I896" s="22"/>
      <c r="J896" s="22"/>
      <c r="K896" s="23"/>
    </row>
    <row r="897" customFormat="false" ht="15" hidden="false" customHeight="true" outlineLevel="0" collapsed="false">
      <c r="A897" s="23"/>
      <c r="B897" s="23"/>
      <c r="C897" s="23"/>
      <c r="D897" s="23"/>
      <c r="E897" s="23"/>
      <c r="F897" s="23"/>
      <c r="G897" s="23"/>
      <c r="H897" s="22"/>
      <c r="I897" s="22"/>
      <c r="J897" s="22"/>
      <c r="K897" s="23"/>
    </row>
    <row r="898" customFormat="false" ht="15" hidden="false" customHeight="true" outlineLevel="0" collapsed="false">
      <c r="A898" s="23"/>
      <c r="B898" s="23"/>
      <c r="C898" s="23"/>
      <c r="D898" s="23"/>
      <c r="E898" s="23"/>
      <c r="F898" s="23"/>
      <c r="G898" s="23"/>
      <c r="H898" s="22"/>
      <c r="I898" s="22"/>
      <c r="J898" s="22"/>
      <c r="K898" s="23"/>
    </row>
    <row r="899" customFormat="false" ht="15" hidden="false" customHeight="true" outlineLevel="0" collapsed="false">
      <c r="A899" s="23"/>
      <c r="B899" s="23"/>
      <c r="C899" s="23"/>
      <c r="D899" s="23"/>
      <c r="E899" s="23"/>
      <c r="F899" s="23"/>
      <c r="G899" s="23"/>
      <c r="H899" s="22"/>
      <c r="I899" s="22"/>
      <c r="J899" s="22"/>
      <c r="K899" s="23"/>
    </row>
    <row r="900" customFormat="false" ht="15" hidden="false" customHeight="true" outlineLevel="0" collapsed="false">
      <c r="A900" s="23"/>
      <c r="B900" s="23"/>
      <c r="C900" s="23"/>
      <c r="D900" s="23"/>
      <c r="E900" s="23"/>
      <c r="F900" s="23"/>
      <c r="G900" s="23"/>
      <c r="H900" s="22"/>
      <c r="I900" s="22"/>
      <c r="J900" s="22"/>
      <c r="K900" s="23"/>
    </row>
    <row r="901" customFormat="false" ht="15" hidden="false" customHeight="true" outlineLevel="0" collapsed="false">
      <c r="A901" s="23"/>
      <c r="B901" s="23"/>
      <c r="C901" s="23"/>
      <c r="D901" s="23"/>
      <c r="E901" s="23"/>
      <c r="F901" s="23"/>
      <c r="G901" s="23"/>
      <c r="H901" s="22"/>
      <c r="I901" s="22"/>
      <c r="J901" s="22"/>
      <c r="K901" s="23"/>
    </row>
    <row r="902" customFormat="false" ht="15" hidden="false" customHeight="true" outlineLevel="0" collapsed="false">
      <c r="A902" s="23"/>
      <c r="B902" s="23"/>
      <c r="C902" s="23"/>
      <c r="D902" s="23"/>
      <c r="E902" s="23"/>
      <c r="F902" s="23"/>
      <c r="G902" s="23"/>
      <c r="H902" s="22"/>
      <c r="I902" s="22"/>
      <c r="J902" s="22"/>
      <c r="K902" s="23"/>
    </row>
    <row r="903" customFormat="false" ht="15" hidden="false" customHeight="true" outlineLevel="0" collapsed="false">
      <c r="A903" s="23"/>
      <c r="B903" s="23"/>
      <c r="C903" s="23"/>
      <c r="D903" s="23"/>
      <c r="E903" s="23"/>
      <c r="F903" s="23"/>
      <c r="G903" s="23"/>
      <c r="H903" s="22"/>
      <c r="I903" s="22"/>
      <c r="J903" s="22"/>
      <c r="K903" s="23"/>
    </row>
    <row r="904" customFormat="false" ht="15" hidden="false" customHeight="true" outlineLevel="0" collapsed="false">
      <c r="A904" s="23"/>
      <c r="B904" s="23"/>
      <c r="C904" s="23"/>
      <c r="D904" s="23"/>
      <c r="E904" s="23"/>
      <c r="F904" s="23"/>
      <c r="G904" s="23"/>
      <c r="H904" s="22"/>
      <c r="I904" s="22"/>
      <c r="J904" s="22"/>
      <c r="K904" s="23"/>
    </row>
    <row r="905" customFormat="false" ht="15" hidden="false" customHeight="true" outlineLevel="0" collapsed="false">
      <c r="A905" s="23"/>
      <c r="B905" s="23"/>
      <c r="C905" s="23"/>
      <c r="D905" s="23"/>
      <c r="E905" s="23"/>
      <c r="F905" s="23"/>
      <c r="G905" s="23"/>
      <c r="H905" s="22"/>
      <c r="I905" s="22"/>
      <c r="J905" s="22"/>
      <c r="K905" s="23"/>
    </row>
    <row r="906" customFormat="false" ht="15" hidden="false" customHeight="true" outlineLevel="0" collapsed="false">
      <c r="A906" s="23"/>
      <c r="B906" s="23"/>
      <c r="C906" s="23"/>
      <c r="D906" s="23"/>
      <c r="E906" s="23"/>
      <c r="F906" s="23"/>
      <c r="G906" s="23"/>
      <c r="H906" s="22"/>
      <c r="I906" s="22"/>
      <c r="J906" s="22"/>
      <c r="K906" s="23"/>
    </row>
    <row r="907" customFormat="false" ht="15" hidden="false" customHeight="true" outlineLevel="0" collapsed="false">
      <c r="A907" s="23"/>
      <c r="B907" s="23"/>
      <c r="C907" s="23"/>
      <c r="D907" s="23"/>
      <c r="E907" s="23"/>
      <c r="F907" s="23"/>
      <c r="G907" s="23"/>
      <c r="H907" s="22"/>
      <c r="I907" s="22"/>
      <c r="J907" s="22"/>
      <c r="K907" s="23"/>
    </row>
    <row r="908" customFormat="false" ht="15" hidden="false" customHeight="true" outlineLevel="0" collapsed="false">
      <c r="A908" s="23"/>
      <c r="B908" s="23"/>
      <c r="C908" s="23"/>
      <c r="D908" s="23"/>
      <c r="E908" s="23"/>
      <c r="F908" s="23"/>
      <c r="G908" s="23"/>
      <c r="H908" s="22"/>
      <c r="I908" s="22"/>
      <c r="J908" s="22"/>
      <c r="K908" s="23"/>
    </row>
    <row r="910" customFormat="false" ht="15" hidden="false" customHeight="false" outlineLevel="0" collapsed="false">
      <c r="BR910" s="11" t="s">
        <v>231</v>
      </c>
    </row>
    <row r="911" customFormat="false" ht="15" hidden="false" customHeight="false" outlineLevel="0" collapsed="false">
      <c r="BR911" s="11" t="s">
        <v>232</v>
      </c>
    </row>
  </sheetData>
  <autoFilter ref="A7:K7"/>
  <mergeCells count="6">
    <mergeCell ref="A1:K1"/>
    <mergeCell ref="A2:K2"/>
    <mergeCell ref="G3:K4"/>
    <mergeCell ref="A6:C6"/>
    <mergeCell ref="D6:G6"/>
    <mergeCell ref="H6:J6"/>
  </mergeCells>
  <dataValidations count="3">
    <dataValidation allowBlank="true" errorStyle="stop" operator="between" showDropDown="false" showErrorMessage="false" showInputMessage="false" sqref="H9:H908" type="list">
      <formula1>"O,N"</formula1>
      <formula2>0</formula2>
    </dataValidation>
    <dataValidation allowBlank="true" errorStyle="stop" operator="between" showDropDown="false" showErrorMessage="false" showInputMessage="false" sqref="I9:I908" type="list">
      <formula1>"TM,TA,TC"</formula1>
      <formula2>0</formula2>
    </dataValidation>
    <dataValidation allowBlank="true" errorStyle="stop" operator="between" showDropDown="false" showErrorMessage="false" showInputMessage="false" sqref="J9:J908" type="list">
      <formula1>"DI,DO,AI,AO"</formula1>
      <formula2>0</formula2>
    </dataValidation>
  </dataValidations>
  <printOptions headings="false" gridLines="false" gridLinesSet="true" horizontalCentered="true" verticalCentered="false"/>
  <pageMargins left="0.35" right="0.35" top="0.4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Affaire 2024_06_264 - Catalogue&amp;C&amp;7 &amp;D&amp;R&amp;7 page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.4"/>
    <col collapsed="false" customWidth="true" hidden="false" outlineLevel="0" max="4" min="3" style="0" width="6"/>
    <col collapsed="false" customWidth="true" hidden="false" outlineLevel="0" max="5" min="5" style="0" width="9.4"/>
    <col collapsed="false" customWidth="true" hidden="false" outlineLevel="0" max="6" min="6" style="0" width="8.4"/>
    <col collapsed="false" customWidth="true" hidden="false" outlineLevel="0" max="7" min="7" style="0" width="12.4"/>
    <col collapsed="false" customWidth="true" hidden="false" outlineLevel="0" max="9" min="8" style="0" width="11.39"/>
    <col collapsed="false" customWidth="true" hidden="false" outlineLevel="0" max="10" min="10" style="0" width="9.4"/>
    <col collapsed="false" customWidth="true" hidden="false" outlineLevel="0" max="11" min="11" style="0" width="6"/>
    <col collapsed="false" customWidth="true" hidden="false" outlineLevel="0" max="12" min="12" style="0" width="12.4"/>
    <col collapsed="false" customWidth="true" hidden="false" outlineLevel="0" max="13" min="13" style="0" width="30"/>
  </cols>
  <sheetData>
    <row r="1" customFormat="false" ht="25.5" hidden="false" customHeight="true" outlineLevel="0" collapsed="false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234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.75" hidden="false" customHeight="tru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.75" hidden="false" customHeight="true" outlineLevel="0" collapsed="false">
      <c r="A4" s="3" t="s">
        <v>6</v>
      </c>
      <c r="B4" s="4" t="s">
        <v>7</v>
      </c>
      <c r="D4" s="3" t="s">
        <v>8</v>
      </c>
      <c r="E4" s="4" t="s">
        <v>9</v>
      </c>
    </row>
    <row r="6" customFormat="false" ht="15" hidden="false" customHeight="true" outlineLevel="0" collapsed="false">
      <c r="A6" s="16" t="s">
        <v>235</v>
      </c>
      <c r="B6" s="16"/>
      <c r="C6" s="16"/>
      <c r="D6" s="16"/>
      <c r="E6" s="17" t="s">
        <v>63</v>
      </c>
      <c r="F6" s="17"/>
      <c r="G6" s="17"/>
      <c r="H6" s="17"/>
      <c r="I6" s="17"/>
      <c r="J6" s="18" t="s">
        <v>236</v>
      </c>
      <c r="K6" s="18"/>
      <c r="L6" s="18"/>
      <c r="M6" s="19" t="s">
        <v>65</v>
      </c>
    </row>
    <row r="7" customFormat="false" ht="30" hidden="false" customHeight="true" outlineLevel="0" collapsed="false">
      <c r="A7" s="20" t="s">
        <v>66</v>
      </c>
      <c r="B7" s="20" t="s">
        <v>69</v>
      </c>
      <c r="C7" s="20" t="s">
        <v>152</v>
      </c>
      <c r="D7" s="20" t="s">
        <v>237</v>
      </c>
      <c r="E7" s="20" t="s">
        <v>238</v>
      </c>
      <c r="F7" s="20" t="s">
        <v>239</v>
      </c>
      <c r="G7" s="20" t="s">
        <v>154</v>
      </c>
      <c r="H7" s="20" t="s">
        <v>74</v>
      </c>
      <c r="I7" s="20" t="s">
        <v>155</v>
      </c>
      <c r="J7" s="20" t="s">
        <v>71</v>
      </c>
      <c r="K7" s="20" t="s">
        <v>53</v>
      </c>
      <c r="L7" s="20" t="s">
        <v>240</v>
      </c>
      <c r="M7" s="20" t="s">
        <v>81</v>
      </c>
    </row>
    <row r="8" customFormat="false" ht="12.75" hidden="false" customHeight="true" outlineLevel="0" collapsed="false">
      <c r="A8" s="21" t="s">
        <v>82</v>
      </c>
      <c r="B8" s="21" t="s">
        <v>85</v>
      </c>
      <c r="C8" s="21" t="s">
        <v>241</v>
      </c>
      <c r="D8" s="21" t="s">
        <v>88</v>
      </c>
      <c r="E8" s="21" t="s">
        <v>85</v>
      </c>
      <c r="F8" s="21" t="s">
        <v>89</v>
      </c>
      <c r="G8" s="21" t="s">
        <v>242</v>
      </c>
      <c r="H8" s="21" t="s">
        <v>90</v>
      </c>
      <c r="I8" s="21"/>
      <c r="J8" s="21" t="s">
        <v>243</v>
      </c>
      <c r="K8" s="21"/>
      <c r="L8" s="21" t="s">
        <v>244</v>
      </c>
      <c r="M8" s="21"/>
    </row>
    <row r="9" customFormat="false" ht="15" hidden="false" customHeight="true" outlineLevel="0" collapsed="false">
      <c r="A9" s="4"/>
      <c r="B9" s="22"/>
      <c r="C9" s="4"/>
      <c r="D9" s="22"/>
      <c r="E9" s="22"/>
      <c r="F9" s="4"/>
      <c r="G9" s="4"/>
      <c r="H9" s="4"/>
      <c r="I9" s="23" t="str">
        <f aca="false">IF(F9="","",IF(OR(E9="Variable seule",G9=""),F9,F9&amp;"["&amp;G9&amp;"]"))</f>
        <v/>
      </c>
      <c r="J9" s="23" t="str">
        <f aca="false">IF(A9="","",COUNTIF(Cablage!$A:$A,A9))</f>
        <v/>
      </c>
      <c r="K9" s="23" t="str">
        <f aca="false">IF(A9="","",COUNTIF(Liens!$A:$A,A9))</f>
        <v/>
      </c>
      <c r="L9" s="23" t="str">
        <f aca="false">IF(OR(A9="",E9="Variable seule",F9="",G9=""),"",IF(COUNTIFS($F$9:$F$308,F9,$G$9:$G$308,G9,$A$9:$A$308,"&lt;&gt;"&amp;A9)&gt;0,"index deja pris",""))</f>
        <v/>
      </c>
      <c r="M9" s="4"/>
    </row>
    <row r="10" customFormat="false" ht="15" hidden="false" customHeight="true" outlineLevel="0" collapsed="false">
      <c r="A10" s="4"/>
      <c r="B10" s="22"/>
      <c r="C10" s="4"/>
      <c r="D10" s="22"/>
      <c r="E10" s="22"/>
      <c r="F10" s="4"/>
      <c r="G10" s="4"/>
      <c r="H10" s="4"/>
      <c r="I10" s="23" t="str">
        <f aca="false">IF(F10="","",IF(OR(E10="Variable seule",G10=""),F10,F10&amp;"["&amp;G10&amp;"]"))</f>
        <v/>
      </c>
      <c r="J10" s="23" t="str">
        <f aca="false">IF(A10="","",COUNTIF(Cablage!$A:$A,A10))</f>
        <v/>
      </c>
      <c r="K10" s="23" t="str">
        <f aca="false">IF(A10="","",COUNTIF(Liens!$A:$A,A10))</f>
        <v/>
      </c>
      <c r="L10" s="23" t="str">
        <f aca="false">IF(OR(A10="",E10="Variable seule",F10="",G10=""),"",IF(COUNTIFS($F$9:$F$308,F10,$G$9:$G$308,G10,$A$9:$A$308,"&lt;&gt;"&amp;A10)&gt;0,"index deja pris",""))</f>
        <v/>
      </c>
      <c r="M10" s="4"/>
    </row>
    <row r="11" customFormat="false" ht="15" hidden="false" customHeight="true" outlineLevel="0" collapsed="false">
      <c r="A11" s="4"/>
      <c r="B11" s="22"/>
      <c r="C11" s="4"/>
      <c r="D11" s="22"/>
      <c r="E11" s="22"/>
      <c r="F11" s="4"/>
      <c r="G11" s="4"/>
      <c r="H11" s="4"/>
      <c r="I11" s="23" t="str">
        <f aca="false">IF(F11="","",IF(OR(E11="Variable seule",G11=""),F11,F11&amp;"["&amp;G11&amp;"]"))</f>
        <v/>
      </c>
      <c r="J11" s="23" t="str">
        <f aca="false">IF(A11="","",COUNTIF(Cablage!$A:$A,A11))</f>
        <v/>
      </c>
      <c r="K11" s="23" t="str">
        <f aca="false">IF(A11="","",COUNTIF(Liens!$A:$A,A11))</f>
        <v/>
      </c>
      <c r="L11" s="23" t="str">
        <f aca="false">IF(OR(A11="",E11="Variable seule",F11="",G11=""),"",IF(COUNTIFS($F$9:$F$308,F11,$G$9:$G$308,G11,$A$9:$A$308,"&lt;&gt;"&amp;A11)&gt;0,"index deja pris",""))</f>
        <v/>
      </c>
      <c r="M11" s="4"/>
    </row>
    <row r="12" customFormat="false" ht="15" hidden="false" customHeight="true" outlineLevel="0" collapsed="false">
      <c r="A12" s="4"/>
      <c r="B12" s="22"/>
      <c r="C12" s="4"/>
      <c r="D12" s="22"/>
      <c r="E12" s="22"/>
      <c r="F12" s="4"/>
      <c r="G12" s="4"/>
      <c r="H12" s="4"/>
      <c r="I12" s="23" t="str">
        <f aca="false">IF(F12="","",IF(OR(E12="Variable seule",G12=""),F12,F12&amp;"["&amp;G12&amp;"]"))</f>
        <v/>
      </c>
      <c r="J12" s="23" t="str">
        <f aca="false">IF(A12="","",COUNTIF(Cablage!$A:$A,A12))</f>
        <v/>
      </c>
      <c r="K12" s="23" t="str">
        <f aca="false">IF(A12="","",COUNTIF(Liens!$A:$A,A12))</f>
        <v/>
      </c>
      <c r="L12" s="23" t="str">
        <f aca="false">IF(OR(A12="",E12="Variable seule",F12="",G12=""),"",IF(COUNTIFS($F$9:$F$308,F12,$G$9:$G$308,G12,$A$9:$A$308,"&lt;&gt;"&amp;A12)&gt;0,"index deja pris",""))</f>
        <v/>
      </c>
      <c r="M12" s="4"/>
    </row>
    <row r="13" customFormat="false" ht="15" hidden="false" customHeight="true" outlineLevel="0" collapsed="false">
      <c r="A13" s="4"/>
      <c r="B13" s="22"/>
      <c r="C13" s="4"/>
      <c r="D13" s="22"/>
      <c r="E13" s="22"/>
      <c r="F13" s="4"/>
      <c r="G13" s="4"/>
      <c r="H13" s="4"/>
      <c r="I13" s="23" t="str">
        <f aca="false">IF(F13="","",IF(OR(E13="Variable seule",G13=""),F13,F13&amp;"["&amp;G13&amp;"]"))</f>
        <v/>
      </c>
      <c r="J13" s="23" t="str">
        <f aca="false">IF(A13="","",COUNTIF(Cablage!$A:$A,A13))</f>
        <v/>
      </c>
      <c r="K13" s="23" t="str">
        <f aca="false">IF(A13="","",COUNTIF(Liens!$A:$A,A13))</f>
        <v/>
      </c>
      <c r="L13" s="23" t="str">
        <f aca="false">IF(OR(A13="",E13="Variable seule",F13="",G13=""),"",IF(COUNTIFS($F$9:$F$308,F13,$G$9:$G$308,G13,$A$9:$A$308,"&lt;&gt;"&amp;A13)&gt;0,"index deja pris",""))</f>
        <v/>
      </c>
      <c r="M13" s="4"/>
    </row>
    <row r="14" customFormat="false" ht="15" hidden="false" customHeight="true" outlineLevel="0" collapsed="false">
      <c r="A14" s="4"/>
      <c r="B14" s="22"/>
      <c r="C14" s="4"/>
      <c r="D14" s="22"/>
      <c r="E14" s="22"/>
      <c r="F14" s="4"/>
      <c r="G14" s="4"/>
      <c r="H14" s="4"/>
      <c r="I14" s="23" t="str">
        <f aca="false">IF(F14="","",IF(OR(E14="Variable seule",G14=""),F14,F14&amp;"["&amp;G14&amp;"]"))</f>
        <v/>
      </c>
      <c r="J14" s="23" t="str">
        <f aca="false">IF(A14="","",COUNTIF(Cablage!$A:$A,A14))</f>
        <v/>
      </c>
      <c r="K14" s="23" t="str">
        <f aca="false">IF(A14="","",COUNTIF(Liens!$A:$A,A14))</f>
        <v/>
      </c>
      <c r="L14" s="23" t="str">
        <f aca="false">IF(OR(A14="",E14="Variable seule",F14="",G14=""),"",IF(COUNTIFS($F$9:$F$308,F14,$G$9:$G$308,G14,$A$9:$A$308,"&lt;&gt;"&amp;A14)&gt;0,"index deja pris",""))</f>
        <v/>
      </c>
      <c r="M14" s="4"/>
    </row>
    <row r="15" customFormat="false" ht="15" hidden="false" customHeight="true" outlineLevel="0" collapsed="false">
      <c r="A15" s="4"/>
      <c r="B15" s="22"/>
      <c r="C15" s="4"/>
      <c r="D15" s="22"/>
      <c r="E15" s="22"/>
      <c r="F15" s="4"/>
      <c r="G15" s="4"/>
      <c r="H15" s="4"/>
      <c r="I15" s="23" t="str">
        <f aca="false">IF(F15="","",IF(OR(E15="Variable seule",G15=""),F15,F15&amp;"["&amp;G15&amp;"]"))</f>
        <v/>
      </c>
      <c r="J15" s="23" t="str">
        <f aca="false">IF(A15="","",COUNTIF(Cablage!$A:$A,A15))</f>
        <v/>
      </c>
      <c r="K15" s="23" t="str">
        <f aca="false">IF(A15="","",COUNTIF(Liens!$A:$A,A15))</f>
        <v/>
      </c>
      <c r="L15" s="23" t="str">
        <f aca="false">IF(OR(A15="",E15="Variable seule",F15="",G15=""),"",IF(COUNTIFS($F$9:$F$308,F15,$G$9:$G$308,G15,$A$9:$A$308,"&lt;&gt;"&amp;A15)&gt;0,"index deja pris",""))</f>
        <v/>
      </c>
      <c r="M15" s="4"/>
    </row>
    <row r="16" customFormat="false" ht="15" hidden="false" customHeight="true" outlineLevel="0" collapsed="false">
      <c r="A16" s="4"/>
      <c r="B16" s="22"/>
      <c r="C16" s="4"/>
      <c r="D16" s="22"/>
      <c r="E16" s="22"/>
      <c r="F16" s="4"/>
      <c r="G16" s="4"/>
      <c r="H16" s="4"/>
      <c r="I16" s="23" t="str">
        <f aca="false">IF(F16="","",IF(OR(E16="Variable seule",G16=""),F16,F16&amp;"["&amp;G16&amp;"]"))</f>
        <v/>
      </c>
      <c r="J16" s="23" t="str">
        <f aca="false">IF(A16="","",COUNTIF(Cablage!$A:$A,A16))</f>
        <v/>
      </c>
      <c r="K16" s="23" t="str">
        <f aca="false">IF(A16="","",COUNTIF(Liens!$A:$A,A16))</f>
        <v/>
      </c>
      <c r="L16" s="23" t="str">
        <f aca="false">IF(OR(A16="",E16="Variable seule",F16="",G16=""),"",IF(COUNTIFS($F$9:$F$308,F16,$G$9:$G$308,G16,$A$9:$A$308,"&lt;&gt;"&amp;A16)&gt;0,"index deja pris",""))</f>
        <v/>
      </c>
      <c r="M16" s="4"/>
    </row>
    <row r="17" customFormat="false" ht="15" hidden="false" customHeight="true" outlineLevel="0" collapsed="false">
      <c r="A17" s="4"/>
      <c r="B17" s="22"/>
      <c r="C17" s="4"/>
      <c r="D17" s="22"/>
      <c r="E17" s="22"/>
      <c r="F17" s="4"/>
      <c r="G17" s="4"/>
      <c r="H17" s="4"/>
      <c r="I17" s="23" t="str">
        <f aca="false">IF(F17="","",IF(OR(E17="Variable seule",G17=""),F17,F17&amp;"["&amp;G17&amp;"]"))</f>
        <v/>
      </c>
      <c r="J17" s="23" t="str">
        <f aca="false">IF(A17="","",COUNTIF(Cablage!$A:$A,A17))</f>
        <v/>
      </c>
      <c r="K17" s="23" t="str">
        <f aca="false">IF(A17="","",COUNTIF(Liens!$A:$A,A17))</f>
        <v/>
      </c>
      <c r="L17" s="23" t="str">
        <f aca="false">IF(OR(A17="",E17="Variable seule",F17="",G17=""),"",IF(COUNTIFS($F$9:$F$308,F17,$G$9:$G$308,G17,$A$9:$A$308,"&lt;&gt;"&amp;A17)&gt;0,"index deja pris",""))</f>
        <v/>
      </c>
      <c r="M17" s="4"/>
    </row>
    <row r="18" customFormat="false" ht="15" hidden="false" customHeight="true" outlineLevel="0" collapsed="false">
      <c r="A18" s="4"/>
      <c r="B18" s="22"/>
      <c r="C18" s="4"/>
      <c r="D18" s="22"/>
      <c r="E18" s="22"/>
      <c r="F18" s="4"/>
      <c r="G18" s="4"/>
      <c r="H18" s="4"/>
      <c r="I18" s="23" t="str">
        <f aca="false">IF(F18="","",IF(OR(E18="Variable seule",G18=""),F18,F18&amp;"["&amp;G18&amp;"]"))</f>
        <v/>
      </c>
      <c r="J18" s="23" t="str">
        <f aca="false">IF(A18="","",COUNTIF(Cablage!$A:$A,A18))</f>
        <v/>
      </c>
      <c r="K18" s="23" t="str">
        <f aca="false">IF(A18="","",COUNTIF(Liens!$A:$A,A18))</f>
        <v/>
      </c>
      <c r="L18" s="23" t="str">
        <f aca="false">IF(OR(A18="",E18="Variable seule",F18="",G18=""),"",IF(COUNTIFS($F$9:$F$308,F18,$G$9:$G$308,G18,$A$9:$A$308,"&lt;&gt;"&amp;A18)&gt;0,"index deja pris",""))</f>
        <v/>
      </c>
      <c r="M18" s="4"/>
    </row>
    <row r="19" customFormat="false" ht="15" hidden="false" customHeight="true" outlineLevel="0" collapsed="false">
      <c r="A19" s="4"/>
      <c r="B19" s="22"/>
      <c r="C19" s="4"/>
      <c r="D19" s="22"/>
      <c r="E19" s="22"/>
      <c r="F19" s="4"/>
      <c r="G19" s="4"/>
      <c r="H19" s="4"/>
      <c r="I19" s="23" t="str">
        <f aca="false">IF(F19="","",IF(OR(E19="Variable seule",G19=""),F19,F19&amp;"["&amp;G19&amp;"]"))</f>
        <v/>
      </c>
      <c r="J19" s="23" t="str">
        <f aca="false">IF(A19="","",COUNTIF(Cablage!$A:$A,A19))</f>
        <v/>
      </c>
      <c r="K19" s="23" t="str">
        <f aca="false">IF(A19="","",COUNTIF(Liens!$A:$A,A19))</f>
        <v/>
      </c>
      <c r="L19" s="23" t="str">
        <f aca="false">IF(OR(A19="",E19="Variable seule",F19="",G19=""),"",IF(COUNTIFS($F$9:$F$308,F19,$G$9:$G$308,G19,$A$9:$A$308,"&lt;&gt;"&amp;A19)&gt;0,"index deja pris",""))</f>
        <v/>
      </c>
      <c r="M19" s="4"/>
    </row>
    <row r="20" customFormat="false" ht="15" hidden="false" customHeight="true" outlineLevel="0" collapsed="false">
      <c r="A20" s="4"/>
      <c r="B20" s="22"/>
      <c r="C20" s="4"/>
      <c r="D20" s="22"/>
      <c r="E20" s="22"/>
      <c r="F20" s="4"/>
      <c r="G20" s="4"/>
      <c r="H20" s="4"/>
      <c r="I20" s="23" t="str">
        <f aca="false">IF(F20="","",IF(OR(E20="Variable seule",G20=""),F20,F20&amp;"["&amp;G20&amp;"]"))</f>
        <v/>
      </c>
      <c r="J20" s="23" t="str">
        <f aca="false">IF(A20="","",COUNTIF(Cablage!$A:$A,A20))</f>
        <v/>
      </c>
      <c r="K20" s="23" t="str">
        <f aca="false">IF(A20="","",COUNTIF(Liens!$A:$A,A20))</f>
        <v/>
      </c>
      <c r="L20" s="23" t="str">
        <f aca="false">IF(OR(A20="",E20="Variable seule",F20="",G20=""),"",IF(COUNTIFS($F$9:$F$308,F20,$G$9:$G$308,G20,$A$9:$A$308,"&lt;&gt;"&amp;A20)&gt;0,"index deja pris",""))</f>
        <v/>
      </c>
      <c r="M20" s="4"/>
    </row>
    <row r="21" customFormat="false" ht="15" hidden="false" customHeight="true" outlineLevel="0" collapsed="false">
      <c r="A21" s="4"/>
      <c r="B21" s="22"/>
      <c r="C21" s="4"/>
      <c r="D21" s="22"/>
      <c r="E21" s="22"/>
      <c r="F21" s="4"/>
      <c r="G21" s="4"/>
      <c r="H21" s="4"/>
      <c r="I21" s="23" t="str">
        <f aca="false">IF(F21="","",IF(OR(E21="Variable seule",G21=""),F21,F21&amp;"["&amp;G21&amp;"]"))</f>
        <v/>
      </c>
      <c r="J21" s="23" t="str">
        <f aca="false">IF(A21="","",COUNTIF(Cablage!$A:$A,A21))</f>
        <v/>
      </c>
      <c r="K21" s="23" t="str">
        <f aca="false">IF(A21="","",COUNTIF(Liens!$A:$A,A21))</f>
        <v/>
      </c>
      <c r="L21" s="23" t="str">
        <f aca="false">IF(OR(A21="",E21="Variable seule",F21="",G21=""),"",IF(COUNTIFS($F$9:$F$308,F21,$G$9:$G$308,G21,$A$9:$A$308,"&lt;&gt;"&amp;A21)&gt;0,"index deja pris",""))</f>
        <v/>
      </c>
      <c r="M21" s="4"/>
    </row>
    <row r="22" customFormat="false" ht="15" hidden="false" customHeight="true" outlineLevel="0" collapsed="false">
      <c r="A22" s="4"/>
      <c r="B22" s="22"/>
      <c r="C22" s="4"/>
      <c r="D22" s="22"/>
      <c r="E22" s="22"/>
      <c r="F22" s="4"/>
      <c r="G22" s="4"/>
      <c r="H22" s="4"/>
      <c r="I22" s="23" t="str">
        <f aca="false">IF(F22="","",IF(OR(E22="Variable seule",G22=""),F22,F22&amp;"["&amp;G22&amp;"]"))</f>
        <v/>
      </c>
      <c r="J22" s="23" t="str">
        <f aca="false">IF(A22="","",COUNTIF(Cablage!$A:$A,A22))</f>
        <v/>
      </c>
      <c r="K22" s="23" t="str">
        <f aca="false">IF(A22="","",COUNTIF(Liens!$A:$A,A22))</f>
        <v/>
      </c>
      <c r="L22" s="23" t="str">
        <f aca="false">IF(OR(A22="",E22="Variable seule",F22="",G22=""),"",IF(COUNTIFS($F$9:$F$308,F22,$G$9:$G$308,G22,$A$9:$A$308,"&lt;&gt;"&amp;A22)&gt;0,"index deja pris",""))</f>
        <v/>
      </c>
      <c r="M22" s="4"/>
    </row>
    <row r="23" customFormat="false" ht="15" hidden="false" customHeight="true" outlineLevel="0" collapsed="false">
      <c r="A23" s="4"/>
      <c r="B23" s="22"/>
      <c r="C23" s="4"/>
      <c r="D23" s="22"/>
      <c r="E23" s="22"/>
      <c r="F23" s="4"/>
      <c r="G23" s="4"/>
      <c r="H23" s="4"/>
      <c r="I23" s="23" t="str">
        <f aca="false">IF(F23="","",IF(OR(E23="Variable seule",G23=""),F23,F23&amp;"["&amp;G23&amp;"]"))</f>
        <v/>
      </c>
      <c r="J23" s="23" t="str">
        <f aca="false">IF(A23="","",COUNTIF(Cablage!$A:$A,A23))</f>
        <v/>
      </c>
      <c r="K23" s="23" t="str">
        <f aca="false">IF(A23="","",COUNTIF(Liens!$A:$A,A23))</f>
        <v/>
      </c>
      <c r="L23" s="23" t="str">
        <f aca="false">IF(OR(A23="",E23="Variable seule",F23="",G23=""),"",IF(COUNTIFS($F$9:$F$308,F23,$G$9:$G$308,G23,$A$9:$A$308,"&lt;&gt;"&amp;A23)&gt;0,"index deja pris",""))</f>
        <v/>
      </c>
      <c r="M23" s="4"/>
    </row>
    <row r="24" customFormat="false" ht="15" hidden="false" customHeight="true" outlineLevel="0" collapsed="false">
      <c r="A24" s="4"/>
      <c r="B24" s="22"/>
      <c r="C24" s="4"/>
      <c r="D24" s="22"/>
      <c r="E24" s="22"/>
      <c r="F24" s="4"/>
      <c r="G24" s="4"/>
      <c r="H24" s="4"/>
      <c r="I24" s="23" t="str">
        <f aca="false">IF(F24="","",IF(OR(E24="Variable seule",G24=""),F24,F24&amp;"["&amp;G24&amp;"]"))</f>
        <v/>
      </c>
      <c r="J24" s="23" t="str">
        <f aca="false">IF(A24="","",COUNTIF(Cablage!$A:$A,A24))</f>
        <v/>
      </c>
      <c r="K24" s="23" t="str">
        <f aca="false">IF(A24="","",COUNTIF(Liens!$A:$A,A24))</f>
        <v/>
      </c>
      <c r="L24" s="23" t="str">
        <f aca="false">IF(OR(A24="",E24="Variable seule",F24="",G24=""),"",IF(COUNTIFS($F$9:$F$308,F24,$G$9:$G$308,G24,$A$9:$A$308,"&lt;&gt;"&amp;A24)&gt;0,"index deja pris",""))</f>
        <v/>
      </c>
      <c r="M24" s="4"/>
    </row>
    <row r="25" customFormat="false" ht="15" hidden="false" customHeight="true" outlineLevel="0" collapsed="false">
      <c r="A25" s="4"/>
      <c r="B25" s="22"/>
      <c r="C25" s="4"/>
      <c r="D25" s="22"/>
      <c r="E25" s="22"/>
      <c r="F25" s="4"/>
      <c r="G25" s="4"/>
      <c r="H25" s="4"/>
      <c r="I25" s="23" t="str">
        <f aca="false">IF(F25="","",IF(OR(E25="Variable seule",G25=""),F25,F25&amp;"["&amp;G25&amp;"]"))</f>
        <v/>
      </c>
      <c r="J25" s="23" t="str">
        <f aca="false">IF(A25="","",COUNTIF(Cablage!$A:$A,A25))</f>
        <v/>
      </c>
      <c r="K25" s="23" t="str">
        <f aca="false">IF(A25="","",COUNTIF(Liens!$A:$A,A25))</f>
        <v/>
      </c>
      <c r="L25" s="23" t="str">
        <f aca="false">IF(OR(A25="",E25="Variable seule",F25="",G25=""),"",IF(COUNTIFS($F$9:$F$308,F25,$G$9:$G$308,G25,$A$9:$A$308,"&lt;&gt;"&amp;A25)&gt;0,"index deja pris",""))</f>
        <v/>
      </c>
      <c r="M25" s="4"/>
    </row>
    <row r="26" customFormat="false" ht="15" hidden="false" customHeight="true" outlineLevel="0" collapsed="false">
      <c r="A26" s="4"/>
      <c r="B26" s="22"/>
      <c r="C26" s="4"/>
      <c r="D26" s="22"/>
      <c r="E26" s="22"/>
      <c r="F26" s="4"/>
      <c r="G26" s="4"/>
      <c r="H26" s="4"/>
      <c r="I26" s="23" t="str">
        <f aca="false">IF(F26="","",IF(OR(E26="Variable seule",G26=""),F26,F26&amp;"["&amp;G26&amp;"]"))</f>
        <v/>
      </c>
      <c r="J26" s="23" t="str">
        <f aca="false">IF(A26="","",COUNTIF(Cablage!$A:$A,A26))</f>
        <v/>
      </c>
      <c r="K26" s="23" t="str">
        <f aca="false">IF(A26="","",COUNTIF(Liens!$A:$A,A26))</f>
        <v/>
      </c>
      <c r="L26" s="23" t="str">
        <f aca="false">IF(OR(A26="",E26="Variable seule",F26="",G26=""),"",IF(COUNTIFS($F$9:$F$308,F26,$G$9:$G$308,G26,$A$9:$A$308,"&lt;&gt;"&amp;A26)&gt;0,"index deja pris",""))</f>
        <v/>
      </c>
      <c r="M26" s="4"/>
    </row>
    <row r="27" customFormat="false" ht="15" hidden="false" customHeight="true" outlineLevel="0" collapsed="false">
      <c r="A27" s="4"/>
      <c r="B27" s="22"/>
      <c r="C27" s="4"/>
      <c r="D27" s="22"/>
      <c r="E27" s="22"/>
      <c r="F27" s="4"/>
      <c r="G27" s="4"/>
      <c r="H27" s="4"/>
      <c r="I27" s="23" t="str">
        <f aca="false">IF(F27="","",IF(OR(E27="Variable seule",G27=""),F27,F27&amp;"["&amp;G27&amp;"]"))</f>
        <v/>
      </c>
      <c r="J27" s="23" t="str">
        <f aca="false">IF(A27="","",COUNTIF(Cablage!$A:$A,A27))</f>
        <v/>
      </c>
      <c r="K27" s="23" t="str">
        <f aca="false">IF(A27="","",COUNTIF(Liens!$A:$A,A27))</f>
        <v/>
      </c>
      <c r="L27" s="23" t="str">
        <f aca="false">IF(OR(A27="",E27="Variable seule",F27="",G27=""),"",IF(COUNTIFS($F$9:$F$308,F27,$G$9:$G$308,G27,$A$9:$A$308,"&lt;&gt;"&amp;A27)&gt;0,"index deja pris",""))</f>
        <v/>
      </c>
      <c r="M27" s="4"/>
    </row>
    <row r="28" customFormat="false" ht="15" hidden="false" customHeight="true" outlineLevel="0" collapsed="false">
      <c r="A28" s="4"/>
      <c r="B28" s="22"/>
      <c r="C28" s="4"/>
      <c r="D28" s="22"/>
      <c r="E28" s="22"/>
      <c r="F28" s="4"/>
      <c r="G28" s="4"/>
      <c r="H28" s="4"/>
      <c r="I28" s="23" t="str">
        <f aca="false">IF(F28="","",IF(OR(E28="Variable seule",G28=""),F28,F28&amp;"["&amp;G28&amp;"]"))</f>
        <v/>
      </c>
      <c r="J28" s="23" t="str">
        <f aca="false">IF(A28="","",COUNTIF(Cablage!$A:$A,A28))</f>
        <v/>
      </c>
      <c r="K28" s="23" t="str">
        <f aca="false">IF(A28="","",COUNTIF(Liens!$A:$A,A28))</f>
        <v/>
      </c>
      <c r="L28" s="23" t="str">
        <f aca="false">IF(OR(A28="",E28="Variable seule",F28="",G28=""),"",IF(COUNTIFS($F$9:$F$308,F28,$G$9:$G$308,G28,$A$9:$A$308,"&lt;&gt;"&amp;A28)&gt;0,"index deja pris",""))</f>
        <v/>
      </c>
      <c r="M28" s="4"/>
    </row>
    <row r="29" customFormat="false" ht="15" hidden="false" customHeight="true" outlineLevel="0" collapsed="false">
      <c r="A29" s="4"/>
      <c r="B29" s="22"/>
      <c r="C29" s="4"/>
      <c r="D29" s="22"/>
      <c r="E29" s="22"/>
      <c r="F29" s="4"/>
      <c r="G29" s="4"/>
      <c r="H29" s="4"/>
      <c r="I29" s="23" t="str">
        <f aca="false">IF(F29="","",IF(OR(E29="Variable seule",G29=""),F29,F29&amp;"["&amp;G29&amp;"]"))</f>
        <v/>
      </c>
      <c r="J29" s="23" t="str">
        <f aca="false">IF(A29="","",COUNTIF(Cablage!$A:$A,A29))</f>
        <v/>
      </c>
      <c r="K29" s="23" t="str">
        <f aca="false">IF(A29="","",COUNTIF(Liens!$A:$A,A29))</f>
        <v/>
      </c>
      <c r="L29" s="23" t="str">
        <f aca="false">IF(OR(A29="",E29="Variable seule",F29="",G29=""),"",IF(COUNTIFS($F$9:$F$308,F29,$G$9:$G$308,G29,$A$9:$A$308,"&lt;&gt;"&amp;A29)&gt;0,"index deja pris",""))</f>
        <v/>
      </c>
      <c r="M29" s="4"/>
    </row>
    <row r="30" customFormat="false" ht="15" hidden="false" customHeight="true" outlineLevel="0" collapsed="false">
      <c r="A30" s="4"/>
      <c r="B30" s="22"/>
      <c r="C30" s="4"/>
      <c r="D30" s="22"/>
      <c r="E30" s="22"/>
      <c r="F30" s="4"/>
      <c r="G30" s="4"/>
      <c r="H30" s="4"/>
      <c r="I30" s="23" t="str">
        <f aca="false">IF(F30="","",IF(OR(E30="Variable seule",G30=""),F30,F30&amp;"["&amp;G30&amp;"]"))</f>
        <v/>
      </c>
      <c r="J30" s="23" t="str">
        <f aca="false">IF(A30="","",COUNTIF(Cablage!$A:$A,A30))</f>
        <v/>
      </c>
      <c r="K30" s="23" t="str">
        <f aca="false">IF(A30="","",COUNTIF(Liens!$A:$A,A30))</f>
        <v/>
      </c>
      <c r="L30" s="23" t="str">
        <f aca="false">IF(OR(A30="",E30="Variable seule",F30="",G30=""),"",IF(COUNTIFS($F$9:$F$308,F30,$G$9:$G$308,G30,$A$9:$A$308,"&lt;&gt;"&amp;A30)&gt;0,"index deja pris",""))</f>
        <v/>
      </c>
      <c r="M30" s="4"/>
    </row>
    <row r="31" customFormat="false" ht="15" hidden="false" customHeight="true" outlineLevel="0" collapsed="false">
      <c r="A31" s="4"/>
      <c r="B31" s="22"/>
      <c r="C31" s="4"/>
      <c r="D31" s="22"/>
      <c r="E31" s="22"/>
      <c r="F31" s="4"/>
      <c r="G31" s="4"/>
      <c r="H31" s="4"/>
      <c r="I31" s="23" t="str">
        <f aca="false">IF(F31="","",IF(OR(E31="Variable seule",G31=""),F31,F31&amp;"["&amp;G31&amp;"]"))</f>
        <v/>
      </c>
      <c r="J31" s="23" t="str">
        <f aca="false">IF(A31="","",COUNTIF(Cablage!$A:$A,A31))</f>
        <v/>
      </c>
      <c r="K31" s="23" t="str">
        <f aca="false">IF(A31="","",COUNTIF(Liens!$A:$A,A31))</f>
        <v/>
      </c>
      <c r="L31" s="23" t="str">
        <f aca="false">IF(OR(A31="",E31="Variable seule",F31="",G31=""),"",IF(COUNTIFS($F$9:$F$308,F31,$G$9:$G$308,G31,$A$9:$A$308,"&lt;&gt;"&amp;A31)&gt;0,"index deja pris",""))</f>
        <v/>
      </c>
      <c r="M31" s="4"/>
    </row>
    <row r="32" customFormat="false" ht="15" hidden="false" customHeight="true" outlineLevel="0" collapsed="false">
      <c r="A32" s="4"/>
      <c r="B32" s="22"/>
      <c r="C32" s="4"/>
      <c r="D32" s="22"/>
      <c r="E32" s="22"/>
      <c r="F32" s="4"/>
      <c r="G32" s="4"/>
      <c r="H32" s="4"/>
      <c r="I32" s="23" t="str">
        <f aca="false">IF(F32="","",IF(OR(E32="Variable seule",G32=""),F32,F32&amp;"["&amp;G32&amp;"]"))</f>
        <v/>
      </c>
      <c r="J32" s="23" t="str">
        <f aca="false">IF(A32="","",COUNTIF(Cablage!$A:$A,A32))</f>
        <v/>
      </c>
      <c r="K32" s="23" t="str">
        <f aca="false">IF(A32="","",COUNTIF(Liens!$A:$A,A32))</f>
        <v/>
      </c>
      <c r="L32" s="23" t="str">
        <f aca="false">IF(OR(A32="",E32="Variable seule",F32="",G32=""),"",IF(COUNTIFS($F$9:$F$308,F32,$G$9:$G$308,G32,$A$9:$A$308,"&lt;&gt;"&amp;A32)&gt;0,"index deja pris",""))</f>
        <v/>
      </c>
      <c r="M32" s="4"/>
    </row>
    <row r="33" customFormat="false" ht="15" hidden="false" customHeight="true" outlineLevel="0" collapsed="false">
      <c r="A33" s="4"/>
      <c r="B33" s="22"/>
      <c r="C33" s="4"/>
      <c r="D33" s="22"/>
      <c r="E33" s="22"/>
      <c r="F33" s="4"/>
      <c r="G33" s="4"/>
      <c r="H33" s="4"/>
      <c r="I33" s="23" t="str">
        <f aca="false">IF(F33="","",IF(OR(E33="Variable seule",G33=""),F33,F33&amp;"["&amp;G33&amp;"]"))</f>
        <v/>
      </c>
      <c r="J33" s="23" t="str">
        <f aca="false">IF(A33="","",COUNTIF(Cablage!$A:$A,A33))</f>
        <v/>
      </c>
      <c r="K33" s="23" t="str">
        <f aca="false">IF(A33="","",COUNTIF(Liens!$A:$A,A33))</f>
        <v/>
      </c>
      <c r="L33" s="23" t="str">
        <f aca="false">IF(OR(A33="",E33="Variable seule",F33="",G33=""),"",IF(COUNTIFS($F$9:$F$308,F33,$G$9:$G$308,G33,$A$9:$A$308,"&lt;&gt;"&amp;A33)&gt;0,"index deja pris",""))</f>
        <v/>
      </c>
      <c r="M33" s="4"/>
    </row>
    <row r="34" customFormat="false" ht="15" hidden="false" customHeight="true" outlineLevel="0" collapsed="false">
      <c r="A34" s="4"/>
      <c r="B34" s="22"/>
      <c r="C34" s="4"/>
      <c r="D34" s="22"/>
      <c r="E34" s="22"/>
      <c r="F34" s="4"/>
      <c r="G34" s="4"/>
      <c r="H34" s="4"/>
      <c r="I34" s="23" t="str">
        <f aca="false">IF(F34="","",IF(OR(E34="Variable seule",G34=""),F34,F34&amp;"["&amp;G34&amp;"]"))</f>
        <v/>
      </c>
      <c r="J34" s="23" t="str">
        <f aca="false">IF(A34="","",COUNTIF(Cablage!$A:$A,A34))</f>
        <v/>
      </c>
      <c r="K34" s="23" t="str">
        <f aca="false">IF(A34="","",COUNTIF(Liens!$A:$A,A34))</f>
        <v/>
      </c>
      <c r="L34" s="23" t="str">
        <f aca="false">IF(OR(A34="",E34="Variable seule",F34="",G34=""),"",IF(COUNTIFS($F$9:$F$308,F34,$G$9:$G$308,G34,$A$9:$A$308,"&lt;&gt;"&amp;A34)&gt;0,"index deja pris",""))</f>
        <v/>
      </c>
      <c r="M34" s="4"/>
    </row>
    <row r="35" customFormat="false" ht="15" hidden="false" customHeight="true" outlineLevel="0" collapsed="false">
      <c r="A35" s="4"/>
      <c r="B35" s="22"/>
      <c r="C35" s="4"/>
      <c r="D35" s="22"/>
      <c r="E35" s="22"/>
      <c r="F35" s="4"/>
      <c r="G35" s="4"/>
      <c r="H35" s="4"/>
      <c r="I35" s="23" t="str">
        <f aca="false">IF(F35="","",IF(OR(E35="Variable seule",G35=""),F35,F35&amp;"["&amp;G35&amp;"]"))</f>
        <v/>
      </c>
      <c r="J35" s="23" t="str">
        <f aca="false">IF(A35="","",COUNTIF(Cablage!$A:$A,A35))</f>
        <v/>
      </c>
      <c r="K35" s="23" t="str">
        <f aca="false">IF(A35="","",COUNTIF(Liens!$A:$A,A35))</f>
        <v/>
      </c>
      <c r="L35" s="23" t="str">
        <f aca="false">IF(OR(A35="",E35="Variable seule",F35="",G35=""),"",IF(COUNTIFS($F$9:$F$308,F35,$G$9:$G$308,G35,$A$9:$A$308,"&lt;&gt;"&amp;A35)&gt;0,"index deja pris",""))</f>
        <v/>
      </c>
      <c r="M35" s="4"/>
    </row>
    <row r="36" customFormat="false" ht="15" hidden="false" customHeight="true" outlineLevel="0" collapsed="false">
      <c r="A36" s="4"/>
      <c r="B36" s="22"/>
      <c r="C36" s="4"/>
      <c r="D36" s="22"/>
      <c r="E36" s="22"/>
      <c r="F36" s="4"/>
      <c r="G36" s="4"/>
      <c r="H36" s="4"/>
      <c r="I36" s="23" t="str">
        <f aca="false">IF(F36="","",IF(OR(E36="Variable seule",G36=""),F36,F36&amp;"["&amp;G36&amp;"]"))</f>
        <v/>
      </c>
      <c r="J36" s="23" t="str">
        <f aca="false">IF(A36="","",COUNTIF(Cablage!$A:$A,A36))</f>
        <v/>
      </c>
      <c r="K36" s="23" t="str">
        <f aca="false">IF(A36="","",COUNTIF(Liens!$A:$A,A36))</f>
        <v/>
      </c>
      <c r="L36" s="23" t="str">
        <f aca="false">IF(OR(A36="",E36="Variable seule",F36="",G36=""),"",IF(COUNTIFS($F$9:$F$308,F36,$G$9:$G$308,G36,$A$9:$A$308,"&lt;&gt;"&amp;A36)&gt;0,"index deja pris",""))</f>
        <v/>
      </c>
      <c r="M36" s="4"/>
    </row>
    <row r="37" customFormat="false" ht="15" hidden="false" customHeight="true" outlineLevel="0" collapsed="false">
      <c r="A37" s="4"/>
      <c r="B37" s="22"/>
      <c r="C37" s="4"/>
      <c r="D37" s="22"/>
      <c r="E37" s="22"/>
      <c r="F37" s="4"/>
      <c r="G37" s="4"/>
      <c r="H37" s="4"/>
      <c r="I37" s="23" t="str">
        <f aca="false">IF(F37="","",IF(OR(E37="Variable seule",G37=""),F37,F37&amp;"["&amp;G37&amp;"]"))</f>
        <v/>
      </c>
      <c r="J37" s="23" t="str">
        <f aca="false">IF(A37="","",COUNTIF(Cablage!$A:$A,A37))</f>
        <v/>
      </c>
      <c r="K37" s="23" t="str">
        <f aca="false">IF(A37="","",COUNTIF(Liens!$A:$A,A37))</f>
        <v/>
      </c>
      <c r="L37" s="23" t="str">
        <f aca="false">IF(OR(A37="",E37="Variable seule",F37="",G37=""),"",IF(COUNTIFS($F$9:$F$308,F37,$G$9:$G$308,G37,$A$9:$A$308,"&lt;&gt;"&amp;A37)&gt;0,"index deja pris",""))</f>
        <v/>
      </c>
      <c r="M37" s="4"/>
    </row>
    <row r="38" customFormat="false" ht="15" hidden="false" customHeight="true" outlineLevel="0" collapsed="false">
      <c r="A38" s="4"/>
      <c r="B38" s="22"/>
      <c r="C38" s="4"/>
      <c r="D38" s="22"/>
      <c r="E38" s="22"/>
      <c r="F38" s="4"/>
      <c r="G38" s="4"/>
      <c r="H38" s="4"/>
      <c r="I38" s="23" t="str">
        <f aca="false">IF(F38="","",IF(OR(E38="Variable seule",G38=""),F38,F38&amp;"["&amp;G38&amp;"]"))</f>
        <v/>
      </c>
      <c r="J38" s="23" t="str">
        <f aca="false">IF(A38="","",COUNTIF(Cablage!$A:$A,A38))</f>
        <v/>
      </c>
      <c r="K38" s="23" t="str">
        <f aca="false">IF(A38="","",COUNTIF(Liens!$A:$A,A38))</f>
        <v/>
      </c>
      <c r="L38" s="23" t="str">
        <f aca="false">IF(OR(A38="",E38="Variable seule",F38="",G38=""),"",IF(COUNTIFS($F$9:$F$308,F38,$G$9:$G$308,G38,$A$9:$A$308,"&lt;&gt;"&amp;A38)&gt;0,"index deja pris",""))</f>
        <v/>
      </c>
      <c r="M38" s="4"/>
    </row>
    <row r="39" customFormat="false" ht="15" hidden="false" customHeight="true" outlineLevel="0" collapsed="false">
      <c r="A39" s="4"/>
      <c r="B39" s="22"/>
      <c r="C39" s="4"/>
      <c r="D39" s="22"/>
      <c r="E39" s="22"/>
      <c r="F39" s="4"/>
      <c r="G39" s="4"/>
      <c r="H39" s="4"/>
      <c r="I39" s="23" t="str">
        <f aca="false">IF(F39="","",IF(OR(E39="Variable seule",G39=""),F39,F39&amp;"["&amp;G39&amp;"]"))</f>
        <v/>
      </c>
      <c r="J39" s="23" t="str">
        <f aca="false">IF(A39="","",COUNTIF(Cablage!$A:$A,A39))</f>
        <v/>
      </c>
      <c r="K39" s="23" t="str">
        <f aca="false">IF(A39="","",COUNTIF(Liens!$A:$A,A39))</f>
        <v/>
      </c>
      <c r="L39" s="23" t="str">
        <f aca="false">IF(OR(A39="",E39="Variable seule",F39="",G39=""),"",IF(COUNTIFS($F$9:$F$308,F39,$G$9:$G$308,G39,$A$9:$A$308,"&lt;&gt;"&amp;A39)&gt;0,"index deja pris",""))</f>
        <v/>
      </c>
      <c r="M39" s="4"/>
    </row>
    <row r="40" customFormat="false" ht="15" hidden="false" customHeight="true" outlineLevel="0" collapsed="false">
      <c r="A40" s="4"/>
      <c r="B40" s="22"/>
      <c r="C40" s="4"/>
      <c r="D40" s="22"/>
      <c r="E40" s="22"/>
      <c r="F40" s="4"/>
      <c r="G40" s="4"/>
      <c r="H40" s="4"/>
      <c r="I40" s="23" t="str">
        <f aca="false">IF(F40="","",IF(OR(E40="Variable seule",G40=""),F40,F40&amp;"["&amp;G40&amp;"]"))</f>
        <v/>
      </c>
      <c r="J40" s="23" t="str">
        <f aca="false">IF(A40="","",COUNTIF(Cablage!$A:$A,A40))</f>
        <v/>
      </c>
      <c r="K40" s="23" t="str">
        <f aca="false">IF(A40="","",COUNTIF(Liens!$A:$A,A40))</f>
        <v/>
      </c>
      <c r="L40" s="23" t="str">
        <f aca="false">IF(OR(A40="",E40="Variable seule",F40="",G40=""),"",IF(COUNTIFS($F$9:$F$308,F40,$G$9:$G$308,G40,$A$9:$A$308,"&lt;&gt;"&amp;A40)&gt;0,"index deja pris",""))</f>
        <v/>
      </c>
      <c r="M40" s="4"/>
    </row>
    <row r="41" customFormat="false" ht="15" hidden="false" customHeight="true" outlineLevel="0" collapsed="false">
      <c r="A41" s="4"/>
      <c r="B41" s="22"/>
      <c r="C41" s="4"/>
      <c r="D41" s="22"/>
      <c r="E41" s="22"/>
      <c r="F41" s="4"/>
      <c r="G41" s="4"/>
      <c r="H41" s="4"/>
      <c r="I41" s="23" t="str">
        <f aca="false">IF(F41="","",IF(OR(E41="Variable seule",G41=""),F41,F41&amp;"["&amp;G41&amp;"]"))</f>
        <v/>
      </c>
      <c r="J41" s="23" t="str">
        <f aca="false">IF(A41="","",COUNTIF(Cablage!$A:$A,A41))</f>
        <v/>
      </c>
      <c r="K41" s="23" t="str">
        <f aca="false">IF(A41="","",COUNTIF(Liens!$A:$A,A41))</f>
        <v/>
      </c>
      <c r="L41" s="23" t="str">
        <f aca="false">IF(OR(A41="",E41="Variable seule",F41="",G41=""),"",IF(COUNTIFS($F$9:$F$308,F41,$G$9:$G$308,G41,$A$9:$A$308,"&lt;&gt;"&amp;A41)&gt;0,"index deja pris",""))</f>
        <v/>
      </c>
      <c r="M41" s="4"/>
    </row>
    <row r="42" customFormat="false" ht="15" hidden="false" customHeight="true" outlineLevel="0" collapsed="false">
      <c r="A42" s="4"/>
      <c r="B42" s="22"/>
      <c r="C42" s="4"/>
      <c r="D42" s="22"/>
      <c r="E42" s="22"/>
      <c r="F42" s="4"/>
      <c r="G42" s="4"/>
      <c r="H42" s="4"/>
      <c r="I42" s="23" t="str">
        <f aca="false">IF(F42="","",IF(OR(E42="Variable seule",G42=""),F42,F42&amp;"["&amp;G42&amp;"]"))</f>
        <v/>
      </c>
      <c r="J42" s="23" t="str">
        <f aca="false">IF(A42="","",COUNTIF(Cablage!$A:$A,A42))</f>
        <v/>
      </c>
      <c r="K42" s="23" t="str">
        <f aca="false">IF(A42="","",COUNTIF(Liens!$A:$A,A42))</f>
        <v/>
      </c>
      <c r="L42" s="23" t="str">
        <f aca="false">IF(OR(A42="",E42="Variable seule",F42="",G42=""),"",IF(COUNTIFS($F$9:$F$308,F42,$G$9:$G$308,G42,$A$9:$A$308,"&lt;&gt;"&amp;A42)&gt;0,"index deja pris",""))</f>
        <v/>
      </c>
      <c r="M42" s="4"/>
    </row>
    <row r="43" customFormat="false" ht="15" hidden="false" customHeight="true" outlineLevel="0" collapsed="false">
      <c r="A43" s="4"/>
      <c r="B43" s="22"/>
      <c r="C43" s="4"/>
      <c r="D43" s="22"/>
      <c r="E43" s="22"/>
      <c r="F43" s="4"/>
      <c r="G43" s="4"/>
      <c r="H43" s="4"/>
      <c r="I43" s="23" t="str">
        <f aca="false">IF(F43="","",IF(OR(E43="Variable seule",G43=""),F43,F43&amp;"["&amp;G43&amp;"]"))</f>
        <v/>
      </c>
      <c r="J43" s="23" t="str">
        <f aca="false">IF(A43="","",COUNTIF(Cablage!$A:$A,A43))</f>
        <v/>
      </c>
      <c r="K43" s="23" t="str">
        <f aca="false">IF(A43="","",COUNTIF(Liens!$A:$A,A43))</f>
        <v/>
      </c>
      <c r="L43" s="23" t="str">
        <f aca="false">IF(OR(A43="",E43="Variable seule",F43="",G43=""),"",IF(COUNTIFS($F$9:$F$308,F43,$G$9:$G$308,G43,$A$9:$A$308,"&lt;&gt;"&amp;A43)&gt;0,"index deja pris",""))</f>
        <v/>
      </c>
      <c r="M43" s="4"/>
    </row>
    <row r="44" customFormat="false" ht="15" hidden="false" customHeight="true" outlineLevel="0" collapsed="false">
      <c r="A44" s="4"/>
      <c r="B44" s="22"/>
      <c r="C44" s="4"/>
      <c r="D44" s="22"/>
      <c r="E44" s="22"/>
      <c r="F44" s="4"/>
      <c r="G44" s="4"/>
      <c r="H44" s="4"/>
      <c r="I44" s="23" t="str">
        <f aca="false">IF(F44="","",IF(OR(E44="Variable seule",G44=""),F44,F44&amp;"["&amp;G44&amp;"]"))</f>
        <v/>
      </c>
      <c r="J44" s="23" t="str">
        <f aca="false">IF(A44="","",COUNTIF(Cablage!$A:$A,A44))</f>
        <v/>
      </c>
      <c r="K44" s="23" t="str">
        <f aca="false">IF(A44="","",COUNTIF(Liens!$A:$A,A44))</f>
        <v/>
      </c>
      <c r="L44" s="23" t="str">
        <f aca="false">IF(OR(A44="",E44="Variable seule",F44="",G44=""),"",IF(COUNTIFS($F$9:$F$308,F44,$G$9:$G$308,G44,$A$9:$A$308,"&lt;&gt;"&amp;A44)&gt;0,"index deja pris",""))</f>
        <v/>
      </c>
      <c r="M44" s="4"/>
    </row>
    <row r="45" customFormat="false" ht="15" hidden="false" customHeight="true" outlineLevel="0" collapsed="false">
      <c r="A45" s="4"/>
      <c r="B45" s="22"/>
      <c r="C45" s="4"/>
      <c r="D45" s="22"/>
      <c r="E45" s="22"/>
      <c r="F45" s="4"/>
      <c r="G45" s="4"/>
      <c r="H45" s="4"/>
      <c r="I45" s="23" t="str">
        <f aca="false">IF(F45="","",IF(OR(E45="Variable seule",G45=""),F45,F45&amp;"["&amp;G45&amp;"]"))</f>
        <v/>
      </c>
      <c r="J45" s="23" t="str">
        <f aca="false">IF(A45="","",COUNTIF(Cablage!$A:$A,A45))</f>
        <v/>
      </c>
      <c r="K45" s="23" t="str">
        <f aca="false">IF(A45="","",COUNTIF(Liens!$A:$A,A45))</f>
        <v/>
      </c>
      <c r="L45" s="23" t="str">
        <f aca="false">IF(OR(A45="",E45="Variable seule",F45="",G45=""),"",IF(COUNTIFS($F$9:$F$308,F45,$G$9:$G$308,G45,$A$9:$A$308,"&lt;&gt;"&amp;A45)&gt;0,"index deja pris",""))</f>
        <v/>
      </c>
      <c r="M45" s="4"/>
    </row>
    <row r="46" customFormat="false" ht="15" hidden="false" customHeight="true" outlineLevel="0" collapsed="false">
      <c r="A46" s="4"/>
      <c r="B46" s="22"/>
      <c r="C46" s="4"/>
      <c r="D46" s="22"/>
      <c r="E46" s="22"/>
      <c r="F46" s="4"/>
      <c r="G46" s="4"/>
      <c r="H46" s="4"/>
      <c r="I46" s="23" t="str">
        <f aca="false">IF(F46="","",IF(OR(E46="Variable seule",G46=""),F46,F46&amp;"["&amp;G46&amp;"]"))</f>
        <v/>
      </c>
      <c r="J46" s="23" t="str">
        <f aca="false">IF(A46="","",COUNTIF(Cablage!$A:$A,A46))</f>
        <v/>
      </c>
      <c r="K46" s="23" t="str">
        <f aca="false">IF(A46="","",COUNTIF(Liens!$A:$A,A46))</f>
        <v/>
      </c>
      <c r="L46" s="23" t="str">
        <f aca="false">IF(OR(A46="",E46="Variable seule",F46="",G46=""),"",IF(COUNTIFS($F$9:$F$308,F46,$G$9:$G$308,G46,$A$9:$A$308,"&lt;&gt;"&amp;A46)&gt;0,"index deja pris",""))</f>
        <v/>
      </c>
      <c r="M46" s="4"/>
    </row>
    <row r="47" customFormat="false" ht="15" hidden="false" customHeight="true" outlineLevel="0" collapsed="false">
      <c r="A47" s="4"/>
      <c r="B47" s="22"/>
      <c r="C47" s="4"/>
      <c r="D47" s="22"/>
      <c r="E47" s="22"/>
      <c r="F47" s="4"/>
      <c r="G47" s="4"/>
      <c r="H47" s="4"/>
      <c r="I47" s="23" t="str">
        <f aca="false">IF(F47="","",IF(OR(E47="Variable seule",G47=""),F47,F47&amp;"["&amp;G47&amp;"]"))</f>
        <v/>
      </c>
      <c r="J47" s="23" t="str">
        <f aca="false">IF(A47="","",COUNTIF(Cablage!$A:$A,A47))</f>
        <v/>
      </c>
      <c r="K47" s="23" t="str">
        <f aca="false">IF(A47="","",COUNTIF(Liens!$A:$A,A47))</f>
        <v/>
      </c>
      <c r="L47" s="23" t="str">
        <f aca="false">IF(OR(A47="",E47="Variable seule",F47="",G47=""),"",IF(COUNTIFS($F$9:$F$308,F47,$G$9:$G$308,G47,$A$9:$A$308,"&lt;&gt;"&amp;A47)&gt;0,"index deja pris",""))</f>
        <v/>
      </c>
      <c r="M47" s="4"/>
    </row>
    <row r="48" customFormat="false" ht="15" hidden="false" customHeight="true" outlineLevel="0" collapsed="false">
      <c r="A48" s="4"/>
      <c r="B48" s="22"/>
      <c r="C48" s="4"/>
      <c r="D48" s="22"/>
      <c r="E48" s="22"/>
      <c r="F48" s="4"/>
      <c r="G48" s="4"/>
      <c r="H48" s="4"/>
      <c r="I48" s="23" t="str">
        <f aca="false">IF(F48="","",IF(OR(E48="Variable seule",G48=""),F48,F48&amp;"["&amp;G48&amp;"]"))</f>
        <v/>
      </c>
      <c r="J48" s="23" t="str">
        <f aca="false">IF(A48="","",COUNTIF(Cablage!$A:$A,A48))</f>
        <v/>
      </c>
      <c r="K48" s="23" t="str">
        <f aca="false">IF(A48="","",COUNTIF(Liens!$A:$A,A48))</f>
        <v/>
      </c>
      <c r="L48" s="23" t="str">
        <f aca="false">IF(OR(A48="",E48="Variable seule",F48="",G48=""),"",IF(COUNTIFS($F$9:$F$308,F48,$G$9:$G$308,G48,$A$9:$A$308,"&lt;&gt;"&amp;A48)&gt;0,"index deja pris",""))</f>
        <v/>
      </c>
      <c r="M48" s="4"/>
    </row>
    <row r="49" customFormat="false" ht="15" hidden="false" customHeight="true" outlineLevel="0" collapsed="false">
      <c r="A49" s="4"/>
      <c r="B49" s="22"/>
      <c r="C49" s="4"/>
      <c r="D49" s="22"/>
      <c r="E49" s="22"/>
      <c r="F49" s="4"/>
      <c r="G49" s="4"/>
      <c r="H49" s="4"/>
      <c r="I49" s="23" t="str">
        <f aca="false">IF(F49="","",IF(OR(E49="Variable seule",G49=""),F49,F49&amp;"["&amp;G49&amp;"]"))</f>
        <v/>
      </c>
      <c r="J49" s="23" t="str">
        <f aca="false">IF(A49="","",COUNTIF(Cablage!$A:$A,A49))</f>
        <v/>
      </c>
      <c r="K49" s="23" t="str">
        <f aca="false">IF(A49="","",COUNTIF(Liens!$A:$A,A49))</f>
        <v/>
      </c>
      <c r="L49" s="23" t="str">
        <f aca="false">IF(OR(A49="",E49="Variable seule",F49="",G49=""),"",IF(COUNTIFS($F$9:$F$308,F49,$G$9:$G$308,G49,$A$9:$A$308,"&lt;&gt;"&amp;A49)&gt;0,"index deja pris",""))</f>
        <v/>
      </c>
      <c r="M49" s="4"/>
    </row>
    <row r="50" customFormat="false" ht="15" hidden="false" customHeight="true" outlineLevel="0" collapsed="false">
      <c r="A50" s="4"/>
      <c r="B50" s="22"/>
      <c r="C50" s="4"/>
      <c r="D50" s="22"/>
      <c r="E50" s="22"/>
      <c r="F50" s="4"/>
      <c r="G50" s="4"/>
      <c r="H50" s="4"/>
      <c r="I50" s="23" t="str">
        <f aca="false">IF(F50="","",IF(OR(E50="Variable seule",G50=""),F50,F50&amp;"["&amp;G50&amp;"]"))</f>
        <v/>
      </c>
      <c r="J50" s="23" t="str">
        <f aca="false">IF(A50="","",COUNTIF(Cablage!$A:$A,A50))</f>
        <v/>
      </c>
      <c r="K50" s="23" t="str">
        <f aca="false">IF(A50="","",COUNTIF(Liens!$A:$A,A50))</f>
        <v/>
      </c>
      <c r="L50" s="23" t="str">
        <f aca="false">IF(OR(A50="",E50="Variable seule",F50="",G50=""),"",IF(COUNTIFS($F$9:$F$308,F50,$G$9:$G$308,G50,$A$9:$A$308,"&lt;&gt;"&amp;A50)&gt;0,"index deja pris",""))</f>
        <v/>
      </c>
      <c r="M50" s="4"/>
    </row>
    <row r="51" customFormat="false" ht="15" hidden="false" customHeight="true" outlineLevel="0" collapsed="false">
      <c r="A51" s="4"/>
      <c r="B51" s="22"/>
      <c r="C51" s="4"/>
      <c r="D51" s="22"/>
      <c r="E51" s="22"/>
      <c r="F51" s="4"/>
      <c r="G51" s="4"/>
      <c r="H51" s="4"/>
      <c r="I51" s="23" t="str">
        <f aca="false">IF(F51="","",IF(OR(E51="Variable seule",G51=""),F51,F51&amp;"["&amp;G51&amp;"]"))</f>
        <v/>
      </c>
      <c r="J51" s="23" t="str">
        <f aca="false">IF(A51="","",COUNTIF(Cablage!$A:$A,A51))</f>
        <v/>
      </c>
      <c r="K51" s="23" t="str">
        <f aca="false">IF(A51="","",COUNTIF(Liens!$A:$A,A51))</f>
        <v/>
      </c>
      <c r="L51" s="23" t="str">
        <f aca="false">IF(OR(A51="",E51="Variable seule",F51="",G51=""),"",IF(COUNTIFS($F$9:$F$308,F51,$G$9:$G$308,G51,$A$9:$A$308,"&lt;&gt;"&amp;A51)&gt;0,"index deja pris",""))</f>
        <v/>
      </c>
      <c r="M51" s="4"/>
    </row>
    <row r="52" customFormat="false" ht="15" hidden="false" customHeight="true" outlineLevel="0" collapsed="false">
      <c r="A52" s="4"/>
      <c r="B52" s="22"/>
      <c r="C52" s="4"/>
      <c r="D52" s="22"/>
      <c r="E52" s="22"/>
      <c r="F52" s="4"/>
      <c r="G52" s="4"/>
      <c r="H52" s="4"/>
      <c r="I52" s="23" t="str">
        <f aca="false">IF(F52="","",IF(OR(E52="Variable seule",G52=""),F52,F52&amp;"["&amp;G52&amp;"]"))</f>
        <v/>
      </c>
      <c r="J52" s="23" t="str">
        <f aca="false">IF(A52="","",COUNTIF(Cablage!$A:$A,A52))</f>
        <v/>
      </c>
      <c r="K52" s="23" t="str">
        <f aca="false">IF(A52="","",COUNTIF(Liens!$A:$A,A52))</f>
        <v/>
      </c>
      <c r="L52" s="23" t="str">
        <f aca="false">IF(OR(A52="",E52="Variable seule",F52="",G52=""),"",IF(COUNTIFS($F$9:$F$308,F52,$G$9:$G$308,G52,$A$9:$A$308,"&lt;&gt;"&amp;A52)&gt;0,"index deja pris",""))</f>
        <v/>
      </c>
      <c r="M52" s="4"/>
    </row>
    <row r="53" customFormat="false" ht="15" hidden="false" customHeight="true" outlineLevel="0" collapsed="false">
      <c r="A53" s="4"/>
      <c r="B53" s="22"/>
      <c r="C53" s="4"/>
      <c r="D53" s="22"/>
      <c r="E53" s="22"/>
      <c r="F53" s="4"/>
      <c r="G53" s="4"/>
      <c r="H53" s="4"/>
      <c r="I53" s="23" t="str">
        <f aca="false">IF(F53="","",IF(OR(E53="Variable seule",G53=""),F53,F53&amp;"["&amp;G53&amp;"]"))</f>
        <v/>
      </c>
      <c r="J53" s="23" t="str">
        <f aca="false">IF(A53="","",COUNTIF(Cablage!$A:$A,A53))</f>
        <v/>
      </c>
      <c r="K53" s="23" t="str">
        <f aca="false">IF(A53="","",COUNTIF(Liens!$A:$A,A53))</f>
        <v/>
      </c>
      <c r="L53" s="23" t="str">
        <f aca="false">IF(OR(A53="",E53="Variable seule",F53="",G53=""),"",IF(COUNTIFS($F$9:$F$308,F53,$G$9:$G$308,G53,$A$9:$A$308,"&lt;&gt;"&amp;A53)&gt;0,"index deja pris",""))</f>
        <v/>
      </c>
      <c r="M53" s="4"/>
    </row>
    <row r="54" customFormat="false" ht="15" hidden="false" customHeight="true" outlineLevel="0" collapsed="false">
      <c r="A54" s="4"/>
      <c r="B54" s="22"/>
      <c r="C54" s="4"/>
      <c r="D54" s="22"/>
      <c r="E54" s="22"/>
      <c r="F54" s="4"/>
      <c r="G54" s="4"/>
      <c r="H54" s="4"/>
      <c r="I54" s="23" t="str">
        <f aca="false">IF(F54="","",IF(OR(E54="Variable seule",G54=""),F54,F54&amp;"["&amp;G54&amp;"]"))</f>
        <v/>
      </c>
      <c r="J54" s="23" t="str">
        <f aca="false">IF(A54="","",COUNTIF(Cablage!$A:$A,A54))</f>
        <v/>
      </c>
      <c r="K54" s="23" t="str">
        <f aca="false">IF(A54="","",COUNTIF(Liens!$A:$A,A54))</f>
        <v/>
      </c>
      <c r="L54" s="23" t="str">
        <f aca="false">IF(OR(A54="",E54="Variable seule",F54="",G54=""),"",IF(COUNTIFS($F$9:$F$308,F54,$G$9:$G$308,G54,$A$9:$A$308,"&lt;&gt;"&amp;A54)&gt;0,"index deja pris",""))</f>
        <v/>
      </c>
      <c r="M54" s="4"/>
    </row>
    <row r="55" customFormat="false" ht="15" hidden="false" customHeight="true" outlineLevel="0" collapsed="false">
      <c r="A55" s="4"/>
      <c r="B55" s="22"/>
      <c r="C55" s="4"/>
      <c r="D55" s="22"/>
      <c r="E55" s="22"/>
      <c r="F55" s="4"/>
      <c r="G55" s="4"/>
      <c r="H55" s="4"/>
      <c r="I55" s="23" t="str">
        <f aca="false">IF(F55="","",IF(OR(E55="Variable seule",G55=""),F55,F55&amp;"["&amp;G55&amp;"]"))</f>
        <v/>
      </c>
      <c r="J55" s="23" t="str">
        <f aca="false">IF(A55="","",COUNTIF(Cablage!$A:$A,A55))</f>
        <v/>
      </c>
      <c r="K55" s="23" t="str">
        <f aca="false">IF(A55="","",COUNTIF(Liens!$A:$A,A55))</f>
        <v/>
      </c>
      <c r="L55" s="23" t="str">
        <f aca="false">IF(OR(A55="",E55="Variable seule",F55="",G55=""),"",IF(COUNTIFS($F$9:$F$308,F55,$G$9:$G$308,G55,$A$9:$A$308,"&lt;&gt;"&amp;A55)&gt;0,"index deja pris",""))</f>
        <v/>
      </c>
      <c r="M55" s="4"/>
    </row>
    <row r="56" customFormat="false" ht="15" hidden="false" customHeight="true" outlineLevel="0" collapsed="false">
      <c r="A56" s="4"/>
      <c r="B56" s="22"/>
      <c r="C56" s="4"/>
      <c r="D56" s="22"/>
      <c r="E56" s="22"/>
      <c r="F56" s="4"/>
      <c r="G56" s="4"/>
      <c r="H56" s="4"/>
      <c r="I56" s="23" t="str">
        <f aca="false">IF(F56="","",IF(OR(E56="Variable seule",G56=""),F56,F56&amp;"["&amp;G56&amp;"]"))</f>
        <v/>
      </c>
      <c r="J56" s="23" t="str">
        <f aca="false">IF(A56="","",COUNTIF(Cablage!$A:$A,A56))</f>
        <v/>
      </c>
      <c r="K56" s="23" t="str">
        <f aca="false">IF(A56="","",COUNTIF(Liens!$A:$A,A56))</f>
        <v/>
      </c>
      <c r="L56" s="23" t="str">
        <f aca="false">IF(OR(A56="",E56="Variable seule",F56="",G56=""),"",IF(COUNTIFS($F$9:$F$308,F56,$G$9:$G$308,G56,$A$9:$A$308,"&lt;&gt;"&amp;A56)&gt;0,"index deja pris",""))</f>
        <v/>
      </c>
      <c r="M56" s="4"/>
    </row>
    <row r="57" customFormat="false" ht="15" hidden="false" customHeight="true" outlineLevel="0" collapsed="false">
      <c r="A57" s="4"/>
      <c r="B57" s="22"/>
      <c r="C57" s="4"/>
      <c r="D57" s="22"/>
      <c r="E57" s="22"/>
      <c r="F57" s="4"/>
      <c r="G57" s="4"/>
      <c r="H57" s="4"/>
      <c r="I57" s="23" t="str">
        <f aca="false">IF(F57="","",IF(OR(E57="Variable seule",G57=""),F57,F57&amp;"["&amp;G57&amp;"]"))</f>
        <v/>
      </c>
      <c r="J57" s="23" t="str">
        <f aca="false">IF(A57="","",COUNTIF(Cablage!$A:$A,A57))</f>
        <v/>
      </c>
      <c r="K57" s="23" t="str">
        <f aca="false">IF(A57="","",COUNTIF(Liens!$A:$A,A57))</f>
        <v/>
      </c>
      <c r="L57" s="23" t="str">
        <f aca="false">IF(OR(A57="",E57="Variable seule",F57="",G57=""),"",IF(COUNTIFS($F$9:$F$308,F57,$G$9:$G$308,G57,$A$9:$A$308,"&lt;&gt;"&amp;A57)&gt;0,"index deja pris",""))</f>
        <v/>
      </c>
      <c r="M57" s="4"/>
    </row>
    <row r="58" customFormat="false" ht="15" hidden="false" customHeight="true" outlineLevel="0" collapsed="false">
      <c r="A58" s="4"/>
      <c r="B58" s="22"/>
      <c r="C58" s="4"/>
      <c r="D58" s="22"/>
      <c r="E58" s="22"/>
      <c r="F58" s="4"/>
      <c r="G58" s="4"/>
      <c r="H58" s="4"/>
      <c r="I58" s="23" t="str">
        <f aca="false">IF(F58="","",IF(OR(E58="Variable seule",G58=""),F58,F58&amp;"["&amp;G58&amp;"]"))</f>
        <v/>
      </c>
      <c r="J58" s="23" t="str">
        <f aca="false">IF(A58="","",COUNTIF(Cablage!$A:$A,A58))</f>
        <v/>
      </c>
      <c r="K58" s="23" t="str">
        <f aca="false">IF(A58="","",COUNTIF(Liens!$A:$A,A58))</f>
        <v/>
      </c>
      <c r="L58" s="23" t="str">
        <f aca="false">IF(OR(A58="",E58="Variable seule",F58="",G58=""),"",IF(COUNTIFS($F$9:$F$308,F58,$G$9:$G$308,G58,$A$9:$A$308,"&lt;&gt;"&amp;A58)&gt;0,"index deja pris",""))</f>
        <v/>
      </c>
      <c r="M58" s="4"/>
    </row>
    <row r="59" customFormat="false" ht="15" hidden="false" customHeight="true" outlineLevel="0" collapsed="false">
      <c r="A59" s="4"/>
      <c r="B59" s="22"/>
      <c r="C59" s="4"/>
      <c r="D59" s="22"/>
      <c r="E59" s="22"/>
      <c r="F59" s="4"/>
      <c r="G59" s="4"/>
      <c r="H59" s="4"/>
      <c r="I59" s="23" t="str">
        <f aca="false">IF(F59="","",IF(OR(E59="Variable seule",G59=""),F59,F59&amp;"["&amp;G59&amp;"]"))</f>
        <v/>
      </c>
      <c r="J59" s="23" t="str">
        <f aca="false">IF(A59="","",COUNTIF(Cablage!$A:$A,A59))</f>
        <v/>
      </c>
      <c r="K59" s="23" t="str">
        <f aca="false">IF(A59="","",COUNTIF(Liens!$A:$A,A59))</f>
        <v/>
      </c>
      <c r="L59" s="23" t="str">
        <f aca="false">IF(OR(A59="",E59="Variable seule",F59="",G59=""),"",IF(COUNTIFS($F$9:$F$308,F59,$G$9:$G$308,G59,$A$9:$A$308,"&lt;&gt;"&amp;A59)&gt;0,"index deja pris",""))</f>
        <v/>
      </c>
      <c r="M59" s="4"/>
    </row>
    <row r="60" customFormat="false" ht="15" hidden="false" customHeight="true" outlineLevel="0" collapsed="false">
      <c r="A60" s="4"/>
      <c r="B60" s="22"/>
      <c r="C60" s="4"/>
      <c r="D60" s="22"/>
      <c r="E60" s="22"/>
      <c r="F60" s="4"/>
      <c r="G60" s="4"/>
      <c r="H60" s="4"/>
      <c r="I60" s="23" t="str">
        <f aca="false">IF(F60="","",IF(OR(E60="Variable seule",G60=""),F60,F60&amp;"["&amp;G60&amp;"]"))</f>
        <v/>
      </c>
      <c r="J60" s="23" t="str">
        <f aca="false">IF(A60="","",COUNTIF(Cablage!$A:$A,A60))</f>
        <v/>
      </c>
      <c r="K60" s="23" t="str">
        <f aca="false">IF(A60="","",COUNTIF(Liens!$A:$A,A60))</f>
        <v/>
      </c>
      <c r="L60" s="23" t="str">
        <f aca="false">IF(OR(A60="",E60="Variable seule",F60="",G60=""),"",IF(COUNTIFS($F$9:$F$308,F60,$G$9:$G$308,G60,$A$9:$A$308,"&lt;&gt;"&amp;A60)&gt;0,"index deja pris",""))</f>
        <v/>
      </c>
      <c r="M60" s="4"/>
    </row>
    <row r="61" customFormat="false" ht="15" hidden="false" customHeight="true" outlineLevel="0" collapsed="false">
      <c r="A61" s="4"/>
      <c r="B61" s="22"/>
      <c r="C61" s="4"/>
      <c r="D61" s="22"/>
      <c r="E61" s="22"/>
      <c r="F61" s="4"/>
      <c r="G61" s="4"/>
      <c r="H61" s="4"/>
      <c r="I61" s="23" t="str">
        <f aca="false">IF(F61="","",IF(OR(E61="Variable seule",G61=""),F61,F61&amp;"["&amp;G61&amp;"]"))</f>
        <v/>
      </c>
      <c r="J61" s="23" t="str">
        <f aca="false">IF(A61="","",COUNTIF(Cablage!$A:$A,A61))</f>
        <v/>
      </c>
      <c r="K61" s="23" t="str">
        <f aca="false">IF(A61="","",COUNTIF(Liens!$A:$A,A61))</f>
        <v/>
      </c>
      <c r="L61" s="23" t="str">
        <f aca="false">IF(OR(A61="",E61="Variable seule",F61="",G61=""),"",IF(COUNTIFS($F$9:$F$308,F61,$G$9:$G$308,G61,$A$9:$A$308,"&lt;&gt;"&amp;A61)&gt;0,"index deja pris",""))</f>
        <v/>
      </c>
      <c r="M61" s="4"/>
    </row>
    <row r="62" customFormat="false" ht="15" hidden="false" customHeight="true" outlineLevel="0" collapsed="false">
      <c r="A62" s="4"/>
      <c r="B62" s="22"/>
      <c r="C62" s="4"/>
      <c r="D62" s="22"/>
      <c r="E62" s="22"/>
      <c r="F62" s="4"/>
      <c r="G62" s="4"/>
      <c r="H62" s="4"/>
      <c r="I62" s="23" t="str">
        <f aca="false">IF(F62="","",IF(OR(E62="Variable seule",G62=""),F62,F62&amp;"["&amp;G62&amp;"]"))</f>
        <v/>
      </c>
      <c r="J62" s="23" t="str">
        <f aca="false">IF(A62="","",COUNTIF(Cablage!$A:$A,A62))</f>
        <v/>
      </c>
      <c r="K62" s="23" t="str">
        <f aca="false">IF(A62="","",COUNTIF(Liens!$A:$A,A62))</f>
        <v/>
      </c>
      <c r="L62" s="23" t="str">
        <f aca="false">IF(OR(A62="",E62="Variable seule",F62="",G62=""),"",IF(COUNTIFS($F$9:$F$308,F62,$G$9:$G$308,G62,$A$9:$A$308,"&lt;&gt;"&amp;A62)&gt;0,"index deja pris",""))</f>
        <v/>
      </c>
      <c r="M62" s="4"/>
    </row>
    <row r="63" customFormat="false" ht="15" hidden="false" customHeight="true" outlineLevel="0" collapsed="false">
      <c r="A63" s="4"/>
      <c r="B63" s="22"/>
      <c r="C63" s="4"/>
      <c r="D63" s="22"/>
      <c r="E63" s="22"/>
      <c r="F63" s="4"/>
      <c r="G63" s="4"/>
      <c r="H63" s="4"/>
      <c r="I63" s="23" t="str">
        <f aca="false">IF(F63="","",IF(OR(E63="Variable seule",G63=""),F63,F63&amp;"["&amp;G63&amp;"]"))</f>
        <v/>
      </c>
      <c r="J63" s="23" t="str">
        <f aca="false">IF(A63="","",COUNTIF(Cablage!$A:$A,A63))</f>
        <v/>
      </c>
      <c r="K63" s="23" t="str">
        <f aca="false">IF(A63="","",COUNTIF(Liens!$A:$A,A63))</f>
        <v/>
      </c>
      <c r="L63" s="23" t="str">
        <f aca="false">IF(OR(A63="",E63="Variable seule",F63="",G63=""),"",IF(COUNTIFS($F$9:$F$308,F63,$G$9:$G$308,G63,$A$9:$A$308,"&lt;&gt;"&amp;A63)&gt;0,"index deja pris",""))</f>
        <v/>
      </c>
      <c r="M63" s="4"/>
    </row>
    <row r="64" customFormat="false" ht="15" hidden="false" customHeight="true" outlineLevel="0" collapsed="false">
      <c r="A64" s="4"/>
      <c r="B64" s="22"/>
      <c r="C64" s="4"/>
      <c r="D64" s="22"/>
      <c r="E64" s="22"/>
      <c r="F64" s="4"/>
      <c r="G64" s="4"/>
      <c r="H64" s="4"/>
      <c r="I64" s="23" t="str">
        <f aca="false">IF(F64="","",IF(OR(E64="Variable seule",G64=""),F64,F64&amp;"["&amp;G64&amp;"]"))</f>
        <v/>
      </c>
      <c r="J64" s="23" t="str">
        <f aca="false">IF(A64="","",COUNTIF(Cablage!$A:$A,A64))</f>
        <v/>
      </c>
      <c r="K64" s="23" t="str">
        <f aca="false">IF(A64="","",COUNTIF(Liens!$A:$A,A64))</f>
        <v/>
      </c>
      <c r="L64" s="23" t="str">
        <f aca="false">IF(OR(A64="",E64="Variable seule",F64="",G64=""),"",IF(COUNTIFS($F$9:$F$308,F64,$G$9:$G$308,G64,$A$9:$A$308,"&lt;&gt;"&amp;A64)&gt;0,"index deja pris",""))</f>
        <v/>
      </c>
      <c r="M64" s="4"/>
    </row>
    <row r="65" customFormat="false" ht="15" hidden="false" customHeight="true" outlineLevel="0" collapsed="false">
      <c r="A65" s="4"/>
      <c r="B65" s="22"/>
      <c r="C65" s="4"/>
      <c r="D65" s="22"/>
      <c r="E65" s="22"/>
      <c r="F65" s="4"/>
      <c r="G65" s="4"/>
      <c r="H65" s="4"/>
      <c r="I65" s="23" t="str">
        <f aca="false">IF(F65="","",IF(OR(E65="Variable seule",G65=""),F65,F65&amp;"["&amp;G65&amp;"]"))</f>
        <v/>
      </c>
      <c r="J65" s="23" t="str">
        <f aca="false">IF(A65="","",COUNTIF(Cablage!$A:$A,A65))</f>
        <v/>
      </c>
      <c r="K65" s="23" t="str">
        <f aca="false">IF(A65="","",COUNTIF(Liens!$A:$A,A65))</f>
        <v/>
      </c>
      <c r="L65" s="23" t="str">
        <f aca="false">IF(OR(A65="",E65="Variable seule",F65="",G65=""),"",IF(COUNTIFS($F$9:$F$308,F65,$G$9:$G$308,G65,$A$9:$A$308,"&lt;&gt;"&amp;A65)&gt;0,"index deja pris",""))</f>
        <v/>
      </c>
      <c r="M65" s="4"/>
    </row>
    <row r="66" customFormat="false" ht="15" hidden="false" customHeight="true" outlineLevel="0" collapsed="false">
      <c r="A66" s="4"/>
      <c r="B66" s="22"/>
      <c r="C66" s="4"/>
      <c r="D66" s="22"/>
      <c r="E66" s="22"/>
      <c r="F66" s="4"/>
      <c r="G66" s="4"/>
      <c r="H66" s="4"/>
      <c r="I66" s="23" t="str">
        <f aca="false">IF(F66="","",IF(OR(E66="Variable seule",G66=""),F66,F66&amp;"["&amp;G66&amp;"]"))</f>
        <v/>
      </c>
      <c r="J66" s="23" t="str">
        <f aca="false">IF(A66="","",COUNTIF(Cablage!$A:$A,A66))</f>
        <v/>
      </c>
      <c r="K66" s="23" t="str">
        <f aca="false">IF(A66="","",COUNTIF(Liens!$A:$A,A66))</f>
        <v/>
      </c>
      <c r="L66" s="23" t="str">
        <f aca="false">IF(OR(A66="",E66="Variable seule",F66="",G66=""),"",IF(COUNTIFS($F$9:$F$308,F66,$G$9:$G$308,G66,$A$9:$A$308,"&lt;&gt;"&amp;A66)&gt;0,"index deja pris",""))</f>
        <v/>
      </c>
      <c r="M66" s="4"/>
    </row>
    <row r="67" customFormat="false" ht="15" hidden="false" customHeight="true" outlineLevel="0" collapsed="false">
      <c r="A67" s="4"/>
      <c r="B67" s="22"/>
      <c r="C67" s="4"/>
      <c r="D67" s="22"/>
      <c r="E67" s="22"/>
      <c r="F67" s="4"/>
      <c r="G67" s="4"/>
      <c r="H67" s="4"/>
      <c r="I67" s="23" t="str">
        <f aca="false">IF(F67="","",IF(OR(E67="Variable seule",G67=""),F67,F67&amp;"["&amp;G67&amp;"]"))</f>
        <v/>
      </c>
      <c r="J67" s="23" t="str">
        <f aca="false">IF(A67="","",COUNTIF(Cablage!$A:$A,A67))</f>
        <v/>
      </c>
      <c r="K67" s="23" t="str">
        <f aca="false">IF(A67="","",COUNTIF(Liens!$A:$A,A67))</f>
        <v/>
      </c>
      <c r="L67" s="23" t="str">
        <f aca="false">IF(OR(A67="",E67="Variable seule",F67="",G67=""),"",IF(COUNTIFS($F$9:$F$308,F67,$G$9:$G$308,G67,$A$9:$A$308,"&lt;&gt;"&amp;A67)&gt;0,"index deja pris",""))</f>
        <v/>
      </c>
      <c r="M67" s="4"/>
    </row>
    <row r="68" customFormat="false" ht="15" hidden="false" customHeight="true" outlineLevel="0" collapsed="false">
      <c r="A68" s="4"/>
      <c r="B68" s="22"/>
      <c r="C68" s="4"/>
      <c r="D68" s="22"/>
      <c r="E68" s="22"/>
      <c r="F68" s="4"/>
      <c r="G68" s="4"/>
      <c r="H68" s="4"/>
      <c r="I68" s="23" t="str">
        <f aca="false">IF(F68="","",IF(OR(E68="Variable seule",G68=""),F68,F68&amp;"["&amp;G68&amp;"]"))</f>
        <v/>
      </c>
      <c r="J68" s="23" t="str">
        <f aca="false">IF(A68="","",COUNTIF(Cablage!$A:$A,A68))</f>
        <v/>
      </c>
      <c r="K68" s="23" t="str">
        <f aca="false">IF(A68="","",COUNTIF(Liens!$A:$A,A68))</f>
        <v/>
      </c>
      <c r="L68" s="23" t="str">
        <f aca="false">IF(OR(A68="",E68="Variable seule",F68="",G68=""),"",IF(COUNTIFS($F$9:$F$308,F68,$G$9:$G$308,G68,$A$9:$A$308,"&lt;&gt;"&amp;A68)&gt;0,"index deja pris",""))</f>
        <v/>
      </c>
      <c r="M68" s="4"/>
    </row>
    <row r="69" customFormat="false" ht="15" hidden="false" customHeight="true" outlineLevel="0" collapsed="false">
      <c r="A69" s="4"/>
      <c r="B69" s="22"/>
      <c r="C69" s="4"/>
      <c r="D69" s="22"/>
      <c r="E69" s="22"/>
      <c r="F69" s="4"/>
      <c r="G69" s="4"/>
      <c r="H69" s="4"/>
      <c r="I69" s="23" t="str">
        <f aca="false">IF(F69="","",IF(OR(E69="Variable seule",G69=""),F69,F69&amp;"["&amp;G69&amp;"]"))</f>
        <v/>
      </c>
      <c r="J69" s="23" t="str">
        <f aca="false">IF(A69="","",COUNTIF(Cablage!$A:$A,A69))</f>
        <v/>
      </c>
      <c r="K69" s="23" t="str">
        <f aca="false">IF(A69="","",COUNTIF(Liens!$A:$A,A69))</f>
        <v/>
      </c>
      <c r="L69" s="23" t="str">
        <f aca="false">IF(OR(A69="",E69="Variable seule",F69="",G69=""),"",IF(COUNTIFS($F$9:$F$308,F69,$G$9:$G$308,G69,$A$9:$A$308,"&lt;&gt;"&amp;A69)&gt;0,"index deja pris",""))</f>
        <v/>
      </c>
      <c r="M69" s="4"/>
    </row>
    <row r="70" customFormat="false" ht="15" hidden="false" customHeight="true" outlineLevel="0" collapsed="false">
      <c r="A70" s="4"/>
      <c r="B70" s="22"/>
      <c r="C70" s="4"/>
      <c r="D70" s="22"/>
      <c r="E70" s="22"/>
      <c r="F70" s="4"/>
      <c r="G70" s="4"/>
      <c r="H70" s="4"/>
      <c r="I70" s="23" t="str">
        <f aca="false">IF(F70="","",IF(OR(E70="Variable seule",G70=""),F70,F70&amp;"["&amp;G70&amp;"]"))</f>
        <v/>
      </c>
      <c r="J70" s="23" t="str">
        <f aca="false">IF(A70="","",COUNTIF(Cablage!$A:$A,A70))</f>
        <v/>
      </c>
      <c r="K70" s="23" t="str">
        <f aca="false">IF(A70="","",COUNTIF(Liens!$A:$A,A70))</f>
        <v/>
      </c>
      <c r="L70" s="23" t="str">
        <f aca="false">IF(OR(A70="",E70="Variable seule",F70="",G70=""),"",IF(COUNTIFS($F$9:$F$308,F70,$G$9:$G$308,G70,$A$9:$A$308,"&lt;&gt;"&amp;A70)&gt;0,"index deja pris",""))</f>
        <v/>
      </c>
      <c r="M70" s="4"/>
    </row>
    <row r="71" customFormat="false" ht="15" hidden="false" customHeight="true" outlineLevel="0" collapsed="false">
      <c r="A71" s="4"/>
      <c r="B71" s="22"/>
      <c r="C71" s="4"/>
      <c r="D71" s="22"/>
      <c r="E71" s="22"/>
      <c r="F71" s="4"/>
      <c r="G71" s="4"/>
      <c r="H71" s="4"/>
      <c r="I71" s="23" t="str">
        <f aca="false">IF(F71="","",IF(OR(E71="Variable seule",G71=""),F71,F71&amp;"["&amp;G71&amp;"]"))</f>
        <v/>
      </c>
      <c r="J71" s="23" t="str">
        <f aca="false">IF(A71="","",COUNTIF(Cablage!$A:$A,A71))</f>
        <v/>
      </c>
      <c r="K71" s="23" t="str">
        <f aca="false">IF(A71="","",COUNTIF(Liens!$A:$A,A71))</f>
        <v/>
      </c>
      <c r="L71" s="23" t="str">
        <f aca="false">IF(OR(A71="",E71="Variable seule",F71="",G71=""),"",IF(COUNTIFS($F$9:$F$308,F71,$G$9:$G$308,G71,$A$9:$A$308,"&lt;&gt;"&amp;A71)&gt;0,"index deja pris",""))</f>
        <v/>
      </c>
      <c r="M71" s="4"/>
    </row>
    <row r="72" customFormat="false" ht="15" hidden="false" customHeight="true" outlineLevel="0" collapsed="false">
      <c r="A72" s="4"/>
      <c r="B72" s="22"/>
      <c r="C72" s="4"/>
      <c r="D72" s="22"/>
      <c r="E72" s="22"/>
      <c r="F72" s="4"/>
      <c r="G72" s="4"/>
      <c r="H72" s="4"/>
      <c r="I72" s="23" t="str">
        <f aca="false">IF(F72="","",IF(OR(E72="Variable seule",G72=""),F72,F72&amp;"["&amp;G72&amp;"]"))</f>
        <v/>
      </c>
      <c r="J72" s="23" t="str">
        <f aca="false">IF(A72="","",COUNTIF(Cablage!$A:$A,A72))</f>
        <v/>
      </c>
      <c r="K72" s="23" t="str">
        <f aca="false">IF(A72="","",COUNTIF(Liens!$A:$A,A72))</f>
        <v/>
      </c>
      <c r="L72" s="23" t="str">
        <f aca="false">IF(OR(A72="",E72="Variable seule",F72="",G72=""),"",IF(COUNTIFS($F$9:$F$308,F72,$G$9:$G$308,G72,$A$9:$A$308,"&lt;&gt;"&amp;A72)&gt;0,"index deja pris",""))</f>
        <v/>
      </c>
      <c r="M72" s="4"/>
    </row>
    <row r="73" customFormat="false" ht="15" hidden="false" customHeight="true" outlineLevel="0" collapsed="false">
      <c r="A73" s="4"/>
      <c r="B73" s="22"/>
      <c r="C73" s="4"/>
      <c r="D73" s="22"/>
      <c r="E73" s="22"/>
      <c r="F73" s="4"/>
      <c r="G73" s="4"/>
      <c r="H73" s="4"/>
      <c r="I73" s="23" t="str">
        <f aca="false">IF(F73="","",IF(OR(E73="Variable seule",G73=""),F73,F73&amp;"["&amp;G73&amp;"]"))</f>
        <v/>
      </c>
      <c r="J73" s="23" t="str">
        <f aca="false">IF(A73="","",COUNTIF(Cablage!$A:$A,A73))</f>
        <v/>
      </c>
      <c r="K73" s="23" t="str">
        <f aca="false">IF(A73="","",COUNTIF(Liens!$A:$A,A73))</f>
        <v/>
      </c>
      <c r="L73" s="23" t="str">
        <f aca="false">IF(OR(A73="",E73="Variable seule",F73="",G73=""),"",IF(COUNTIFS($F$9:$F$308,F73,$G$9:$G$308,G73,$A$9:$A$308,"&lt;&gt;"&amp;A73)&gt;0,"index deja pris",""))</f>
        <v/>
      </c>
      <c r="M73" s="4"/>
    </row>
    <row r="74" customFormat="false" ht="15" hidden="false" customHeight="true" outlineLevel="0" collapsed="false">
      <c r="A74" s="4"/>
      <c r="B74" s="22"/>
      <c r="C74" s="4"/>
      <c r="D74" s="22"/>
      <c r="E74" s="22"/>
      <c r="F74" s="4"/>
      <c r="G74" s="4"/>
      <c r="H74" s="4"/>
      <c r="I74" s="23" t="str">
        <f aca="false">IF(F74="","",IF(OR(E74="Variable seule",G74=""),F74,F74&amp;"["&amp;G74&amp;"]"))</f>
        <v/>
      </c>
      <c r="J74" s="23" t="str">
        <f aca="false">IF(A74="","",COUNTIF(Cablage!$A:$A,A74))</f>
        <v/>
      </c>
      <c r="K74" s="23" t="str">
        <f aca="false">IF(A74="","",COUNTIF(Liens!$A:$A,A74))</f>
        <v/>
      </c>
      <c r="L74" s="23" t="str">
        <f aca="false">IF(OR(A74="",E74="Variable seule",F74="",G74=""),"",IF(COUNTIFS($F$9:$F$308,F74,$G$9:$G$308,G74,$A$9:$A$308,"&lt;&gt;"&amp;A74)&gt;0,"index deja pris",""))</f>
        <v/>
      </c>
      <c r="M74" s="4"/>
    </row>
    <row r="75" customFormat="false" ht="15" hidden="false" customHeight="true" outlineLevel="0" collapsed="false">
      <c r="A75" s="4"/>
      <c r="B75" s="22"/>
      <c r="C75" s="4"/>
      <c r="D75" s="22"/>
      <c r="E75" s="22"/>
      <c r="F75" s="4"/>
      <c r="G75" s="4"/>
      <c r="H75" s="4"/>
      <c r="I75" s="23" t="str">
        <f aca="false">IF(F75="","",IF(OR(E75="Variable seule",G75=""),F75,F75&amp;"["&amp;G75&amp;"]"))</f>
        <v/>
      </c>
      <c r="J75" s="23" t="str">
        <f aca="false">IF(A75="","",COUNTIF(Cablage!$A:$A,A75))</f>
        <v/>
      </c>
      <c r="K75" s="23" t="str">
        <f aca="false">IF(A75="","",COUNTIF(Liens!$A:$A,A75))</f>
        <v/>
      </c>
      <c r="L75" s="23" t="str">
        <f aca="false">IF(OR(A75="",E75="Variable seule",F75="",G75=""),"",IF(COUNTIFS($F$9:$F$308,F75,$G$9:$G$308,G75,$A$9:$A$308,"&lt;&gt;"&amp;A75)&gt;0,"index deja pris",""))</f>
        <v/>
      </c>
      <c r="M75" s="4"/>
    </row>
    <row r="76" customFormat="false" ht="15" hidden="false" customHeight="true" outlineLevel="0" collapsed="false">
      <c r="A76" s="4"/>
      <c r="B76" s="22"/>
      <c r="C76" s="4"/>
      <c r="D76" s="22"/>
      <c r="E76" s="22"/>
      <c r="F76" s="4"/>
      <c r="G76" s="4"/>
      <c r="H76" s="4"/>
      <c r="I76" s="23" t="str">
        <f aca="false">IF(F76="","",IF(OR(E76="Variable seule",G76=""),F76,F76&amp;"["&amp;G76&amp;"]"))</f>
        <v/>
      </c>
      <c r="J76" s="23" t="str">
        <f aca="false">IF(A76="","",COUNTIF(Cablage!$A:$A,A76))</f>
        <v/>
      </c>
      <c r="K76" s="23" t="str">
        <f aca="false">IF(A76="","",COUNTIF(Liens!$A:$A,A76))</f>
        <v/>
      </c>
      <c r="L76" s="23" t="str">
        <f aca="false">IF(OR(A76="",E76="Variable seule",F76="",G76=""),"",IF(COUNTIFS($F$9:$F$308,F76,$G$9:$G$308,G76,$A$9:$A$308,"&lt;&gt;"&amp;A76)&gt;0,"index deja pris",""))</f>
        <v/>
      </c>
      <c r="M76" s="4"/>
    </row>
    <row r="77" customFormat="false" ht="15" hidden="false" customHeight="true" outlineLevel="0" collapsed="false">
      <c r="A77" s="4"/>
      <c r="B77" s="22"/>
      <c r="C77" s="4"/>
      <c r="D77" s="22"/>
      <c r="E77" s="22"/>
      <c r="F77" s="4"/>
      <c r="G77" s="4"/>
      <c r="H77" s="4"/>
      <c r="I77" s="23" t="str">
        <f aca="false">IF(F77="","",IF(OR(E77="Variable seule",G77=""),F77,F77&amp;"["&amp;G77&amp;"]"))</f>
        <v/>
      </c>
      <c r="J77" s="23" t="str">
        <f aca="false">IF(A77="","",COUNTIF(Cablage!$A:$A,A77))</f>
        <v/>
      </c>
      <c r="K77" s="23" t="str">
        <f aca="false">IF(A77="","",COUNTIF(Liens!$A:$A,A77))</f>
        <v/>
      </c>
      <c r="L77" s="23" t="str">
        <f aca="false">IF(OR(A77="",E77="Variable seule",F77="",G77=""),"",IF(COUNTIFS($F$9:$F$308,F77,$G$9:$G$308,G77,$A$9:$A$308,"&lt;&gt;"&amp;A77)&gt;0,"index deja pris",""))</f>
        <v/>
      </c>
      <c r="M77" s="4"/>
    </row>
    <row r="78" customFormat="false" ht="15" hidden="false" customHeight="true" outlineLevel="0" collapsed="false">
      <c r="A78" s="4"/>
      <c r="B78" s="22"/>
      <c r="C78" s="4"/>
      <c r="D78" s="22"/>
      <c r="E78" s="22"/>
      <c r="F78" s="4"/>
      <c r="G78" s="4"/>
      <c r="H78" s="4"/>
      <c r="I78" s="23" t="str">
        <f aca="false">IF(F78="","",IF(OR(E78="Variable seule",G78=""),F78,F78&amp;"["&amp;G78&amp;"]"))</f>
        <v/>
      </c>
      <c r="J78" s="23" t="str">
        <f aca="false">IF(A78="","",COUNTIF(Cablage!$A:$A,A78))</f>
        <v/>
      </c>
      <c r="K78" s="23" t="str">
        <f aca="false">IF(A78="","",COUNTIF(Liens!$A:$A,A78))</f>
        <v/>
      </c>
      <c r="L78" s="23" t="str">
        <f aca="false">IF(OR(A78="",E78="Variable seule",F78="",G78=""),"",IF(COUNTIFS($F$9:$F$308,F78,$G$9:$G$308,G78,$A$9:$A$308,"&lt;&gt;"&amp;A78)&gt;0,"index deja pris",""))</f>
        <v/>
      </c>
      <c r="M78" s="4"/>
    </row>
    <row r="79" customFormat="false" ht="15" hidden="false" customHeight="true" outlineLevel="0" collapsed="false">
      <c r="A79" s="4"/>
      <c r="B79" s="22"/>
      <c r="C79" s="4"/>
      <c r="D79" s="22"/>
      <c r="E79" s="22"/>
      <c r="F79" s="4"/>
      <c r="G79" s="4"/>
      <c r="H79" s="4"/>
      <c r="I79" s="23" t="str">
        <f aca="false">IF(F79="","",IF(OR(E79="Variable seule",G79=""),F79,F79&amp;"["&amp;G79&amp;"]"))</f>
        <v/>
      </c>
      <c r="J79" s="23" t="str">
        <f aca="false">IF(A79="","",COUNTIF(Cablage!$A:$A,A79))</f>
        <v/>
      </c>
      <c r="K79" s="23" t="str">
        <f aca="false">IF(A79="","",COUNTIF(Liens!$A:$A,A79))</f>
        <v/>
      </c>
      <c r="L79" s="23" t="str">
        <f aca="false">IF(OR(A79="",E79="Variable seule",F79="",G79=""),"",IF(COUNTIFS($F$9:$F$308,F79,$G$9:$G$308,G79,$A$9:$A$308,"&lt;&gt;"&amp;A79)&gt;0,"index deja pris",""))</f>
        <v/>
      </c>
      <c r="M79" s="4"/>
    </row>
    <row r="80" customFormat="false" ht="15" hidden="false" customHeight="true" outlineLevel="0" collapsed="false">
      <c r="A80" s="4"/>
      <c r="B80" s="22"/>
      <c r="C80" s="4"/>
      <c r="D80" s="22"/>
      <c r="E80" s="22"/>
      <c r="F80" s="4"/>
      <c r="G80" s="4"/>
      <c r="H80" s="4"/>
      <c r="I80" s="23" t="str">
        <f aca="false">IF(F80="","",IF(OR(E80="Variable seule",G80=""),F80,F80&amp;"["&amp;G80&amp;"]"))</f>
        <v/>
      </c>
      <c r="J80" s="23" t="str">
        <f aca="false">IF(A80="","",COUNTIF(Cablage!$A:$A,A80))</f>
        <v/>
      </c>
      <c r="K80" s="23" t="str">
        <f aca="false">IF(A80="","",COUNTIF(Liens!$A:$A,A80))</f>
        <v/>
      </c>
      <c r="L80" s="23" t="str">
        <f aca="false">IF(OR(A80="",E80="Variable seule",F80="",G80=""),"",IF(COUNTIFS($F$9:$F$308,F80,$G$9:$G$308,G80,$A$9:$A$308,"&lt;&gt;"&amp;A80)&gt;0,"index deja pris",""))</f>
        <v/>
      </c>
      <c r="M80" s="4"/>
    </row>
    <row r="81" customFormat="false" ht="15" hidden="false" customHeight="true" outlineLevel="0" collapsed="false">
      <c r="A81" s="4"/>
      <c r="B81" s="22"/>
      <c r="C81" s="4"/>
      <c r="D81" s="22"/>
      <c r="E81" s="22"/>
      <c r="F81" s="4"/>
      <c r="G81" s="4"/>
      <c r="H81" s="4"/>
      <c r="I81" s="23" t="str">
        <f aca="false">IF(F81="","",IF(OR(E81="Variable seule",G81=""),F81,F81&amp;"["&amp;G81&amp;"]"))</f>
        <v/>
      </c>
      <c r="J81" s="23" t="str">
        <f aca="false">IF(A81="","",COUNTIF(Cablage!$A:$A,A81))</f>
        <v/>
      </c>
      <c r="K81" s="23" t="str">
        <f aca="false">IF(A81="","",COUNTIF(Liens!$A:$A,A81))</f>
        <v/>
      </c>
      <c r="L81" s="23" t="str">
        <f aca="false">IF(OR(A81="",E81="Variable seule",F81="",G81=""),"",IF(COUNTIFS($F$9:$F$308,F81,$G$9:$G$308,G81,$A$9:$A$308,"&lt;&gt;"&amp;A81)&gt;0,"index deja pris",""))</f>
        <v/>
      </c>
      <c r="M81" s="4"/>
    </row>
    <row r="82" customFormat="false" ht="15" hidden="false" customHeight="true" outlineLevel="0" collapsed="false">
      <c r="A82" s="4"/>
      <c r="B82" s="22"/>
      <c r="C82" s="4"/>
      <c r="D82" s="22"/>
      <c r="E82" s="22"/>
      <c r="F82" s="4"/>
      <c r="G82" s="4"/>
      <c r="H82" s="4"/>
      <c r="I82" s="23" t="str">
        <f aca="false">IF(F82="","",IF(OR(E82="Variable seule",G82=""),F82,F82&amp;"["&amp;G82&amp;"]"))</f>
        <v/>
      </c>
      <c r="J82" s="23" t="str">
        <f aca="false">IF(A82="","",COUNTIF(Cablage!$A:$A,A82))</f>
        <v/>
      </c>
      <c r="K82" s="23" t="str">
        <f aca="false">IF(A82="","",COUNTIF(Liens!$A:$A,A82))</f>
        <v/>
      </c>
      <c r="L82" s="23" t="str">
        <f aca="false">IF(OR(A82="",E82="Variable seule",F82="",G82=""),"",IF(COUNTIFS($F$9:$F$308,F82,$G$9:$G$308,G82,$A$9:$A$308,"&lt;&gt;"&amp;A82)&gt;0,"index deja pris",""))</f>
        <v/>
      </c>
      <c r="M82" s="4"/>
    </row>
    <row r="83" customFormat="false" ht="15" hidden="false" customHeight="true" outlineLevel="0" collapsed="false">
      <c r="A83" s="4"/>
      <c r="B83" s="22"/>
      <c r="C83" s="4"/>
      <c r="D83" s="22"/>
      <c r="E83" s="22"/>
      <c r="F83" s="4"/>
      <c r="G83" s="4"/>
      <c r="H83" s="4"/>
      <c r="I83" s="23" t="str">
        <f aca="false">IF(F83="","",IF(OR(E83="Variable seule",G83=""),F83,F83&amp;"["&amp;G83&amp;"]"))</f>
        <v/>
      </c>
      <c r="J83" s="23" t="str">
        <f aca="false">IF(A83="","",COUNTIF(Cablage!$A:$A,A83))</f>
        <v/>
      </c>
      <c r="K83" s="23" t="str">
        <f aca="false">IF(A83="","",COUNTIF(Liens!$A:$A,A83))</f>
        <v/>
      </c>
      <c r="L83" s="23" t="str">
        <f aca="false">IF(OR(A83="",E83="Variable seule",F83="",G83=""),"",IF(COUNTIFS($F$9:$F$308,F83,$G$9:$G$308,G83,$A$9:$A$308,"&lt;&gt;"&amp;A83)&gt;0,"index deja pris",""))</f>
        <v/>
      </c>
      <c r="M83" s="4"/>
    </row>
    <row r="84" customFormat="false" ht="15" hidden="false" customHeight="true" outlineLevel="0" collapsed="false">
      <c r="A84" s="4"/>
      <c r="B84" s="22"/>
      <c r="C84" s="4"/>
      <c r="D84" s="22"/>
      <c r="E84" s="22"/>
      <c r="F84" s="4"/>
      <c r="G84" s="4"/>
      <c r="H84" s="4"/>
      <c r="I84" s="23" t="str">
        <f aca="false">IF(F84="","",IF(OR(E84="Variable seule",G84=""),F84,F84&amp;"["&amp;G84&amp;"]"))</f>
        <v/>
      </c>
      <c r="J84" s="23" t="str">
        <f aca="false">IF(A84="","",COUNTIF(Cablage!$A:$A,A84))</f>
        <v/>
      </c>
      <c r="K84" s="23" t="str">
        <f aca="false">IF(A84="","",COUNTIF(Liens!$A:$A,A84))</f>
        <v/>
      </c>
      <c r="L84" s="23" t="str">
        <f aca="false">IF(OR(A84="",E84="Variable seule",F84="",G84=""),"",IF(COUNTIFS($F$9:$F$308,F84,$G$9:$G$308,G84,$A$9:$A$308,"&lt;&gt;"&amp;A84)&gt;0,"index deja pris",""))</f>
        <v/>
      </c>
      <c r="M84" s="4"/>
    </row>
    <row r="85" customFormat="false" ht="15" hidden="false" customHeight="true" outlineLevel="0" collapsed="false">
      <c r="A85" s="4"/>
      <c r="B85" s="22"/>
      <c r="C85" s="4"/>
      <c r="D85" s="22"/>
      <c r="E85" s="22"/>
      <c r="F85" s="4"/>
      <c r="G85" s="4"/>
      <c r="H85" s="4"/>
      <c r="I85" s="23" t="str">
        <f aca="false">IF(F85="","",IF(OR(E85="Variable seule",G85=""),F85,F85&amp;"["&amp;G85&amp;"]"))</f>
        <v/>
      </c>
      <c r="J85" s="23" t="str">
        <f aca="false">IF(A85="","",COUNTIF(Cablage!$A:$A,A85))</f>
        <v/>
      </c>
      <c r="K85" s="23" t="str">
        <f aca="false">IF(A85="","",COUNTIF(Liens!$A:$A,A85))</f>
        <v/>
      </c>
      <c r="L85" s="23" t="str">
        <f aca="false">IF(OR(A85="",E85="Variable seule",F85="",G85=""),"",IF(COUNTIFS($F$9:$F$308,F85,$G$9:$G$308,G85,$A$9:$A$308,"&lt;&gt;"&amp;A85)&gt;0,"index deja pris",""))</f>
        <v/>
      </c>
      <c r="M85" s="4"/>
    </row>
    <row r="86" customFormat="false" ht="15" hidden="false" customHeight="true" outlineLevel="0" collapsed="false">
      <c r="A86" s="4"/>
      <c r="B86" s="22"/>
      <c r="C86" s="4"/>
      <c r="D86" s="22"/>
      <c r="E86" s="22"/>
      <c r="F86" s="4"/>
      <c r="G86" s="4"/>
      <c r="H86" s="4"/>
      <c r="I86" s="23" t="str">
        <f aca="false">IF(F86="","",IF(OR(E86="Variable seule",G86=""),F86,F86&amp;"["&amp;G86&amp;"]"))</f>
        <v/>
      </c>
      <c r="J86" s="23" t="str">
        <f aca="false">IF(A86="","",COUNTIF(Cablage!$A:$A,A86))</f>
        <v/>
      </c>
      <c r="K86" s="23" t="str">
        <f aca="false">IF(A86="","",COUNTIF(Liens!$A:$A,A86))</f>
        <v/>
      </c>
      <c r="L86" s="23" t="str">
        <f aca="false">IF(OR(A86="",E86="Variable seule",F86="",G86=""),"",IF(COUNTIFS($F$9:$F$308,F86,$G$9:$G$308,G86,$A$9:$A$308,"&lt;&gt;"&amp;A86)&gt;0,"index deja pris",""))</f>
        <v/>
      </c>
      <c r="M86" s="4"/>
    </row>
    <row r="87" customFormat="false" ht="15" hidden="false" customHeight="true" outlineLevel="0" collapsed="false">
      <c r="A87" s="4"/>
      <c r="B87" s="22"/>
      <c r="C87" s="4"/>
      <c r="D87" s="22"/>
      <c r="E87" s="22"/>
      <c r="F87" s="4"/>
      <c r="G87" s="4"/>
      <c r="H87" s="4"/>
      <c r="I87" s="23" t="str">
        <f aca="false">IF(F87="","",IF(OR(E87="Variable seule",G87=""),F87,F87&amp;"["&amp;G87&amp;"]"))</f>
        <v/>
      </c>
      <c r="J87" s="23" t="str">
        <f aca="false">IF(A87="","",COUNTIF(Cablage!$A:$A,A87))</f>
        <v/>
      </c>
      <c r="K87" s="23" t="str">
        <f aca="false">IF(A87="","",COUNTIF(Liens!$A:$A,A87))</f>
        <v/>
      </c>
      <c r="L87" s="23" t="str">
        <f aca="false">IF(OR(A87="",E87="Variable seule",F87="",G87=""),"",IF(COUNTIFS($F$9:$F$308,F87,$G$9:$G$308,G87,$A$9:$A$308,"&lt;&gt;"&amp;A87)&gt;0,"index deja pris",""))</f>
        <v/>
      </c>
      <c r="M87" s="4"/>
    </row>
    <row r="88" customFormat="false" ht="15" hidden="false" customHeight="true" outlineLevel="0" collapsed="false">
      <c r="A88" s="4"/>
      <c r="B88" s="22"/>
      <c r="C88" s="4"/>
      <c r="D88" s="22"/>
      <c r="E88" s="22"/>
      <c r="F88" s="4"/>
      <c r="G88" s="4"/>
      <c r="H88" s="4"/>
      <c r="I88" s="23" t="str">
        <f aca="false">IF(F88="","",IF(OR(E88="Variable seule",G88=""),F88,F88&amp;"["&amp;G88&amp;"]"))</f>
        <v/>
      </c>
      <c r="J88" s="23" t="str">
        <f aca="false">IF(A88="","",COUNTIF(Cablage!$A:$A,A88))</f>
        <v/>
      </c>
      <c r="K88" s="23" t="str">
        <f aca="false">IF(A88="","",COUNTIF(Liens!$A:$A,A88))</f>
        <v/>
      </c>
      <c r="L88" s="23" t="str">
        <f aca="false">IF(OR(A88="",E88="Variable seule",F88="",G88=""),"",IF(COUNTIFS($F$9:$F$308,F88,$G$9:$G$308,G88,$A$9:$A$308,"&lt;&gt;"&amp;A88)&gt;0,"index deja pris",""))</f>
        <v/>
      </c>
      <c r="M88" s="4"/>
    </row>
    <row r="89" customFormat="false" ht="15" hidden="false" customHeight="true" outlineLevel="0" collapsed="false">
      <c r="A89" s="4"/>
      <c r="B89" s="22"/>
      <c r="C89" s="4"/>
      <c r="D89" s="22"/>
      <c r="E89" s="22"/>
      <c r="F89" s="4"/>
      <c r="G89" s="4"/>
      <c r="H89" s="4"/>
      <c r="I89" s="23" t="str">
        <f aca="false">IF(F89="","",IF(OR(E89="Variable seule",G89=""),F89,F89&amp;"["&amp;G89&amp;"]"))</f>
        <v/>
      </c>
      <c r="J89" s="23" t="str">
        <f aca="false">IF(A89="","",COUNTIF(Cablage!$A:$A,A89))</f>
        <v/>
      </c>
      <c r="K89" s="23" t="str">
        <f aca="false">IF(A89="","",COUNTIF(Liens!$A:$A,A89))</f>
        <v/>
      </c>
      <c r="L89" s="23" t="str">
        <f aca="false">IF(OR(A89="",E89="Variable seule",F89="",G89=""),"",IF(COUNTIFS($F$9:$F$308,F89,$G$9:$G$308,G89,$A$9:$A$308,"&lt;&gt;"&amp;A89)&gt;0,"index deja pris",""))</f>
        <v/>
      </c>
      <c r="M89" s="4"/>
    </row>
    <row r="90" customFormat="false" ht="15" hidden="false" customHeight="true" outlineLevel="0" collapsed="false">
      <c r="A90" s="4"/>
      <c r="B90" s="22"/>
      <c r="C90" s="4"/>
      <c r="D90" s="22"/>
      <c r="E90" s="22"/>
      <c r="F90" s="4"/>
      <c r="G90" s="4"/>
      <c r="H90" s="4"/>
      <c r="I90" s="23" t="str">
        <f aca="false">IF(F90="","",IF(OR(E90="Variable seule",G90=""),F90,F90&amp;"["&amp;G90&amp;"]"))</f>
        <v/>
      </c>
      <c r="J90" s="23" t="str">
        <f aca="false">IF(A90="","",COUNTIF(Cablage!$A:$A,A90))</f>
        <v/>
      </c>
      <c r="K90" s="23" t="str">
        <f aca="false">IF(A90="","",COUNTIF(Liens!$A:$A,A90))</f>
        <v/>
      </c>
      <c r="L90" s="23" t="str">
        <f aca="false">IF(OR(A90="",E90="Variable seule",F90="",G90=""),"",IF(COUNTIFS($F$9:$F$308,F90,$G$9:$G$308,G90,$A$9:$A$308,"&lt;&gt;"&amp;A90)&gt;0,"index deja pris",""))</f>
        <v/>
      </c>
      <c r="M90" s="4"/>
    </row>
    <row r="91" customFormat="false" ht="15" hidden="false" customHeight="true" outlineLevel="0" collapsed="false">
      <c r="A91" s="4"/>
      <c r="B91" s="22"/>
      <c r="C91" s="4"/>
      <c r="D91" s="22"/>
      <c r="E91" s="22"/>
      <c r="F91" s="4"/>
      <c r="G91" s="4"/>
      <c r="H91" s="4"/>
      <c r="I91" s="23" t="str">
        <f aca="false">IF(F91="","",IF(OR(E91="Variable seule",G91=""),F91,F91&amp;"["&amp;G91&amp;"]"))</f>
        <v/>
      </c>
      <c r="J91" s="23" t="str">
        <f aca="false">IF(A91="","",COUNTIF(Cablage!$A:$A,A91))</f>
        <v/>
      </c>
      <c r="K91" s="23" t="str">
        <f aca="false">IF(A91="","",COUNTIF(Liens!$A:$A,A91))</f>
        <v/>
      </c>
      <c r="L91" s="23" t="str">
        <f aca="false">IF(OR(A91="",E91="Variable seule",F91="",G91=""),"",IF(COUNTIFS($F$9:$F$308,F91,$G$9:$G$308,G91,$A$9:$A$308,"&lt;&gt;"&amp;A91)&gt;0,"index deja pris",""))</f>
        <v/>
      </c>
      <c r="M91" s="4"/>
    </row>
    <row r="92" customFormat="false" ht="15" hidden="false" customHeight="true" outlineLevel="0" collapsed="false">
      <c r="A92" s="4"/>
      <c r="B92" s="22"/>
      <c r="C92" s="4"/>
      <c r="D92" s="22"/>
      <c r="E92" s="22"/>
      <c r="F92" s="4"/>
      <c r="G92" s="4"/>
      <c r="H92" s="4"/>
      <c r="I92" s="23" t="str">
        <f aca="false">IF(F92="","",IF(OR(E92="Variable seule",G92=""),F92,F92&amp;"["&amp;G92&amp;"]"))</f>
        <v/>
      </c>
      <c r="J92" s="23" t="str">
        <f aca="false">IF(A92="","",COUNTIF(Cablage!$A:$A,A92))</f>
        <v/>
      </c>
      <c r="K92" s="23" t="str">
        <f aca="false">IF(A92="","",COUNTIF(Liens!$A:$A,A92))</f>
        <v/>
      </c>
      <c r="L92" s="23" t="str">
        <f aca="false">IF(OR(A92="",E92="Variable seule",F92="",G92=""),"",IF(COUNTIFS($F$9:$F$308,F92,$G$9:$G$308,G92,$A$9:$A$308,"&lt;&gt;"&amp;A92)&gt;0,"index deja pris",""))</f>
        <v/>
      </c>
      <c r="M92" s="4"/>
    </row>
    <row r="93" customFormat="false" ht="15" hidden="false" customHeight="true" outlineLevel="0" collapsed="false">
      <c r="A93" s="4"/>
      <c r="B93" s="22"/>
      <c r="C93" s="4"/>
      <c r="D93" s="22"/>
      <c r="E93" s="22"/>
      <c r="F93" s="4"/>
      <c r="G93" s="4"/>
      <c r="H93" s="4"/>
      <c r="I93" s="23" t="str">
        <f aca="false">IF(F93="","",IF(OR(E93="Variable seule",G93=""),F93,F93&amp;"["&amp;G93&amp;"]"))</f>
        <v/>
      </c>
      <c r="J93" s="23" t="str">
        <f aca="false">IF(A93="","",COUNTIF(Cablage!$A:$A,A93))</f>
        <v/>
      </c>
      <c r="K93" s="23" t="str">
        <f aca="false">IF(A93="","",COUNTIF(Liens!$A:$A,A93))</f>
        <v/>
      </c>
      <c r="L93" s="23" t="str">
        <f aca="false">IF(OR(A93="",E93="Variable seule",F93="",G93=""),"",IF(COUNTIFS($F$9:$F$308,F93,$G$9:$G$308,G93,$A$9:$A$308,"&lt;&gt;"&amp;A93)&gt;0,"index deja pris",""))</f>
        <v/>
      </c>
      <c r="M93" s="4"/>
    </row>
    <row r="94" customFormat="false" ht="15" hidden="false" customHeight="true" outlineLevel="0" collapsed="false">
      <c r="A94" s="4"/>
      <c r="B94" s="22"/>
      <c r="C94" s="4"/>
      <c r="D94" s="22"/>
      <c r="E94" s="22"/>
      <c r="F94" s="4"/>
      <c r="G94" s="4"/>
      <c r="H94" s="4"/>
      <c r="I94" s="23" t="str">
        <f aca="false">IF(F94="","",IF(OR(E94="Variable seule",G94=""),F94,F94&amp;"["&amp;G94&amp;"]"))</f>
        <v/>
      </c>
      <c r="J94" s="23" t="str">
        <f aca="false">IF(A94="","",COUNTIF(Cablage!$A:$A,A94))</f>
        <v/>
      </c>
      <c r="K94" s="23" t="str">
        <f aca="false">IF(A94="","",COUNTIF(Liens!$A:$A,A94))</f>
        <v/>
      </c>
      <c r="L94" s="23" t="str">
        <f aca="false">IF(OR(A94="",E94="Variable seule",F94="",G94=""),"",IF(COUNTIFS($F$9:$F$308,F94,$G$9:$G$308,G94,$A$9:$A$308,"&lt;&gt;"&amp;A94)&gt;0,"index deja pris",""))</f>
        <v/>
      </c>
      <c r="M94" s="4"/>
    </row>
    <row r="95" customFormat="false" ht="15" hidden="false" customHeight="true" outlineLevel="0" collapsed="false">
      <c r="A95" s="4"/>
      <c r="B95" s="22"/>
      <c r="C95" s="4"/>
      <c r="D95" s="22"/>
      <c r="E95" s="22"/>
      <c r="F95" s="4"/>
      <c r="G95" s="4"/>
      <c r="H95" s="4"/>
      <c r="I95" s="23" t="str">
        <f aca="false">IF(F95="","",IF(OR(E95="Variable seule",G95=""),F95,F95&amp;"["&amp;G95&amp;"]"))</f>
        <v/>
      </c>
      <c r="J95" s="23" t="str">
        <f aca="false">IF(A95="","",COUNTIF(Cablage!$A:$A,A95))</f>
        <v/>
      </c>
      <c r="K95" s="23" t="str">
        <f aca="false">IF(A95="","",COUNTIF(Liens!$A:$A,A95))</f>
        <v/>
      </c>
      <c r="L95" s="23" t="str">
        <f aca="false">IF(OR(A95="",E95="Variable seule",F95="",G95=""),"",IF(COUNTIFS($F$9:$F$308,F95,$G$9:$G$308,G95,$A$9:$A$308,"&lt;&gt;"&amp;A95)&gt;0,"index deja pris",""))</f>
        <v/>
      </c>
      <c r="M95" s="4"/>
    </row>
    <row r="96" customFormat="false" ht="15" hidden="false" customHeight="true" outlineLevel="0" collapsed="false">
      <c r="A96" s="4"/>
      <c r="B96" s="22"/>
      <c r="C96" s="4"/>
      <c r="D96" s="22"/>
      <c r="E96" s="22"/>
      <c r="F96" s="4"/>
      <c r="G96" s="4"/>
      <c r="H96" s="4"/>
      <c r="I96" s="23" t="str">
        <f aca="false">IF(F96="","",IF(OR(E96="Variable seule",G96=""),F96,F96&amp;"["&amp;G96&amp;"]"))</f>
        <v/>
      </c>
      <c r="J96" s="23" t="str">
        <f aca="false">IF(A96="","",COUNTIF(Cablage!$A:$A,A96))</f>
        <v/>
      </c>
      <c r="K96" s="23" t="str">
        <f aca="false">IF(A96="","",COUNTIF(Liens!$A:$A,A96))</f>
        <v/>
      </c>
      <c r="L96" s="23" t="str">
        <f aca="false">IF(OR(A96="",E96="Variable seule",F96="",G96=""),"",IF(COUNTIFS($F$9:$F$308,F96,$G$9:$G$308,G96,$A$9:$A$308,"&lt;&gt;"&amp;A96)&gt;0,"index deja pris",""))</f>
        <v/>
      </c>
      <c r="M96" s="4"/>
    </row>
    <row r="97" customFormat="false" ht="15" hidden="false" customHeight="true" outlineLevel="0" collapsed="false">
      <c r="A97" s="4"/>
      <c r="B97" s="22"/>
      <c r="C97" s="4"/>
      <c r="D97" s="22"/>
      <c r="E97" s="22"/>
      <c r="F97" s="4"/>
      <c r="G97" s="4"/>
      <c r="H97" s="4"/>
      <c r="I97" s="23" t="str">
        <f aca="false">IF(F97="","",IF(OR(E97="Variable seule",G97=""),F97,F97&amp;"["&amp;G97&amp;"]"))</f>
        <v/>
      </c>
      <c r="J97" s="23" t="str">
        <f aca="false">IF(A97="","",COUNTIF(Cablage!$A:$A,A97))</f>
        <v/>
      </c>
      <c r="K97" s="23" t="str">
        <f aca="false">IF(A97="","",COUNTIF(Liens!$A:$A,A97))</f>
        <v/>
      </c>
      <c r="L97" s="23" t="str">
        <f aca="false">IF(OR(A97="",E97="Variable seule",F97="",G97=""),"",IF(COUNTIFS($F$9:$F$308,F97,$G$9:$G$308,G97,$A$9:$A$308,"&lt;&gt;"&amp;A97)&gt;0,"index deja pris",""))</f>
        <v/>
      </c>
      <c r="M97" s="4"/>
    </row>
    <row r="98" customFormat="false" ht="15" hidden="false" customHeight="true" outlineLevel="0" collapsed="false">
      <c r="A98" s="4"/>
      <c r="B98" s="22"/>
      <c r="C98" s="4"/>
      <c r="D98" s="22"/>
      <c r="E98" s="22"/>
      <c r="F98" s="4"/>
      <c r="G98" s="4"/>
      <c r="H98" s="4"/>
      <c r="I98" s="23" t="str">
        <f aca="false">IF(F98="","",IF(OR(E98="Variable seule",G98=""),F98,F98&amp;"["&amp;G98&amp;"]"))</f>
        <v/>
      </c>
      <c r="J98" s="23" t="str">
        <f aca="false">IF(A98="","",COUNTIF(Cablage!$A:$A,A98))</f>
        <v/>
      </c>
      <c r="K98" s="23" t="str">
        <f aca="false">IF(A98="","",COUNTIF(Liens!$A:$A,A98))</f>
        <v/>
      </c>
      <c r="L98" s="23" t="str">
        <f aca="false">IF(OR(A98="",E98="Variable seule",F98="",G98=""),"",IF(COUNTIFS($F$9:$F$308,F98,$G$9:$G$308,G98,$A$9:$A$308,"&lt;&gt;"&amp;A98)&gt;0,"index deja pris",""))</f>
        <v/>
      </c>
      <c r="M98" s="4"/>
    </row>
    <row r="99" customFormat="false" ht="15" hidden="false" customHeight="true" outlineLevel="0" collapsed="false">
      <c r="A99" s="4"/>
      <c r="B99" s="22"/>
      <c r="C99" s="4"/>
      <c r="D99" s="22"/>
      <c r="E99" s="22"/>
      <c r="F99" s="4"/>
      <c r="G99" s="4"/>
      <c r="H99" s="4"/>
      <c r="I99" s="23" t="str">
        <f aca="false">IF(F99="","",IF(OR(E99="Variable seule",G99=""),F99,F99&amp;"["&amp;G99&amp;"]"))</f>
        <v/>
      </c>
      <c r="J99" s="23" t="str">
        <f aca="false">IF(A99="","",COUNTIF(Cablage!$A:$A,A99))</f>
        <v/>
      </c>
      <c r="K99" s="23" t="str">
        <f aca="false">IF(A99="","",COUNTIF(Liens!$A:$A,A99))</f>
        <v/>
      </c>
      <c r="L99" s="23" t="str">
        <f aca="false">IF(OR(A99="",E99="Variable seule",F99="",G99=""),"",IF(COUNTIFS($F$9:$F$308,F99,$G$9:$G$308,G99,$A$9:$A$308,"&lt;&gt;"&amp;A99)&gt;0,"index deja pris",""))</f>
        <v/>
      </c>
      <c r="M99" s="4"/>
    </row>
    <row r="100" customFormat="false" ht="15" hidden="false" customHeight="true" outlineLevel="0" collapsed="false">
      <c r="A100" s="4"/>
      <c r="B100" s="22"/>
      <c r="C100" s="4"/>
      <c r="D100" s="22"/>
      <c r="E100" s="22"/>
      <c r="F100" s="4"/>
      <c r="G100" s="4"/>
      <c r="H100" s="4"/>
      <c r="I100" s="23" t="str">
        <f aca="false">IF(F100="","",IF(OR(E100="Variable seule",G100=""),F100,F100&amp;"["&amp;G100&amp;"]"))</f>
        <v/>
      </c>
      <c r="J100" s="23" t="str">
        <f aca="false">IF(A100="","",COUNTIF(Cablage!$A:$A,A100))</f>
        <v/>
      </c>
      <c r="K100" s="23" t="str">
        <f aca="false">IF(A100="","",COUNTIF(Liens!$A:$A,A100))</f>
        <v/>
      </c>
      <c r="L100" s="23" t="str">
        <f aca="false">IF(OR(A100="",E100="Variable seule",F100="",G100=""),"",IF(COUNTIFS($F$9:$F$308,F100,$G$9:$G$308,G100,$A$9:$A$308,"&lt;&gt;"&amp;A100)&gt;0,"index deja pris",""))</f>
        <v/>
      </c>
      <c r="M100" s="4"/>
    </row>
    <row r="101" customFormat="false" ht="15" hidden="false" customHeight="true" outlineLevel="0" collapsed="false">
      <c r="A101" s="4"/>
      <c r="B101" s="22"/>
      <c r="C101" s="4"/>
      <c r="D101" s="22"/>
      <c r="E101" s="22"/>
      <c r="F101" s="4"/>
      <c r="G101" s="4"/>
      <c r="H101" s="4"/>
      <c r="I101" s="23" t="str">
        <f aca="false">IF(F101="","",IF(OR(E101="Variable seule",G101=""),F101,F101&amp;"["&amp;G101&amp;"]"))</f>
        <v/>
      </c>
      <c r="J101" s="23" t="str">
        <f aca="false">IF(A101="","",COUNTIF(Cablage!$A:$A,A101))</f>
        <v/>
      </c>
      <c r="K101" s="23" t="str">
        <f aca="false">IF(A101="","",COUNTIF(Liens!$A:$A,A101))</f>
        <v/>
      </c>
      <c r="L101" s="23" t="str">
        <f aca="false">IF(OR(A101="",E101="Variable seule",F101="",G101=""),"",IF(COUNTIFS($F$9:$F$308,F101,$G$9:$G$308,G101,$A$9:$A$308,"&lt;&gt;"&amp;A101)&gt;0,"index deja pris",""))</f>
        <v/>
      </c>
      <c r="M101" s="4"/>
    </row>
    <row r="102" customFormat="false" ht="15" hidden="false" customHeight="true" outlineLevel="0" collapsed="false">
      <c r="A102" s="4"/>
      <c r="B102" s="22"/>
      <c r="C102" s="4"/>
      <c r="D102" s="22"/>
      <c r="E102" s="22"/>
      <c r="F102" s="4"/>
      <c r="G102" s="4"/>
      <c r="H102" s="4"/>
      <c r="I102" s="23" t="str">
        <f aca="false">IF(F102="","",IF(OR(E102="Variable seule",G102=""),F102,F102&amp;"["&amp;G102&amp;"]"))</f>
        <v/>
      </c>
      <c r="J102" s="23" t="str">
        <f aca="false">IF(A102="","",COUNTIF(Cablage!$A:$A,A102))</f>
        <v/>
      </c>
      <c r="K102" s="23" t="str">
        <f aca="false">IF(A102="","",COUNTIF(Liens!$A:$A,A102))</f>
        <v/>
      </c>
      <c r="L102" s="23" t="str">
        <f aca="false">IF(OR(A102="",E102="Variable seule",F102="",G102=""),"",IF(COUNTIFS($F$9:$F$308,F102,$G$9:$G$308,G102,$A$9:$A$308,"&lt;&gt;"&amp;A102)&gt;0,"index deja pris",""))</f>
        <v/>
      </c>
      <c r="M102" s="4"/>
    </row>
    <row r="103" customFormat="false" ht="15" hidden="false" customHeight="true" outlineLevel="0" collapsed="false">
      <c r="A103" s="4"/>
      <c r="B103" s="22"/>
      <c r="C103" s="4"/>
      <c r="D103" s="22"/>
      <c r="E103" s="22"/>
      <c r="F103" s="4"/>
      <c r="G103" s="4"/>
      <c r="H103" s="4"/>
      <c r="I103" s="23" t="str">
        <f aca="false">IF(F103="","",IF(OR(E103="Variable seule",G103=""),F103,F103&amp;"["&amp;G103&amp;"]"))</f>
        <v/>
      </c>
      <c r="J103" s="23" t="str">
        <f aca="false">IF(A103="","",COUNTIF(Cablage!$A:$A,A103))</f>
        <v/>
      </c>
      <c r="K103" s="23" t="str">
        <f aca="false">IF(A103="","",COUNTIF(Liens!$A:$A,A103))</f>
        <v/>
      </c>
      <c r="L103" s="23" t="str">
        <f aca="false">IF(OR(A103="",E103="Variable seule",F103="",G103=""),"",IF(COUNTIFS($F$9:$F$308,F103,$G$9:$G$308,G103,$A$9:$A$308,"&lt;&gt;"&amp;A103)&gt;0,"index deja pris",""))</f>
        <v/>
      </c>
      <c r="M103" s="4"/>
    </row>
    <row r="104" customFormat="false" ht="15" hidden="false" customHeight="true" outlineLevel="0" collapsed="false">
      <c r="A104" s="4"/>
      <c r="B104" s="22"/>
      <c r="C104" s="4"/>
      <c r="D104" s="22"/>
      <c r="E104" s="22"/>
      <c r="F104" s="4"/>
      <c r="G104" s="4"/>
      <c r="H104" s="4"/>
      <c r="I104" s="23" t="str">
        <f aca="false">IF(F104="","",IF(OR(E104="Variable seule",G104=""),F104,F104&amp;"["&amp;G104&amp;"]"))</f>
        <v/>
      </c>
      <c r="J104" s="23" t="str">
        <f aca="false">IF(A104="","",COUNTIF(Cablage!$A:$A,A104))</f>
        <v/>
      </c>
      <c r="K104" s="23" t="str">
        <f aca="false">IF(A104="","",COUNTIF(Liens!$A:$A,A104))</f>
        <v/>
      </c>
      <c r="L104" s="23" t="str">
        <f aca="false">IF(OR(A104="",E104="Variable seule",F104="",G104=""),"",IF(COUNTIFS($F$9:$F$308,F104,$G$9:$G$308,G104,$A$9:$A$308,"&lt;&gt;"&amp;A104)&gt;0,"index deja pris",""))</f>
        <v/>
      </c>
      <c r="M104" s="4"/>
    </row>
    <row r="105" customFormat="false" ht="15" hidden="false" customHeight="true" outlineLevel="0" collapsed="false">
      <c r="A105" s="4"/>
      <c r="B105" s="22"/>
      <c r="C105" s="4"/>
      <c r="D105" s="22"/>
      <c r="E105" s="22"/>
      <c r="F105" s="4"/>
      <c r="G105" s="4"/>
      <c r="H105" s="4"/>
      <c r="I105" s="23" t="str">
        <f aca="false">IF(F105="","",IF(OR(E105="Variable seule",G105=""),F105,F105&amp;"["&amp;G105&amp;"]"))</f>
        <v/>
      </c>
      <c r="J105" s="23" t="str">
        <f aca="false">IF(A105="","",COUNTIF(Cablage!$A:$A,A105))</f>
        <v/>
      </c>
      <c r="K105" s="23" t="str">
        <f aca="false">IF(A105="","",COUNTIF(Liens!$A:$A,A105))</f>
        <v/>
      </c>
      <c r="L105" s="23" t="str">
        <f aca="false">IF(OR(A105="",E105="Variable seule",F105="",G105=""),"",IF(COUNTIFS($F$9:$F$308,F105,$G$9:$G$308,G105,$A$9:$A$308,"&lt;&gt;"&amp;A105)&gt;0,"index deja pris",""))</f>
        <v/>
      </c>
      <c r="M105" s="4"/>
    </row>
    <row r="106" customFormat="false" ht="15" hidden="false" customHeight="true" outlineLevel="0" collapsed="false">
      <c r="A106" s="4"/>
      <c r="B106" s="22"/>
      <c r="C106" s="4"/>
      <c r="D106" s="22"/>
      <c r="E106" s="22"/>
      <c r="F106" s="4"/>
      <c r="G106" s="4"/>
      <c r="H106" s="4"/>
      <c r="I106" s="23" t="str">
        <f aca="false">IF(F106="","",IF(OR(E106="Variable seule",G106=""),F106,F106&amp;"["&amp;G106&amp;"]"))</f>
        <v/>
      </c>
      <c r="J106" s="23" t="str">
        <f aca="false">IF(A106="","",COUNTIF(Cablage!$A:$A,A106))</f>
        <v/>
      </c>
      <c r="K106" s="23" t="str">
        <f aca="false">IF(A106="","",COUNTIF(Liens!$A:$A,A106))</f>
        <v/>
      </c>
      <c r="L106" s="23" t="str">
        <f aca="false">IF(OR(A106="",E106="Variable seule",F106="",G106=""),"",IF(COUNTIFS($F$9:$F$308,F106,$G$9:$G$308,G106,$A$9:$A$308,"&lt;&gt;"&amp;A106)&gt;0,"index deja pris",""))</f>
        <v/>
      </c>
      <c r="M106" s="4"/>
    </row>
    <row r="107" customFormat="false" ht="15" hidden="false" customHeight="true" outlineLevel="0" collapsed="false">
      <c r="A107" s="4"/>
      <c r="B107" s="22"/>
      <c r="C107" s="4"/>
      <c r="D107" s="22"/>
      <c r="E107" s="22"/>
      <c r="F107" s="4"/>
      <c r="G107" s="4"/>
      <c r="H107" s="4"/>
      <c r="I107" s="23" t="str">
        <f aca="false">IF(F107="","",IF(OR(E107="Variable seule",G107=""),F107,F107&amp;"["&amp;G107&amp;"]"))</f>
        <v/>
      </c>
      <c r="J107" s="23" t="str">
        <f aca="false">IF(A107="","",COUNTIF(Cablage!$A:$A,A107))</f>
        <v/>
      </c>
      <c r="K107" s="23" t="str">
        <f aca="false">IF(A107="","",COUNTIF(Liens!$A:$A,A107))</f>
        <v/>
      </c>
      <c r="L107" s="23" t="str">
        <f aca="false">IF(OR(A107="",E107="Variable seule",F107="",G107=""),"",IF(COUNTIFS($F$9:$F$308,F107,$G$9:$G$308,G107,$A$9:$A$308,"&lt;&gt;"&amp;A107)&gt;0,"index deja pris",""))</f>
        <v/>
      </c>
      <c r="M107" s="4"/>
    </row>
    <row r="108" customFormat="false" ht="15" hidden="false" customHeight="true" outlineLevel="0" collapsed="false">
      <c r="A108" s="4"/>
      <c r="B108" s="22"/>
      <c r="C108" s="4"/>
      <c r="D108" s="22"/>
      <c r="E108" s="22"/>
      <c r="F108" s="4"/>
      <c r="G108" s="4"/>
      <c r="H108" s="4"/>
      <c r="I108" s="23" t="str">
        <f aca="false">IF(F108="","",IF(OR(E108="Variable seule",G108=""),F108,F108&amp;"["&amp;G108&amp;"]"))</f>
        <v/>
      </c>
      <c r="J108" s="23" t="str">
        <f aca="false">IF(A108="","",COUNTIF(Cablage!$A:$A,A108))</f>
        <v/>
      </c>
      <c r="K108" s="23" t="str">
        <f aca="false">IF(A108="","",COUNTIF(Liens!$A:$A,A108))</f>
        <v/>
      </c>
      <c r="L108" s="23" t="str">
        <f aca="false">IF(OR(A108="",E108="Variable seule",F108="",G108=""),"",IF(COUNTIFS($F$9:$F$308,F108,$G$9:$G$308,G108,$A$9:$A$308,"&lt;&gt;"&amp;A108)&gt;0,"index deja pris",""))</f>
        <v/>
      </c>
      <c r="M108" s="4"/>
    </row>
    <row r="109" customFormat="false" ht="15" hidden="false" customHeight="true" outlineLevel="0" collapsed="false">
      <c r="A109" s="4"/>
      <c r="B109" s="22"/>
      <c r="C109" s="4"/>
      <c r="D109" s="22"/>
      <c r="E109" s="22"/>
      <c r="F109" s="4"/>
      <c r="G109" s="4"/>
      <c r="H109" s="4"/>
      <c r="I109" s="23" t="str">
        <f aca="false">IF(F109="","",IF(OR(E109="Variable seule",G109=""),F109,F109&amp;"["&amp;G109&amp;"]"))</f>
        <v/>
      </c>
      <c r="J109" s="23" t="str">
        <f aca="false">IF(A109="","",COUNTIF(Cablage!$A:$A,A109))</f>
        <v/>
      </c>
      <c r="K109" s="23" t="str">
        <f aca="false">IF(A109="","",COUNTIF(Liens!$A:$A,A109))</f>
        <v/>
      </c>
      <c r="L109" s="23" t="str">
        <f aca="false">IF(OR(A109="",E109="Variable seule",F109="",G109=""),"",IF(COUNTIFS($F$9:$F$308,F109,$G$9:$G$308,G109,$A$9:$A$308,"&lt;&gt;"&amp;A109)&gt;0,"index deja pris",""))</f>
        <v/>
      </c>
      <c r="M109" s="4"/>
    </row>
    <row r="110" customFormat="false" ht="15" hidden="false" customHeight="true" outlineLevel="0" collapsed="false">
      <c r="A110" s="4"/>
      <c r="B110" s="22"/>
      <c r="C110" s="4"/>
      <c r="D110" s="22"/>
      <c r="E110" s="22"/>
      <c r="F110" s="4"/>
      <c r="G110" s="4"/>
      <c r="H110" s="4"/>
      <c r="I110" s="23" t="str">
        <f aca="false">IF(F110="","",IF(OR(E110="Variable seule",G110=""),F110,F110&amp;"["&amp;G110&amp;"]"))</f>
        <v/>
      </c>
      <c r="J110" s="23" t="str">
        <f aca="false">IF(A110="","",COUNTIF(Cablage!$A:$A,A110))</f>
        <v/>
      </c>
      <c r="K110" s="23" t="str">
        <f aca="false">IF(A110="","",COUNTIF(Liens!$A:$A,A110))</f>
        <v/>
      </c>
      <c r="L110" s="23" t="str">
        <f aca="false">IF(OR(A110="",E110="Variable seule",F110="",G110=""),"",IF(COUNTIFS($F$9:$F$308,F110,$G$9:$G$308,G110,$A$9:$A$308,"&lt;&gt;"&amp;A110)&gt;0,"index deja pris",""))</f>
        <v/>
      </c>
      <c r="M110" s="4"/>
    </row>
    <row r="111" customFormat="false" ht="15" hidden="false" customHeight="true" outlineLevel="0" collapsed="false">
      <c r="A111" s="4"/>
      <c r="B111" s="22"/>
      <c r="C111" s="4"/>
      <c r="D111" s="22"/>
      <c r="E111" s="22"/>
      <c r="F111" s="4"/>
      <c r="G111" s="4"/>
      <c r="H111" s="4"/>
      <c r="I111" s="23" t="str">
        <f aca="false">IF(F111="","",IF(OR(E111="Variable seule",G111=""),F111,F111&amp;"["&amp;G111&amp;"]"))</f>
        <v/>
      </c>
      <c r="J111" s="23" t="str">
        <f aca="false">IF(A111="","",COUNTIF(Cablage!$A:$A,A111))</f>
        <v/>
      </c>
      <c r="K111" s="23" t="str">
        <f aca="false">IF(A111="","",COUNTIF(Liens!$A:$A,A111))</f>
        <v/>
      </c>
      <c r="L111" s="23" t="str">
        <f aca="false">IF(OR(A111="",E111="Variable seule",F111="",G111=""),"",IF(COUNTIFS($F$9:$F$308,F111,$G$9:$G$308,G111,$A$9:$A$308,"&lt;&gt;"&amp;A111)&gt;0,"index deja pris",""))</f>
        <v/>
      </c>
      <c r="M111" s="4"/>
    </row>
    <row r="112" customFormat="false" ht="15" hidden="false" customHeight="true" outlineLevel="0" collapsed="false">
      <c r="A112" s="4"/>
      <c r="B112" s="22"/>
      <c r="C112" s="4"/>
      <c r="D112" s="22"/>
      <c r="E112" s="22"/>
      <c r="F112" s="4"/>
      <c r="G112" s="4"/>
      <c r="H112" s="4"/>
      <c r="I112" s="23" t="str">
        <f aca="false">IF(F112="","",IF(OR(E112="Variable seule",G112=""),F112,F112&amp;"["&amp;G112&amp;"]"))</f>
        <v/>
      </c>
      <c r="J112" s="23" t="str">
        <f aca="false">IF(A112="","",COUNTIF(Cablage!$A:$A,A112))</f>
        <v/>
      </c>
      <c r="K112" s="23" t="str">
        <f aca="false">IF(A112="","",COUNTIF(Liens!$A:$A,A112))</f>
        <v/>
      </c>
      <c r="L112" s="23" t="str">
        <f aca="false">IF(OR(A112="",E112="Variable seule",F112="",G112=""),"",IF(COUNTIFS($F$9:$F$308,F112,$G$9:$G$308,G112,$A$9:$A$308,"&lt;&gt;"&amp;A112)&gt;0,"index deja pris",""))</f>
        <v/>
      </c>
      <c r="M112" s="4"/>
    </row>
    <row r="113" customFormat="false" ht="15" hidden="false" customHeight="true" outlineLevel="0" collapsed="false">
      <c r="A113" s="4"/>
      <c r="B113" s="22"/>
      <c r="C113" s="4"/>
      <c r="D113" s="22"/>
      <c r="E113" s="22"/>
      <c r="F113" s="4"/>
      <c r="G113" s="4"/>
      <c r="H113" s="4"/>
      <c r="I113" s="23" t="str">
        <f aca="false">IF(F113="","",IF(OR(E113="Variable seule",G113=""),F113,F113&amp;"["&amp;G113&amp;"]"))</f>
        <v/>
      </c>
      <c r="J113" s="23" t="str">
        <f aca="false">IF(A113="","",COUNTIF(Cablage!$A:$A,A113))</f>
        <v/>
      </c>
      <c r="K113" s="23" t="str">
        <f aca="false">IF(A113="","",COUNTIF(Liens!$A:$A,A113))</f>
        <v/>
      </c>
      <c r="L113" s="23" t="str">
        <f aca="false">IF(OR(A113="",E113="Variable seule",F113="",G113=""),"",IF(COUNTIFS($F$9:$F$308,F113,$G$9:$G$308,G113,$A$9:$A$308,"&lt;&gt;"&amp;A113)&gt;0,"index deja pris",""))</f>
        <v/>
      </c>
      <c r="M113" s="4"/>
    </row>
    <row r="114" customFormat="false" ht="15" hidden="false" customHeight="true" outlineLevel="0" collapsed="false">
      <c r="A114" s="4"/>
      <c r="B114" s="22"/>
      <c r="C114" s="4"/>
      <c r="D114" s="22"/>
      <c r="E114" s="22"/>
      <c r="F114" s="4"/>
      <c r="G114" s="4"/>
      <c r="H114" s="4"/>
      <c r="I114" s="23" t="str">
        <f aca="false">IF(F114="","",IF(OR(E114="Variable seule",G114=""),F114,F114&amp;"["&amp;G114&amp;"]"))</f>
        <v/>
      </c>
      <c r="J114" s="23" t="str">
        <f aca="false">IF(A114="","",COUNTIF(Cablage!$A:$A,A114))</f>
        <v/>
      </c>
      <c r="K114" s="23" t="str">
        <f aca="false">IF(A114="","",COUNTIF(Liens!$A:$A,A114))</f>
        <v/>
      </c>
      <c r="L114" s="23" t="str">
        <f aca="false">IF(OR(A114="",E114="Variable seule",F114="",G114=""),"",IF(COUNTIFS($F$9:$F$308,F114,$G$9:$G$308,G114,$A$9:$A$308,"&lt;&gt;"&amp;A114)&gt;0,"index deja pris",""))</f>
        <v/>
      </c>
      <c r="M114" s="4"/>
    </row>
    <row r="115" customFormat="false" ht="15" hidden="false" customHeight="true" outlineLevel="0" collapsed="false">
      <c r="A115" s="4"/>
      <c r="B115" s="22"/>
      <c r="C115" s="4"/>
      <c r="D115" s="22"/>
      <c r="E115" s="22"/>
      <c r="F115" s="4"/>
      <c r="G115" s="4"/>
      <c r="H115" s="4"/>
      <c r="I115" s="23" t="str">
        <f aca="false">IF(F115="","",IF(OR(E115="Variable seule",G115=""),F115,F115&amp;"["&amp;G115&amp;"]"))</f>
        <v/>
      </c>
      <c r="J115" s="23" t="str">
        <f aca="false">IF(A115="","",COUNTIF(Cablage!$A:$A,A115))</f>
        <v/>
      </c>
      <c r="K115" s="23" t="str">
        <f aca="false">IF(A115="","",COUNTIF(Liens!$A:$A,A115))</f>
        <v/>
      </c>
      <c r="L115" s="23" t="str">
        <f aca="false">IF(OR(A115="",E115="Variable seule",F115="",G115=""),"",IF(COUNTIFS($F$9:$F$308,F115,$G$9:$G$308,G115,$A$9:$A$308,"&lt;&gt;"&amp;A115)&gt;0,"index deja pris",""))</f>
        <v/>
      </c>
      <c r="M115" s="4"/>
    </row>
    <row r="116" customFormat="false" ht="15" hidden="false" customHeight="true" outlineLevel="0" collapsed="false">
      <c r="A116" s="4"/>
      <c r="B116" s="22"/>
      <c r="C116" s="4"/>
      <c r="D116" s="22"/>
      <c r="E116" s="22"/>
      <c r="F116" s="4"/>
      <c r="G116" s="4"/>
      <c r="H116" s="4"/>
      <c r="I116" s="23" t="str">
        <f aca="false">IF(F116="","",IF(OR(E116="Variable seule",G116=""),F116,F116&amp;"["&amp;G116&amp;"]"))</f>
        <v/>
      </c>
      <c r="J116" s="23" t="str">
        <f aca="false">IF(A116="","",COUNTIF(Cablage!$A:$A,A116))</f>
        <v/>
      </c>
      <c r="K116" s="23" t="str">
        <f aca="false">IF(A116="","",COUNTIF(Liens!$A:$A,A116))</f>
        <v/>
      </c>
      <c r="L116" s="23" t="str">
        <f aca="false">IF(OR(A116="",E116="Variable seule",F116="",G116=""),"",IF(COUNTIFS($F$9:$F$308,F116,$G$9:$G$308,G116,$A$9:$A$308,"&lt;&gt;"&amp;A116)&gt;0,"index deja pris",""))</f>
        <v/>
      </c>
      <c r="M116" s="4"/>
    </row>
    <row r="117" customFormat="false" ht="15" hidden="false" customHeight="true" outlineLevel="0" collapsed="false">
      <c r="A117" s="4"/>
      <c r="B117" s="22"/>
      <c r="C117" s="4"/>
      <c r="D117" s="22"/>
      <c r="E117" s="22"/>
      <c r="F117" s="4"/>
      <c r="G117" s="4"/>
      <c r="H117" s="4"/>
      <c r="I117" s="23" t="str">
        <f aca="false">IF(F117="","",IF(OR(E117="Variable seule",G117=""),F117,F117&amp;"["&amp;G117&amp;"]"))</f>
        <v/>
      </c>
      <c r="J117" s="23" t="str">
        <f aca="false">IF(A117="","",COUNTIF(Cablage!$A:$A,A117))</f>
        <v/>
      </c>
      <c r="K117" s="23" t="str">
        <f aca="false">IF(A117="","",COUNTIF(Liens!$A:$A,A117))</f>
        <v/>
      </c>
      <c r="L117" s="23" t="str">
        <f aca="false">IF(OR(A117="",E117="Variable seule",F117="",G117=""),"",IF(COUNTIFS($F$9:$F$308,F117,$G$9:$G$308,G117,$A$9:$A$308,"&lt;&gt;"&amp;A117)&gt;0,"index deja pris",""))</f>
        <v/>
      </c>
      <c r="M117" s="4"/>
    </row>
    <row r="118" customFormat="false" ht="15" hidden="false" customHeight="true" outlineLevel="0" collapsed="false">
      <c r="A118" s="4"/>
      <c r="B118" s="22"/>
      <c r="C118" s="4"/>
      <c r="D118" s="22"/>
      <c r="E118" s="22"/>
      <c r="F118" s="4"/>
      <c r="G118" s="4"/>
      <c r="H118" s="4"/>
      <c r="I118" s="23" t="str">
        <f aca="false">IF(F118="","",IF(OR(E118="Variable seule",G118=""),F118,F118&amp;"["&amp;G118&amp;"]"))</f>
        <v/>
      </c>
      <c r="J118" s="23" t="str">
        <f aca="false">IF(A118="","",COUNTIF(Cablage!$A:$A,A118))</f>
        <v/>
      </c>
      <c r="K118" s="23" t="str">
        <f aca="false">IF(A118="","",COUNTIF(Liens!$A:$A,A118))</f>
        <v/>
      </c>
      <c r="L118" s="23" t="str">
        <f aca="false">IF(OR(A118="",E118="Variable seule",F118="",G118=""),"",IF(COUNTIFS($F$9:$F$308,F118,$G$9:$G$308,G118,$A$9:$A$308,"&lt;&gt;"&amp;A118)&gt;0,"index deja pris",""))</f>
        <v/>
      </c>
      <c r="M118" s="4"/>
    </row>
    <row r="119" customFormat="false" ht="15" hidden="false" customHeight="true" outlineLevel="0" collapsed="false">
      <c r="A119" s="4"/>
      <c r="B119" s="22"/>
      <c r="C119" s="4"/>
      <c r="D119" s="22"/>
      <c r="E119" s="22"/>
      <c r="F119" s="4"/>
      <c r="G119" s="4"/>
      <c r="H119" s="4"/>
      <c r="I119" s="23" t="str">
        <f aca="false">IF(F119="","",IF(OR(E119="Variable seule",G119=""),F119,F119&amp;"["&amp;G119&amp;"]"))</f>
        <v/>
      </c>
      <c r="J119" s="23" t="str">
        <f aca="false">IF(A119="","",COUNTIF(Cablage!$A:$A,A119))</f>
        <v/>
      </c>
      <c r="K119" s="23" t="str">
        <f aca="false">IF(A119="","",COUNTIF(Liens!$A:$A,A119))</f>
        <v/>
      </c>
      <c r="L119" s="23" t="str">
        <f aca="false">IF(OR(A119="",E119="Variable seule",F119="",G119=""),"",IF(COUNTIFS($F$9:$F$308,F119,$G$9:$G$308,G119,$A$9:$A$308,"&lt;&gt;"&amp;A119)&gt;0,"index deja pris",""))</f>
        <v/>
      </c>
      <c r="M119" s="4"/>
    </row>
    <row r="120" customFormat="false" ht="15" hidden="false" customHeight="true" outlineLevel="0" collapsed="false">
      <c r="A120" s="4"/>
      <c r="B120" s="22"/>
      <c r="C120" s="4"/>
      <c r="D120" s="22"/>
      <c r="E120" s="22"/>
      <c r="F120" s="4"/>
      <c r="G120" s="4"/>
      <c r="H120" s="4"/>
      <c r="I120" s="23" t="str">
        <f aca="false">IF(F120="","",IF(OR(E120="Variable seule",G120=""),F120,F120&amp;"["&amp;G120&amp;"]"))</f>
        <v/>
      </c>
      <c r="J120" s="23" t="str">
        <f aca="false">IF(A120="","",COUNTIF(Cablage!$A:$A,A120))</f>
        <v/>
      </c>
      <c r="K120" s="23" t="str">
        <f aca="false">IF(A120="","",COUNTIF(Liens!$A:$A,A120))</f>
        <v/>
      </c>
      <c r="L120" s="23" t="str">
        <f aca="false">IF(OR(A120="",E120="Variable seule",F120="",G120=""),"",IF(COUNTIFS($F$9:$F$308,F120,$G$9:$G$308,G120,$A$9:$A$308,"&lt;&gt;"&amp;A120)&gt;0,"index deja pris",""))</f>
        <v/>
      </c>
      <c r="M120" s="4"/>
    </row>
    <row r="121" customFormat="false" ht="15" hidden="false" customHeight="true" outlineLevel="0" collapsed="false">
      <c r="A121" s="4"/>
      <c r="B121" s="22"/>
      <c r="C121" s="4"/>
      <c r="D121" s="22"/>
      <c r="E121" s="22"/>
      <c r="F121" s="4"/>
      <c r="G121" s="4"/>
      <c r="H121" s="4"/>
      <c r="I121" s="23" t="str">
        <f aca="false">IF(F121="","",IF(OR(E121="Variable seule",G121=""),F121,F121&amp;"["&amp;G121&amp;"]"))</f>
        <v/>
      </c>
      <c r="J121" s="23" t="str">
        <f aca="false">IF(A121="","",COUNTIF(Cablage!$A:$A,A121))</f>
        <v/>
      </c>
      <c r="K121" s="23" t="str">
        <f aca="false">IF(A121="","",COUNTIF(Liens!$A:$A,A121))</f>
        <v/>
      </c>
      <c r="L121" s="23" t="str">
        <f aca="false">IF(OR(A121="",E121="Variable seule",F121="",G121=""),"",IF(COUNTIFS($F$9:$F$308,F121,$G$9:$G$308,G121,$A$9:$A$308,"&lt;&gt;"&amp;A121)&gt;0,"index deja pris",""))</f>
        <v/>
      </c>
      <c r="M121" s="4"/>
    </row>
    <row r="122" customFormat="false" ht="15" hidden="false" customHeight="true" outlineLevel="0" collapsed="false">
      <c r="A122" s="4"/>
      <c r="B122" s="22"/>
      <c r="C122" s="4"/>
      <c r="D122" s="22"/>
      <c r="E122" s="22"/>
      <c r="F122" s="4"/>
      <c r="G122" s="4"/>
      <c r="H122" s="4"/>
      <c r="I122" s="23" t="str">
        <f aca="false">IF(F122="","",IF(OR(E122="Variable seule",G122=""),F122,F122&amp;"["&amp;G122&amp;"]"))</f>
        <v/>
      </c>
      <c r="J122" s="23" t="str">
        <f aca="false">IF(A122="","",COUNTIF(Cablage!$A:$A,A122))</f>
        <v/>
      </c>
      <c r="K122" s="23" t="str">
        <f aca="false">IF(A122="","",COUNTIF(Liens!$A:$A,A122))</f>
        <v/>
      </c>
      <c r="L122" s="23" t="str">
        <f aca="false">IF(OR(A122="",E122="Variable seule",F122="",G122=""),"",IF(COUNTIFS($F$9:$F$308,F122,$G$9:$G$308,G122,$A$9:$A$308,"&lt;&gt;"&amp;A122)&gt;0,"index deja pris",""))</f>
        <v/>
      </c>
      <c r="M122" s="4"/>
    </row>
    <row r="123" customFormat="false" ht="15" hidden="false" customHeight="true" outlineLevel="0" collapsed="false">
      <c r="A123" s="4"/>
      <c r="B123" s="22"/>
      <c r="C123" s="4"/>
      <c r="D123" s="22"/>
      <c r="E123" s="22"/>
      <c r="F123" s="4"/>
      <c r="G123" s="4"/>
      <c r="H123" s="4"/>
      <c r="I123" s="23" t="str">
        <f aca="false">IF(F123="","",IF(OR(E123="Variable seule",G123=""),F123,F123&amp;"["&amp;G123&amp;"]"))</f>
        <v/>
      </c>
      <c r="J123" s="23" t="str">
        <f aca="false">IF(A123="","",COUNTIF(Cablage!$A:$A,A123))</f>
        <v/>
      </c>
      <c r="K123" s="23" t="str">
        <f aca="false">IF(A123="","",COUNTIF(Liens!$A:$A,A123))</f>
        <v/>
      </c>
      <c r="L123" s="23" t="str">
        <f aca="false">IF(OR(A123="",E123="Variable seule",F123="",G123=""),"",IF(COUNTIFS($F$9:$F$308,F123,$G$9:$G$308,G123,$A$9:$A$308,"&lt;&gt;"&amp;A123)&gt;0,"index deja pris",""))</f>
        <v/>
      </c>
      <c r="M123" s="4"/>
    </row>
    <row r="124" customFormat="false" ht="15" hidden="false" customHeight="true" outlineLevel="0" collapsed="false">
      <c r="A124" s="4"/>
      <c r="B124" s="22"/>
      <c r="C124" s="4"/>
      <c r="D124" s="22"/>
      <c r="E124" s="22"/>
      <c r="F124" s="4"/>
      <c r="G124" s="4"/>
      <c r="H124" s="4"/>
      <c r="I124" s="23" t="str">
        <f aca="false">IF(F124="","",IF(OR(E124="Variable seule",G124=""),F124,F124&amp;"["&amp;G124&amp;"]"))</f>
        <v/>
      </c>
      <c r="J124" s="23" t="str">
        <f aca="false">IF(A124="","",COUNTIF(Cablage!$A:$A,A124))</f>
        <v/>
      </c>
      <c r="K124" s="23" t="str">
        <f aca="false">IF(A124="","",COUNTIF(Liens!$A:$A,A124))</f>
        <v/>
      </c>
      <c r="L124" s="23" t="str">
        <f aca="false">IF(OR(A124="",E124="Variable seule",F124="",G124=""),"",IF(COUNTIFS($F$9:$F$308,F124,$G$9:$G$308,G124,$A$9:$A$308,"&lt;&gt;"&amp;A124)&gt;0,"index deja pris",""))</f>
        <v/>
      </c>
      <c r="M124" s="4"/>
    </row>
    <row r="125" customFormat="false" ht="15" hidden="false" customHeight="true" outlineLevel="0" collapsed="false">
      <c r="A125" s="4"/>
      <c r="B125" s="22"/>
      <c r="C125" s="4"/>
      <c r="D125" s="22"/>
      <c r="E125" s="22"/>
      <c r="F125" s="4"/>
      <c r="G125" s="4"/>
      <c r="H125" s="4"/>
      <c r="I125" s="23" t="str">
        <f aca="false">IF(F125="","",IF(OR(E125="Variable seule",G125=""),F125,F125&amp;"["&amp;G125&amp;"]"))</f>
        <v/>
      </c>
      <c r="J125" s="23" t="str">
        <f aca="false">IF(A125="","",COUNTIF(Cablage!$A:$A,A125))</f>
        <v/>
      </c>
      <c r="K125" s="23" t="str">
        <f aca="false">IF(A125="","",COUNTIF(Liens!$A:$A,A125))</f>
        <v/>
      </c>
      <c r="L125" s="23" t="str">
        <f aca="false">IF(OR(A125="",E125="Variable seule",F125="",G125=""),"",IF(COUNTIFS($F$9:$F$308,F125,$G$9:$G$308,G125,$A$9:$A$308,"&lt;&gt;"&amp;A125)&gt;0,"index deja pris",""))</f>
        <v/>
      </c>
      <c r="M125" s="4"/>
    </row>
    <row r="126" customFormat="false" ht="15" hidden="false" customHeight="true" outlineLevel="0" collapsed="false">
      <c r="A126" s="4"/>
      <c r="B126" s="22"/>
      <c r="C126" s="4"/>
      <c r="D126" s="22"/>
      <c r="E126" s="22"/>
      <c r="F126" s="4"/>
      <c r="G126" s="4"/>
      <c r="H126" s="4"/>
      <c r="I126" s="23" t="str">
        <f aca="false">IF(F126="","",IF(OR(E126="Variable seule",G126=""),F126,F126&amp;"["&amp;G126&amp;"]"))</f>
        <v/>
      </c>
      <c r="J126" s="23" t="str">
        <f aca="false">IF(A126="","",COUNTIF(Cablage!$A:$A,A126))</f>
        <v/>
      </c>
      <c r="K126" s="23" t="str">
        <f aca="false">IF(A126="","",COUNTIF(Liens!$A:$A,A126))</f>
        <v/>
      </c>
      <c r="L126" s="23" t="str">
        <f aca="false">IF(OR(A126="",E126="Variable seule",F126="",G126=""),"",IF(COUNTIFS($F$9:$F$308,F126,$G$9:$G$308,G126,$A$9:$A$308,"&lt;&gt;"&amp;A126)&gt;0,"index deja pris",""))</f>
        <v/>
      </c>
      <c r="M126" s="4"/>
    </row>
    <row r="127" customFormat="false" ht="15" hidden="false" customHeight="true" outlineLevel="0" collapsed="false">
      <c r="A127" s="4"/>
      <c r="B127" s="22"/>
      <c r="C127" s="4"/>
      <c r="D127" s="22"/>
      <c r="E127" s="22"/>
      <c r="F127" s="4"/>
      <c r="G127" s="4"/>
      <c r="H127" s="4"/>
      <c r="I127" s="23" t="str">
        <f aca="false">IF(F127="","",IF(OR(E127="Variable seule",G127=""),F127,F127&amp;"["&amp;G127&amp;"]"))</f>
        <v/>
      </c>
      <c r="J127" s="23" t="str">
        <f aca="false">IF(A127="","",COUNTIF(Cablage!$A:$A,A127))</f>
        <v/>
      </c>
      <c r="K127" s="23" t="str">
        <f aca="false">IF(A127="","",COUNTIF(Liens!$A:$A,A127))</f>
        <v/>
      </c>
      <c r="L127" s="23" t="str">
        <f aca="false">IF(OR(A127="",E127="Variable seule",F127="",G127=""),"",IF(COUNTIFS($F$9:$F$308,F127,$G$9:$G$308,G127,$A$9:$A$308,"&lt;&gt;"&amp;A127)&gt;0,"index deja pris",""))</f>
        <v/>
      </c>
      <c r="M127" s="4"/>
    </row>
    <row r="128" customFormat="false" ht="15" hidden="false" customHeight="true" outlineLevel="0" collapsed="false">
      <c r="A128" s="4"/>
      <c r="B128" s="22"/>
      <c r="C128" s="4"/>
      <c r="D128" s="22"/>
      <c r="E128" s="22"/>
      <c r="F128" s="4"/>
      <c r="G128" s="4"/>
      <c r="H128" s="4"/>
      <c r="I128" s="23" t="str">
        <f aca="false">IF(F128="","",IF(OR(E128="Variable seule",G128=""),F128,F128&amp;"["&amp;G128&amp;"]"))</f>
        <v/>
      </c>
      <c r="J128" s="23" t="str">
        <f aca="false">IF(A128="","",COUNTIF(Cablage!$A:$A,A128))</f>
        <v/>
      </c>
      <c r="K128" s="23" t="str">
        <f aca="false">IF(A128="","",COUNTIF(Liens!$A:$A,A128))</f>
        <v/>
      </c>
      <c r="L128" s="23" t="str">
        <f aca="false">IF(OR(A128="",E128="Variable seule",F128="",G128=""),"",IF(COUNTIFS($F$9:$F$308,F128,$G$9:$G$308,G128,$A$9:$A$308,"&lt;&gt;"&amp;A128)&gt;0,"index deja pris",""))</f>
        <v/>
      </c>
      <c r="M128" s="4"/>
    </row>
    <row r="129" customFormat="false" ht="15" hidden="false" customHeight="true" outlineLevel="0" collapsed="false">
      <c r="A129" s="4"/>
      <c r="B129" s="22"/>
      <c r="C129" s="4"/>
      <c r="D129" s="22"/>
      <c r="E129" s="22"/>
      <c r="F129" s="4"/>
      <c r="G129" s="4"/>
      <c r="H129" s="4"/>
      <c r="I129" s="23" t="str">
        <f aca="false">IF(F129="","",IF(OR(E129="Variable seule",G129=""),F129,F129&amp;"["&amp;G129&amp;"]"))</f>
        <v/>
      </c>
      <c r="J129" s="23" t="str">
        <f aca="false">IF(A129="","",COUNTIF(Cablage!$A:$A,A129))</f>
        <v/>
      </c>
      <c r="K129" s="23" t="str">
        <f aca="false">IF(A129="","",COUNTIF(Liens!$A:$A,A129))</f>
        <v/>
      </c>
      <c r="L129" s="23" t="str">
        <f aca="false">IF(OR(A129="",E129="Variable seule",F129="",G129=""),"",IF(COUNTIFS($F$9:$F$308,F129,$G$9:$G$308,G129,$A$9:$A$308,"&lt;&gt;"&amp;A129)&gt;0,"index deja pris",""))</f>
        <v/>
      </c>
      <c r="M129" s="4"/>
    </row>
    <row r="130" customFormat="false" ht="15" hidden="false" customHeight="true" outlineLevel="0" collapsed="false">
      <c r="A130" s="4"/>
      <c r="B130" s="22"/>
      <c r="C130" s="4"/>
      <c r="D130" s="22"/>
      <c r="E130" s="22"/>
      <c r="F130" s="4"/>
      <c r="G130" s="4"/>
      <c r="H130" s="4"/>
      <c r="I130" s="23" t="str">
        <f aca="false">IF(F130="","",IF(OR(E130="Variable seule",G130=""),F130,F130&amp;"["&amp;G130&amp;"]"))</f>
        <v/>
      </c>
      <c r="J130" s="23" t="str">
        <f aca="false">IF(A130="","",COUNTIF(Cablage!$A:$A,A130))</f>
        <v/>
      </c>
      <c r="K130" s="23" t="str">
        <f aca="false">IF(A130="","",COUNTIF(Liens!$A:$A,A130))</f>
        <v/>
      </c>
      <c r="L130" s="23" t="str">
        <f aca="false">IF(OR(A130="",E130="Variable seule",F130="",G130=""),"",IF(COUNTIFS($F$9:$F$308,F130,$G$9:$G$308,G130,$A$9:$A$308,"&lt;&gt;"&amp;A130)&gt;0,"index deja pris",""))</f>
        <v/>
      </c>
      <c r="M130" s="4"/>
    </row>
    <row r="131" customFormat="false" ht="15" hidden="false" customHeight="true" outlineLevel="0" collapsed="false">
      <c r="A131" s="4"/>
      <c r="B131" s="22"/>
      <c r="C131" s="4"/>
      <c r="D131" s="22"/>
      <c r="E131" s="22"/>
      <c r="F131" s="4"/>
      <c r="G131" s="4"/>
      <c r="H131" s="4"/>
      <c r="I131" s="23" t="str">
        <f aca="false">IF(F131="","",IF(OR(E131="Variable seule",G131=""),F131,F131&amp;"["&amp;G131&amp;"]"))</f>
        <v/>
      </c>
      <c r="J131" s="23" t="str">
        <f aca="false">IF(A131="","",COUNTIF(Cablage!$A:$A,A131))</f>
        <v/>
      </c>
      <c r="K131" s="23" t="str">
        <f aca="false">IF(A131="","",COUNTIF(Liens!$A:$A,A131))</f>
        <v/>
      </c>
      <c r="L131" s="23" t="str">
        <f aca="false">IF(OR(A131="",E131="Variable seule",F131="",G131=""),"",IF(COUNTIFS($F$9:$F$308,F131,$G$9:$G$308,G131,$A$9:$A$308,"&lt;&gt;"&amp;A131)&gt;0,"index deja pris",""))</f>
        <v/>
      </c>
      <c r="M131" s="4"/>
    </row>
    <row r="132" customFormat="false" ht="15" hidden="false" customHeight="true" outlineLevel="0" collapsed="false">
      <c r="A132" s="4"/>
      <c r="B132" s="22"/>
      <c r="C132" s="4"/>
      <c r="D132" s="22"/>
      <c r="E132" s="22"/>
      <c r="F132" s="4"/>
      <c r="G132" s="4"/>
      <c r="H132" s="4"/>
      <c r="I132" s="23" t="str">
        <f aca="false">IF(F132="","",IF(OR(E132="Variable seule",G132=""),F132,F132&amp;"["&amp;G132&amp;"]"))</f>
        <v/>
      </c>
      <c r="J132" s="23" t="str">
        <f aca="false">IF(A132="","",COUNTIF(Cablage!$A:$A,A132))</f>
        <v/>
      </c>
      <c r="K132" s="23" t="str">
        <f aca="false">IF(A132="","",COUNTIF(Liens!$A:$A,A132))</f>
        <v/>
      </c>
      <c r="L132" s="23" t="str">
        <f aca="false">IF(OR(A132="",E132="Variable seule",F132="",G132=""),"",IF(COUNTIFS($F$9:$F$308,F132,$G$9:$G$308,G132,$A$9:$A$308,"&lt;&gt;"&amp;A132)&gt;0,"index deja pris",""))</f>
        <v/>
      </c>
      <c r="M132" s="4"/>
    </row>
    <row r="133" customFormat="false" ht="15" hidden="false" customHeight="true" outlineLevel="0" collapsed="false">
      <c r="A133" s="4"/>
      <c r="B133" s="22"/>
      <c r="C133" s="4"/>
      <c r="D133" s="22"/>
      <c r="E133" s="22"/>
      <c r="F133" s="4"/>
      <c r="G133" s="4"/>
      <c r="H133" s="4"/>
      <c r="I133" s="23" t="str">
        <f aca="false">IF(F133="","",IF(OR(E133="Variable seule",G133=""),F133,F133&amp;"["&amp;G133&amp;"]"))</f>
        <v/>
      </c>
      <c r="J133" s="23" t="str">
        <f aca="false">IF(A133="","",COUNTIF(Cablage!$A:$A,A133))</f>
        <v/>
      </c>
      <c r="K133" s="23" t="str">
        <f aca="false">IF(A133="","",COUNTIF(Liens!$A:$A,A133))</f>
        <v/>
      </c>
      <c r="L133" s="23" t="str">
        <f aca="false">IF(OR(A133="",E133="Variable seule",F133="",G133=""),"",IF(COUNTIFS($F$9:$F$308,F133,$G$9:$G$308,G133,$A$9:$A$308,"&lt;&gt;"&amp;A133)&gt;0,"index deja pris",""))</f>
        <v/>
      </c>
      <c r="M133" s="4"/>
    </row>
    <row r="134" customFormat="false" ht="15" hidden="false" customHeight="true" outlineLevel="0" collapsed="false">
      <c r="A134" s="4"/>
      <c r="B134" s="22"/>
      <c r="C134" s="4"/>
      <c r="D134" s="22"/>
      <c r="E134" s="22"/>
      <c r="F134" s="4"/>
      <c r="G134" s="4"/>
      <c r="H134" s="4"/>
      <c r="I134" s="23" t="str">
        <f aca="false">IF(F134="","",IF(OR(E134="Variable seule",G134=""),F134,F134&amp;"["&amp;G134&amp;"]"))</f>
        <v/>
      </c>
      <c r="J134" s="23" t="str">
        <f aca="false">IF(A134="","",COUNTIF(Cablage!$A:$A,A134))</f>
        <v/>
      </c>
      <c r="K134" s="23" t="str">
        <f aca="false">IF(A134="","",COUNTIF(Liens!$A:$A,A134))</f>
        <v/>
      </c>
      <c r="L134" s="23" t="str">
        <f aca="false">IF(OR(A134="",E134="Variable seule",F134="",G134=""),"",IF(COUNTIFS($F$9:$F$308,F134,$G$9:$G$308,G134,$A$9:$A$308,"&lt;&gt;"&amp;A134)&gt;0,"index deja pris",""))</f>
        <v/>
      </c>
      <c r="M134" s="4"/>
    </row>
    <row r="135" customFormat="false" ht="15" hidden="false" customHeight="true" outlineLevel="0" collapsed="false">
      <c r="A135" s="4"/>
      <c r="B135" s="22"/>
      <c r="C135" s="4"/>
      <c r="D135" s="22"/>
      <c r="E135" s="22"/>
      <c r="F135" s="4"/>
      <c r="G135" s="4"/>
      <c r="H135" s="4"/>
      <c r="I135" s="23" t="str">
        <f aca="false">IF(F135="","",IF(OR(E135="Variable seule",G135=""),F135,F135&amp;"["&amp;G135&amp;"]"))</f>
        <v/>
      </c>
      <c r="J135" s="23" t="str">
        <f aca="false">IF(A135="","",COUNTIF(Cablage!$A:$A,A135))</f>
        <v/>
      </c>
      <c r="K135" s="23" t="str">
        <f aca="false">IF(A135="","",COUNTIF(Liens!$A:$A,A135))</f>
        <v/>
      </c>
      <c r="L135" s="23" t="str">
        <f aca="false">IF(OR(A135="",E135="Variable seule",F135="",G135=""),"",IF(COUNTIFS($F$9:$F$308,F135,$G$9:$G$308,G135,$A$9:$A$308,"&lt;&gt;"&amp;A135)&gt;0,"index deja pris",""))</f>
        <v/>
      </c>
      <c r="M135" s="4"/>
    </row>
    <row r="136" customFormat="false" ht="15" hidden="false" customHeight="true" outlineLevel="0" collapsed="false">
      <c r="A136" s="4"/>
      <c r="B136" s="22"/>
      <c r="C136" s="4"/>
      <c r="D136" s="22"/>
      <c r="E136" s="22"/>
      <c r="F136" s="4"/>
      <c r="G136" s="4"/>
      <c r="H136" s="4"/>
      <c r="I136" s="23" t="str">
        <f aca="false">IF(F136="","",IF(OR(E136="Variable seule",G136=""),F136,F136&amp;"["&amp;G136&amp;"]"))</f>
        <v/>
      </c>
      <c r="J136" s="23" t="str">
        <f aca="false">IF(A136="","",COUNTIF(Cablage!$A:$A,A136))</f>
        <v/>
      </c>
      <c r="K136" s="23" t="str">
        <f aca="false">IF(A136="","",COUNTIF(Liens!$A:$A,A136))</f>
        <v/>
      </c>
      <c r="L136" s="23" t="str">
        <f aca="false">IF(OR(A136="",E136="Variable seule",F136="",G136=""),"",IF(COUNTIFS($F$9:$F$308,F136,$G$9:$G$308,G136,$A$9:$A$308,"&lt;&gt;"&amp;A136)&gt;0,"index deja pris",""))</f>
        <v/>
      </c>
      <c r="M136" s="4"/>
    </row>
    <row r="137" customFormat="false" ht="15" hidden="false" customHeight="true" outlineLevel="0" collapsed="false">
      <c r="A137" s="4"/>
      <c r="B137" s="22"/>
      <c r="C137" s="4"/>
      <c r="D137" s="22"/>
      <c r="E137" s="22"/>
      <c r="F137" s="4"/>
      <c r="G137" s="4"/>
      <c r="H137" s="4"/>
      <c r="I137" s="23" t="str">
        <f aca="false">IF(F137="","",IF(OR(E137="Variable seule",G137=""),F137,F137&amp;"["&amp;G137&amp;"]"))</f>
        <v/>
      </c>
      <c r="J137" s="23" t="str">
        <f aca="false">IF(A137="","",COUNTIF(Cablage!$A:$A,A137))</f>
        <v/>
      </c>
      <c r="K137" s="23" t="str">
        <f aca="false">IF(A137="","",COUNTIF(Liens!$A:$A,A137))</f>
        <v/>
      </c>
      <c r="L137" s="23" t="str">
        <f aca="false">IF(OR(A137="",E137="Variable seule",F137="",G137=""),"",IF(COUNTIFS($F$9:$F$308,F137,$G$9:$G$308,G137,$A$9:$A$308,"&lt;&gt;"&amp;A137)&gt;0,"index deja pris",""))</f>
        <v/>
      </c>
      <c r="M137" s="4"/>
    </row>
    <row r="138" customFormat="false" ht="15" hidden="false" customHeight="true" outlineLevel="0" collapsed="false">
      <c r="A138" s="4"/>
      <c r="B138" s="22"/>
      <c r="C138" s="4"/>
      <c r="D138" s="22"/>
      <c r="E138" s="22"/>
      <c r="F138" s="4"/>
      <c r="G138" s="4"/>
      <c r="H138" s="4"/>
      <c r="I138" s="23" t="str">
        <f aca="false">IF(F138="","",IF(OR(E138="Variable seule",G138=""),F138,F138&amp;"["&amp;G138&amp;"]"))</f>
        <v/>
      </c>
      <c r="J138" s="23" t="str">
        <f aca="false">IF(A138="","",COUNTIF(Cablage!$A:$A,A138))</f>
        <v/>
      </c>
      <c r="K138" s="23" t="str">
        <f aca="false">IF(A138="","",COUNTIF(Liens!$A:$A,A138))</f>
        <v/>
      </c>
      <c r="L138" s="23" t="str">
        <f aca="false">IF(OR(A138="",E138="Variable seule",F138="",G138=""),"",IF(COUNTIFS($F$9:$F$308,F138,$G$9:$G$308,G138,$A$9:$A$308,"&lt;&gt;"&amp;A138)&gt;0,"index deja pris",""))</f>
        <v/>
      </c>
      <c r="M138" s="4"/>
    </row>
    <row r="139" customFormat="false" ht="15" hidden="false" customHeight="true" outlineLevel="0" collapsed="false">
      <c r="A139" s="4"/>
      <c r="B139" s="22"/>
      <c r="C139" s="4"/>
      <c r="D139" s="22"/>
      <c r="E139" s="22"/>
      <c r="F139" s="4"/>
      <c r="G139" s="4"/>
      <c r="H139" s="4"/>
      <c r="I139" s="23" t="str">
        <f aca="false">IF(F139="","",IF(OR(E139="Variable seule",G139=""),F139,F139&amp;"["&amp;G139&amp;"]"))</f>
        <v/>
      </c>
      <c r="J139" s="23" t="str">
        <f aca="false">IF(A139="","",COUNTIF(Cablage!$A:$A,A139))</f>
        <v/>
      </c>
      <c r="K139" s="23" t="str">
        <f aca="false">IF(A139="","",COUNTIF(Liens!$A:$A,A139))</f>
        <v/>
      </c>
      <c r="L139" s="23" t="str">
        <f aca="false">IF(OR(A139="",E139="Variable seule",F139="",G139=""),"",IF(COUNTIFS($F$9:$F$308,F139,$G$9:$G$308,G139,$A$9:$A$308,"&lt;&gt;"&amp;A139)&gt;0,"index deja pris",""))</f>
        <v/>
      </c>
      <c r="M139" s="4"/>
    </row>
    <row r="140" customFormat="false" ht="15" hidden="false" customHeight="true" outlineLevel="0" collapsed="false">
      <c r="A140" s="4"/>
      <c r="B140" s="22"/>
      <c r="C140" s="4"/>
      <c r="D140" s="22"/>
      <c r="E140" s="22"/>
      <c r="F140" s="4"/>
      <c r="G140" s="4"/>
      <c r="H140" s="4"/>
      <c r="I140" s="23" t="str">
        <f aca="false">IF(F140="","",IF(OR(E140="Variable seule",G140=""),F140,F140&amp;"["&amp;G140&amp;"]"))</f>
        <v/>
      </c>
      <c r="J140" s="23" t="str">
        <f aca="false">IF(A140="","",COUNTIF(Cablage!$A:$A,A140))</f>
        <v/>
      </c>
      <c r="K140" s="23" t="str">
        <f aca="false">IF(A140="","",COUNTIF(Liens!$A:$A,A140))</f>
        <v/>
      </c>
      <c r="L140" s="23" t="str">
        <f aca="false">IF(OR(A140="",E140="Variable seule",F140="",G140=""),"",IF(COUNTIFS($F$9:$F$308,F140,$G$9:$G$308,G140,$A$9:$A$308,"&lt;&gt;"&amp;A140)&gt;0,"index deja pris",""))</f>
        <v/>
      </c>
      <c r="M140" s="4"/>
    </row>
    <row r="141" customFormat="false" ht="15" hidden="false" customHeight="true" outlineLevel="0" collapsed="false">
      <c r="A141" s="4"/>
      <c r="B141" s="22"/>
      <c r="C141" s="4"/>
      <c r="D141" s="22"/>
      <c r="E141" s="22"/>
      <c r="F141" s="4"/>
      <c r="G141" s="4"/>
      <c r="H141" s="4"/>
      <c r="I141" s="23" t="str">
        <f aca="false">IF(F141="","",IF(OR(E141="Variable seule",G141=""),F141,F141&amp;"["&amp;G141&amp;"]"))</f>
        <v/>
      </c>
      <c r="J141" s="23" t="str">
        <f aca="false">IF(A141="","",COUNTIF(Cablage!$A:$A,A141))</f>
        <v/>
      </c>
      <c r="K141" s="23" t="str">
        <f aca="false">IF(A141="","",COUNTIF(Liens!$A:$A,A141))</f>
        <v/>
      </c>
      <c r="L141" s="23" t="str">
        <f aca="false">IF(OR(A141="",E141="Variable seule",F141="",G141=""),"",IF(COUNTIFS($F$9:$F$308,F141,$G$9:$G$308,G141,$A$9:$A$308,"&lt;&gt;"&amp;A141)&gt;0,"index deja pris",""))</f>
        <v/>
      </c>
      <c r="M141" s="4"/>
    </row>
    <row r="142" customFormat="false" ht="15" hidden="false" customHeight="true" outlineLevel="0" collapsed="false">
      <c r="A142" s="4"/>
      <c r="B142" s="22"/>
      <c r="C142" s="4"/>
      <c r="D142" s="22"/>
      <c r="E142" s="22"/>
      <c r="F142" s="4"/>
      <c r="G142" s="4"/>
      <c r="H142" s="4"/>
      <c r="I142" s="23" t="str">
        <f aca="false">IF(F142="","",IF(OR(E142="Variable seule",G142=""),F142,F142&amp;"["&amp;G142&amp;"]"))</f>
        <v/>
      </c>
      <c r="J142" s="23" t="str">
        <f aca="false">IF(A142="","",COUNTIF(Cablage!$A:$A,A142))</f>
        <v/>
      </c>
      <c r="K142" s="23" t="str">
        <f aca="false">IF(A142="","",COUNTIF(Liens!$A:$A,A142))</f>
        <v/>
      </c>
      <c r="L142" s="23" t="str">
        <f aca="false">IF(OR(A142="",E142="Variable seule",F142="",G142=""),"",IF(COUNTIFS($F$9:$F$308,F142,$G$9:$G$308,G142,$A$9:$A$308,"&lt;&gt;"&amp;A142)&gt;0,"index deja pris",""))</f>
        <v/>
      </c>
      <c r="M142" s="4"/>
    </row>
    <row r="143" customFormat="false" ht="15" hidden="false" customHeight="true" outlineLevel="0" collapsed="false">
      <c r="A143" s="4"/>
      <c r="B143" s="22"/>
      <c r="C143" s="4"/>
      <c r="D143" s="22"/>
      <c r="E143" s="22"/>
      <c r="F143" s="4"/>
      <c r="G143" s="4"/>
      <c r="H143" s="4"/>
      <c r="I143" s="23" t="str">
        <f aca="false">IF(F143="","",IF(OR(E143="Variable seule",G143=""),F143,F143&amp;"["&amp;G143&amp;"]"))</f>
        <v/>
      </c>
      <c r="J143" s="23" t="str">
        <f aca="false">IF(A143="","",COUNTIF(Cablage!$A:$A,A143))</f>
        <v/>
      </c>
      <c r="K143" s="23" t="str">
        <f aca="false">IF(A143="","",COUNTIF(Liens!$A:$A,A143))</f>
        <v/>
      </c>
      <c r="L143" s="23" t="str">
        <f aca="false">IF(OR(A143="",E143="Variable seule",F143="",G143=""),"",IF(COUNTIFS($F$9:$F$308,F143,$G$9:$G$308,G143,$A$9:$A$308,"&lt;&gt;"&amp;A143)&gt;0,"index deja pris",""))</f>
        <v/>
      </c>
      <c r="M143" s="4"/>
    </row>
    <row r="144" customFormat="false" ht="15" hidden="false" customHeight="true" outlineLevel="0" collapsed="false">
      <c r="A144" s="4"/>
      <c r="B144" s="22"/>
      <c r="C144" s="4"/>
      <c r="D144" s="22"/>
      <c r="E144" s="22"/>
      <c r="F144" s="4"/>
      <c r="G144" s="4"/>
      <c r="H144" s="4"/>
      <c r="I144" s="23" t="str">
        <f aca="false">IF(F144="","",IF(OR(E144="Variable seule",G144=""),F144,F144&amp;"["&amp;G144&amp;"]"))</f>
        <v/>
      </c>
      <c r="J144" s="23" t="str">
        <f aca="false">IF(A144="","",COUNTIF(Cablage!$A:$A,A144))</f>
        <v/>
      </c>
      <c r="K144" s="23" t="str">
        <f aca="false">IF(A144="","",COUNTIF(Liens!$A:$A,A144))</f>
        <v/>
      </c>
      <c r="L144" s="23" t="str">
        <f aca="false">IF(OR(A144="",E144="Variable seule",F144="",G144=""),"",IF(COUNTIFS($F$9:$F$308,F144,$G$9:$G$308,G144,$A$9:$A$308,"&lt;&gt;"&amp;A144)&gt;0,"index deja pris",""))</f>
        <v/>
      </c>
      <c r="M144" s="4"/>
    </row>
    <row r="145" customFormat="false" ht="15" hidden="false" customHeight="true" outlineLevel="0" collapsed="false">
      <c r="A145" s="4"/>
      <c r="B145" s="22"/>
      <c r="C145" s="4"/>
      <c r="D145" s="22"/>
      <c r="E145" s="22"/>
      <c r="F145" s="4"/>
      <c r="G145" s="4"/>
      <c r="H145" s="4"/>
      <c r="I145" s="23" t="str">
        <f aca="false">IF(F145="","",IF(OR(E145="Variable seule",G145=""),F145,F145&amp;"["&amp;G145&amp;"]"))</f>
        <v/>
      </c>
      <c r="J145" s="23" t="str">
        <f aca="false">IF(A145="","",COUNTIF(Cablage!$A:$A,A145))</f>
        <v/>
      </c>
      <c r="K145" s="23" t="str">
        <f aca="false">IF(A145="","",COUNTIF(Liens!$A:$A,A145))</f>
        <v/>
      </c>
      <c r="L145" s="23" t="str">
        <f aca="false">IF(OR(A145="",E145="Variable seule",F145="",G145=""),"",IF(COUNTIFS($F$9:$F$308,F145,$G$9:$G$308,G145,$A$9:$A$308,"&lt;&gt;"&amp;A145)&gt;0,"index deja pris",""))</f>
        <v/>
      </c>
      <c r="M145" s="4"/>
    </row>
    <row r="146" customFormat="false" ht="15" hidden="false" customHeight="true" outlineLevel="0" collapsed="false">
      <c r="A146" s="4"/>
      <c r="B146" s="22"/>
      <c r="C146" s="4"/>
      <c r="D146" s="22"/>
      <c r="E146" s="22"/>
      <c r="F146" s="4"/>
      <c r="G146" s="4"/>
      <c r="H146" s="4"/>
      <c r="I146" s="23" t="str">
        <f aca="false">IF(F146="","",IF(OR(E146="Variable seule",G146=""),F146,F146&amp;"["&amp;G146&amp;"]"))</f>
        <v/>
      </c>
      <c r="J146" s="23" t="str">
        <f aca="false">IF(A146="","",COUNTIF(Cablage!$A:$A,A146))</f>
        <v/>
      </c>
      <c r="K146" s="23" t="str">
        <f aca="false">IF(A146="","",COUNTIF(Liens!$A:$A,A146))</f>
        <v/>
      </c>
      <c r="L146" s="23" t="str">
        <f aca="false">IF(OR(A146="",E146="Variable seule",F146="",G146=""),"",IF(COUNTIFS($F$9:$F$308,F146,$G$9:$G$308,G146,$A$9:$A$308,"&lt;&gt;"&amp;A146)&gt;0,"index deja pris",""))</f>
        <v/>
      </c>
      <c r="M146" s="4"/>
    </row>
    <row r="147" customFormat="false" ht="15" hidden="false" customHeight="true" outlineLevel="0" collapsed="false">
      <c r="A147" s="4"/>
      <c r="B147" s="22"/>
      <c r="C147" s="4"/>
      <c r="D147" s="22"/>
      <c r="E147" s="22"/>
      <c r="F147" s="4"/>
      <c r="G147" s="4"/>
      <c r="H147" s="4"/>
      <c r="I147" s="23" t="str">
        <f aca="false">IF(F147="","",IF(OR(E147="Variable seule",G147=""),F147,F147&amp;"["&amp;G147&amp;"]"))</f>
        <v/>
      </c>
      <c r="J147" s="23" t="str">
        <f aca="false">IF(A147="","",COUNTIF(Cablage!$A:$A,A147))</f>
        <v/>
      </c>
      <c r="K147" s="23" t="str">
        <f aca="false">IF(A147="","",COUNTIF(Liens!$A:$A,A147))</f>
        <v/>
      </c>
      <c r="L147" s="23" t="str">
        <f aca="false">IF(OR(A147="",E147="Variable seule",F147="",G147=""),"",IF(COUNTIFS($F$9:$F$308,F147,$G$9:$G$308,G147,$A$9:$A$308,"&lt;&gt;"&amp;A147)&gt;0,"index deja pris",""))</f>
        <v/>
      </c>
      <c r="M147" s="4"/>
    </row>
    <row r="148" customFormat="false" ht="15" hidden="false" customHeight="true" outlineLevel="0" collapsed="false">
      <c r="A148" s="4"/>
      <c r="B148" s="22"/>
      <c r="C148" s="4"/>
      <c r="D148" s="22"/>
      <c r="E148" s="22"/>
      <c r="F148" s="4"/>
      <c r="G148" s="4"/>
      <c r="H148" s="4"/>
      <c r="I148" s="23" t="str">
        <f aca="false">IF(F148="","",IF(OR(E148="Variable seule",G148=""),F148,F148&amp;"["&amp;G148&amp;"]"))</f>
        <v/>
      </c>
      <c r="J148" s="23" t="str">
        <f aca="false">IF(A148="","",COUNTIF(Cablage!$A:$A,A148))</f>
        <v/>
      </c>
      <c r="K148" s="23" t="str">
        <f aca="false">IF(A148="","",COUNTIF(Liens!$A:$A,A148))</f>
        <v/>
      </c>
      <c r="L148" s="23" t="str">
        <f aca="false">IF(OR(A148="",E148="Variable seule",F148="",G148=""),"",IF(COUNTIFS($F$9:$F$308,F148,$G$9:$G$308,G148,$A$9:$A$308,"&lt;&gt;"&amp;A148)&gt;0,"index deja pris",""))</f>
        <v/>
      </c>
      <c r="M148" s="4"/>
    </row>
    <row r="149" customFormat="false" ht="15" hidden="false" customHeight="true" outlineLevel="0" collapsed="false">
      <c r="A149" s="4"/>
      <c r="B149" s="22"/>
      <c r="C149" s="4"/>
      <c r="D149" s="22"/>
      <c r="E149" s="22"/>
      <c r="F149" s="4"/>
      <c r="G149" s="4"/>
      <c r="H149" s="4"/>
      <c r="I149" s="23" t="str">
        <f aca="false">IF(F149="","",IF(OR(E149="Variable seule",G149=""),F149,F149&amp;"["&amp;G149&amp;"]"))</f>
        <v/>
      </c>
      <c r="J149" s="23" t="str">
        <f aca="false">IF(A149="","",COUNTIF(Cablage!$A:$A,A149))</f>
        <v/>
      </c>
      <c r="K149" s="23" t="str">
        <f aca="false">IF(A149="","",COUNTIF(Liens!$A:$A,A149))</f>
        <v/>
      </c>
      <c r="L149" s="23" t="str">
        <f aca="false">IF(OR(A149="",E149="Variable seule",F149="",G149=""),"",IF(COUNTIFS($F$9:$F$308,F149,$G$9:$G$308,G149,$A$9:$A$308,"&lt;&gt;"&amp;A149)&gt;0,"index deja pris",""))</f>
        <v/>
      </c>
      <c r="M149" s="4"/>
    </row>
    <row r="150" customFormat="false" ht="15" hidden="false" customHeight="true" outlineLevel="0" collapsed="false">
      <c r="A150" s="4"/>
      <c r="B150" s="22"/>
      <c r="C150" s="4"/>
      <c r="D150" s="22"/>
      <c r="E150" s="22"/>
      <c r="F150" s="4"/>
      <c r="G150" s="4"/>
      <c r="H150" s="4"/>
      <c r="I150" s="23" t="str">
        <f aca="false">IF(F150="","",IF(OR(E150="Variable seule",G150=""),F150,F150&amp;"["&amp;G150&amp;"]"))</f>
        <v/>
      </c>
      <c r="J150" s="23" t="str">
        <f aca="false">IF(A150="","",COUNTIF(Cablage!$A:$A,A150))</f>
        <v/>
      </c>
      <c r="K150" s="23" t="str">
        <f aca="false">IF(A150="","",COUNTIF(Liens!$A:$A,A150))</f>
        <v/>
      </c>
      <c r="L150" s="23" t="str">
        <f aca="false">IF(OR(A150="",E150="Variable seule",F150="",G150=""),"",IF(COUNTIFS($F$9:$F$308,F150,$G$9:$G$308,G150,$A$9:$A$308,"&lt;&gt;"&amp;A150)&gt;0,"index deja pris",""))</f>
        <v/>
      </c>
      <c r="M150" s="4"/>
    </row>
    <row r="151" customFormat="false" ht="15" hidden="false" customHeight="true" outlineLevel="0" collapsed="false">
      <c r="A151" s="4"/>
      <c r="B151" s="22"/>
      <c r="C151" s="4"/>
      <c r="D151" s="22"/>
      <c r="E151" s="22"/>
      <c r="F151" s="4"/>
      <c r="G151" s="4"/>
      <c r="H151" s="4"/>
      <c r="I151" s="23" t="str">
        <f aca="false">IF(F151="","",IF(OR(E151="Variable seule",G151=""),F151,F151&amp;"["&amp;G151&amp;"]"))</f>
        <v/>
      </c>
      <c r="J151" s="23" t="str">
        <f aca="false">IF(A151="","",COUNTIF(Cablage!$A:$A,A151))</f>
        <v/>
      </c>
      <c r="K151" s="23" t="str">
        <f aca="false">IF(A151="","",COUNTIF(Liens!$A:$A,A151))</f>
        <v/>
      </c>
      <c r="L151" s="23" t="str">
        <f aca="false">IF(OR(A151="",E151="Variable seule",F151="",G151=""),"",IF(COUNTIFS($F$9:$F$308,F151,$G$9:$G$308,G151,$A$9:$A$308,"&lt;&gt;"&amp;A151)&gt;0,"index deja pris",""))</f>
        <v/>
      </c>
      <c r="M151" s="4"/>
    </row>
    <row r="152" customFormat="false" ht="15" hidden="false" customHeight="true" outlineLevel="0" collapsed="false">
      <c r="A152" s="4"/>
      <c r="B152" s="22"/>
      <c r="C152" s="4"/>
      <c r="D152" s="22"/>
      <c r="E152" s="22"/>
      <c r="F152" s="4"/>
      <c r="G152" s="4"/>
      <c r="H152" s="4"/>
      <c r="I152" s="23" t="str">
        <f aca="false">IF(F152="","",IF(OR(E152="Variable seule",G152=""),F152,F152&amp;"["&amp;G152&amp;"]"))</f>
        <v/>
      </c>
      <c r="J152" s="23" t="str">
        <f aca="false">IF(A152="","",COUNTIF(Cablage!$A:$A,A152))</f>
        <v/>
      </c>
      <c r="K152" s="23" t="str">
        <f aca="false">IF(A152="","",COUNTIF(Liens!$A:$A,A152))</f>
        <v/>
      </c>
      <c r="L152" s="23" t="str">
        <f aca="false">IF(OR(A152="",E152="Variable seule",F152="",G152=""),"",IF(COUNTIFS($F$9:$F$308,F152,$G$9:$G$308,G152,$A$9:$A$308,"&lt;&gt;"&amp;A152)&gt;0,"index deja pris",""))</f>
        <v/>
      </c>
      <c r="M152" s="4"/>
    </row>
    <row r="153" customFormat="false" ht="15" hidden="false" customHeight="true" outlineLevel="0" collapsed="false">
      <c r="A153" s="4"/>
      <c r="B153" s="22"/>
      <c r="C153" s="4"/>
      <c r="D153" s="22"/>
      <c r="E153" s="22"/>
      <c r="F153" s="4"/>
      <c r="G153" s="4"/>
      <c r="H153" s="4"/>
      <c r="I153" s="23" t="str">
        <f aca="false">IF(F153="","",IF(OR(E153="Variable seule",G153=""),F153,F153&amp;"["&amp;G153&amp;"]"))</f>
        <v/>
      </c>
      <c r="J153" s="23" t="str">
        <f aca="false">IF(A153="","",COUNTIF(Cablage!$A:$A,A153))</f>
        <v/>
      </c>
      <c r="K153" s="23" t="str">
        <f aca="false">IF(A153="","",COUNTIF(Liens!$A:$A,A153))</f>
        <v/>
      </c>
      <c r="L153" s="23" t="str">
        <f aca="false">IF(OR(A153="",E153="Variable seule",F153="",G153=""),"",IF(COUNTIFS($F$9:$F$308,F153,$G$9:$G$308,G153,$A$9:$A$308,"&lt;&gt;"&amp;A153)&gt;0,"index deja pris",""))</f>
        <v/>
      </c>
      <c r="M153" s="4"/>
    </row>
    <row r="154" customFormat="false" ht="15" hidden="false" customHeight="true" outlineLevel="0" collapsed="false">
      <c r="A154" s="4"/>
      <c r="B154" s="22"/>
      <c r="C154" s="4"/>
      <c r="D154" s="22"/>
      <c r="E154" s="22"/>
      <c r="F154" s="4"/>
      <c r="G154" s="4"/>
      <c r="H154" s="4"/>
      <c r="I154" s="23" t="str">
        <f aca="false">IF(F154="","",IF(OR(E154="Variable seule",G154=""),F154,F154&amp;"["&amp;G154&amp;"]"))</f>
        <v/>
      </c>
      <c r="J154" s="23" t="str">
        <f aca="false">IF(A154="","",COUNTIF(Cablage!$A:$A,A154))</f>
        <v/>
      </c>
      <c r="K154" s="23" t="str">
        <f aca="false">IF(A154="","",COUNTIF(Liens!$A:$A,A154))</f>
        <v/>
      </c>
      <c r="L154" s="23" t="str">
        <f aca="false">IF(OR(A154="",E154="Variable seule",F154="",G154=""),"",IF(COUNTIFS($F$9:$F$308,F154,$G$9:$G$308,G154,$A$9:$A$308,"&lt;&gt;"&amp;A154)&gt;0,"index deja pris",""))</f>
        <v/>
      </c>
      <c r="M154" s="4"/>
    </row>
    <row r="155" customFormat="false" ht="15" hidden="false" customHeight="true" outlineLevel="0" collapsed="false">
      <c r="A155" s="4"/>
      <c r="B155" s="22"/>
      <c r="C155" s="4"/>
      <c r="D155" s="22"/>
      <c r="E155" s="22"/>
      <c r="F155" s="4"/>
      <c r="G155" s="4"/>
      <c r="H155" s="4"/>
      <c r="I155" s="23" t="str">
        <f aca="false">IF(F155="","",IF(OR(E155="Variable seule",G155=""),F155,F155&amp;"["&amp;G155&amp;"]"))</f>
        <v/>
      </c>
      <c r="J155" s="23" t="str">
        <f aca="false">IF(A155="","",COUNTIF(Cablage!$A:$A,A155))</f>
        <v/>
      </c>
      <c r="K155" s="23" t="str">
        <f aca="false">IF(A155="","",COUNTIF(Liens!$A:$A,A155))</f>
        <v/>
      </c>
      <c r="L155" s="23" t="str">
        <f aca="false">IF(OR(A155="",E155="Variable seule",F155="",G155=""),"",IF(COUNTIFS($F$9:$F$308,F155,$G$9:$G$308,G155,$A$9:$A$308,"&lt;&gt;"&amp;A155)&gt;0,"index deja pris",""))</f>
        <v/>
      </c>
      <c r="M155" s="4"/>
    </row>
    <row r="156" customFormat="false" ht="15" hidden="false" customHeight="true" outlineLevel="0" collapsed="false">
      <c r="A156" s="4"/>
      <c r="B156" s="22"/>
      <c r="C156" s="4"/>
      <c r="D156" s="22"/>
      <c r="E156" s="22"/>
      <c r="F156" s="4"/>
      <c r="G156" s="4"/>
      <c r="H156" s="4"/>
      <c r="I156" s="23" t="str">
        <f aca="false">IF(F156="","",IF(OR(E156="Variable seule",G156=""),F156,F156&amp;"["&amp;G156&amp;"]"))</f>
        <v/>
      </c>
      <c r="J156" s="23" t="str">
        <f aca="false">IF(A156="","",COUNTIF(Cablage!$A:$A,A156))</f>
        <v/>
      </c>
      <c r="K156" s="23" t="str">
        <f aca="false">IF(A156="","",COUNTIF(Liens!$A:$A,A156))</f>
        <v/>
      </c>
      <c r="L156" s="23" t="str">
        <f aca="false">IF(OR(A156="",E156="Variable seule",F156="",G156=""),"",IF(COUNTIFS($F$9:$F$308,F156,$G$9:$G$308,G156,$A$9:$A$308,"&lt;&gt;"&amp;A156)&gt;0,"index deja pris",""))</f>
        <v/>
      </c>
      <c r="M156" s="4"/>
    </row>
    <row r="157" customFormat="false" ht="15" hidden="false" customHeight="true" outlineLevel="0" collapsed="false">
      <c r="A157" s="4"/>
      <c r="B157" s="22"/>
      <c r="C157" s="4"/>
      <c r="D157" s="22"/>
      <c r="E157" s="22"/>
      <c r="F157" s="4"/>
      <c r="G157" s="4"/>
      <c r="H157" s="4"/>
      <c r="I157" s="23" t="str">
        <f aca="false">IF(F157="","",IF(OR(E157="Variable seule",G157=""),F157,F157&amp;"["&amp;G157&amp;"]"))</f>
        <v/>
      </c>
      <c r="J157" s="23" t="str">
        <f aca="false">IF(A157="","",COUNTIF(Cablage!$A:$A,A157))</f>
        <v/>
      </c>
      <c r="K157" s="23" t="str">
        <f aca="false">IF(A157="","",COUNTIF(Liens!$A:$A,A157))</f>
        <v/>
      </c>
      <c r="L157" s="23" t="str">
        <f aca="false">IF(OR(A157="",E157="Variable seule",F157="",G157=""),"",IF(COUNTIFS($F$9:$F$308,F157,$G$9:$G$308,G157,$A$9:$A$308,"&lt;&gt;"&amp;A157)&gt;0,"index deja pris",""))</f>
        <v/>
      </c>
      <c r="M157" s="4"/>
    </row>
    <row r="158" customFormat="false" ht="15" hidden="false" customHeight="true" outlineLevel="0" collapsed="false">
      <c r="A158" s="4"/>
      <c r="B158" s="22"/>
      <c r="C158" s="4"/>
      <c r="D158" s="22"/>
      <c r="E158" s="22"/>
      <c r="F158" s="4"/>
      <c r="G158" s="4"/>
      <c r="H158" s="4"/>
      <c r="I158" s="23" t="str">
        <f aca="false">IF(F158="","",IF(OR(E158="Variable seule",G158=""),F158,F158&amp;"["&amp;G158&amp;"]"))</f>
        <v/>
      </c>
      <c r="J158" s="23" t="str">
        <f aca="false">IF(A158="","",COUNTIF(Cablage!$A:$A,A158))</f>
        <v/>
      </c>
      <c r="K158" s="23" t="str">
        <f aca="false">IF(A158="","",COUNTIF(Liens!$A:$A,A158))</f>
        <v/>
      </c>
      <c r="L158" s="23" t="str">
        <f aca="false">IF(OR(A158="",E158="Variable seule",F158="",G158=""),"",IF(COUNTIFS($F$9:$F$308,F158,$G$9:$G$308,G158,$A$9:$A$308,"&lt;&gt;"&amp;A158)&gt;0,"index deja pris",""))</f>
        <v/>
      </c>
      <c r="M158" s="4"/>
    </row>
    <row r="159" customFormat="false" ht="15" hidden="false" customHeight="true" outlineLevel="0" collapsed="false">
      <c r="A159" s="4"/>
      <c r="B159" s="22"/>
      <c r="C159" s="4"/>
      <c r="D159" s="22"/>
      <c r="E159" s="22"/>
      <c r="F159" s="4"/>
      <c r="G159" s="4"/>
      <c r="H159" s="4"/>
      <c r="I159" s="23" t="str">
        <f aca="false">IF(F159="","",IF(OR(E159="Variable seule",G159=""),F159,F159&amp;"["&amp;G159&amp;"]"))</f>
        <v/>
      </c>
      <c r="J159" s="23" t="str">
        <f aca="false">IF(A159="","",COUNTIF(Cablage!$A:$A,A159))</f>
        <v/>
      </c>
      <c r="K159" s="23" t="str">
        <f aca="false">IF(A159="","",COUNTIF(Liens!$A:$A,A159))</f>
        <v/>
      </c>
      <c r="L159" s="23" t="str">
        <f aca="false">IF(OR(A159="",E159="Variable seule",F159="",G159=""),"",IF(COUNTIFS($F$9:$F$308,F159,$G$9:$G$308,G159,$A$9:$A$308,"&lt;&gt;"&amp;A159)&gt;0,"index deja pris",""))</f>
        <v/>
      </c>
      <c r="M159" s="4"/>
    </row>
    <row r="160" customFormat="false" ht="15" hidden="false" customHeight="true" outlineLevel="0" collapsed="false">
      <c r="A160" s="4"/>
      <c r="B160" s="22"/>
      <c r="C160" s="4"/>
      <c r="D160" s="22"/>
      <c r="E160" s="22"/>
      <c r="F160" s="4"/>
      <c r="G160" s="4"/>
      <c r="H160" s="4"/>
      <c r="I160" s="23" t="str">
        <f aca="false">IF(F160="","",IF(OR(E160="Variable seule",G160=""),F160,F160&amp;"["&amp;G160&amp;"]"))</f>
        <v/>
      </c>
      <c r="J160" s="23" t="str">
        <f aca="false">IF(A160="","",COUNTIF(Cablage!$A:$A,A160))</f>
        <v/>
      </c>
      <c r="K160" s="23" t="str">
        <f aca="false">IF(A160="","",COUNTIF(Liens!$A:$A,A160))</f>
        <v/>
      </c>
      <c r="L160" s="23" t="str">
        <f aca="false">IF(OR(A160="",E160="Variable seule",F160="",G160=""),"",IF(COUNTIFS($F$9:$F$308,F160,$G$9:$G$308,G160,$A$9:$A$308,"&lt;&gt;"&amp;A160)&gt;0,"index deja pris",""))</f>
        <v/>
      </c>
      <c r="M160" s="4"/>
    </row>
    <row r="161" customFormat="false" ht="15" hidden="false" customHeight="true" outlineLevel="0" collapsed="false">
      <c r="A161" s="4"/>
      <c r="B161" s="22"/>
      <c r="C161" s="4"/>
      <c r="D161" s="22"/>
      <c r="E161" s="22"/>
      <c r="F161" s="4"/>
      <c r="G161" s="4"/>
      <c r="H161" s="4"/>
      <c r="I161" s="23" t="str">
        <f aca="false">IF(F161="","",IF(OR(E161="Variable seule",G161=""),F161,F161&amp;"["&amp;G161&amp;"]"))</f>
        <v/>
      </c>
      <c r="J161" s="23" t="str">
        <f aca="false">IF(A161="","",COUNTIF(Cablage!$A:$A,A161))</f>
        <v/>
      </c>
      <c r="K161" s="23" t="str">
        <f aca="false">IF(A161="","",COUNTIF(Liens!$A:$A,A161))</f>
        <v/>
      </c>
      <c r="L161" s="23" t="str">
        <f aca="false">IF(OR(A161="",E161="Variable seule",F161="",G161=""),"",IF(COUNTIFS($F$9:$F$308,F161,$G$9:$G$308,G161,$A$9:$A$308,"&lt;&gt;"&amp;A161)&gt;0,"index deja pris",""))</f>
        <v/>
      </c>
      <c r="M161" s="4"/>
    </row>
    <row r="162" customFormat="false" ht="15" hidden="false" customHeight="true" outlineLevel="0" collapsed="false">
      <c r="A162" s="4"/>
      <c r="B162" s="22"/>
      <c r="C162" s="4"/>
      <c r="D162" s="22"/>
      <c r="E162" s="22"/>
      <c r="F162" s="4"/>
      <c r="G162" s="4"/>
      <c r="H162" s="4"/>
      <c r="I162" s="23" t="str">
        <f aca="false">IF(F162="","",IF(OR(E162="Variable seule",G162=""),F162,F162&amp;"["&amp;G162&amp;"]"))</f>
        <v/>
      </c>
      <c r="J162" s="23" t="str">
        <f aca="false">IF(A162="","",COUNTIF(Cablage!$A:$A,A162))</f>
        <v/>
      </c>
      <c r="K162" s="23" t="str">
        <f aca="false">IF(A162="","",COUNTIF(Liens!$A:$A,A162))</f>
        <v/>
      </c>
      <c r="L162" s="23" t="str">
        <f aca="false">IF(OR(A162="",E162="Variable seule",F162="",G162=""),"",IF(COUNTIFS($F$9:$F$308,F162,$G$9:$G$308,G162,$A$9:$A$308,"&lt;&gt;"&amp;A162)&gt;0,"index deja pris",""))</f>
        <v/>
      </c>
      <c r="M162" s="4"/>
    </row>
    <row r="163" customFormat="false" ht="15" hidden="false" customHeight="true" outlineLevel="0" collapsed="false">
      <c r="A163" s="4"/>
      <c r="B163" s="22"/>
      <c r="C163" s="4"/>
      <c r="D163" s="22"/>
      <c r="E163" s="22"/>
      <c r="F163" s="4"/>
      <c r="G163" s="4"/>
      <c r="H163" s="4"/>
      <c r="I163" s="23" t="str">
        <f aca="false">IF(F163="","",IF(OR(E163="Variable seule",G163=""),F163,F163&amp;"["&amp;G163&amp;"]"))</f>
        <v/>
      </c>
      <c r="J163" s="23" t="str">
        <f aca="false">IF(A163="","",COUNTIF(Cablage!$A:$A,A163))</f>
        <v/>
      </c>
      <c r="K163" s="23" t="str">
        <f aca="false">IF(A163="","",COUNTIF(Liens!$A:$A,A163))</f>
        <v/>
      </c>
      <c r="L163" s="23" t="str">
        <f aca="false">IF(OR(A163="",E163="Variable seule",F163="",G163=""),"",IF(COUNTIFS($F$9:$F$308,F163,$G$9:$G$308,G163,$A$9:$A$308,"&lt;&gt;"&amp;A163)&gt;0,"index deja pris",""))</f>
        <v/>
      </c>
      <c r="M163" s="4"/>
    </row>
    <row r="164" customFormat="false" ht="15" hidden="false" customHeight="true" outlineLevel="0" collapsed="false">
      <c r="A164" s="4"/>
      <c r="B164" s="22"/>
      <c r="C164" s="4"/>
      <c r="D164" s="22"/>
      <c r="E164" s="22"/>
      <c r="F164" s="4"/>
      <c r="G164" s="4"/>
      <c r="H164" s="4"/>
      <c r="I164" s="23" t="str">
        <f aca="false">IF(F164="","",IF(OR(E164="Variable seule",G164=""),F164,F164&amp;"["&amp;G164&amp;"]"))</f>
        <v/>
      </c>
      <c r="J164" s="23" t="str">
        <f aca="false">IF(A164="","",COUNTIF(Cablage!$A:$A,A164))</f>
        <v/>
      </c>
      <c r="K164" s="23" t="str">
        <f aca="false">IF(A164="","",COUNTIF(Liens!$A:$A,A164))</f>
        <v/>
      </c>
      <c r="L164" s="23" t="str">
        <f aca="false">IF(OR(A164="",E164="Variable seule",F164="",G164=""),"",IF(COUNTIFS($F$9:$F$308,F164,$G$9:$G$308,G164,$A$9:$A$308,"&lt;&gt;"&amp;A164)&gt;0,"index deja pris",""))</f>
        <v/>
      </c>
      <c r="M164" s="4"/>
    </row>
    <row r="165" customFormat="false" ht="15" hidden="false" customHeight="true" outlineLevel="0" collapsed="false">
      <c r="A165" s="4"/>
      <c r="B165" s="22"/>
      <c r="C165" s="4"/>
      <c r="D165" s="22"/>
      <c r="E165" s="22"/>
      <c r="F165" s="4"/>
      <c r="G165" s="4"/>
      <c r="H165" s="4"/>
      <c r="I165" s="23" t="str">
        <f aca="false">IF(F165="","",IF(OR(E165="Variable seule",G165=""),F165,F165&amp;"["&amp;G165&amp;"]"))</f>
        <v/>
      </c>
      <c r="J165" s="23" t="str">
        <f aca="false">IF(A165="","",COUNTIF(Cablage!$A:$A,A165))</f>
        <v/>
      </c>
      <c r="K165" s="23" t="str">
        <f aca="false">IF(A165="","",COUNTIF(Liens!$A:$A,A165))</f>
        <v/>
      </c>
      <c r="L165" s="23" t="str">
        <f aca="false">IF(OR(A165="",E165="Variable seule",F165="",G165=""),"",IF(COUNTIFS($F$9:$F$308,F165,$G$9:$G$308,G165,$A$9:$A$308,"&lt;&gt;"&amp;A165)&gt;0,"index deja pris",""))</f>
        <v/>
      </c>
      <c r="M165" s="4"/>
    </row>
    <row r="166" customFormat="false" ht="15" hidden="false" customHeight="true" outlineLevel="0" collapsed="false">
      <c r="A166" s="4"/>
      <c r="B166" s="22"/>
      <c r="C166" s="4"/>
      <c r="D166" s="22"/>
      <c r="E166" s="22"/>
      <c r="F166" s="4"/>
      <c r="G166" s="4"/>
      <c r="H166" s="4"/>
      <c r="I166" s="23" t="str">
        <f aca="false">IF(F166="","",IF(OR(E166="Variable seule",G166=""),F166,F166&amp;"["&amp;G166&amp;"]"))</f>
        <v/>
      </c>
      <c r="J166" s="23" t="str">
        <f aca="false">IF(A166="","",COUNTIF(Cablage!$A:$A,A166))</f>
        <v/>
      </c>
      <c r="K166" s="23" t="str">
        <f aca="false">IF(A166="","",COUNTIF(Liens!$A:$A,A166))</f>
        <v/>
      </c>
      <c r="L166" s="23" t="str">
        <f aca="false">IF(OR(A166="",E166="Variable seule",F166="",G166=""),"",IF(COUNTIFS($F$9:$F$308,F166,$G$9:$G$308,G166,$A$9:$A$308,"&lt;&gt;"&amp;A166)&gt;0,"index deja pris",""))</f>
        <v/>
      </c>
      <c r="M166" s="4"/>
    </row>
    <row r="167" customFormat="false" ht="15" hidden="false" customHeight="true" outlineLevel="0" collapsed="false">
      <c r="A167" s="4"/>
      <c r="B167" s="22"/>
      <c r="C167" s="4"/>
      <c r="D167" s="22"/>
      <c r="E167" s="22"/>
      <c r="F167" s="4"/>
      <c r="G167" s="4"/>
      <c r="H167" s="4"/>
      <c r="I167" s="23" t="str">
        <f aca="false">IF(F167="","",IF(OR(E167="Variable seule",G167=""),F167,F167&amp;"["&amp;G167&amp;"]"))</f>
        <v/>
      </c>
      <c r="J167" s="23" t="str">
        <f aca="false">IF(A167="","",COUNTIF(Cablage!$A:$A,A167))</f>
        <v/>
      </c>
      <c r="K167" s="23" t="str">
        <f aca="false">IF(A167="","",COUNTIF(Liens!$A:$A,A167))</f>
        <v/>
      </c>
      <c r="L167" s="23" t="str">
        <f aca="false">IF(OR(A167="",E167="Variable seule",F167="",G167=""),"",IF(COUNTIFS($F$9:$F$308,F167,$G$9:$G$308,G167,$A$9:$A$308,"&lt;&gt;"&amp;A167)&gt;0,"index deja pris",""))</f>
        <v/>
      </c>
      <c r="M167" s="4"/>
    </row>
    <row r="168" customFormat="false" ht="15" hidden="false" customHeight="true" outlineLevel="0" collapsed="false">
      <c r="A168" s="4"/>
      <c r="B168" s="22"/>
      <c r="C168" s="4"/>
      <c r="D168" s="22"/>
      <c r="E168" s="22"/>
      <c r="F168" s="4"/>
      <c r="G168" s="4"/>
      <c r="H168" s="4"/>
      <c r="I168" s="23" t="str">
        <f aca="false">IF(F168="","",IF(OR(E168="Variable seule",G168=""),F168,F168&amp;"["&amp;G168&amp;"]"))</f>
        <v/>
      </c>
      <c r="J168" s="23" t="str">
        <f aca="false">IF(A168="","",COUNTIF(Cablage!$A:$A,A168))</f>
        <v/>
      </c>
      <c r="K168" s="23" t="str">
        <f aca="false">IF(A168="","",COUNTIF(Liens!$A:$A,A168))</f>
        <v/>
      </c>
      <c r="L168" s="23" t="str">
        <f aca="false">IF(OR(A168="",E168="Variable seule",F168="",G168=""),"",IF(COUNTIFS($F$9:$F$308,F168,$G$9:$G$308,G168,$A$9:$A$308,"&lt;&gt;"&amp;A168)&gt;0,"index deja pris",""))</f>
        <v/>
      </c>
      <c r="M168" s="4"/>
    </row>
    <row r="169" customFormat="false" ht="15" hidden="false" customHeight="true" outlineLevel="0" collapsed="false">
      <c r="A169" s="4"/>
      <c r="B169" s="22"/>
      <c r="C169" s="4"/>
      <c r="D169" s="22"/>
      <c r="E169" s="22"/>
      <c r="F169" s="4"/>
      <c r="G169" s="4"/>
      <c r="H169" s="4"/>
      <c r="I169" s="23" t="str">
        <f aca="false">IF(F169="","",IF(OR(E169="Variable seule",G169=""),F169,F169&amp;"["&amp;G169&amp;"]"))</f>
        <v/>
      </c>
      <c r="J169" s="23" t="str">
        <f aca="false">IF(A169="","",COUNTIF(Cablage!$A:$A,A169))</f>
        <v/>
      </c>
      <c r="K169" s="23" t="str">
        <f aca="false">IF(A169="","",COUNTIF(Liens!$A:$A,A169))</f>
        <v/>
      </c>
      <c r="L169" s="23" t="str">
        <f aca="false">IF(OR(A169="",E169="Variable seule",F169="",G169=""),"",IF(COUNTIFS($F$9:$F$308,F169,$G$9:$G$308,G169,$A$9:$A$308,"&lt;&gt;"&amp;A169)&gt;0,"index deja pris",""))</f>
        <v/>
      </c>
      <c r="M169" s="4"/>
    </row>
    <row r="170" customFormat="false" ht="15" hidden="false" customHeight="true" outlineLevel="0" collapsed="false">
      <c r="A170" s="4"/>
      <c r="B170" s="22"/>
      <c r="C170" s="4"/>
      <c r="D170" s="22"/>
      <c r="E170" s="22"/>
      <c r="F170" s="4"/>
      <c r="G170" s="4"/>
      <c r="H170" s="4"/>
      <c r="I170" s="23" t="str">
        <f aca="false">IF(F170="","",IF(OR(E170="Variable seule",G170=""),F170,F170&amp;"["&amp;G170&amp;"]"))</f>
        <v/>
      </c>
      <c r="J170" s="23" t="str">
        <f aca="false">IF(A170="","",COUNTIF(Cablage!$A:$A,A170))</f>
        <v/>
      </c>
      <c r="K170" s="23" t="str">
        <f aca="false">IF(A170="","",COUNTIF(Liens!$A:$A,A170))</f>
        <v/>
      </c>
      <c r="L170" s="23" t="str">
        <f aca="false">IF(OR(A170="",E170="Variable seule",F170="",G170=""),"",IF(COUNTIFS($F$9:$F$308,F170,$G$9:$G$308,G170,$A$9:$A$308,"&lt;&gt;"&amp;A170)&gt;0,"index deja pris",""))</f>
        <v/>
      </c>
      <c r="M170" s="4"/>
    </row>
    <row r="171" customFormat="false" ht="15" hidden="false" customHeight="true" outlineLevel="0" collapsed="false">
      <c r="A171" s="4"/>
      <c r="B171" s="22"/>
      <c r="C171" s="4"/>
      <c r="D171" s="22"/>
      <c r="E171" s="22"/>
      <c r="F171" s="4"/>
      <c r="G171" s="4"/>
      <c r="H171" s="4"/>
      <c r="I171" s="23" t="str">
        <f aca="false">IF(F171="","",IF(OR(E171="Variable seule",G171=""),F171,F171&amp;"["&amp;G171&amp;"]"))</f>
        <v/>
      </c>
      <c r="J171" s="23" t="str">
        <f aca="false">IF(A171="","",COUNTIF(Cablage!$A:$A,A171))</f>
        <v/>
      </c>
      <c r="K171" s="23" t="str">
        <f aca="false">IF(A171="","",COUNTIF(Liens!$A:$A,A171))</f>
        <v/>
      </c>
      <c r="L171" s="23" t="str">
        <f aca="false">IF(OR(A171="",E171="Variable seule",F171="",G171=""),"",IF(COUNTIFS($F$9:$F$308,F171,$G$9:$G$308,G171,$A$9:$A$308,"&lt;&gt;"&amp;A171)&gt;0,"index deja pris",""))</f>
        <v/>
      </c>
      <c r="M171" s="4"/>
    </row>
    <row r="172" customFormat="false" ht="15" hidden="false" customHeight="true" outlineLevel="0" collapsed="false">
      <c r="A172" s="4"/>
      <c r="B172" s="22"/>
      <c r="C172" s="4"/>
      <c r="D172" s="22"/>
      <c r="E172" s="22"/>
      <c r="F172" s="4"/>
      <c r="G172" s="4"/>
      <c r="H172" s="4"/>
      <c r="I172" s="23" t="str">
        <f aca="false">IF(F172="","",IF(OR(E172="Variable seule",G172=""),F172,F172&amp;"["&amp;G172&amp;"]"))</f>
        <v/>
      </c>
      <c r="J172" s="23" t="str">
        <f aca="false">IF(A172="","",COUNTIF(Cablage!$A:$A,A172))</f>
        <v/>
      </c>
      <c r="K172" s="23" t="str">
        <f aca="false">IF(A172="","",COUNTIF(Liens!$A:$A,A172))</f>
        <v/>
      </c>
      <c r="L172" s="23" t="str">
        <f aca="false">IF(OR(A172="",E172="Variable seule",F172="",G172=""),"",IF(COUNTIFS($F$9:$F$308,F172,$G$9:$G$308,G172,$A$9:$A$308,"&lt;&gt;"&amp;A172)&gt;0,"index deja pris",""))</f>
        <v/>
      </c>
      <c r="M172" s="4"/>
    </row>
    <row r="173" customFormat="false" ht="15" hidden="false" customHeight="true" outlineLevel="0" collapsed="false">
      <c r="A173" s="4"/>
      <c r="B173" s="22"/>
      <c r="C173" s="4"/>
      <c r="D173" s="22"/>
      <c r="E173" s="22"/>
      <c r="F173" s="4"/>
      <c r="G173" s="4"/>
      <c r="H173" s="4"/>
      <c r="I173" s="23" t="str">
        <f aca="false">IF(F173="","",IF(OR(E173="Variable seule",G173=""),F173,F173&amp;"["&amp;G173&amp;"]"))</f>
        <v/>
      </c>
      <c r="J173" s="23" t="str">
        <f aca="false">IF(A173="","",COUNTIF(Cablage!$A:$A,A173))</f>
        <v/>
      </c>
      <c r="K173" s="23" t="str">
        <f aca="false">IF(A173="","",COUNTIF(Liens!$A:$A,A173))</f>
        <v/>
      </c>
      <c r="L173" s="23" t="str">
        <f aca="false">IF(OR(A173="",E173="Variable seule",F173="",G173=""),"",IF(COUNTIFS($F$9:$F$308,F173,$G$9:$G$308,G173,$A$9:$A$308,"&lt;&gt;"&amp;A173)&gt;0,"index deja pris",""))</f>
        <v/>
      </c>
      <c r="M173" s="4"/>
    </row>
    <row r="174" customFormat="false" ht="15" hidden="false" customHeight="true" outlineLevel="0" collapsed="false">
      <c r="A174" s="4"/>
      <c r="B174" s="22"/>
      <c r="C174" s="4"/>
      <c r="D174" s="22"/>
      <c r="E174" s="22"/>
      <c r="F174" s="4"/>
      <c r="G174" s="4"/>
      <c r="H174" s="4"/>
      <c r="I174" s="23" t="str">
        <f aca="false">IF(F174="","",IF(OR(E174="Variable seule",G174=""),F174,F174&amp;"["&amp;G174&amp;"]"))</f>
        <v/>
      </c>
      <c r="J174" s="23" t="str">
        <f aca="false">IF(A174="","",COUNTIF(Cablage!$A:$A,A174))</f>
        <v/>
      </c>
      <c r="K174" s="23" t="str">
        <f aca="false">IF(A174="","",COUNTIF(Liens!$A:$A,A174))</f>
        <v/>
      </c>
      <c r="L174" s="23" t="str">
        <f aca="false">IF(OR(A174="",E174="Variable seule",F174="",G174=""),"",IF(COUNTIFS($F$9:$F$308,F174,$G$9:$G$308,G174,$A$9:$A$308,"&lt;&gt;"&amp;A174)&gt;0,"index deja pris",""))</f>
        <v/>
      </c>
      <c r="M174" s="4"/>
    </row>
    <row r="175" customFormat="false" ht="15" hidden="false" customHeight="true" outlineLevel="0" collapsed="false">
      <c r="A175" s="4"/>
      <c r="B175" s="22"/>
      <c r="C175" s="4"/>
      <c r="D175" s="22"/>
      <c r="E175" s="22"/>
      <c r="F175" s="4"/>
      <c r="G175" s="4"/>
      <c r="H175" s="4"/>
      <c r="I175" s="23" t="str">
        <f aca="false">IF(F175="","",IF(OR(E175="Variable seule",G175=""),F175,F175&amp;"["&amp;G175&amp;"]"))</f>
        <v/>
      </c>
      <c r="J175" s="23" t="str">
        <f aca="false">IF(A175="","",COUNTIF(Cablage!$A:$A,A175))</f>
        <v/>
      </c>
      <c r="K175" s="23" t="str">
        <f aca="false">IF(A175="","",COUNTIF(Liens!$A:$A,A175))</f>
        <v/>
      </c>
      <c r="L175" s="23" t="str">
        <f aca="false">IF(OR(A175="",E175="Variable seule",F175="",G175=""),"",IF(COUNTIFS($F$9:$F$308,F175,$G$9:$G$308,G175,$A$9:$A$308,"&lt;&gt;"&amp;A175)&gt;0,"index deja pris",""))</f>
        <v/>
      </c>
      <c r="M175" s="4"/>
    </row>
    <row r="176" customFormat="false" ht="15" hidden="false" customHeight="true" outlineLevel="0" collapsed="false">
      <c r="A176" s="4"/>
      <c r="B176" s="22"/>
      <c r="C176" s="4"/>
      <c r="D176" s="22"/>
      <c r="E176" s="22"/>
      <c r="F176" s="4"/>
      <c r="G176" s="4"/>
      <c r="H176" s="4"/>
      <c r="I176" s="23" t="str">
        <f aca="false">IF(F176="","",IF(OR(E176="Variable seule",G176=""),F176,F176&amp;"["&amp;G176&amp;"]"))</f>
        <v/>
      </c>
      <c r="J176" s="23" t="str">
        <f aca="false">IF(A176="","",COUNTIF(Cablage!$A:$A,A176))</f>
        <v/>
      </c>
      <c r="K176" s="23" t="str">
        <f aca="false">IF(A176="","",COUNTIF(Liens!$A:$A,A176))</f>
        <v/>
      </c>
      <c r="L176" s="23" t="str">
        <f aca="false">IF(OR(A176="",E176="Variable seule",F176="",G176=""),"",IF(COUNTIFS($F$9:$F$308,F176,$G$9:$G$308,G176,$A$9:$A$308,"&lt;&gt;"&amp;A176)&gt;0,"index deja pris",""))</f>
        <v/>
      </c>
      <c r="M176" s="4"/>
    </row>
    <row r="177" customFormat="false" ht="15" hidden="false" customHeight="true" outlineLevel="0" collapsed="false">
      <c r="A177" s="4"/>
      <c r="B177" s="22"/>
      <c r="C177" s="4"/>
      <c r="D177" s="22"/>
      <c r="E177" s="22"/>
      <c r="F177" s="4"/>
      <c r="G177" s="4"/>
      <c r="H177" s="4"/>
      <c r="I177" s="23" t="str">
        <f aca="false">IF(F177="","",IF(OR(E177="Variable seule",G177=""),F177,F177&amp;"["&amp;G177&amp;"]"))</f>
        <v/>
      </c>
      <c r="J177" s="23" t="str">
        <f aca="false">IF(A177="","",COUNTIF(Cablage!$A:$A,A177))</f>
        <v/>
      </c>
      <c r="K177" s="23" t="str">
        <f aca="false">IF(A177="","",COUNTIF(Liens!$A:$A,A177))</f>
        <v/>
      </c>
      <c r="L177" s="23" t="str">
        <f aca="false">IF(OR(A177="",E177="Variable seule",F177="",G177=""),"",IF(COUNTIFS($F$9:$F$308,F177,$G$9:$G$308,G177,$A$9:$A$308,"&lt;&gt;"&amp;A177)&gt;0,"index deja pris",""))</f>
        <v/>
      </c>
      <c r="M177" s="4"/>
    </row>
    <row r="178" customFormat="false" ht="15" hidden="false" customHeight="true" outlineLevel="0" collapsed="false">
      <c r="A178" s="4"/>
      <c r="B178" s="22"/>
      <c r="C178" s="4"/>
      <c r="D178" s="22"/>
      <c r="E178" s="22"/>
      <c r="F178" s="4"/>
      <c r="G178" s="4"/>
      <c r="H178" s="4"/>
      <c r="I178" s="23" t="str">
        <f aca="false">IF(F178="","",IF(OR(E178="Variable seule",G178=""),F178,F178&amp;"["&amp;G178&amp;"]"))</f>
        <v/>
      </c>
      <c r="J178" s="23" t="str">
        <f aca="false">IF(A178="","",COUNTIF(Cablage!$A:$A,A178))</f>
        <v/>
      </c>
      <c r="K178" s="23" t="str">
        <f aca="false">IF(A178="","",COUNTIF(Liens!$A:$A,A178))</f>
        <v/>
      </c>
      <c r="L178" s="23" t="str">
        <f aca="false">IF(OR(A178="",E178="Variable seule",F178="",G178=""),"",IF(COUNTIFS($F$9:$F$308,F178,$G$9:$G$308,G178,$A$9:$A$308,"&lt;&gt;"&amp;A178)&gt;0,"index deja pris",""))</f>
        <v/>
      </c>
      <c r="M178" s="4"/>
    </row>
    <row r="179" customFormat="false" ht="15" hidden="false" customHeight="true" outlineLevel="0" collapsed="false">
      <c r="A179" s="4"/>
      <c r="B179" s="22"/>
      <c r="C179" s="4"/>
      <c r="D179" s="22"/>
      <c r="E179" s="22"/>
      <c r="F179" s="4"/>
      <c r="G179" s="4"/>
      <c r="H179" s="4"/>
      <c r="I179" s="23" t="str">
        <f aca="false">IF(F179="","",IF(OR(E179="Variable seule",G179=""),F179,F179&amp;"["&amp;G179&amp;"]"))</f>
        <v/>
      </c>
      <c r="J179" s="23" t="str">
        <f aca="false">IF(A179="","",COUNTIF(Cablage!$A:$A,A179))</f>
        <v/>
      </c>
      <c r="K179" s="23" t="str">
        <f aca="false">IF(A179="","",COUNTIF(Liens!$A:$A,A179))</f>
        <v/>
      </c>
      <c r="L179" s="23" t="str">
        <f aca="false">IF(OR(A179="",E179="Variable seule",F179="",G179=""),"",IF(COUNTIFS($F$9:$F$308,F179,$G$9:$G$308,G179,$A$9:$A$308,"&lt;&gt;"&amp;A179)&gt;0,"index deja pris",""))</f>
        <v/>
      </c>
      <c r="M179" s="4"/>
    </row>
    <row r="180" customFormat="false" ht="15" hidden="false" customHeight="true" outlineLevel="0" collapsed="false">
      <c r="A180" s="4"/>
      <c r="B180" s="22"/>
      <c r="C180" s="4"/>
      <c r="D180" s="22"/>
      <c r="E180" s="22"/>
      <c r="F180" s="4"/>
      <c r="G180" s="4"/>
      <c r="H180" s="4"/>
      <c r="I180" s="23" t="str">
        <f aca="false">IF(F180="","",IF(OR(E180="Variable seule",G180=""),F180,F180&amp;"["&amp;G180&amp;"]"))</f>
        <v/>
      </c>
      <c r="J180" s="23" t="str">
        <f aca="false">IF(A180="","",COUNTIF(Cablage!$A:$A,A180))</f>
        <v/>
      </c>
      <c r="K180" s="23" t="str">
        <f aca="false">IF(A180="","",COUNTIF(Liens!$A:$A,A180))</f>
        <v/>
      </c>
      <c r="L180" s="23" t="str">
        <f aca="false">IF(OR(A180="",E180="Variable seule",F180="",G180=""),"",IF(COUNTIFS($F$9:$F$308,F180,$G$9:$G$308,G180,$A$9:$A$308,"&lt;&gt;"&amp;A180)&gt;0,"index deja pris",""))</f>
        <v/>
      </c>
      <c r="M180" s="4"/>
    </row>
    <row r="181" customFormat="false" ht="15" hidden="false" customHeight="true" outlineLevel="0" collapsed="false">
      <c r="A181" s="4"/>
      <c r="B181" s="22"/>
      <c r="C181" s="4"/>
      <c r="D181" s="22"/>
      <c r="E181" s="22"/>
      <c r="F181" s="4"/>
      <c r="G181" s="4"/>
      <c r="H181" s="4"/>
      <c r="I181" s="23" t="str">
        <f aca="false">IF(F181="","",IF(OR(E181="Variable seule",G181=""),F181,F181&amp;"["&amp;G181&amp;"]"))</f>
        <v/>
      </c>
      <c r="J181" s="23" t="str">
        <f aca="false">IF(A181="","",COUNTIF(Cablage!$A:$A,A181))</f>
        <v/>
      </c>
      <c r="K181" s="23" t="str">
        <f aca="false">IF(A181="","",COUNTIF(Liens!$A:$A,A181))</f>
        <v/>
      </c>
      <c r="L181" s="23" t="str">
        <f aca="false">IF(OR(A181="",E181="Variable seule",F181="",G181=""),"",IF(COUNTIFS($F$9:$F$308,F181,$G$9:$G$308,G181,$A$9:$A$308,"&lt;&gt;"&amp;A181)&gt;0,"index deja pris",""))</f>
        <v/>
      </c>
      <c r="M181" s="4"/>
    </row>
    <row r="182" customFormat="false" ht="15" hidden="false" customHeight="true" outlineLevel="0" collapsed="false">
      <c r="A182" s="4"/>
      <c r="B182" s="22"/>
      <c r="C182" s="4"/>
      <c r="D182" s="22"/>
      <c r="E182" s="22"/>
      <c r="F182" s="4"/>
      <c r="G182" s="4"/>
      <c r="H182" s="4"/>
      <c r="I182" s="23" t="str">
        <f aca="false">IF(F182="","",IF(OR(E182="Variable seule",G182=""),F182,F182&amp;"["&amp;G182&amp;"]"))</f>
        <v/>
      </c>
      <c r="J182" s="23" t="str">
        <f aca="false">IF(A182="","",COUNTIF(Cablage!$A:$A,A182))</f>
        <v/>
      </c>
      <c r="K182" s="23" t="str">
        <f aca="false">IF(A182="","",COUNTIF(Liens!$A:$A,A182))</f>
        <v/>
      </c>
      <c r="L182" s="23" t="str">
        <f aca="false">IF(OR(A182="",E182="Variable seule",F182="",G182=""),"",IF(COUNTIFS($F$9:$F$308,F182,$G$9:$G$308,G182,$A$9:$A$308,"&lt;&gt;"&amp;A182)&gt;0,"index deja pris",""))</f>
        <v/>
      </c>
      <c r="M182" s="4"/>
    </row>
    <row r="183" customFormat="false" ht="15" hidden="false" customHeight="true" outlineLevel="0" collapsed="false">
      <c r="A183" s="4"/>
      <c r="B183" s="22"/>
      <c r="C183" s="4"/>
      <c r="D183" s="22"/>
      <c r="E183" s="22"/>
      <c r="F183" s="4"/>
      <c r="G183" s="4"/>
      <c r="H183" s="4"/>
      <c r="I183" s="23" t="str">
        <f aca="false">IF(F183="","",IF(OR(E183="Variable seule",G183=""),F183,F183&amp;"["&amp;G183&amp;"]"))</f>
        <v/>
      </c>
      <c r="J183" s="23" t="str">
        <f aca="false">IF(A183="","",COUNTIF(Cablage!$A:$A,A183))</f>
        <v/>
      </c>
      <c r="K183" s="23" t="str">
        <f aca="false">IF(A183="","",COUNTIF(Liens!$A:$A,A183))</f>
        <v/>
      </c>
      <c r="L183" s="23" t="str">
        <f aca="false">IF(OR(A183="",E183="Variable seule",F183="",G183=""),"",IF(COUNTIFS($F$9:$F$308,F183,$G$9:$G$308,G183,$A$9:$A$308,"&lt;&gt;"&amp;A183)&gt;0,"index deja pris",""))</f>
        <v/>
      </c>
      <c r="M183" s="4"/>
    </row>
    <row r="184" customFormat="false" ht="15" hidden="false" customHeight="true" outlineLevel="0" collapsed="false">
      <c r="A184" s="4"/>
      <c r="B184" s="22"/>
      <c r="C184" s="4"/>
      <c r="D184" s="22"/>
      <c r="E184" s="22"/>
      <c r="F184" s="4"/>
      <c r="G184" s="4"/>
      <c r="H184" s="4"/>
      <c r="I184" s="23" t="str">
        <f aca="false">IF(F184="","",IF(OR(E184="Variable seule",G184=""),F184,F184&amp;"["&amp;G184&amp;"]"))</f>
        <v/>
      </c>
      <c r="J184" s="23" t="str">
        <f aca="false">IF(A184="","",COUNTIF(Cablage!$A:$A,A184))</f>
        <v/>
      </c>
      <c r="K184" s="23" t="str">
        <f aca="false">IF(A184="","",COUNTIF(Liens!$A:$A,A184))</f>
        <v/>
      </c>
      <c r="L184" s="23" t="str">
        <f aca="false">IF(OR(A184="",E184="Variable seule",F184="",G184=""),"",IF(COUNTIFS($F$9:$F$308,F184,$G$9:$G$308,G184,$A$9:$A$308,"&lt;&gt;"&amp;A184)&gt;0,"index deja pris",""))</f>
        <v/>
      </c>
      <c r="M184" s="4"/>
    </row>
    <row r="185" customFormat="false" ht="15" hidden="false" customHeight="true" outlineLevel="0" collapsed="false">
      <c r="A185" s="4"/>
      <c r="B185" s="22"/>
      <c r="C185" s="4"/>
      <c r="D185" s="22"/>
      <c r="E185" s="22"/>
      <c r="F185" s="4"/>
      <c r="G185" s="4"/>
      <c r="H185" s="4"/>
      <c r="I185" s="23" t="str">
        <f aca="false">IF(F185="","",IF(OR(E185="Variable seule",G185=""),F185,F185&amp;"["&amp;G185&amp;"]"))</f>
        <v/>
      </c>
      <c r="J185" s="23" t="str">
        <f aca="false">IF(A185="","",COUNTIF(Cablage!$A:$A,A185))</f>
        <v/>
      </c>
      <c r="K185" s="23" t="str">
        <f aca="false">IF(A185="","",COUNTIF(Liens!$A:$A,A185))</f>
        <v/>
      </c>
      <c r="L185" s="23" t="str">
        <f aca="false">IF(OR(A185="",E185="Variable seule",F185="",G185=""),"",IF(COUNTIFS($F$9:$F$308,F185,$G$9:$G$308,G185,$A$9:$A$308,"&lt;&gt;"&amp;A185)&gt;0,"index deja pris",""))</f>
        <v/>
      </c>
      <c r="M185" s="4"/>
    </row>
    <row r="186" customFormat="false" ht="15" hidden="false" customHeight="true" outlineLevel="0" collapsed="false">
      <c r="A186" s="4"/>
      <c r="B186" s="22"/>
      <c r="C186" s="4"/>
      <c r="D186" s="22"/>
      <c r="E186" s="22"/>
      <c r="F186" s="4"/>
      <c r="G186" s="4"/>
      <c r="H186" s="4"/>
      <c r="I186" s="23" t="str">
        <f aca="false">IF(F186="","",IF(OR(E186="Variable seule",G186=""),F186,F186&amp;"["&amp;G186&amp;"]"))</f>
        <v/>
      </c>
      <c r="J186" s="23" t="str">
        <f aca="false">IF(A186="","",COUNTIF(Cablage!$A:$A,A186))</f>
        <v/>
      </c>
      <c r="K186" s="23" t="str">
        <f aca="false">IF(A186="","",COUNTIF(Liens!$A:$A,A186))</f>
        <v/>
      </c>
      <c r="L186" s="23" t="str">
        <f aca="false">IF(OR(A186="",E186="Variable seule",F186="",G186=""),"",IF(COUNTIFS($F$9:$F$308,F186,$G$9:$G$308,G186,$A$9:$A$308,"&lt;&gt;"&amp;A186)&gt;0,"index deja pris",""))</f>
        <v/>
      </c>
      <c r="M186" s="4"/>
    </row>
    <row r="187" customFormat="false" ht="15" hidden="false" customHeight="true" outlineLevel="0" collapsed="false">
      <c r="A187" s="4"/>
      <c r="B187" s="22"/>
      <c r="C187" s="4"/>
      <c r="D187" s="22"/>
      <c r="E187" s="22"/>
      <c r="F187" s="4"/>
      <c r="G187" s="4"/>
      <c r="H187" s="4"/>
      <c r="I187" s="23" t="str">
        <f aca="false">IF(F187="","",IF(OR(E187="Variable seule",G187=""),F187,F187&amp;"["&amp;G187&amp;"]"))</f>
        <v/>
      </c>
      <c r="J187" s="23" t="str">
        <f aca="false">IF(A187="","",COUNTIF(Cablage!$A:$A,A187))</f>
        <v/>
      </c>
      <c r="K187" s="23" t="str">
        <f aca="false">IF(A187="","",COUNTIF(Liens!$A:$A,A187))</f>
        <v/>
      </c>
      <c r="L187" s="23" t="str">
        <f aca="false">IF(OR(A187="",E187="Variable seule",F187="",G187=""),"",IF(COUNTIFS($F$9:$F$308,F187,$G$9:$G$308,G187,$A$9:$A$308,"&lt;&gt;"&amp;A187)&gt;0,"index deja pris",""))</f>
        <v/>
      </c>
      <c r="M187" s="4"/>
    </row>
    <row r="188" customFormat="false" ht="15" hidden="false" customHeight="true" outlineLevel="0" collapsed="false">
      <c r="A188" s="4"/>
      <c r="B188" s="22"/>
      <c r="C188" s="4"/>
      <c r="D188" s="22"/>
      <c r="E188" s="22"/>
      <c r="F188" s="4"/>
      <c r="G188" s="4"/>
      <c r="H188" s="4"/>
      <c r="I188" s="23" t="str">
        <f aca="false">IF(F188="","",IF(OR(E188="Variable seule",G188=""),F188,F188&amp;"["&amp;G188&amp;"]"))</f>
        <v/>
      </c>
      <c r="J188" s="23" t="str">
        <f aca="false">IF(A188="","",COUNTIF(Cablage!$A:$A,A188))</f>
        <v/>
      </c>
      <c r="K188" s="23" t="str">
        <f aca="false">IF(A188="","",COUNTIF(Liens!$A:$A,A188))</f>
        <v/>
      </c>
      <c r="L188" s="23" t="str">
        <f aca="false">IF(OR(A188="",E188="Variable seule",F188="",G188=""),"",IF(COUNTIFS($F$9:$F$308,F188,$G$9:$G$308,G188,$A$9:$A$308,"&lt;&gt;"&amp;A188)&gt;0,"index deja pris",""))</f>
        <v/>
      </c>
      <c r="M188" s="4"/>
    </row>
    <row r="189" customFormat="false" ht="15" hidden="false" customHeight="true" outlineLevel="0" collapsed="false">
      <c r="A189" s="4"/>
      <c r="B189" s="22"/>
      <c r="C189" s="4"/>
      <c r="D189" s="22"/>
      <c r="E189" s="22"/>
      <c r="F189" s="4"/>
      <c r="G189" s="4"/>
      <c r="H189" s="4"/>
      <c r="I189" s="23" t="str">
        <f aca="false">IF(F189="","",IF(OR(E189="Variable seule",G189=""),F189,F189&amp;"["&amp;G189&amp;"]"))</f>
        <v/>
      </c>
      <c r="J189" s="23" t="str">
        <f aca="false">IF(A189="","",COUNTIF(Cablage!$A:$A,A189))</f>
        <v/>
      </c>
      <c r="K189" s="23" t="str">
        <f aca="false">IF(A189="","",COUNTIF(Liens!$A:$A,A189))</f>
        <v/>
      </c>
      <c r="L189" s="23" t="str">
        <f aca="false">IF(OR(A189="",E189="Variable seule",F189="",G189=""),"",IF(COUNTIFS($F$9:$F$308,F189,$G$9:$G$308,G189,$A$9:$A$308,"&lt;&gt;"&amp;A189)&gt;0,"index deja pris",""))</f>
        <v/>
      </c>
      <c r="M189" s="4"/>
    </row>
    <row r="190" customFormat="false" ht="15" hidden="false" customHeight="true" outlineLevel="0" collapsed="false">
      <c r="A190" s="4"/>
      <c r="B190" s="22"/>
      <c r="C190" s="4"/>
      <c r="D190" s="22"/>
      <c r="E190" s="22"/>
      <c r="F190" s="4"/>
      <c r="G190" s="4"/>
      <c r="H190" s="4"/>
      <c r="I190" s="23" t="str">
        <f aca="false">IF(F190="","",IF(OR(E190="Variable seule",G190=""),F190,F190&amp;"["&amp;G190&amp;"]"))</f>
        <v/>
      </c>
      <c r="J190" s="23" t="str">
        <f aca="false">IF(A190="","",COUNTIF(Cablage!$A:$A,A190))</f>
        <v/>
      </c>
      <c r="K190" s="23" t="str">
        <f aca="false">IF(A190="","",COUNTIF(Liens!$A:$A,A190))</f>
        <v/>
      </c>
      <c r="L190" s="23" t="str">
        <f aca="false">IF(OR(A190="",E190="Variable seule",F190="",G190=""),"",IF(COUNTIFS($F$9:$F$308,F190,$G$9:$G$308,G190,$A$9:$A$308,"&lt;&gt;"&amp;A190)&gt;0,"index deja pris",""))</f>
        <v/>
      </c>
      <c r="M190" s="4"/>
    </row>
    <row r="191" customFormat="false" ht="15" hidden="false" customHeight="true" outlineLevel="0" collapsed="false">
      <c r="A191" s="4"/>
      <c r="B191" s="22"/>
      <c r="C191" s="4"/>
      <c r="D191" s="22"/>
      <c r="E191" s="22"/>
      <c r="F191" s="4"/>
      <c r="G191" s="4"/>
      <c r="H191" s="4"/>
      <c r="I191" s="23" t="str">
        <f aca="false">IF(F191="","",IF(OR(E191="Variable seule",G191=""),F191,F191&amp;"["&amp;G191&amp;"]"))</f>
        <v/>
      </c>
      <c r="J191" s="23" t="str">
        <f aca="false">IF(A191="","",COUNTIF(Cablage!$A:$A,A191))</f>
        <v/>
      </c>
      <c r="K191" s="23" t="str">
        <f aca="false">IF(A191="","",COUNTIF(Liens!$A:$A,A191))</f>
        <v/>
      </c>
      <c r="L191" s="23" t="str">
        <f aca="false">IF(OR(A191="",E191="Variable seule",F191="",G191=""),"",IF(COUNTIFS($F$9:$F$308,F191,$G$9:$G$308,G191,$A$9:$A$308,"&lt;&gt;"&amp;A191)&gt;0,"index deja pris",""))</f>
        <v/>
      </c>
      <c r="M191" s="4"/>
    </row>
    <row r="192" customFormat="false" ht="15" hidden="false" customHeight="true" outlineLevel="0" collapsed="false">
      <c r="A192" s="4"/>
      <c r="B192" s="22"/>
      <c r="C192" s="4"/>
      <c r="D192" s="22"/>
      <c r="E192" s="22"/>
      <c r="F192" s="4"/>
      <c r="G192" s="4"/>
      <c r="H192" s="4"/>
      <c r="I192" s="23" t="str">
        <f aca="false">IF(F192="","",IF(OR(E192="Variable seule",G192=""),F192,F192&amp;"["&amp;G192&amp;"]"))</f>
        <v/>
      </c>
      <c r="J192" s="23" t="str">
        <f aca="false">IF(A192="","",COUNTIF(Cablage!$A:$A,A192))</f>
        <v/>
      </c>
      <c r="K192" s="23" t="str">
        <f aca="false">IF(A192="","",COUNTIF(Liens!$A:$A,A192))</f>
        <v/>
      </c>
      <c r="L192" s="23" t="str">
        <f aca="false">IF(OR(A192="",E192="Variable seule",F192="",G192=""),"",IF(COUNTIFS($F$9:$F$308,F192,$G$9:$G$308,G192,$A$9:$A$308,"&lt;&gt;"&amp;A192)&gt;0,"index deja pris",""))</f>
        <v/>
      </c>
      <c r="M192" s="4"/>
    </row>
    <row r="193" customFormat="false" ht="15" hidden="false" customHeight="true" outlineLevel="0" collapsed="false">
      <c r="A193" s="4"/>
      <c r="B193" s="22"/>
      <c r="C193" s="4"/>
      <c r="D193" s="22"/>
      <c r="E193" s="22"/>
      <c r="F193" s="4"/>
      <c r="G193" s="4"/>
      <c r="H193" s="4"/>
      <c r="I193" s="23" t="str">
        <f aca="false">IF(F193="","",IF(OR(E193="Variable seule",G193=""),F193,F193&amp;"["&amp;G193&amp;"]"))</f>
        <v/>
      </c>
      <c r="J193" s="23" t="str">
        <f aca="false">IF(A193="","",COUNTIF(Cablage!$A:$A,A193))</f>
        <v/>
      </c>
      <c r="K193" s="23" t="str">
        <f aca="false">IF(A193="","",COUNTIF(Liens!$A:$A,A193))</f>
        <v/>
      </c>
      <c r="L193" s="23" t="str">
        <f aca="false">IF(OR(A193="",E193="Variable seule",F193="",G193=""),"",IF(COUNTIFS($F$9:$F$308,F193,$G$9:$G$308,G193,$A$9:$A$308,"&lt;&gt;"&amp;A193)&gt;0,"index deja pris",""))</f>
        <v/>
      </c>
      <c r="M193" s="4"/>
    </row>
    <row r="194" customFormat="false" ht="15" hidden="false" customHeight="true" outlineLevel="0" collapsed="false">
      <c r="A194" s="4"/>
      <c r="B194" s="22"/>
      <c r="C194" s="4"/>
      <c r="D194" s="22"/>
      <c r="E194" s="22"/>
      <c r="F194" s="4"/>
      <c r="G194" s="4"/>
      <c r="H194" s="4"/>
      <c r="I194" s="23" t="str">
        <f aca="false">IF(F194="","",IF(OR(E194="Variable seule",G194=""),F194,F194&amp;"["&amp;G194&amp;"]"))</f>
        <v/>
      </c>
      <c r="J194" s="23" t="str">
        <f aca="false">IF(A194="","",COUNTIF(Cablage!$A:$A,A194))</f>
        <v/>
      </c>
      <c r="K194" s="23" t="str">
        <f aca="false">IF(A194="","",COUNTIF(Liens!$A:$A,A194))</f>
        <v/>
      </c>
      <c r="L194" s="23" t="str">
        <f aca="false">IF(OR(A194="",E194="Variable seule",F194="",G194=""),"",IF(COUNTIFS($F$9:$F$308,F194,$G$9:$G$308,G194,$A$9:$A$308,"&lt;&gt;"&amp;A194)&gt;0,"index deja pris",""))</f>
        <v/>
      </c>
      <c r="M194" s="4"/>
    </row>
    <row r="195" customFormat="false" ht="15" hidden="false" customHeight="true" outlineLevel="0" collapsed="false">
      <c r="A195" s="4"/>
      <c r="B195" s="22"/>
      <c r="C195" s="4"/>
      <c r="D195" s="22"/>
      <c r="E195" s="22"/>
      <c r="F195" s="4"/>
      <c r="G195" s="4"/>
      <c r="H195" s="4"/>
      <c r="I195" s="23" t="str">
        <f aca="false">IF(F195="","",IF(OR(E195="Variable seule",G195=""),F195,F195&amp;"["&amp;G195&amp;"]"))</f>
        <v/>
      </c>
      <c r="J195" s="23" t="str">
        <f aca="false">IF(A195="","",COUNTIF(Cablage!$A:$A,A195))</f>
        <v/>
      </c>
      <c r="K195" s="23" t="str">
        <f aca="false">IF(A195="","",COUNTIF(Liens!$A:$A,A195))</f>
        <v/>
      </c>
      <c r="L195" s="23" t="str">
        <f aca="false">IF(OR(A195="",E195="Variable seule",F195="",G195=""),"",IF(COUNTIFS($F$9:$F$308,F195,$G$9:$G$308,G195,$A$9:$A$308,"&lt;&gt;"&amp;A195)&gt;0,"index deja pris",""))</f>
        <v/>
      </c>
      <c r="M195" s="4"/>
    </row>
    <row r="196" customFormat="false" ht="15" hidden="false" customHeight="true" outlineLevel="0" collapsed="false">
      <c r="A196" s="4"/>
      <c r="B196" s="22"/>
      <c r="C196" s="4"/>
      <c r="D196" s="22"/>
      <c r="E196" s="22"/>
      <c r="F196" s="4"/>
      <c r="G196" s="4"/>
      <c r="H196" s="4"/>
      <c r="I196" s="23" t="str">
        <f aca="false">IF(F196="","",IF(OR(E196="Variable seule",G196=""),F196,F196&amp;"["&amp;G196&amp;"]"))</f>
        <v/>
      </c>
      <c r="J196" s="23" t="str">
        <f aca="false">IF(A196="","",COUNTIF(Cablage!$A:$A,A196))</f>
        <v/>
      </c>
      <c r="K196" s="23" t="str">
        <f aca="false">IF(A196="","",COUNTIF(Liens!$A:$A,A196))</f>
        <v/>
      </c>
      <c r="L196" s="23" t="str">
        <f aca="false">IF(OR(A196="",E196="Variable seule",F196="",G196=""),"",IF(COUNTIFS($F$9:$F$308,F196,$G$9:$G$308,G196,$A$9:$A$308,"&lt;&gt;"&amp;A196)&gt;0,"index deja pris",""))</f>
        <v/>
      </c>
      <c r="M196" s="4"/>
    </row>
    <row r="197" customFormat="false" ht="15" hidden="false" customHeight="true" outlineLevel="0" collapsed="false">
      <c r="A197" s="4"/>
      <c r="B197" s="22"/>
      <c r="C197" s="4"/>
      <c r="D197" s="22"/>
      <c r="E197" s="22"/>
      <c r="F197" s="4"/>
      <c r="G197" s="4"/>
      <c r="H197" s="4"/>
      <c r="I197" s="23" t="str">
        <f aca="false">IF(F197="","",IF(OR(E197="Variable seule",G197=""),F197,F197&amp;"["&amp;G197&amp;"]"))</f>
        <v/>
      </c>
      <c r="J197" s="23" t="str">
        <f aca="false">IF(A197="","",COUNTIF(Cablage!$A:$A,A197))</f>
        <v/>
      </c>
      <c r="K197" s="23" t="str">
        <f aca="false">IF(A197="","",COUNTIF(Liens!$A:$A,A197))</f>
        <v/>
      </c>
      <c r="L197" s="23" t="str">
        <f aca="false">IF(OR(A197="",E197="Variable seule",F197="",G197=""),"",IF(COUNTIFS($F$9:$F$308,F197,$G$9:$G$308,G197,$A$9:$A$308,"&lt;&gt;"&amp;A197)&gt;0,"index deja pris",""))</f>
        <v/>
      </c>
      <c r="M197" s="4"/>
    </row>
    <row r="198" customFormat="false" ht="15" hidden="false" customHeight="true" outlineLevel="0" collapsed="false">
      <c r="A198" s="4"/>
      <c r="B198" s="22"/>
      <c r="C198" s="4"/>
      <c r="D198" s="22"/>
      <c r="E198" s="22"/>
      <c r="F198" s="4"/>
      <c r="G198" s="4"/>
      <c r="H198" s="4"/>
      <c r="I198" s="23" t="str">
        <f aca="false">IF(F198="","",IF(OR(E198="Variable seule",G198=""),F198,F198&amp;"["&amp;G198&amp;"]"))</f>
        <v/>
      </c>
      <c r="J198" s="23" t="str">
        <f aca="false">IF(A198="","",COUNTIF(Cablage!$A:$A,A198))</f>
        <v/>
      </c>
      <c r="K198" s="23" t="str">
        <f aca="false">IF(A198="","",COUNTIF(Liens!$A:$A,A198))</f>
        <v/>
      </c>
      <c r="L198" s="23" t="str">
        <f aca="false">IF(OR(A198="",E198="Variable seule",F198="",G198=""),"",IF(COUNTIFS($F$9:$F$308,F198,$G$9:$G$308,G198,$A$9:$A$308,"&lt;&gt;"&amp;A198)&gt;0,"index deja pris",""))</f>
        <v/>
      </c>
      <c r="M198" s="4"/>
    </row>
    <row r="199" customFormat="false" ht="15" hidden="false" customHeight="true" outlineLevel="0" collapsed="false">
      <c r="A199" s="4"/>
      <c r="B199" s="22"/>
      <c r="C199" s="4"/>
      <c r="D199" s="22"/>
      <c r="E199" s="22"/>
      <c r="F199" s="4"/>
      <c r="G199" s="4"/>
      <c r="H199" s="4"/>
      <c r="I199" s="23" t="str">
        <f aca="false">IF(F199="","",IF(OR(E199="Variable seule",G199=""),F199,F199&amp;"["&amp;G199&amp;"]"))</f>
        <v/>
      </c>
      <c r="J199" s="23" t="str">
        <f aca="false">IF(A199="","",COUNTIF(Cablage!$A:$A,A199))</f>
        <v/>
      </c>
      <c r="K199" s="23" t="str">
        <f aca="false">IF(A199="","",COUNTIF(Liens!$A:$A,A199))</f>
        <v/>
      </c>
      <c r="L199" s="23" t="str">
        <f aca="false">IF(OR(A199="",E199="Variable seule",F199="",G199=""),"",IF(COUNTIFS($F$9:$F$308,F199,$G$9:$G$308,G199,$A$9:$A$308,"&lt;&gt;"&amp;A199)&gt;0,"index deja pris",""))</f>
        <v/>
      </c>
      <c r="M199" s="4"/>
    </row>
    <row r="200" customFormat="false" ht="15" hidden="false" customHeight="true" outlineLevel="0" collapsed="false">
      <c r="A200" s="4"/>
      <c r="B200" s="22"/>
      <c r="C200" s="4"/>
      <c r="D200" s="22"/>
      <c r="E200" s="22"/>
      <c r="F200" s="4"/>
      <c r="G200" s="4"/>
      <c r="H200" s="4"/>
      <c r="I200" s="23" t="str">
        <f aca="false">IF(F200="","",IF(OR(E200="Variable seule",G200=""),F200,F200&amp;"["&amp;G200&amp;"]"))</f>
        <v/>
      </c>
      <c r="J200" s="23" t="str">
        <f aca="false">IF(A200="","",COUNTIF(Cablage!$A:$A,A200))</f>
        <v/>
      </c>
      <c r="K200" s="23" t="str">
        <f aca="false">IF(A200="","",COUNTIF(Liens!$A:$A,A200))</f>
        <v/>
      </c>
      <c r="L200" s="23" t="str">
        <f aca="false">IF(OR(A200="",E200="Variable seule",F200="",G200=""),"",IF(COUNTIFS($F$9:$F$308,F200,$G$9:$G$308,G200,$A$9:$A$308,"&lt;&gt;"&amp;A200)&gt;0,"index deja pris",""))</f>
        <v/>
      </c>
      <c r="M200" s="4"/>
    </row>
    <row r="201" customFormat="false" ht="15" hidden="false" customHeight="true" outlineLevel="0" collapsed="false">
      <c r="A201" s="4"/>
      <c r="B201" s="22"/>
      <c r="C201" s="4"/>
      <c r="D201" s="22"/>
      <c r="E201" s="22"/>
      <c r="F201" s="4"/>
      <c r="G201" s="4"/>
      <c r="H201" s="4"/>
      <c r="I201" s="23" t="str">
        <f aca="false">IF(F201="","",IF(OR(E201="Variable seule",G201=""),F201,F201&amp;"["&amp;G201&amp;"]"))</f>
        <v/>
      </c>
      <c r="J201" s="23" t="str">
        <f aca="false">IF(A201="","",COUNTIF(Cablage!$A:$A,A201))</f>
        <v/>
      </c>
      <c r="K201" s="23" t="str">
        <f aca="false">IF(A201="","",COUNTIF(Liens!$A:$A,A201))</f>
        <v/>
      </c>
      <c r="L201" s="23" t="str">
        <f aca="false">IF(OR(A201="",E201="Variable seule",F201="",G201=""),"",IF(COUNTIFS($F$9:$F$308,F201,$G$9:$G$308,G201,$A$9:$A$308,"&lt;&gt;"&amp;A201)&gt;0,"index deja pris",""))</f>
        <v/>
      </c>
      <c r="M201" s="4"/>
    </row>
    <row r="202" customFormat="false" ht="15" hidden="false" customHeight="true" outlineLevel="0" collapsed="false">
      <c r="A202" s="4"/>
      <c r="B202" s="22"/>
      <c r="C202" s="4"/>
      <c r="D202" s="22"/>
      <c r="E202" s="22"/>
      <c r="F202" s="4"/>
      <c r="G202" s="4"/>
      <c r="H202" s="4"/>
      <c r="I202" s="23" t="str">
        <f aca="false">IF(F202="","",IF(OR(E202="Variable seule",G202=""),F202,F202&amp;"["&amp;G202&amp;"]"))</f>
        <v/>
      </c>
      <c r="J202" s="23" t="str">
        <f aca="false">IF(A202="","",COUNTIF(Cablage!$A:$A,A202))</f>
        <v/>
      </c>
      <c r="K202" s="23" t="str">
        <f aca="false">IF(A202="","",COUNTIF(Liens!$A:$A,A202))</f>
        <v/>
      </c>
      <c r="L202" s="23" t="str">
        <f aca="false">IF(OR(A202="",E202="Variable seule",F202="",G202=""),"",IF(COUNTIFS($F$9:$F$308,F202,$G$9:$G$308,G202,$A$9:$A$308,"&lt;&gt;"&amp;A202)&gt;0,"index deja pris",""))</f>
        <v/>
      </c>
      <c r="M202" s="4"/>
    </row>
    <row r="203" customFormat="false" ht="15" hidden="false" customHeight="true" outlineLevel="0" collapsed="false">
      <c r="A203" s="4"/>
      <c r="B203" s="22"/>
      <c r="C203" s="4"/>
      <c r="D203" s="22"/>
      <c r="E203" s="22"/>
      <c r="F203" s="4"/>
      <c r="G203" s="4"/>
      <c r="H203" s="4"/>
      <c r="I203" s="23" t="str">
        <f aca="false">IF(F203="","",IF(OR(E203="Variable seule",G203=""),F203,F203&amp;"["&amp;G203&amp;"]"))</f>
        <v/>
      </c>
      <c r="J203" s="23" t="str">
        <f aca="false">IF(A203="","",COUNTIF(Cablage!$A:$A,A203))</f>
        <v/>
      </c>
      <c r="K203" s="23" t="str">
        <f aca="false">IF(A203="","",COUNTIF(Liens!$A:$A,A203))</f>
        <v/>
      </c>
      <c r="L203" s="23" t="str">
        <f aca="false">IF(OR(A203="",E203="Variable seule",F203="",G203=""),"",IF(COUNTIFS($F$9:$F$308,F203,$G$9:$G$308,G203,$A$9:$A$308,"&lt;&gt;"&amp;A203)&gt;0,"index deja pris",""))</f>
        <v/>
      </c>
      <c r="M203" s="4"/>
    </row>
    <row r="204" customFormat="false" ht="15" hidden="false" customHeight="true" outlineLevel="0" collapsed="false">
      <c r="A204" s="4"/>
      <c r="B204" s="22"/>
      <c r="C204" s="4"/>
      <c r="D204" s="22"/>
      <c r="E204" s="22"/>
      <c r="F204" s="4"/>
      <c r="G204" s="4"/>
      <c r="H204" s="4"/>
      <c r="I204" s="23" t="str">
        <f aca="false">IF(F204="","",IF(OR(E204="Variable seule",G204=""),F204,F204&amp;"["&amp;G204&amp;"]"))</f>
        <v/>
      </c>
      <c r="J204" s="23" t="str">
        <f aca="false">IF(A204="","",COUNTIF(Cablage!$A:$A,A204))</f>
        <v/>
      </c>
      <c r="K204" s="23" t="str">
        <f aca="false">IF(A204="","",COUNTIF(Liens!$A:$A,A204))</f>
        <v/>
      </c>
      <c r="L204" s="23" t="str">
        <f aca="false">IF(OR(A204="",E204="Variable seule",F204="",G204=""),"",IF(COUNTIFS($F$9:$F$308,F204,$G$9:$G$308,G204,$A$9:$A$308,"&lt;&gt;"&amp;A204)&gt;0,"index deja pris",""))</f>
        <v/>
      </c>
      <c r="M204" s="4"/>
    </row>
    <row r="205" customFormat="false" ht="15" hidden="false" customHeight="true" outlineLevel="0" collapsed="false">
      <c r="A205" s="4"/>
      <c r="B205" s="22"/>
      <c r="C205" s="4"/>
      <c r="D205" s="22"/>
      <c r="E205" s="22"/>
      <c r="F205" s="4"/>
      <c r="G205" s="4"/>
      <c r="H205" s="4"/>
      <c r="I205" s="23" t="str">
        <f aca="false">IF(F205="","",IF(OR(E205="Variable seule",G205=""),F205,F205&amp;"["&amp;G205&amp;"]"))</f>
        <v/>
      </c>
      <c r="J205" s="23" t="str">
        <f aca="false">IF(A205="","",COUNTIF(Cablage!$A:$A,A205))</f>
        <v/>
      </c>
      <c r="K205" s="23" t="str">
        <f aca="false">IF(A205="","",COUNTIF(Liens!$A:$A,A205))</f>
        <v/>
      </c>
      <c r="L205" s="23" t="str">
        <f aca="false">IF(OR(A205="",E205="Variable seule",F205="",G205=""),"",IF(COUNTIFS($F$9:$F$308,F205,$G$9:$G$308,G205,$A$9:$A$308,"&lt;&gt;"&amp;A205)&gt;0,"index deja pris",""))</f>
        <v/>
      </c>
      <c r="M205" s="4"/>
    </row>
    <row r="206" customFormat="false" ht="15" hidden="false" customHeight="true" outlineLevel="0" collapsed="false">
      <c r="A206" s="4"/>
      <c r="B206" s="22"/>
      <c r="C206" s="4"/>
      <c r="D206" s="22"/>
      <c r="E206" s="22"/>
      <c r="F206" s="4"/>
      <c r="G206" s="4"/>
      <c r="H206" s="4"/>
      <c r="I206" s="23" t="str">
        <f aca="false">IF(F206="","",IF(OR(E206="Variable seule",G206=""),F206,F206&amp;"["&amp;G206&amp;"]"))</f>
        <v/>
      </c>
      <c r="J206" s="23" t="str">
        <f aca="false">IF(A206="","",COUNTIF(Cablage!$A:$A,A206))</f>
        <v/>
      </c>
      <c r="K206" s="23" t="str">
        <f aca="false">IF(A206="","",COUNTIF(Liens!$A:$A,A206))</f>
        <v/>
      </c>
      <c r="L206" s="23" t="str">
        <f aca="false">IF(OR(A206="",E206="Variable seule",F206="",G206=""),"",IF(COUNTIFS($F$9:$F$308,F206,$G$9:$G$308,G206,$A$9:$A$308,"&lt;&gt;"&amp;A206)&gt;0,"index deja pris",""))</f>
        <v/>
      </c>
      <c r="M206" s="4"/>
    </row>
    <row r="207" customFormat="false" ht="15" hidden="false" customHeight="true" outlineLevel="0" collapsed="false">
      <c r="A207" s="4"/>
      <c r="B207" s="22"/>
      <c r="C207" s="4"/>
      <c r="D207" s="22"/>
      <c r="E207" s="22"/>
      <c r="F207" s="4"/>
      <c r="G207" s="4"/>
      <c r="H207" s="4"/>
      <c r="I207" s="23" t="str">
        <f aca="false">IF(F207="","",IF(OR(E207="Variable seule",G207=""),F207,F207&amp;"["&amp;G207&amp;"]"))</f>
        <v/>
      </c>
      <c r="J207" s="23" t="str">
        <f aca="false">IF(A207="","",COUNTIF(Cablage!$A:$A,A207))</f>
        <v/>
      </c>
      <c r="K207" s="23" t="str">
        <f aca="false">IF(A207="","",COUNTIF(Liens!$A:$A,A207))</f>
        <v/>
      </c>
      <c r="L207" s="23" t="str">
        <f aca="false">IF(OR(A207="",E207="Variable seule",F207="",G207=""),"",IF(COUNTIFS($F$9:$F$308,F207,$G$9:$G$308,G207,$A$9:$A$308,"&lt;&gt;"&amp;A207)&gt;0,"index deja pris",""))</f>
        <v/>
      </c>
      <c r="M207" s="4"/>
    </row>
    <row r="208" customFormat="false" ht="15" hidden="false" customHeight="true" outlineLevel="0" collapsed="false">
      <c r="A208" s="4"/>
      <c r="B208" s="22"/>
      <c r="C208" s="4"/>
      <c r="D208" s="22"/>
      <c r="E208" s="22"/>
      <c r="F208" s="4"/>
      <c r="G208" s="4"/>
      <c r="H208" s="4"/>
      <c r="I208" s="23" t="str">
        <f aca="false">IF(F208="","",IF(OR(E208="Variable seule",G208=""),F208,F208&amp;"["&amp;G208&amp;"]"))</f>
        <v/>
      </c>
      <c r="J208" s="23" t="str">
        <f aca="false">IF(A208="","",COUNTIF(Cablage!$A:$A,A208))</f>
        <v/>
      </c>
      <c r="K208" s="23" t="str">
        <f aca="false">IF(A208="","",COUNTIF(Liens!$A:$A,A208))</f>
        <v/>
      </c>
      <c r="L208" s="23" t="str">
        <f aca="false">IF(OR(A208="",E208="Variable seule",F208="",G208=""),"",IF(COUNTIFS($F$9:$F$308,F208,$G$9:$G$308,G208,$A$9:$A$308,"&lt;&gt;"&amp;A208)&gt;0,"index deja pris",""))</f>
        <v/>
      </c>
      <c r="M208" s="4"/>
    </row>
    <row r="209" customFormat="false" ht="15" hidden="false" customHeight="true" outlineLevel="0" collapsed="false">
      <c r="A209" s="4"/>
      <c r="B209" s="22"/>
      <c r="C209" s="4"/>
      <c r="D209" s="22"/>
      <c r="E209" s="22"/>
      <c r="F209" s="4"/>
      <c r="G209" s="4"/>
      <c r="H209" s="4"/>
      <c r="I209" s="23" t="str">
        <f aca="false">IF(F209="","",IF(OR(E209="Variable seule",G209=""),F209,F209&amp;"["&amp;G209&amp;"]"))</f>
        <v/>
      </c>
      <c r="J209" s="23" t="str">
        <f aca="false">IF(A209="","",COUNTIF(Cablage!$A:$A,A209))</f>
        <v/>
      </c>
      <c r="K209" s="23" t="str">
        <f aca="false">IF(A209="","",COUNTIF(Liens!$A:$A,A209))</f>
        <v/>
      </c>
      <c r="L209" s="23" t="str">
        <f aca="false">IF(OR(A209="",E209="Variable seule",F209="",G209=""),"",IF(COUNTIFS($F$9:$F$308,F209,$G$9:$G$308,G209,$A$9:$A$308,"&lt;&gt;"&amp;A209)&gt;0,"index deja pris",""))</f>
        <v/>
      </c>
      <c r="M209" s="4"/>
    </row>
    <row r="210" customFormat="false" ht="15" hidden="false" customHeight="true" outlineLevel="0" collapsed="false">
      <c r="A210" s="4"/>
      <c r="B210" s="22"/>
      <c r="C210" s="4"/>
      <c r="D210" s="22"/>
      <c r="E210" s="22"/>
      <c r="F210" s="4"/>
      <c r="G210" s="4"/>
      <c r="H210" s="4"/>
      <c r="I210" s="23" t="str">
        <f aca="false">IF(F210="","",IF(OR(E210="Variable seule",G210=""),F210,F210&amp;"["&amp;G210&amp;"]"))</f>
        <v/>
      </c>
      <c r="J210" s="23" t="str">
        <f aca="false">IF(A210="","",COUNTIF(Cablage!$A:$A,A210))</f>
        <v/>
      </c>
      <c r="K210" s="23" t="str">
        <f aca="false">IF(A210="","",COUNTIF(Liens!$A:$A,A210))</f>
        <v/>
      </c>
      <c r="L210" s="23" t="str">
        <f aca="false">IF(OR(A210="",E210="Variable seule",F210="",G210=""),"",IF(COUNTIFS($F$9:$F$308,F210,$G$9:$G$308,G210,$A$9:$A$308,"&lt;&gt;"&amp;A210)&gt;0,"index deja pris",""))</f>
        <v/>
      </c>
      <c r="M210" s="4"/>
    </row>
    <row r="211" customFormat="false" ht="15" hidden="false" customHeight="true" outlineLevel="0" collapsed="false">
      <c r="A211" s="4"/>
      <c r="B211" s="22"/>
      <c r="C211" s="4"/>
      <c r="D211" s="22"/>
      <c r="E211" s="22"/>
      <c r="F211" s="4"/>
      <c r="G211" s="4"/>
      <c r="H211" s="4"/>
      <c r="I211" s="23" t="str">
        <f aca="false">IF(F211="","",IF(OR(E211="Variable seule",G211=""),F211,F211&amp;"["&amp;G211&amp;"]"))</f>
        <v/>
      </c>
      <c r="J211" s="23" t="str">
        <f aca="false">IF(A211="","",COUNTIF(Cablage!$A:$A,A211))</f>
        <v/>
      </c>
      <c r="K211" s="23" t="str">
        <f aca="false">IF(A211="","",COUNTIF(Liens!$A:$A,A211))</f>
        <v/>
      </c>
      <c r="L211" s="23" t="str">
        <f aca="false">IF(OR(A211="",E211="Variable seule",F211="",G211=""),"",IF(COUNTIFS($F$9:$F$308,F211,$G$9:$G$308,G211,$A$9:$A$308,"&lt;&gt;"&amp;A211)&gt;0,"index deja pris",""))</f>
        <v/>
      </c>
      <c r="M211" s="4"/>
    </row>
    <row r="212" customFormat="false" ht="15" hidden="false" customHeight="true" outlineLevel="0" collapsed="false">
      <c r="A212" s="4"/>
      <c r="B212" s="22"/>
      <c r="C212" s="4"/>
      <c r="D212" s="22"/>
      <c r="E212" s="22"/>
      <c r="F212" s="4"/>
      <c r="G212" s="4"/>
      <c r="H212" s="4"/>
      <c r="I212" s="23" t="str">
        <f aca="false">IF(F212="","",IF(OR(E212="Variable seule",G212=""),F212,F212&amp;"["&amp;G212&amp;"]"))</f>
        <v/>
      </c>
      <c r="J212" s="23" t="str">
        <f aca="false">IF(A212="","",COUNTIF(Cablage!$A:$A,A212))</f>
        <v/>
      </c>
      <c r="K212" s="23" t="str">
        <f aca="false">IF(A212="","",COUNTIF(Liens!$A:$A,A212))</f>
        <v/>
      </c>
      <c r="L212" s="23" t="str">
        <f aca="false">IF(OR(A212="",E212="Variable seule",F212="",G212=""),"",IF(COUNTIFS($F$9:$F$308,F212,$G$9:$G$308,G212,$A$9:$A$308,"&lt;&gt;"&amp;A212)&gt;0,"index deja pris",""))</f>
        <v/>
      </c>
      <c r="M212" s="4"/>
    </row>
    <row r="213" customFormat="false" ht="15" hidden="false" customHeight="true" outlineLevel="0" collapsed="false">
      <c r="A213" s="4"/>
      <c r="B213" s="22"/>
      <c r="C213" s="4"/>
      <c r="D213" s="22"/>
      <c r="E213" s="22"/>
      <c r="F213" s="4"/>
      <c r="G213" s="4"/>
      <c r="H213" s="4"/>
      <c r="I213" s="23" t="str">
        <f aca="false">IF(F213="","",IF(OR(E213="Variable seule",G213=""),F213,F213&amp;"["&amp;G213&amp;"]"))</f>
        <v/>
      </c>
      <c r="J213" s="23" t="str">
        <f aca="false">IF(A213="","",COUNTIF(Cablage!$A:$A,A213))</f>
        <v/>
      </c>
      <c r="K213" s="23" t="str">
        <f aca="false">IF(A213="","",COUNTIF(Liens!$A:$A,A213))</f>
        <v/>
      </c>
      <c r="L213" s="23" t="str">
        <f aca="false">IF(OR(A213="",E213="Variable seule",F213="",G213=""),"",IF(COUNTIFS($F$9:$F$308,F213,$G$9:$G$308,G213,$A$9:$A$308,"&lt;&gt;"&amp;A213)&gt;0,"index deja pris",""))</f>
        <v/>
      </c>
      <c r="M213" s="4"/>
    </row>
    <row r="214" customFormat="false" ht="15" hidden="false" customHeight="true" outlineLevel="0" collapsed="false">
      <c r="A214" s="4"/>
      <c r="B214" s="22"/>
      <c r="C214" s="4"/>
      <c r="D214" s="22"/>
      <c r="E214" s="22"/>
      <c r="F214" s="4"/>
      <c r="G214" s="4"/>
      <c r="H214" s="4"/>
      <c r="I214" s="23" t="str">
        <f aca="false">IF(F214="","",IF(OR(E214="Variable seule",G214=""),F214,F214&amp;"["&amp;G214&amp;"]"))</f>
        <v/>
      </c>
      <c r="J214" s="23" t="str">
        <f aca="false">IF(A214="","",COUNTIF(Cablage!$A:$A,A214))</f>
        <v/>
      </c>
      <c r="K214" s="23" t="str">
        <f aca="false">IF(A214="","",COUNTIF(Liens!$A:$A,A214))</f>
        <v/>
      </c>
      <c r="L214" s="23" t="str">
        <f aca="false">IF(OR(A214="",E214="Variable seule",F214="",G214=""),"",IF(COUNTIFS($F$9:$F$308,F214,$G$9:$G$308,G214,$A$9:$A$308,"&lt;&gt;"&amp;A214)&gt;0,"index deja pris",""))</f>
        <v/>
      </c>
      <c r="M214" s="4"/>
    </row>
    <row r="215" customFormat="false" ht="15" hidden="false" customHeight="true" outlineLevel="0" collapsed="false">
      <c r="A215" s="4"/>
      <c r="B215" s="22"/>
      <c r="C215" s="4"/>
      <c r="D215" s="22"/>
      <c r="E215" s="22"/>
      <c r="F215" s="4"/>
      <c r="G215" s="4"/>
      <c r="H215" s="4"/>
      <c r="I215" s="23" t="str">
        <f aca="false">IF(F215="","",IF(OR(E215="Variable seule",G215=""),F215,F215&amp;"["&amp;G215&amp;"]"))</f>
        <v/>
      </c>
      <c r="J215" s="23" t="str">
        <f aca="false">IF(A215="","",COUNTIF(Cablage!$A:$A,A215))</f>
        <v/>
      </c>
      <c r="K215" s="23" t="str">
        <f aca="false">IF(A215="","",COUNTIF(Liens!$A:$A,A215))</f>
        <v/>
      </c>
      <c r="L215" s="23" t="str">
        <f aca="false">IF(OR(A215="",E215="Variable seule",F215="",G215=""),"",IF(COUNTIFS($F$9:$F$308,F215,$G$9:$G$308,G215,$A$9:$A$308,"&lt;&gt;"&amp;A215)&gt;0,"index deja pris",""))</f>
        <v/>
      </c>
      <c r="M215" s="4"/>
    </row>
    <row r="216" customFormat="false" ht="15" hidden="false" customHeight="true" outlineLevel="0" collapsed="false">
      <c r="A216" s="4"/>
      <c r="B216" s="22"/>
      <c r="C216" s="4"/>
      <c r="D216" s="22"/>
      <c r="E216" s="22"/>
      <c r="F216" s="4"/>
      <c r="G216" s="4"/>
      <c r="H216" s="4"/>
      <c r="I216" s="23" t="str">
        <f aca="false">IF(F216="","",IF(OR(E216="Variable seule",G216=""),F216,F216&amp;"["&amp;G216&amp;"]"))</f>
        <v/>
      </c>
      <c r="J216" s="23" t="str">
        <f aca="false">IF(A216="","",COUNTIF(Cablage!$A:$A,A216))</f>
        <v/>
      </c>
      <c r="K216" s="23" t="str">
        <f aca="false">IF(A216="","",COUNTIF(Liens!$A:$A,A216))</f>
        <v/>
      </c>
      <c r="L216" s="23" t="str">
        <f aca="false">IF(OR(A216="",E216="Variable seule",F216="",G216=""),"",IF(COUNTIFS($F$9:$F$308,F216,$G$9:$G$308,G216,$A$9:$A$308,"&lt;&gt;"&amp;A216)&gt;0,"index deja pris",""))</f>
        <v/>
      </c>
      <c r="M216" s="4"/>
    </row>
    <row r="217" customFormat="false" ht="15" hidden="false" customHeight="true" outlineLevel="0" collapsed="false">
      <c r="A217" s="4"/>
      <c r="B217" s="22"/>
      <c r="C217" s="4"/>
      <c r="D217" s="22"/>
      <c r="E217" s="22"/>
      <c r="F217" s="4"/>
      <c r="G217" s="4"/>
      <c r="H217" s="4"/>
      <c r="I217" s="23" t="str">
        <f aca="false">IF(F217="","",IF(OR(E217="Variable seule",G217=""),F217,F217&amp;"["&amp;G217&amp;"]"))</f>
        <v/>
      </c>
      <c r="J217" s="23" t="str">
        <f aca="false">IF(A217="","",COUNTIF(Cablage!$A:$A,A217))</f>
        <v/>
      </c>
      <c r="K217" s="23" t="str">
        <f aca="false">IF(A217="","",COUNTIF(Liens!$A:$A,A217))</f>
        <v/>
      </c>
      <c r="L217" s="23" t="str">
        <f aca="false">IF(OR(A217="",E217="Variable seule",F217="",G217=""),"",IF(COUNTIFS($F$9:$F$308,F217,$G$9:$G$308,G217,$A$9:$A$308,"&lt;&gt;"&amp;A217)&gt;0,"index deja pris",""))</f>
        <v/>
      </c>
      <c r="M217" s="4"/>
    </row>
    <row r="218" customFormat="false" ht="15" hidden="false" customHeight="true" outlineLevel="0" collapsed="false">
      <c r="A218" s="4"/>
      <c r="B218" s="22"/>
      <c r="C218" s="4"/>
      <c r="D218" s="22"/>
      <c r="E218" s="22"/>
      <c r="F218" s="4"/>
      <c r="G218" s="4"/>
      <c r="H218" s="4"/>
      <c r="I218" s="23" t="str">
        <f aca="false">IF(F218="","",IF(OR(E218="Variable seule",G218=""),F218,F218&amp;"["&amp;G218&amp;"]"))</f>
        <v/>
      </c>
      <c r="J218" s="23" t="str">
        <f aca="false">IF(A218="","",COUNTIF(Cablage!$A:$A,A218))</f>
        <v/>
      </c>
      <c r="K218" s="23" t="str">
        <f aca="false">IF(A218="","",COUNTIF(Liens!$A:$A,A218))</f>
        <v/>
      </c>
      <c r="L218" s="23" t="str">
        <f aca="false">IF(OR(A218="",E218="Variable seule",F218="",G218=""),"",IF(COUNTIFS($F$9:$F$308,F218,$G$9:$G$308,G218,$A$9:$A$308,"&lt;&gt;"&amp;A218)&gt;0,"index deja pris",""))</f>
        <v/>
      </c>
      <c r="M218" s="4"/>
    </row>
    <row r="219" customFormat="false" ht="15" hidden="false" customHeight="true" outlineLevel="0" collapsed="false">
      <c r="A219" s="4"/>
      <c r="B219" s="22"/>
      <c r="C219" s="4"/>
      <c r="D219" s="22"/>
      <c r="E219" s="22"/>
      <c r="F219" s="4"/>
      <c r="G219" s="4"/>
      <c r="H219" s="4"/>
      <c r="I219" s="23" t="str">
        <f aca="false">IF(F219="","",IF(OR(E219="Variable seule",G219=""),F219,F219&amp;"["&amp;G219&amp;"]"))</f>
        <v/>
      </c>
      <c r="J219" s="23" t="str">
        <f aca="false">IF(A219="","",COUNTIF(Cablage!$A:$A,A219))</f>
        <v/>
      </c>
      <c r="K219" s="23" t="str">
        <f aca="false">IF(A219="","",COUNTIF(Liens!$A:$A,A219))</f>
        <v/>
      </c>
      <c r="L219" s="23" t="str">
        <f aca="false">IF(OR(A219="",E219="Variable seule",F219="",G219=""),"",IF(COUNTIFS($F$9:$F$308,F219,$G$9:$G$308,G219,$A$9:$A$308,"&lt;&gt;"&amp;A219)&gt;0,"index deja pris",""))</f>
        <v/>
      </c>
      <c r="M219" s="4"/>
    </row>
    <row r="220" customFormat="false" ht="15" hidden="false" customHeight="true" outlineLevel="0" collapsed="false">
      <c r="A220" s="4"/>
      <c r="B220" s="22"/>
      <c r="C220" s="4"/>
      <c r="D220" s="22"/>
      <c r="E220" s="22"/>
      <c r="F220" s="4"/>
      <c r="G220" s="4"/>
      <c r="H220" s="4"/>
      <c r="I220" s="23" t="str">
        <f aca="false">IF(F220="","",IF(OR(E220="Variable seule",G220=""),F220,F220&amp;"["&amp;G220&amp;"]"))</f>
        <v/>
      </c>
      <c r="J220" s="23" t="str">
        <f aca="false">IF(A220="","",COUNTIF(Cablage!$A:$A,A220))</f>
        <v/>
      </c>
      <c r="K220" s="23" t="str">
        <f aca="false">IF(A220="","",COUNTIF(Liens!$A:$A,A220))</f>
        <v/>
      </c>
      <c r="L220" s="23" t="str">
        <f aca="false">IF(OR(A220="",E220="Variable seule",F220="",G220=""),"",IF(COUNTIFS($F$9:$F$308,F220,$G$9:$G$308,G220,$A$9:$A$308,"&lt;&gt;"&amp;A220)&gt;0,"index deja pris",""))</f>
        <v/>
      </c>
      <c r="M220" s="4"/>
    </row>
    <row r="221" customFormat="false" ht="15" hidden="false" customHeight="true" outlineLevel="0" collapsed="false">
      <c r="A221" s="4"/>
      <c r="B221" s="22"/>
      <c r="C221" s="4"/>
      <c r="D221" s="22"/>
      <c r="E221" s="22"/>
      <c r="F221" s="4"/>
      <c r="G221" s="4"/>
      <c r="H221" s="4"/>
      <c r="I221" s="23" t="str">
        <f aca="false">IF(F221="","",IF(OR(E221="Variable seule",G221=""),F221,F221&amp;"["&amp;G221&amp;"]"))</f>
        <v/>
      </c>
      <c r="J221" s="23" t="str">
        <f aca="false">IF(A221="","",COUNTIF(Cablage!$A:$A,A221))</f>
        <v/>
      </c>
      <c r="K221" s="23" t="str">
        <f aca="false">IF(A221="","",COUNTIF(Liens!$A:$A,A221))</f>
        <v/>
      </c>
      <c r="L221" s="23" t="str">
        <f aca="false">IF(OR(A221="",E221="Variable seule",F221="",G221=""),"",IF(COUNTIFS($F$9:$F$308,F221,$G$9:$G$308,G221,$A$9:$A$308,"&lt;&gt;"&amp;A221)&gt;0,"index deja pris",""))</f>
        <v/>
      </c>
      <c r="M221" s="4"/>
    </row>
    <row r="222" customFormat="false" ht="15" hidden="false" customHeight="true" outlineLevel="0" collapsed="false">
      <c r="A222" s="4"/>
      <c r="B222" s="22"/>
      <c r="C222" s="4"/>
      <c r="D222" s="22"/>
      <c r="E222" s="22"/>
      <c r="F222" s="4"/>
      <c r="G222" s="4"/>
      <c r="H222" s="4"/>
      <c r="I222" s="23" t="str">
        <f aca="false">IF(F222="","",IF(OR(E222="Variable seule",G222=""),F222,F222&amp;"["&amp;G222&amp;"]"))</f>
        <v/>
      </c>
      <c r="J222" s="23" t="str">
        <f aca="false">IF(A222="","",COUNTIF(Cablage!$A:$A,A222))</f>
        <v/>
      </c>
      <c r="K222" s="23" t="str">
        <f aca="false">IF(A222="","",COUNTIF(Liens!$A:$A,A222))</f>
        <v/>
      </c>
      <c r="L222" s="23" t="str">
        <f aca="false">IF(OR(A222="",E222="Variable seule",F222="",G222=""),"",IF(COUNTIFS($F$9:$F$308,F222,$G$9:$G$308,G222,$A$9:$A$308,"&lt;&gt;"&amp;A222)&gt;0,"index deja pris",""))</f>
        <v/>
      </c>
      <c r="M222" s="4"/>
    </row>
    <row r="223" customFormat="false" ht="15" hidden="false" customHeight="true" outlineLevel="0" collapsed="false">
      <c r="A223" s="4"/>
      <c r="B223" s="22"/>
      <c r="C223" s="4"/>
      <c r="D223" s="22"/>
      <c r="E223" s="22"/>
      <c r="F223" s="4"/>
      <c r="G223" s="4"/>
      <c r="H223" s="4"/>
      <c r="I223" s="23" t="str">
        <f aca="false">IF(F223="","",IF(OR(E223="Variable seule",G223=""),F223,F223&amp;"["&amp;G223&amp;"]"))</f>
        <v/>
      </c>
      <c r="J223" s="23" t="str">
        <f aca="false">IF(A223="","",COUNTIF(Cablage!$A:$A,A223))</f>
        <v/>
      </c>
      <c r="K223" s="23" t="str">
        <f aca="false">IF(A223="","",COUNTIF(Liens!$A:$A,A223))</f>
        <v/>
      </c>
      <c r="L223" s="23" t="str">
        <f aca="false">IF(OR(A223="",E223="Variable seule",F223="",G223=""),"",IF(COUNTIFS($F$9:$F$308,F223,$G$9:$G$308,G223,$A$9:$A$308,"&lt;&gt;"&amp;A223)&gt;0,"index deja pris",""))</f>
        <v/>
      </c>
      <c r="M223" s="4"/>
    </row>
    <row r="224" customFormat="false" ht="15" hidden="false" customHeight="true" outlineLevel="0" collapsed="false">
      <c r="A224" s="4"/>
      <c r="B224" s="22"/>
      <c r="C224" s="4"/>
      <c r="D224" s="22"/>
      <c r="E224" s="22"/>
      <c r="F224" s="4"/>
      <c r="G224" s="4"/>
      <c r="H224" s="4"/>
      <c r="I224" s="23" t="str">
        <f aca="false">IF(F224="","",IF(OR(E224="Variable seule",G224=""),F224,F224&amp;"["&amp;G224&amp;"]"))</f>
        <v/>
      </c>
      <c r="J224" s="23" t="str">
        <f aca="false">IF(A224="","",COUNTIF(Cablage!$A:$A,A224))</f>
        <v/>
      </c>
      <c r="K224" s="23" t="str">
        <f aca="false">IF(A224="","",COUNTIF(Liens!$A:$A,A224))</f>
        <v/>
      </c>
      <c r="L224" s="23" t="str">
        <f aca="false">IF(OR(A224="",E224="Variable seule",F224="",G224=""),"",IF(COUNTIFS($F$9:$F$308,F224,$G$9:$G$308,G224,$A$9:$A$308,"&lt;&gt;"&amp;A224)&gt;0,"index deja pris",""))</f>
        <v/>
      </c>
      <c r="M224" s="4"/>
    </row>
    <row r="225" customFormat="false" ht="15" hidden="false" customHeight="true" outlineLevel="0" collapsed="false">
      <c r="A225" s="4"/>
      <c r="B225" s="22"/>
      <c r="C225" s="4"/>
      <c r="D225" s="22"/>
      <c r="E225" s="22"/>
      <c r="F225" s="4"/>
      <c r="G225" s="4"/>
      <c r="H225" s="4"/>
      <c r="I225" s="23" t="str">
        <f aca="false">IF(F225="","",IF(OR(E225="Variable seule",G225=""),F225,F225&amp;"["&amp;G225&amp;"]"))</f>
        <v/>
      </c>
      <c r="J225" s="23" t="str">
        <f aca="false">IF(A225="","",COUNTIF(Cablage!$A:$A,A225))</f>
        <v/>
      </c>
      <c r="K225" s="23" t="str">
        <f aca="false">IF(A225="","",COUNTIF(Liens!$A:$A,A225))</f>
        <v/>
      </c>
      <c r="L225" s="23" t="str">
        <f aca="false">IF(OR(A225="",E225="Variable seule",F225="",G225=""),"",IF(COUNTIFS($F$9:$F$308,F225,$G$9:$G$308,G225,$A$9:$A$308,"&lt;&gt;"&amp;A225)&gt;0,"index deja pris",""))</f>
        <v/>
      </c>
      <c r="M225" s="4"/>
    </row>
    <row r="226" customFormat="false" ht="15" hidden="false" customHeight="true" outlineLevel="0" collapsed="false">
      <c r="A226" s="4"/>
      <c r="B226" s="22"/>
      <c r="C226" s="4"/>
      <c r="D226" s="22"/>
      <c r="E226" s="22"/>
      <c r="F226" s="4"/>
      <c r="G226" s="4"/>
      <c r="H226" s="4"/>
      <c r="I226" s="23" t="str">
        <f aca="false">IF(F226="","",IF(OR(E226="Variable seule",G226=""),F226,F226&amp;"["&amp;G226&amp;"]"))</f>
        <v/>
      </c>
      <c r="J226" s="23" t="str">
        <f aca="false">IF(A226="","",COUNTIF(Cablage!$A:$A,A226))</f>
        <v/>
      </c>
      <c r="K226" s="23" t="str">
        <f aca="false">IF(A226="","",COUNTIF(Liens!$A:$A,A226))</f>
        <v/>
      </c>
      <c r="L226" s="23" t="str">
        <f aca="false">IF(OR(A226="",E226="Variable seule",F226="",G226=""),"",IF(COUNTIFS($F$9:$F$308,F226,$G$9:$G$308,G226,$A$9:$A$308,"&lt;&gt;"&amp;A226)&gt;0,"index deja pris",""))</f>
        <v/>
      </c>
      <c r="M226" s="4"/>
    </row>
    <row r="227" customFormat="false" ht="15" hidden="false" customHeight="true" outlineLevel="0" collapsed="false">
      <c r="A227" s="4"/>
      <c r="B227" s="22"/>
      <c r="C227" s="4"/>
      <c r="D227" s="22"/>
      <c r="E227" s="22"/>
      <c r="F227" s="4"/>
      <c r="G227" s="4"/>
      <c r="H227" s="4"/>
      <c r="I227" s="23" t="str">
        <f aca="false">IF(F227="","",IF(OR(E227="Variable seule",G227=""),F227,F227&amp;"["&amp;G227&amp;"]"))</f>
        <v/>
      </c>
      <c r="J227" s="23" t="str">
        <f aca="false">IF(A227="","",COUNTIF(Cablage!$A:$A,A227))</f>
        <v/>
      </c>
      <c r="K227" s="23" t="str">
        <f aca="false">IF(A227="","",COUNTIF(Liens!$A:$A,A227))</f>
        <v/>
      </c>
      <c r="L227" s="23" t="str">
        <f aca="false">IF(OR(A227="",E227="Variable seule",F227="",G227=""),"",IF(COUNTIFS($F$9:$F$308,F227,$G$9:$G$308,G227,$A$9:$A$308,"&lt;&gt;"&amp;A227)&gt;0,"index deja pris",""))</f>
        <v/>
      </c>
      <c r="M227" s="4"/>
    </row>
    <row r="228" customFormat="false" ht="15" hidden="false" customHeight="true" outlineLevel="0" collapsed="false">
      <c r="A228" s="4"/>
      <c r="B228" s="22"/>
      <c r="C228" s="4"/>
      <c r="D228" s="22"/>
      <c r="E228" s="22"/>
      <c r="F228" s="4"/>
      <c r="G228" s="4"/>
      <c r="H228" s="4"/>
      <c r="I228" s="23" t="str">
        <f aca="false">IF(F228="","",IF(OR(E228="Variable seule",G228=""),F228,F228&amp;"["&amp;G228&amp;"]"))</f>
        <v/>
      </c>
      <c r="J228" s="23" t="str">
        <f aca="false">IF(A228="","",COUNTIF(Cablage!$A:$A,A228))</f>
        <v/>
      </c>
      <c r="K228" s="23" t="str">
        <f aca="false">IF(A228="","",COUNTIF(Liens!$A:$A,A228))</f>
        <v/>
      </c>
      <c r="L228" s="23" t="str">
        <f aca="false">IF(OR(A228="",E228="Variable seule",F228="",G228=""),"",IF(COUNTIFS($F$9:$F$308,F228,$G$9:$G$308,G228,$A$9:$A$308,"&lt;&gt;"&amp;A228)&gt;0,"index deja pris",""))</f>
        <v/>
      </c>
      <c r="M228" s="4"/>
    </row>
    <row r="229" customFormat="false" ht="15" hidden="false" customHeight="true" outlineLevel="0" collapsed="false">
      <c r="A229" s="4"/>
      <c r="B229" s="22"/>
      <c r="C229" s="4"/>
      <c r="D229" s="22"/>
      <c r="E229" s="22"/>
      <c r="F229" s="4"/>
      <c r="G229" s="4"/>
      <c r="H229" s="4"/>
      <c r="I229" s="23" t="str">
        <f aca="false">IF(F229="","",IF(OR(E229="Variable seule",G229=""),F229,F229&amp;"["&amp;G229&amp;"]"))</f>
        <v/>
      </c>
      <c r="J229" s="23" t="str">
        <f aca="false">IF(A229="","",COUNTIF(Cablage!$A:$A,A229))</f>
        <v/>
      </c>
      <c r="K229" s="23" t="str">
        <f aca="false">IF(A229="","",COUNTIF(Liens!$A:$A,A229))</f>
        <v/>
      </c>
      <c r="L229" s="23" t="str">
        <f aca="false">IF(OR(A229="",E229="Variable seule",F229="",G229=""),"",IF(COUNTIFS($F$9:$F$308,F229,$G$9:$G$308,G229,$A$9:$A$308,"&lt;&gt;"&amp;A229)&gt;0,"index deja pris",""))</f>
        <v/>
      </c>
      <c r="M229" s="4"/>
    </row>
    <row r="230" customFormat="false" ht="15" hidden="false" customHeight="true" outlineLevel="0" collapsed="false">
      <c r="A230" s="4"/>
      <c r="B230" s="22"/>
      <c r="C230" s="4"/>
      <c r="D230" s="22"/>
      <c r="E230" s="22"/>
      <c r="F230" s="4"/>
      <c r="G230" s="4"/>
      <c r="H230" s="4"/>
      <c r="I230" s="23" t="str">
        <f aca="false">IF(F230="","",IF(OR(E230="Variable seule",G230=""),F230,F230&amp;"["&amp;G230&amp;"]"))</f>
        <v/>
      </c>
      <c r="J230" s="23" t="str">
        <f aca="false">IF(A230="","",COUNTIF(Cablage!$A:$A,A230))</f>
        <v/>
      </c>
      <c r="K230" s="23" t="str">
        <f aca="false">IF(A230="","",COUNTIF(Liens!$A:$A,A230))</f>
        <v/>
      </c>
      <c r="L230" s="23" t="str">
        <f aca="false">IF(OR(A230="",E230="Variable seule",F230="",G230=""),"",IF(COUNTIFS($F$9:$F$308,F230,$G$9:$G$308,G230,$A$9:$A$308,"&lt;&gt;"&amp;A230)&gt;0,"index deja pris",""))</f>
        <v/>
      </c>
      <c r="M230" s="4"/>
    </row>
    <row r="231" customFormat="false" ht="15" hidden="false" customHeight="true" outlineLevel="0" collapsed="false">
      <c r="A231" s="4"/>
      <c r="B231" s="22"/>
      <c r="C231" s="4"/>
      <c r="D231" s="22"/>
      <c r="E231" s="22"/>
      <c r="F231" s="4"/>
      <c r="G231" s="4"/>
      <c r="H231" s="4"/>
      <c r="I231" s="23" t="str">
        <f aca="false">IF(F231="","",IF(OR(E231="Variable seule",G231=""),F231,F231&amp;"["&amp;G231&amp;"]"))</f>
        <v/>
      </c>
      <c r="J231" s="23" t="str">
        <f aca="false">IF(A231="","",COUNTIF(Cablage!$A:$A,A231))</f>
        <v/>
      </c>
      <c r="K231" s="23" t="str">
        <f aca="false">IF(A231="","",COUNTIF(Liens!$A:$A,A231))</f>
        <v/>
      </c>
      <c r="L231" s="23" t="str">
        <f aca="false">IF(OR(A231="",E231="Variable seule",F231="",G231=""),"",IF(COUNTIFS($F$9:$F$308,F231,$G$9:$G$308,G231,$A$9:$A$308,"&lt;&gt;"&amp;A231)&gt;0,"index deja pris",""))</f>
        <v/>
      </c>
      <c r="M231" s="4"/>
    </row>
    <row r="232" customFormat="false" ht="15" hidden="false" customHeight="true" outlineLevel="0" collapsed="false">
      <c r="A232" s="4"/>
      <c r="B232" s="22"/>
      <c r="C232" s="4"/>
      <c r="D232" s="22"/>
      <c r="E232" s="22"/>
      <c r="F232" s="4"/>
      <c r="G232" s="4"/>
      <c r="H232" s="4"/>
      <c r="I232" s="23" t="str">
        <f aca="false">IF(F232="","",IF(OR(E232="Variable seule",G232=""),F232,F232&amp;"["&amp;G232&amp;"]"))</f>
        <v/>
      </c>
      <c r="J232" s="23" t="str">
        <f aca="false">IF(A232="","",COUNTIF(Cablage!$A:$A,A232))</f>
        <v/>
      </c>
      <c r="K232" s="23" t="str">
        <f aca="false">IF(A232="","",COUNTIF(Liens!$A:$A,A232))</f>
        <v/>
      </c>
      <c r="L232" s="23" t="str">
        <f aca="false">IF(OR(A232="",E232="Variable seule",F232="",G232=""),"",IF(COUNTIFS($F$9:$F$308,F232,$G$9:$G$308,G232,$A$9:$A$308,"&lt;&gt;"&amp;A232)&gt;0,"index deja pris",""))</f>
        <v/>
      </c>
      <c r="M232" s="4"/>
    </row>
    <row r="233" customFormat="false" ht="15" hidden="false" customHeight="true" outlineLevel="0" collapsed="false">
      <c r="A233" s="4"/>
      <c r="B233" s="22"/>
      <c r="C233" s="4"/>
      <c r="D233" s="22"/>
      <c r="E233" s="22"/>
      <c r="F233" s="4"/>
      <c r="G233" s="4"/>
      <c r="H233" s="4"/>
      <c r="I233" s="23" t="str">
        <f aca="false">IF(F233="","",IF(OR(E233="Variable seule",G233=""),F233,F233&amp;"["&amp;G233&amp;"]"))</f>
        <v/>
      </c>
      <c r="J233" s="23" t="str">
        <f aca="false">IF(A233="","",COUNTIF(Cablage!$A:$A,A233))</f>
        <v/>
      </c>
      <c r="K233" s="23" t="str">
        <f aca="false">IF(A233="","",COUNTIF(Liens!$A:$A,A233))</f>
        <v/>
      </c>
      <c r="L233" s="23" t="str">
        <f aca="false">IF(OR(A233="",E233="Variable seule",F233="",G233=""),"",IF(COUNTIFS($F$9:$F$308,F233,$G$9:$G$308,G233,$A$9:$A$308,"&lt;&gt;"&amp;A233)&gt;0,"index deja pris",""))</f>
        <v/>
      </c>
      <c r="M233" s="4"/>
    </row>
    <row r="234" customFormat="false" ht="15" hidden="false" customHeight="true" outlineLevel="0" collapsed="false">
      <c r="A234" s="4"/>
      <c r="B234" s="22"/>
      <c r="C234" s="4"/>
      <c r="D234" s="22"/>
      <c r="E234" s="22"/>
      <c r="F234" s="4"/>
      <c r="G234" s="4"/>
      <c r="H234" s="4"/>
      <c r="I234" s="23" t="str">
        <f aca="false">IF(F234="","",IF(OR(E234="Variable seule",G234=""),F234,F234&amp;"["&amp;G234&amp;"]"))</f>
        <v/>
      </c>
      <c r="J234" s="23" t="str">
        <f aca="false">IF(A234="","",COUNTIF(Cablage!$A:$A,A234))</f>
        <v/>
      </c>
      <c r="K234" s="23" t="str">
        <f aca="false">IF(A234="","",COUNTIF(Liens!$A:$A,A234))</f>
        <v/>
      </c>
      <c r="L234" s="23" t="str">
        <f aca="false">IF(OR(A234="",E234="Variable seule",F234="",G234=""),"",IF(COUNTIFS($F$9:$F$308,F234,$G$9:$G$308,G234,$A$9:$A$308,"&lt;&gt;"&amp;A234)&gt;0,"index deja pris",""))</f>
        <v/>
      </c>
      <c r="M234" s="4"/>
    </row>
    <row r="235" customFormat="false" ht="15" hidden="false" customHeight="true" outlineLevel="0" collapsed="false">
      <c r="A235" s="4"/>
      <c r="B235" s="22"/>
      <c r="C235" s="4"/>
      <c r="D235" s="22"/>
      <c r="E235" s="22"/>
      <c r="F235" s="4"/>
      <c r="G235" s="4"/>
      <c r="H235" s="4"/>
      <c r="I235" s="23" t="str">
        <f aca="false">IF(F235="","",IF(OR(E235="Variable seule",G235=""),F235,F235&amp;"["&amp;G235&amp;"]"))</f>
        <v/>
      </c>
      <c r="J235" s="23" t="str">
        <f aca="false">IF(A235="","",COUNTIF(Cablage!$A:$A,A235))</f>
        <v/>
      </c>
      <c r="K235" s="23" t="str">
        <f aca="false">IF(A235="","",COUNTIF(Liens!$A:$A,A235))</f>
        <v/>
      </c>
      <c r="L235" s="23" t="str">
        <f aca="false">IF(OR(A235="",E235="Variable seule",F235="",G235=""),"",IF(COUNTIFS($F$9:$F$308,F235,$G$9:$G$308,G235,$A$9:$A$308,"&lt;&gt;"&amp;A235)&gt;0,"index deja pris",""))</f>
        <v/>
      </c>
      <c r="M235" s="4"/>
    </row>
    <row r="236" customFormat="false" ht="15" hidden="false" customHeight="true" outlineLevel="0" collapsed="false">
      <c r="A236" s="4"/>
      <c r="B236" s="22"/>
      <c r="C236" s="4"/>
      <c r="D236" s="22"/>
      <c r="E236" s="22"/>
      <c r="F236" s="4"/>
      <c r="G236" s="4"/>
      <c r="H236" s="4"/>
      <c r="I236" s="23" t="str">
        <f aca="false">IF(F236="","",IF(OR(E236="Variable seule",G236=""),F236,F236&amp;"["&amp;G236&amp;"]"))</f>
        <v/>
      </c>
      <c r="J236" s="23" t="str">
        <f aca="false">IF(A236="","",COUNTIF(Cablage!$A:$A,A236))</f>
        <v/>
      </c>
      <c r="K236" s="23" t="str">
        <f aca="false">IF(A236="","",COUNTIF(Liens!$A:$A,A236))</f>
        <v/>
      </c>
      <c r="L236" s="23" t="str">
        <f aca="false">IF(OR(A236="",E236="Variable seule",F236="",G236=""),"",IF(COUNTIFS($F$9:$F$308,F236,$G$9:$G$308,G236,$A$9:$A$308,"&lt;&gt;"&amp;A236)&gt;0,"index deja pris",""))</f>
        <v/>
      </c>
      <c r="M236" s="4"/>
    </row>
    <row r="237" customFormat="false" ht="15" hidden="false" customHeight="true" outlineLevel="0" collapsed="false">
      <c r="A237" s="4"/>
      <c r="B237" s="22"/>
      <c r="C237" s="4"/>
      <c r="D237" s="22"/>
      <c r="E237" s="22"/>
      <c r="F237" s="4"/>
      <c r="G237" s="4"/>
      <c r="H237" s="4"/>
      <c r="I237" s="23" t="str">
        <f aca="false">IF(F237="","",IF(OR(E237="Variable seule",G237=""),F237,F237&amp;"["&amp;G237&amp;"]"))</f>
        <v/>
      </c>
      <c r="J237" s="23" t="str">
        <f aca="false">IF(A237="","",COUNTIF(Cablage!$A:$A,A237))</f>
        <v/>
      </c>
      <c r="K237" s="23" t="str">
        <f aca="false">IF(A237="","",COUNTIF(Liens!$A:$A,A237))</f>
        <v/>
      </c>
      <c r="L237" s="23" t="str">
        <f aca="false">IF(OR(A237="",E237="Variable seule",F237="",G237=""),"",IF(COUNTIFS($F$9:$F$308,F237,$G$9:$G$308,G237,$A$9:$A$308,"&lt;&gt;"&amp;A237)&gt;0,"index deja pris",""))</f>
        <v/>
      </c>
      <c r="M237" s="4"/>
    </row>
    <row r="238" customFormat="false" ht="15" hidden="false" customHeight="true" outlineLevel="0" collapsed="false">
      <c r="A238" s="4"/>
      <c r="B238" s="22"/>
      <c r="C238" s="4"/>
      <c r="D238" s="22"/>
      <c r="E238" s="22"/>
      <c r="F238" s="4"/>
      <c r="G238" s="4"/>
      <c r="H238" s="4"/>
      <c r="I238" s="23" t="str">
        <f aca="false">IF(F238="","",IF(OR(E238="Variable seule",G238=""),F238,F238&amp;"["&amp;G238&amp;"]"))</f>
        <v/>
      </c>
      <c r="J238" s="23" t="str">
        <f aca="false">IF(A238="","",COUNTIF(Cablage!$A:$A,A238))</f>
        <v/>
      </c>
      <c r="K238" s="23" t="str">
        <f aca="false">IF(A238="","",COUNTIF(Liens!$A:$A,A238))</f>
        <v/>
      </c>
      <c r="L238" s="23" t="str">
        <f aca="false">IF(OR(A238="",E238="Variable seule",F238="",G238=""),"",IF(COUNTIFS($F$9:$F$308,F238,$G$9:$G$308,G238,$A$9:$A$308,"&lt;&gt;"&amp;A238)&gt;0,"index deja pris",""))</f>
        <v/>
      </c>
      <c r="M238" s="4"/>
    </row>
    <row r="239" customFormat="false" ht="15" hidden="false" customHeight="true" outlineLevel="0" collapsed="false">
      <c r="A239" s="4"/>
      <c r="B239" s="22"/>
      <c r="C239" s="4"/>
      <c r="D239" s="22"/>
      <c r="E239" s="22"/>
      <c r="F239" s="4"/>
      <c r="G239" s="4"/>
      <c r="H239" s="4"/>
      <c r="I239" s="23" t="str">
        <f aca="false">IF(F239="","",IF(OR(E239="Variable seule",G239=""),F239,F239&amp;"["&amp;G239&amp;"]"))</f>
        <v/>
      </c>
      <c r="J239" s="23" t="str">
        <f aca="false">IF(A239="","",COUNTIF(Cablage!$A:$A,A239))</f>
        <v/>
      </c>
      <c r="K239" s="23" t="str">
        <f aca="false">IF(A239="","",COUNTIF(Liens!$A:$A,A239))</f>
        <v/>
      </c>
      <c r="L239" s="23" t="str">
        <f aca="false">IF(OR(A239="",E239="Variable seule",F239="",G239=""),"",IF(COUNTIFS($F$9:$F$308,F239,$G$9:$G$308,G239,$A$9:$A$308,"&lt;&gt;"&amp;A239)&gt;0,"index deja pris",""))</f>
        <v/>
      </c>
      <c r="M239" s="4"/>
    </row>
    <row r="240" customFormat="false" ht="15" hidden="false" customHeight="true" outlineLevel="0" collapsed="false">
      <c r="A240" s="4"/>
      <c r="B240" s="22"/>
      <c r="C240" s="4"/>
      <c r="D240" s="22"/>
      <c r="E240" s="22"/>
      <c r="F240" s="4"/>
      <c r="G240" s="4"/>
      <c r="H240" s="4"/>
      <c r="I240" s="23" t="str">
        <f aca="false">IF(F240="","",IF(OR(E240="Variable seule",G240=""),F240,F240&amp;"["&amp;G240&amp;"]"))</f>
        <v/>
      </c>
      <c r="J240" s="23" t="str">
        <f aca="false">IF(A240="","",COUNTIF(Cablage!$A:$A,A240))</f>
        <v/>
      </c>
      <c r="K240" s="23" t="str">
        <f aca="false">IF(A240="","",COUNTIF(Liens!$A:$A,A240))</f>
        <v/>
      </c>
      <c r="L240" s="23" t="str">
        <f aca="false">IF(OR(A240="",E240="Variable seule",F240="",G240=""),"",IF(COUNTIFS($F$9:$F$308,F240,$G$9:$G$308,G240,$A$9:$A$308,"&lt;&gt;"&amp;A240)&gt;0,"index deja pris",""))</f>
        <v/>
      </c>
      <c r="M240" s="4"/>
    </row>
    <row r="241" customFormat="false" ht="15" hidden="false" customHeight="true" outlineLevel="0" collapsed="false">
      <c r="A241" s="4"/>
      <c r="B241" s="22"/>
      <c r="C241" s="4"/>
      <c r="D241" s="22"/>
      <c r="E241" s="22"/>
      <c r="F241" s="4"/>
      <c r="G241" s="4"/>
      <c r="H241" s="4"/>
      <c r="I241" s="23" t="str">
        <f aca="false">IF(F241="","",IF(OR(E241="Variable seule",G241=""),F241,F241&amp;"["&amp;G241&amp;"]"))</f>
        <v/>
      </c>
      <c r="J241" s="23" t="str">
        <f aca="false">IF(A241="","",COUNTIF(Cablage!$A:$A,A241))</f>
        <v/>
      </c>
      <c r="K241" s="23" t="str">
        <f aca="false">IF(A241="","",COUNTIF(Liens!$A:$A,A241))</f>
        <v/>
      </c>
      <c r="L241" s="23" t="str">
        <f aca="false">IF(OR(A241="",E241="Variable seule",F241="",G241=""),"",IF(COUNTIFS($F$9:$F$308,F241,$G$9:$G$308,G241,$A$9:$A$308,"&lt;&gt;"&amp;A241)&gt;0,"index deja pris",""))</f>
        <v/>
      </c>
      <c r="M241" s="4"/>
    </row>
    <row r="242" customFormat="false" ht="15" hidden="false" customHeight="true" outlineLevel="0" collapsed="false">
      <c r="A242" s="4"/>
      <c r="B242" s="22"/>
      <c r="C242" s="4"/>
      <c r="D242" s="22"/>
      <c r="E242" s="22"/>
      <c r="F242" s="4"/>
      <c r="G242" s="4"/>
      <c r="H242" s="4"/>
      <c r="I242" s="23" t="str">
        <f aca="false">IF(F242="","",IF(OR(E242="Variable seule",G242=""),F242,F242&amp;"["&amp;G242&amp;"]"))</f>
        <v/>
      </c>
      <c r="J242" s="23" t="str">
        <f aca="false">IF(A242="","",COUNTIF(Cablage!$A:$A,A242))</f>
        <v/>
      </c>
      <c r="K242" s="23" t="str">
        <f aca="false">IF(A242="","",COUNTIF(Liens!$A:$A,A242))</f>
        <v/>
      </c>
      <c r="L242" s="23" t="str">
        <f aca="false">IF(OR(A242="",E242="Variable seule",F242="",G242=""),"",IF(COUNTIFS($F$9:$F$308,F242,$G$9:$G$308,G242,$A$9:$A$308,"&lt;&gt;"&amp;A242)&gt;0,"index deja pris",""))</f>
        <v/>
      </c>
      <c r="M242" s="4"/>
    </row>
    <row r="243" customFormat="false" ht="15" hidden="false" customHeight="true" outlineLevel="0" collapsed="false">
      <c r="A243" s="4"/>
      <c r="B243" s="22"/>
      <c r="C243" s="4"/>
      <c r="D243" s="22"/>
      <c r="E243" s="22"/>
      <c r="F243" s="4"/>
      <c r="G243" s="4"/>
      <c r="H243" s="4"/>
      <c r="I243" s="23" t="str">
        <f aca="false">IF(F243="","",IF(OR(E243="Variable seule",G243=""),F243,F243&amp;"["&amp;G243&amp;"]"))</f>
        <v/>
      </c>
      <c r="J243" s="23" t="str">
        <f aca="false">IF(A243="","",COUNTIF(Cablage!$A:$A,A243))</f>
        <v/>
      </c>
      <c r="K243" s="23" t="str">
        <f aca="false">IF(A243="","",COUNTIF(Liens!$A:$A,A243))</f>
        <v/>
      </c>
      <c r="L243" s="23" t="str">
        <f aca="false">IF(OR(A243="",E243="Variable seule",F243="",G243=""),"",IF(COUNTIFS($F$9:$F$308,F243,$G$9:$G$308,G243,$A$9:$A$308,"&lt;&gt;"&amp;A243)&gt;0,"index deja pris",""))</f>
        <v/>
      </c>
      <c r="M243" s="4"/>
    </row>
    <row r="244" customFormat="false" ht="15" hidden="false" customHeight="true" outlineLevel="0" collapsed="false">
      <c r="A244" s="4"/>
      <c r="B244" s="22"/>
      <c r="C244" s="4"/>
      <c r="D244" s="22"/>
      <c r="E244" s="22"/>
      <c r="F244" s="4"/>
      <c r="G244" s="4"/>
      <c r="H244" s="4"/>
      <c r="I244" s="23" t="str">
        <f aca="false">IF(F244="","",IF(OR(E244="Variable seule",G244=""),F244,F244&amp;"["&amp;G244&amp;"]"))</f>
        <v/>
      </c>
      <c r="J244" s="23" t="str">
        <f aca="false">IF(A244="","",COUNTIF(Cablage!$A:$A,A244))</f>
        <v/>
      </c>
      <c r="K244" s="23" t="str">
        <f aca="false">IF(A244="","",COUNTIF(Liens!$A:$A,A244))</f>
        <v/>
      </c>
      <c r="L244" s="23" t="str">
        <f aca="false">IF(OR(A244="",E244="Variable seule",F244="",G244=""),"",IF(COUNTIFS($F$9:$F$308,F244,$G$9:$G$308,G244,$A$9:$A$308,"&lt;&gt;"&amp;A244)&gt;0,"index deja pris",""))</f>
        <v/>
      </c>
      <c r="M244" s="4"/>
    </row>
    <row r="245" customFormat="false" ht="15" hidden="false" customHeight="true" outlineLevel="0" collapsed="false">
      <c r="A245" s="4"/>
      <c r="B245" s="22"/>
      <c r="C245" s="4"/>
      <c r="D245" s="22"/>
      <c r="E245" s="22"/>
      <c r="F245" s="4"/>
      <c r="G245" s="4"/>
      <c r="H245" s="4"/>
      <c r="I245" s="23" t="str">
        <f aca="false">IF(F245="","",IF(OR(E245="Variable seule",G245=""),F245,F245&amp;"["&amp;G245&amp;"]"))</f>
        <v/>
      </c>
      <c r="J245" s="23" t="str">
        <f aca="false">IF(A245="","",COUNTIF(Cablage!$A:$A,A245))</f>
        <v/>
      </c>
      <c r="K245" s="23" t="str">
        <f aca="false">IF(A245="","",COUNTIF(Liens!$A:$A,A245))</f>
        <v/>
      </c>
      <c r="L245" s="23" t="str">
        <f aca="false">IF(OR(A245="",E245="Variable seule",F245="",G245=""),"",IF(COUNTIFS($F$9:$F$308,F245,$G$9:$G$308,G245,$A$9:$A$308,"&lt;&gt;"&amp;A245)&gt;0,"index deja pris",""))</f>
        <v/>
      </c>
      <c r="M245" s="4"/>
    </row>
    <row r="246" customFormat="false" ht="15" hidden="false" customHeight="true" outlineLevel="0" collapsed="false">
      <c r="A246" s="4"/>
      <c r="B246" s="22"/>
      <c r="C246" s="4"/>
      <c r="D246" s="22"/>
      <c r="E246" s="22"/>
      <c r="F246" s="4"/>
      <c r="G246" s="4"/>
      <c r="H246" s="4"/>
      <c r="I246" s="23" t="str">
        <f aca="false">IF(F246="","",IF(OR(E246="Variable seule",G246=""),F246,F246&amp;"["&amp;G246&amp;"]"))</f>
        <v/>
      </c>
      <c r="J246" s="23" t="str">
        <f aca="false">IF(A246="","",COUNTIF(Cablage!$A:$A,A246))</f>
        <v/>
      </c>
      <c r="K246" s="23" t="str">
        <f aca="false">IF(A246="","",COUNTIF(Liens!$A:$A,A246))</f>
        <v/>
      </c>
      <c r="L246" s="23" t="str">
        <f aca="false">IF(OR(A246="",E246="Variable seule",F246="",G246=""),"",IF(COUNTIFS($F$9:$F$308,F246,$G$9:$G$308,G246,$A$9:$A$308,"&lt;&gt;"&amp;A246)&gt;0,"index deja pris",""))</f>
        <v/>
      </c>
      <c r="M246" s="4"/>
    </row>
    <row r="247" customFormat="false" ht="15" hidden="false" customHeight="true" outlineLevel="0" collapsed="false">
      <c r="A247" s="4"/>
      <c r="B247" s="22"/>
      <c r="C247" s="4"/>
      <c r="D247" s="22"/>
      <c r="E247" s="22"/>
      <c r="F247" s="4"/>
      <c r="G247" s="4"/>
      <c r="H247" s="4"/>
      <c r="I247" s="23" t="str">
        <f aca="false">IF(F247="","",IF(OR(E247="Variable seule",G247=""),F247,F247&amp;"["&amp;G247&amp;"]"))</f>
        <v/>
      </c>
      <c r="J247" s="23" t="str">
        <f aca="false">IF(A247="","",COUNTIF(Cablage!$A:$A,A247))</f>
        <v/>
      </c>
      <c r="K247" s="23" t="str">
        <f aca="false">IF(A247="","",COUNTIF(Liens!$A:$A,A247))</f>
        <v/>
      </c>
      <c r="L247" s="23" t="str">
        <f aca="false">IF(OR(A247="",E247="Variable seule",F247="",G247=""),"",IF(COUNTIFS($F$9:$F$308,F247,$G$9:$G$308,G247,$A$9:$A$308,"&lt;&gt;"&amp;A247)&gt;0,"index deja pris",""))</f>
        <v/>
      </c>
      <c r="M247" s="4"/>
    </row>
    <row r="248" customFormat="false" ht="15" hidden="false" customHeight="true" outlineLevel="0" collapsed="false">
      <c r="A248" s="4"/>
      <c r="B248" s="22"/>
      <c r="C248" s="4"/>
      <c r="D248" s="22"/>
      <c r="E248" s="22"/>
      <c r="F248" s="4"/>
      <c r="G248" s="4"/>
      <c r="H248" s="4"/>
      <c r="I248" s="23" t="str">
        <f aca="false">IF(F248="","",IF(OR(E248="Variable seule",G248=""),F248,F248&amp;"["&amp;G248&amp;"]"))</f>
        <v/>
      </c>
      <c r="J248" s="23" t="str">
        <f aca="false">IF(A248="","",COUNTIF(Cablage!$A:$A,A248))</f>
        <v/>
      </c>
      <c r="K248" s="23" t="str">
        <f aca="false">IF(A248="","",COUNTIF(Liens!$A:$A,A248))</f>
        <v/>
      </c>
      <c r="L248" s="23" t="str">
        <f aca="false">IF(OR(A248="",E248="Variable seule",F248="",G248=""),"",IF(COUNTIFS($F$9:$F$308,F248,$G$9:$G$308,G248,$A$9:$A$308,"&lt;&gt;"&amp;A248)&gt;0,"index deja pris",""))</f>
        <v/>
      </c>
      <c r="M248" s="4"/>
    </row>
    <row r="249" customFormat="false" ht="15" hidden="false" customHeight="true" outlineLevel="0" collapsed="false">
      <c r="A249" s="4"/>
      <c r="B249" s="22"/>
      <c r="C249" s="4"/>
      <c r="D249" s="22"/>
      <c r="E249" s="22"/>
      <c r="F249" s="4"/>
      <c r="G249" s="4"/>
      <c r="H249" s="4"/>
      <c r="I249" s="23" t="str">
        <f aca="false">IF(F249="","",IF(OR(E249="Variable seule",G249=""),F249,F249&amp;"["&amp;G249&amp;"]"))</f>
        <v/>
      </c>
      <c r="J249" s="23" t="str">
        <f aca="false">IF(A249="","",COUNTIF(Cablage!$A:$A,A249))</f>
        <v/>
      </c>
      <c r="K249" s="23" t="str">
        <f aca="false">IF(A249="","",COUNTIF(Liens!$A:$A,A249))</f>
        <v/>
      </c>
      <c r="L249" s="23" t="str">
        <f aca="false">IF(OR(A249="",E249="Variable seule",F249="",G249=""),"",IF(COUNTIFS($F$9:$F$308,F249,$G$9:$G$308,G249,$A$9:$A$308,"&lt;&gt;"&amp;A249)&gt;0,"index deja pris",""))</f>
        <v/>
      </c>
      <c r="M249" s="4"/>
    </row>
    <row r="250" customFormat="false" ht="15" hidden="false" customHeight="true" outlineLevel="0" collapsed="false">
      <c r="A250" s="4"/>
      <c r="B250" s="22"/>
      <c r="C250" s="4"/>
      <c r="D250" s="22"/>
      <c r="E250" s="22"/>
      <c r="F250" s="4"/>
      <c r="G250" s="4"/>
      <c r="H250" s="4"/>
      <c r="I250" s="23" t="str">
        <f aca="false">IF(F250="","",IF(OR(E250="Variable seule",G250=""),F250,F250&amp;"["&amp;G250&amp;"]"))</f>
        <v/>
      </c>
      <c r="J250" s="23" t="str">
        <f aca="false">IF(A250="","",COUNTIF(Cablage!$A:$A,A250))</f>
        <v/>
      </c>
      <c r="K250" s="23" t="str">
        <f aca="false">IF(A250="","",COUNTIF(Liens!$A:$A,A250))</f>
        <v/>
      </c>
      <c r="L250" s="23" t="str">
        <f aca="false">IF(OR(A250="",E250="Variable seule",F250="",G250=""),"",IF(COUNTIFS($F$9:$F$308,F250,$G$9:$G$308,G250,$A$9:$A$308,"&lt;&gt;"&amp;A250)&gt;0,"index deja pris",""))</f>
        <v/>
      </c>
      <c r="M250" s="4"/>
    </row>
    <row r="251" customFormat="false" ht="15" hidden="false" customHeight="true" outlineLevel="0" collapsed="false">
      <c r="A251" s="4"/>
      <c r="B251" s="22"/>
      <c r="C251" s="4"/>
      <c r="D251" s="22"/>
      <c r="E251" s="22"/>
      <c r="F251" s="4"/>
      <c r="G251" s="4"/>
      <c r="H251" s="4"/>
      <c r="I251" s="23" t="str">
        <f aca="false">IF(F251="","",IF(OR(E251="Variable seule",G251=""),F251,F251&amp;"["&amp;G251&amp;"]"))</f>
        <v/>
      </c>
      <c r="J251" s="23" t="str">
        <f aca="false">IF(A251="","",COUNTIF(Cablage!$A:$A,A251))</f>
        <v/>
      </c>
      <c r="K251" s="23" t="str">
        <f aca="false">IF(A251="","",COUNTIF(Liens!$A:$A,A251))</f>
        <v/>
      </c>
      <c r="L251" s="23" t="str">
        <f aca="false">IF(OR(A251="",E251="Variable seule",F251="",G251=""),"",IF(COUNTIFS($F$9:$F$308,F251,$G$9:$G$308,G251,$A$9:$A$308,"&lt;&gt;"&amp;A251)&gt;0,"index deja pris",""))</f>
        <v/>
      </c>
      <c r="M251" s="4"/>
    </row>
    <row r="252" customFormat="false" ht="15" hidden="false" customHeight="true" outlineLevel="0" collapsed="false">
      <c r="A252" s="4"/>
      <c r="B252" s="22"/>
      <c r="C252" s="4"/>
      <c r="D252" s="22"/>
      <c r="E252" s="22"/>
      <c r="F252" s="4"/>
      <c r="G252" s="4"/>
      <c r="H252" s="4"/>
      <c r="I252" s="23" t="str">
        <f aca="false">IF(F252="","",IF(OR(E252="Variable seule",G252=""),F252,F252&amp;"["&amp;G252&amp;"]"))</f>
        <v/>
      </c>
      <c r="J252" s="23" t="str">
        <f aca="false">IF(A252="","",COUNTIF(Cablage!$A:$A,A252))</f>
        <v/>
      </c>
      <c r="K252" s="23" t="str">
        <f aca="false">IF(A252="","",COUNTIF(Liens!$A:$A,A252))</f>
        <v/>
      </c>
      <c r="L252" s="23" t="str">
        <f aca="false">IF(OR(A252="",E252="Variable seule",F252="",G252=""),"",IF(COUNTIFS($F$9:$F$308,F252,$G$9:$G$308,G252,$A$9:$A$308,"&lt;&gt;"&amp;A252)&gt;0,"index deja pris",""))</f>
        <v/>
      </c>
      <c r="M252" s="4"/>
    </row>
    <row r="253" customFormat="false" ht="15" hidden="false" customHeight="true" outlineLevel="0" collapsed="false">
      <c r="A253" s="4"/>
      <c r="B253" s="22"/>
      <c r="C253" s="4"/>
      <c r="D253" s="22"/>
      <c r="E253" s="22"/>
      <c r="F253" s="4"/>
      <c r="G253" s="4"/>
      <c r="H253" s="4"/>
      <c r="I253" s="23" t="str">
        <f aca="false">IF(F253="","",IF(OR(E253="Variable seule",G253=""),F253,F253&amp;"["&amp;G253&amp;"]"))</f>
        <v/>
      </c>
      <c r="J253" s="23" t="str">
        <f aca="false">IF(A253="","",COUNTIF(Cablage!$A:$A,A253))</f>
        <v/>
      </c>
      <c r="K253" s="23" t="str">
        <f aca="false">IF(A253="","",COUNTIF(Liens!$A:$A,A253))</f>
        <v/>
      </c>
      <c r="L253" s="23" t="str">
        <f aca="false">IF(OR(A253="",E253="Variable seule",F253="",G253=""),"",IF(COUNTIFS($F$9:$F$308,F253,$G$9:$G$308,G253,$A$9:$A$308,"&lt;&gt;"&amp;A253)&gt;0,"index deja pris",""))</f>
        <v/>
      </c>
      <c r="M253" s="4"/>
    </row>
    <row r="254" customFormat="false" ht="15" hidden="false" customHeight="true" outlineLevel="0" collapsed="false">
      <c r="A254" s="4"/>
      <c r="B254" s="22"/>
      <c r="C254" s="4"/>
      <c r="D254" s="22"/>
      <c r="E254" s="22"/>
      <c r="F254" s="4"/>
      <c r="G254" s="4"/>
      <c r="H254" s="4"/>
      <c r="I254" s="23" t="str">
        <f aca="false">IF(F254="","",IF(OR(E254="Variable seule",G254=""),F254,F254&amp;"["&amp;G254&amp;"]"))</f>
        <v/>
      </c>
      <c r="J254" s="23" t="str">
        <f aca="false">IF(A254="","",COUNTIF(Cablage!$A:$A,A254))</f>
        <v/>
      </c>
      <c r="K254" s="23" t="str">
        <f aca="false">IF(A254="","",COUNTIF(Liens!$A:$A,A254))</f>
        <v/>
      </c>
      <c r="L254" s="23" t="str">
        <f aca="false">IF(OR(A254="",E254="Variable seule",F254="",G254=""),"",IF(COUNTIFS($F$9:$F$308,F254,$G$9:$G$308,G254,$A$9:$A$308,"&lt;&gt;"&amp;A254)&gt;0,"index deja pris",""))</f>
        <v/>
      </c>
      <c r="M254" s="4"/>
    </row>
    <row r="255" customFormat="false" ht="15" hidden="false" customHeight="true" outlineLevel="0" collapsed="false">
      <c r="A255" s="4"/>
      <c r="B255" s="22"/>
      <c r="C255" s="4"/>
      <c r="D255" s="22"/>
      <c r="E255" s="22"/>
      <c r="F255" s="4"/>
      <c r="G255" s="4"/>
      <c r="H255" s="4"/>
      <c r="I255" s="23" t="str">
        <f aca="false">IF(F255="","",IF(OR(E255="Variable seule",G255=""),F255,F255&amp;"["&amp;G255&amp;"]"))</f>
        <v/>
      </c>
      <c r="J255" s="23" t="str">
        <f aca="false">IF(A255="","",COUNTIF(Cablage!$A:$A,A255))</f>
        <v/>
      </c>
      <c r="K255" s="23" t="str">
        <f aca="false">IF(A255="","",COUNTIF(Liens!$A:$A,A255))</f>
        <v/>
      </c>
      <c r="L255" s="23" t="str">
        <f aca="false">IF(OR(A255="",E255="Variable seule",F255="",G255=""),"",IF(COUNTIFS($F$9:$F$308,F255,$G$9:$G$308,G255,$A$9:$A$308,"&lt;&gt;"&amp;A255)&gt;0,"index deja pris",""))</f>
        <v/>
      </c>
      <c r="M255" s="4"/>
    </row>
    <row r="256" customFormat="false" ht="15" hidden="false" customHeight="true" outlineLevel="0" collapsed="false">
      <c r="A256" s="4"/>
      <c r="B256" s="22"/>
      <c r="C256" s="4"/>
      <c r="D256" s="22"/>
      <c r="E256" s="22"/>
      <c r="F256" s="4"/>
      <c r="G256" s="4"/>
      <c r="H256" s="4"/>
      <c r="I256" s="23" t="str">
        <f aca="false">IF(F256="","",IF(OR(E256="Variable seule",G256=""),F256,F256&amp;"["&amp;G256&amp;"]"))</f>
        <v/>
      </c>
      <c r="J256" s="23" t="str">
        <f aca="false">IF(A256="","",COUNTIF(Cablage!$A:$A,A256))</f>
        <v/>
      </c>
      <c r="K256" s="23" t="str">
        <f aca="false">IF(A256="","",COUNTIF(Liens!$A:$A,A256))</f>
        <v/>
      </c>
      <c r="L256" s="23" t="str">
        <f aca="false">IF(OR(A256="",E256="Variable seule",F256="",G256=""),"",IF(COUNTIFS($F$9:$F$308,F256,$G$9:$G$308,G256,$A$9:$A$308,"&lt;&gt;"&amp;A256)&gt;0,"index deja pris",""))</f>
        <v/>
      </c>
      <c r="M256" s="4"/>
    </row>
    <row r="257" customFormat="false" ht="15" hidden="false" customHeight="true" outlineLevel="0" collapsed="false">
      <c r="A257" s="4"/>
      <c r="B257" s="22"/>
      <c r="C257" s="4"/>
      <c r="D257" s="22"/>
      <c r="E257" s="22"/>
      <c r="F257" s="4"/>
      <c r="G257" s="4"/>
      <c r="H257" s="4"/>
      <c r="I257" s="23" t="str">
        <f aca="false">IF(F257="","",IF(OR(E257="Variable seule",G257=""),F257,F257&amp;"["&amp;G257&amp;"]"))</f>
        <v/>
      </c>
      <c r="J257" s="23" t="str">
        <f aca="false">IF(A257="","",COUNTIF(Cablage!$A:$A,A257))</f>
        <v/>
      </c>
      <c r="K257" s="23" t="str">
        <f aca="false">IF(A257="","",COUNTIF(Liens!$A:$A,A257))</f>
        <v/>
      </c>
      <c r="L257" s="23" t="str">
        <f aca="false">IF(OR(A257="",E257="Variable seule",F257="",G257=""),"",IF(COUNTIFS($F$9:$F$308,F257,$G$9:$G$308,G257,$A$9:$A$308,"&lt;&gt;"&amp;A257)&gt;0,"index deja pris",""))</f>
        <v/>
      </c>
      <c r="M257" s="4"/>
    </row>
    <row r="258" customFormat="false" ht="15" hidden="false" customHeight="true" outlineLevel="0" collapsed="false">
      <c r="A258" s="4"/>
      <c r="B258" s="22"/>
      <c r="C258" s="4"/>
      <c r="D258" s="22"/>
      <c r="E258" s="22"/>
      <c r="F258" s="4"/>
      <c r="G258" s="4"/>
      <c r="H258" s="4"/>
      <c r="I258" s="23" t="str">
        <f aca="false">IF(F258="","",IF(OR(E258="Variable seule",G258=""),F258,F258&amp;"["&amp;G258&amp;"]"))</f>
        <v/>
      </c>
      <c r="J258" s="23" t="str">
        <f aca="false">IF(A258="","",COUNTIF(Cablage!$A:$A,A258))</f>
        <v/>
      </c>
      <c r="K258" s="23" t="str">
        <f aca="false">IF(A258="","",COUNTIF(Liens!$A:$A,A258))</f>
        <v/>
      </c>
      <c r="L258" s="23" t="str">
        <f aca="false">IF(OR(A258="",E258="Variable seule",F258="",G258=""),"",IF(COUNTIFS($F$9:$F$308,F258,$G$9:$G$308,G258,$A$9:$A$308,"&lt;&gt;"&amp;A258)&gt;0,"index deja pris",""))</f>
        <v/>
      </c>
      <c r="M258" s="4"/>
    </row>
    <row r="259" customFormat="false" ht="15" hidden="false" customHeight="true" outlineLevel="0" collapsed="false">
      <c r="A259" s="4"/>
      <c r="B259" s="22"/>
      <c r="C259" s="4"/>
      <c r="D259" s="22"/>
      <c r="E259" s="22"/>
      <c r="F259" s="4"/>
      <c r="G259" s="4"/>
      <c r="H259" s="4"/>
      <c r="I259" s="23" t="str">
        <f aca="false">IF(F259="","",IF(OR(E259="Variable seule",G259=""),F259,F259&amp;"["&amp;G259&amp;"]"))</f>
        <v/>
      </c>
      <c r="J259" s="23" t="str">
        <f aca="false">IF(A259="","",COUNTIF(Cablage!$A:$A,A259))</f>
        <v/>
      </c>
      <c r="K259" s="23" t="str">
        <f aca="false">IF(A259="","",COUNTIF(Liens!$A:$A,A259))</f>
        <v/>
      </c>
      <c r="L259" s="23" t="str">
        <f aca="false">IF(OR(A259="",E259="Variable seule",F259="",G259=""),"",IF(COUNTIFS($F$9:$F$308,F259,$G$9:$G$308,G259,$A$9:$A$308,"&lt;&gt;"&amp;A259)&gt;0,"index deja pris",""))</f>
        <v/>
      </c>
      <c r="M259" s="4"/>
    </row>
    <row r="260" customFormat="false" ht="15" hidden="false" customHeight="true" outlineLevel="0" collapsed="false">
      <c r="A260" s="4"/>
      <c r="B260" s="22"/>
      <c r="C260" s="4"/>
      <c r="D260" s="22"/>
      <c r="E260" s="22"/>
      <c r="F260" s="4"/>
      <c r="G260" s="4"/>
      <c r="H260" s="4"/>
      <c r="I260" s="23" t="str">
        <f aca="false">IF(F260="","",IF(OR(E260="Variable seule",G260=""),F260,F260&amp;"["&amp;G260&amp;"]"))</f>
        <v/>
      </c>
      <c r="J260" s="23" t="str">
        <f aca="false">IF(A260="","",COUNTIF(Cablage!$A:$A,A260))</f>
        <v/>
      </c>
      <c r="K260" s="23" t="str">
        <f aca="false">IF(A260="","",COUNTIF(Liens!$A:$A,A260))</f>
        <v/>
      </c>
      <c r="L260" s="23" t="str">
        <f aca="false">IF(OR(A260="",E260="Variable seule",F260="",G260=""),"",IF(COUNTIFS($F$9:$F$308,F260,$G$9:$G$308,G260,$A$9:$A$308,"&lt;&gt;"&amp;A260)&gt;0,"index deja pris",""))</f>
        <v/>
      </c>
      <c r="M260" s="4"/>
    </row>
    <row r="261" customFormat="false" ht="15" hidden="false" customHeight="true" outlineLevel="0" collapsed="false">
      <c r="A261" s="4"/>
      <c r="B261" s="22"/>
      <c r="C261" s="4"/>
      <c r="D261" s="22"/>
      <c r="E261" s="22"/>
      <c r="F261" s="4"/>
      <c r="G261" s="4"/>
      <c r="H261" s="4"/>
      <c r="I261" s="23" t="str">
        <f aca="false">IF(F261="","",IF(OR(E261="Variable seule",G261=""),F261,F261&amp;"["&amp;G261&amp;"]"))</f>
        <v/>
      </c>
      <c r="J261" s="23" t="str">
        <f aca="false">IF(A261="","",COUNTIF(Cablage!$A:$A,A261))</f>
        <v/>
      </c>
      <c r="K261" s="23" t="str">
        <f aca="false">IF(A261="","",COUNTIF(Liens!$A:$A,A261))</f>
        <v/>
      </c>
      <c r="L261" s="23" t="str">
        <f aca="false">IF(OR(A261="",E261="Variable seule",F261="",G261=""),"",IF(COUNTIFS($F$9:$F$308,F261,$G$9:$G$308,G261,$A$9:$A$308,"&lt;&gt;"&amp;A261)&gt;0,"index deja pris",""))</f>
        <v/>
      </c>
      <c r="M261" s="4"/>
    </row>
    <row r="262" customFormat="false" ht="15" hidden="false" customHeight="true" outlineLevel="0" collapsed="false">
      <c r="A262" s="4"/>
      <c r="B262" s="22"/>
      <c r="C262" s="4"/>
      <c r="D262" s="22"/>
      <c r="E262" s="22"/>
      <c r="F262" s="4"/>
      <c r="G262" s="4"/>
      <c r="H262" s="4"/>
      <c r="I262" s="23" t="str">
        <f aca="false">IF(F262="","",IF(OR(E262="Variable seule",G262=""),F262,F262&amp;"["&amp;G262&amp;"]"))</f>
        <v/>
      </c>
      <c r="J262" s="23" t="str">
        <f aca="false">IF(A262="","",COUNTIF(Cablage!$A:$A,A262))</f>
        <v/>
      </c>
      <c r="K262" s="23" t="str">
        <f aca="false">IF(A262="","",COUNTIF(Liens!$A:$A,A262))</f>
        <v/>
      </c>
      <c r="L262" s="23" t="str">
        <f aca="false">IF(OR(A262="",E262="Variable seule",F262="",G262=""),"",IF(COUNTIFS($F$9:$F$308,F262,$G$9:$G$308,G262,$A$9:$A$308,"&lt;&gt;"&amp;A262)&gt;0,"index deja pris",""))</f>
        <v/>
      </c>
      <c r="M262" s="4"/>
    </row>
    <row r="263" customFormat="false" ht="15" hidden="false" customHeight="true" outlineLevel="0" collapsed="false">
      <c r="A263" s="4"/>
      <c r="B263" s="22"/>
      <c r="C263" s="4"/>
      <c r="D263" s="22"/>
      <c r="E263" s="22"/>
      <c r="F263" s="4"/>
      <c r="G263" s="4"/>
      <c r="H263" s="4"/>
      <c r="I263" s="23" t="str">
        <f aca="false">IF(F263="","",IF(OR(E263="Variable seule",G263=""),F263,F263&amp;"["&amp;G263&amp;"]"))</f>
        <v/>
      </c>
      <c r="J263" s="23" t="str">
        <f aca="false">IF(A263="","",COUNTIF(Cablage!$A:$A,A263))</f>
        <v/>
      </c>
      <c r="K263" s="23" t="str">
        <f aca="false">IF(A263="","",COUNTIF(Liens!$A:$A,A263))</f>
        <v/>
      </c>
      <c r="L263" s="23" t="str">
        <f aca="false">IF(OR(A263="",E263="Variable seule",F263="",G263=""),"",IF(COUNTIFS($F$9:$F$308,F263,$G$9:$G$308,G263,$A$9:$A$308,"&lt;&gt;"&amp;A263)&gt;0,"index deja pris",""))</f>
        <v/>
      </c>
      <c r="M263" s="4"/>
    </row>
    <row r="264" customFormat="false" ht="15" hidden="false" customHeight="true" outlineLevel="0" collapsed="false">
      <c r="A264" s="4"/>
      <c r="B264" s="22"/>
      <c r="C264" s="4"/>
      <c r="D264" s="22"/>
      <c r="E264" s="22"/>
      <c r="F264" s="4"/>
      <c r="G264" s="4"/>
      <c r="H264" s="4"/>
      <c r="I264" s="23" t="str">
        <f aca="false">IF(F264="","",IF(OR(E264="Variable seule",G264=""),F264,F264&amp;"["&amp;G264&amp;"]"))</f>
        <v/>
      </c>
      <c r="J264" s="23" t="str">
        <f aca="false">IF(A264="","",COUNTIF(Cablage!$A:$A,A264))</f>
        <v/>
      </c>
      <c r="K264" s="23" t="str">
        <f aca="false">IF(A264="","",COUNTIF(Liens!$A:$A,A264))</f>
        <v/>
      </c>
      <c r="L264" s="23" t="str">
        <f aca="false">IF(OR(A264="",E264="Variable seule",F264="",G264=""),"",IF(COUNTIFS($F$9:$F$308,F264,$G$9:$G$308,G264,$A$9:$A$308,"&lt;&gt;"&amp;A264)&gt;0,"index deja pris",""))</f>
        <v/>
      </c>
      <c r="M264" s="4"/>
    </row>
    <row r="265" customFormat="false" ht="15" hidden="false" customHeight="true" outlineLevel="0" collapsed="false">
      <c r="A265" s="4"/>
      <c r="B265" s="22"/>
      <c r="C265" s="4"/>
      <c r="D265" s="22"/>
      <c r="E265" s="22"/>
      <c r="F265" s="4"/>
      <c r="G265" s="4"/>
      <c r="H265" s="4"/>
      <c r="I265" s="23" t="str">
        <f aca="false">IF(F265="","",IF(OR(E265="Variable seule",G265=""),F265,F265&amp;"["&amp;G265&amp;"]"))</f>
        <v/>
      </c>
      <c r="J265" s="23" t="str">
        <f aca="false">IF(A265="","",COUNTIF(Cablage!$A:$A,A265))</f>
        <v/>
      </c>
      <c r="K265" s="23" t="str">
        <f aca="false">IF(A265="","",COUNTIF(Liens!$A:$A,A265))</f>
        <v/>
      </c>
      <c r="L265" s="23" t="str">
        <f aca="false">IF(OR(A265="",E265="Variable seule",F265="",G265=""),"",IF(COUNTIFS($F$9:$F$308,F265,$G$9:$G$308,G265,$A$9:$A$308,"&lt;&gt;"&amp;A265)&gt;0,"index deja pris",""))</f>
        <v/>
      </c>
      <c r="M265" s="4"/>
    </row>
    <row r="266" customFormat="false" ht="15" hidden="false" customHeight="true" outlineLevel="0" collapsed="false">
      <c r="A266" s="4"/>
      <c r="B266" s="22"/>
      <c r="C266" s="4"/>
      <c r="D266" s="22"/>
      <c r="E266" s="22"/>
      <c r="F266" s="4"/>
      <c r="G266" s="4"/>
      <c r="H266" s="4"/>
      <c r="I266" s="23" t="str">
        <f aca="false">IF(F266="","",IF(OR(E266="Variable seule",G266=""),F266,F266&amp;"["&amp;G266&amp;"]"))</f>
        <v/>
      </c>
      <c r="J266" s="23" t="str">
        <f aca="false">IF(A266="","",COUNTIF(Cablage!$A:$A,A266))</f>
        <v/>
      </c>
      <c r="K266" s="23" t="str">
        <f aca="false">IF(A266="","",COUNTIF(Liens!$A:$A,A266))</f>
        <v/>
      </c>
      <c r="L266" s="23" t="str">
        <f aca="false">IF(OR(A266="",E266="Variable seule",F266="",G266=""),"",IF(COUNTIFS($F$9:$F$308,F266,$G$9:$G$308,G266,$A$9:$A$308,"&lt;&gt;"&amp;A266)&gt;0,"index deja pris",""))</f>
        <v/>
      </c>
      <c r="M266" s="4"/>
    </row>
    <row r="267" customFormat="false" ht="15" hidden="false" customHeight="true" outlineLevel="0" collapsed="false">
      <c r="A267" s="4"/>
      <c r="B267" s="22"/>
      <c r="C267" s="4"/>
      <c r="D267" s="22"/>
      <c r="E267" s="22"/>
      <c r="F267" s="4"/>
      <c r="G267" s="4"/>
      <c r="H267" s="4"/>
      <c r="I267" s="23" t="str">
        <f aca="false">IF(F267="","",IF(OR(E267="Variable seule",G267=""),F267,F267&amp;"["&amp;G267&amp;"]"))</f>
        <v/>
      </c>
      <c r="J267" s="23" t="str">
        <f aca="false">IF(A267="","",COUNTIF(Cablage!$A:$A,A267))</f>
        <v/>
      </c>
      <c r="K267" s="23" t="str">
        <f aca="false">IF(A267="","",COUNTIF(Liens!$A:$A,A267))</f>
        <v/>
      </c>
      <c r="L267" s="23" t="str">
        <f aca="false">IF(OR(A267="",E267="Variable seule",F267="",G267=""),"",IF(COUNTIFS($F$9:$F$308,F267,$G$9:$G$308,G267,$A$9:$A$308,"&lt;&gt;"&amp;A267)&gt;0,"index deja pris",""))</f>
        <v/>
      </c>
      <c r="M267" s="4"/>
    </row>
    <row r="268" customFormat="false" ht="15" hidden="false" customHeight="true" outlineLevel="0" collapsed="false">
      <c r="A268" s="4"/>
      <c r="B268" s="22"/>
      <c r="C268" s="4"/>
      <c r="D268" s="22"/>
      <c r="E268" s="22"/>
      <c r="F268" s="4"/>
      <c r="G268" s="4"/>
      <c r="H268" s="4"/>
      <c r="I268" s="23" t="str">
        <f aca="false">IF(F268="","",IF(OR(E268="Variable seule",G268=""),F268,F268&amp;"["&amp;G268&amp;"]"))</f>
        <v/>
      </c>
      <c r="J268" s="23" t="str">
        <f aca="false">IF(A268="","",COUNTIF(Cablage!$A:$A,A268))</f>
        <v/>
      </c>
      <c r="K268" s="23" t="str">
        <f aca="false">IF(A268="","",COUNTIF(Liens!$A:$A,A268))</f>
        <v/>
      </c>
      <c r="L268" s="23" t="str">
        <f aca="false">IF(OR(A268="",E268="Variable seule",F268="",G268=""),"",IF(COUNTIFS($F$9:$F$308,F268,$G$9:$G$308,G268,$A$9:$A$308,"&lt;&gt;"&amp;A268)&gt;0,"index deja pris",""))</f>
        <v/>
      </c>
      <c r="M268" s="4"/>
    </row>
    <row r="269" customFormat="false" ht="15" hidden="false" customHeight="true" outlineLevel="0" collapsed="false">
      <c r="A269" s="4"/>
      <c r="B269" s="22"/>
      <c r="C269" s="4"/>
      <c r="D269" s="22"/>
      <c r="E269" s="22"/>
      <c r="F269" s="4"/>
      <c r="G269" s="4"/>
      <c r="H269" s="4"/>
      <c r="I269" s="23" t="str">
        <f aca="false">IF(F269="","",IF(OR(E269="Variable seule",G269=""),F269,F269&amp;"["&amp;G269&amp;"]"))</f>
        <v/>
      </c>
      <c r="J269" s="23" t="str">
        <f aca="false">IF(A269="","",COUNTIF(Cablage!$A:$A,A269))</f>
        <v/>
      </c>
      <c r="K269" s="23" t="str">
        <f aca="false">IF(A269="","",COUNTIF(Liens!$A:$A,A269))</f>
        <v/>
      </c>
      <c r="L269" s="23" t="str">
        <f aca="false">IF(OR(A269="",E269="Variable seule",F269="",G269=""),"",IF(COUNTIFS($F$9:$F$308,F269,$G$9:$G$308,G269,$A$9:$A$308,"&lt;&gt;"&amp;A269)&gt;0,"index deja pris",""))</f>
        <v/>
      </c>
      <c r="M269" s="4"/>
    </row>
    <row r="270" customFormat="false" ht="15" hidden="false" customHeight="true" outlineLevel="0" collapsed="false">
      <c r="A270" s="4"/>
      <c r="B270" s="22"/>
      <c r="C270" s="4"/>
      <c r="D270" s="22"/>
      <c r="E270" s="22"/>
      <c r="F270" s="4"/>
      <c r="G270" s="4"/>
      <c r="H270" s="4"/>
      <c r="I270" s="23" t="str">
        <f aca="false">IF(F270="","",IF(OR(E270="Variable seule",G270=""),F270,F270&amp;"["&amp;G270&amp;"]"))</f>
        <v/>
      </c>
      <c r="J270" s="23" t="str">
        <f aca="false">IF(A270="","",COUNTIF(Cablage!$A:$A,A270))</f>
        <v/>
      </c>
      <c r="K270" s="23" t="str">
        <f aca="false">IF(A270="","",COUNTIF(Liens!$A:$A,A270))</f>
        <v/>
      </c>
      <c r="L270" s="23" t="str">
        <f aca="false">IF(OR(A270="",E270="Variable seule",F270="",G270=""),"",IF(COUNTIFS($F$9:$F$308,F270,$G$9:$G$308,G270,$A$9:$A$308,"&lt;&gt;"&amp;A270)&gt;0,"index deja pris",""))</f>
        <v/>
      </c>
      <c r="M270" s="4"/>
    </row>
    <row r="271" customFormat="false" ht="15" hidden="false" customHeight="true" outlineLevel="0" collapsed="false">
      <c r="A271" s="4"/>
      <c r="B271" s="22"/>
      <c r="C271" s="4"/>
      <c r="D271" s="22"/>
      <c r="E271" s="22"/>
      <c r="F271" s="4"/>
      <c r="G271" s="4"/>
      <c r="H271" s="4"/>
      <c r="I271" s="23" t="str">
        <f aca="false">IF(F271="","",IF(OR(E271="Variable seule",G271=""),F271,F271&amp;"["&amp;G271&amp;"]"))</f>
        <v/>
      </c>
      <c r="J271" s="23" t="str">
        <f aca="false">IF(A271="","",COUNTIF(Cablage!$A:$A,A271))</f>
        <v/>
      </c>
      <c r="K271" s="23" t="str">
        <f aca="false">IF(A271="","",COUNTIF(Liens!$A:$A,A271))</f>
        <v/>
      </c>
      <c r="L271" s="23" t="str">
        <f aca="false">IF(OR(A271="",E271="Variable seule",F271="",G271=""),"",IF(COUNTIFS($F$9:$F$308,F271,$G$9:$G$308,G271,$A$9:$A$308,"&lt;&gt;"&amp;A271)&gt;0,"index deja pris",""))</f>
        <v/>
      </c>
      <c r="M271" s="4"/>
    </row>
    <row r="272" customFormat="false" ht="15" hidden="false" customHeight="true" outlineLevel="0" collapsed="false">
      <c r="A272" s="4"/>
      <c r="B272" s="22"/>
      <c r="C272" s="4"/>
      <c r="D272" s="22"/>
      <c r="E272" s="22"/>
      <c r="F272" s="4"/>
      <c r="G272" s="4"/>
      <c r="H272" s="4"/>
      <c r="I272" s="23" t="str">
        <f aca="false">IF(F272="","",IF(OR(E272="Variable seule",G272=""),F272,F272&amp;"["&amp;G272&amp;"]"))</f>
        <v/>
      </c>
      <c r="J272" s="23" t="str">
        <f aca="false">IF(A272="","",COUNTIF(Cablage!$A:$A,A272))</f>
        <v/>
      </c>
      <c r="K272" s="23" t="str">
        <f aca="false">IF(A272="","",COUNTIF(Liens!$A:$A,A272))</f>
        <v/>
      </c>
      <c r="L272" s="23" t="str">
        <f aca="false">IF(OR(A272="",E272="Variable seule",F272="",G272=""),"",IF(COUNTIFS($F$9:$F$308,F272,$G$9:$G$308,G272,$A$9:$A$308,"&lt;&gt;"&amp;A272)&gt;0,"index deja pris",""))</f>
        <v/>
      </c>
      <c r="M272" s="4"/>
    </row>
    <row r="273" customFormat="false" ht="15" hidden="false" customHeight="true" outlineLevel="0" collapsed="false">
      <c r="A273" s="4"/>
      <c r="B273" s="22"/>
      <c r="C273" s="4"/>
      <c r="D273" s="22"/>
      <c r="E273" s="22"/>
      <c r="F273" s="4"/>
      <c r="G273" s="4"/>
      <c r="H273" s="4"/>
      <c r="I273" s="23" t="str">
        <f aca="false">IF(F273="","",IF(OR(E273="Variable seule",G273=""),F273,F273&amp;"["&amp;G273&amp;"]"))</f>
        <v/>
      </c>
      <c r="J273" s="23" t="str">
        <f aca="false">IF(A273="","",COUNTIF(Cablage!$A:$A,A273))</f>
        <v/>
      </c>
      <c r="K273" s="23" t="str">
        <f aca="false">IF(A273="","",COUNTIF(Liens!$A:$A,A273))</f>
        <v/>
      </c>
      <c r="L273" s="23" t="str">
        <f aca="false">IF(OR(A273="",E273="Variable seule",F273="",G273=""),"",IF(COUNTIFS($F$9:$F$308,F273,$G$9:$G$308,G273,$A$9:$A$308,"&lt;&gt;"&amp;A273)&gt;0,"index deja pris",""))</f>
        <v/>
      </c>
      <c r="M273" s="4"/>
    </row>
    <row r="274" customFormat="false" ht="15" hidden="false" customHeight="true" outlineLevel="0" collapsed="false">
      <c r="A274" s="4"/>
      <c r="B274" s="22"/>
      <c r="C274" s="4"/>
      <c r="D274" s="22"/>
      <c r="E274" s="22"/>
      <c r="F274" s="4"/>
      <c r="G274" s="4"/>
      <c r="H274" s="4"/>
      <c r="I274" s="23" t="str">
        <f aca="false">IF(F274="","",IF(OR(E274="Variable seule",G274=""),F274,F274&amp;"["&amp;G274&amp;"]"))</f>
        <v/>
      </c>
      <c r="J274" s="23" t="str">
        <f aca="false">IF(A274="","",COUNTIF(Cablage!$A:$A,A274))</f>
        <v/>
      </c>
      <c r="K274" s="23" t="str">
        <f aca="false">IF(A274="","",COUNTIF(Liens!$A:$A,A274))</f>
        <v/>
      </c>
      <c r="L274" s="23" t="str">
        <f aca="false">IF(OR(A274="",E274="Variable seule",F274="",G274=""),"",IF(COUNTIFS($F$9:$F$308,F274,$G$9:$G$308,G274,$A$9:$A$308,"&lt;&gt;"&amp;A274)&gt;0,"index deja pris",""))</f>
        <v/>
      </c>
      <c r="M274" s="4"/>
    </row>
    <row r="275" customFormat="false" ht="15" hidden="false" customHeight="true" outlineLevel="0" collapsed="false">
      <c r="A275" s="4"/>
      <c r="B275" s="22"/>
      <c r="C275" s="4"/>
      <c r="D275" s="22"/>
      <c r="E275" s="22"/>
      <c r="F275" s="4"/>
      <c r="G275" s="4"/>
      <c r="H275" s="4"/>
      <c r="I275" s="23" t="str">
        <f aca="false">IF(F275="","",IF(OR(E275="Variable seule",G275=""),F275,F275&amp;"["&amp;G275&amp;"]"))</f>
        <v/>
      </c>
      <c r="J275" s="23" t="str">
        <f aca="false">IF(A275="","",COUNTIF(Cablage!$A:$A,A275))</f>
        <v/>
      </c>
      <c r="K275" s="23" t="str">
        <f aca="false">IF(A275="","",COUNTIF(Liens!$A:$A,A275))</f>
        <v/>
      </c>
      <c r="L275" s="23" t="str">
        <f aca="false">IF(OR(A275="",E275="Variable seule",F275="",G275=""),"",IF(COUNTIFS($F$9:$F$308,F275,$G$9:$G$308,G275,$A$9:$A$308,"&lt;&gt;"&amp;A275)&gt;0,"index deja pris",""))</f>
        <v/>
      </c>
      <c r="M275" s="4"/>
    </row>
    <row r="276" customFormat="false" ht="15" hidden="false" customHeight="true" outlineLevel="0" collapsed="false">
      <c r="A276" s="4"/>
      <c r="B276" s="22"/>
      <c r="C276" s="4"/>
      <c r="D276" s="22"/>
      <c r="E276" s="22"/>
      <c r="F276" s="4"/>
      <c r="G276" s="4"/>
      <c r="H276" s="4"/>
      <c r="I276" s="23" t="str">
        <f aca="false">IF(F276="","",IF(OR(E276="Variable seule",G276=""),F276,F276&amp;"["&amp;G276&amp;"]"))</f>
        <v/>
      </c>
      <c r="J276" s="23" t="str">
        <f aca="false">IF(A276="","",COUNTIF(Cablage!$A:$A,A276))</f>
        <v/>
      </c>
      <c r="K276" s="23" t="str">
        <f aca="false">IF(A276="","",COUNTIF(Liens!$A:$A,A276))</f>
        <v/>
      </c>
      <c r="L276" s="23" t="str">
        <f aca="false">IF(OR(A276="",E276="Variable seule",F276="",G276=""),"",IF(COUNTIFS($F$9:$F$308,F276,$G$9:$G$308,G276,$A$9:$A$308,"&lt;&gt;"&amp;A276)&gt;0,"index deja pris",""))</f>
        <v/>
      </c>
      <c r="M276" s="4"/>
    </row>
    <row r="277" customFormat="false" ht="15" hidden="false" customHeight="true" outlineLevel="0" collapsed="false">
      <c r="A277" s="4"/>
      <c r="B277" s="22"/>
      <c r="C277" s="4"/>
      <c r="D277" s="22"/>
      <c r="E277" s="22"/>
      <c r="F277" s="4"/>
      <c r="G277" s="4"/>
      <c r="H277" s="4"/>
      <c r="I277" s="23" t="str">
        <f aca="false">IF(F277="","",IF(OR(E277="Variable seule",G277=""),F277,F277&amp;"["&amp;G277&amp;"]"))</f>
        <v/>
      </c>
      <c r="J277" s="23" t="str">
        <f aca="false">IF(A277="","",COUNTIF(Cablage!$A:$A,A277))</f>
        <v/>
      </c>
      <c r="K277" s="23" t="str">
        <f aca="false">IF(A277="","",COUNTIF(Liens!$A:$A,A277))</f>
        <v/>
      </c>
      <c r="L277" s="23" t="str">
        <f aca="false">IF(OR(A277="",E277="Variable seule",F277="",G277=""),"",IF(COUNTIFS($F$9:$F$308,F277,$G$9:$G$308,G277,$A$9:$A$308,"&lt;&gt;"&amp;A277)&gt;0,"index deja pris",""))</f>
        <v/>
      </c>
      <c r="M277" s="4"/>
    </row>
    <row r="278" customFormat="false" ht="15" hidden="false" customHeight="true" outlineLevel="0" collapsed="false">
      <c r="A278" s="4"/>
      <c r="B278" s="22"/>
      <c r="C278" s="4"/>
      <c r="D278" s="22"/>
      <c r="E278" s="22"/>
      <c r="F278" s="4"/>
      <c r="G278" s="4"/>
      <c r="H278" s="4"/>
      <c r="I278" s="23" t="str">
        <f aca="false">IF(F278="","",IF(OR(E278="Variable seule",G278=""),F278,F278&amp;"["&amp;G278&amp;"]"))</f>
        <v/>
      </c>
      <c r="J278" s="23" t="str">
        <f aca="false">IF(A278="","",COUNTIF(Cablage!$A:$A,A278))</f>
        <v/>
      </c>
      <c r="K278" s="23" t="str">
        <f aca="false">IF(A278="","",COUNTIF(Liens!$A:$A,A278))</f>
        <v/>
      </c>
      <c r="L278" s="23" t="str">
        <f aca="false">IF(OR(A278="",E278="Variable seule",F278="",G278=""),"",IF(COUNTIFS($F$9:$F$308,F278,$G$9:$G$308,G278,$A$9:$A$308,"&lt;&gt;"&amp;A278)&gt;0,"index deja pris",""))</f>
        <v/>
      </c>
      <c r="M278" s="4"/>
    </row>
    <row r="279" customFormat="false" ht="15" hidden="false" customHeight="true" outlineLevel="0" collapsed="false">
      <c r="A279" s="4"/>
      <c r="B279" s="22"/>
      <c r="C279" s="4"/>
      <c r="D279" s="22"/>
      <c r="E279" s="22"/>
      <c r="F279" s="4"/>
      <c r="G279" s="4"/>
      <c r="H279" s="4"/>
      <c r="I279" s="23" t="str">
        <f aca="false">IF(F279="","",IF(OR(E279="Variable seule",G279=""),F279,F279&amp;"["&amp;G279&amp;"]"))</f>
        <v/>
      </c>
      <c r="J279" s="23" t="str">
        <f aca="false">IF(A279="","",COUNTIF(Cablage!$A:$A,A279))</f>
        <v/>
      </c>
      <c r="K279" s="23" t="str">
        <f aca="false">IF(A279="","",COUNTIF(Liens!$A:$A,A279))</f>
        <v/>
      </c>
      <c r="L279" s="23" t="str">
        <f aca="false">IF(OR(A279="",E279="Variable seule",F279="",G279=""),"",IF(COUNTIFS($F$9:$F$308,F279,$G$9:$G$308,G279,$A$9:$A$308,"&lt;&gt;"&amp;A279)&gt;0,"index deja pris",""))</f>
        <v/>
      </c>
      <c r="M279" s="4"/>
    </row>
    <row r="280" customFormat="false" ht="15" hidden="false" customHeight="true" outlineLevel="0" collapsed="false">
      <c r="A280" s="4"/>
      <c r="B280" s="22"/>
      <c r="C280" s="4"/>
      <c r="D280" s="22"/>
      <c r="E280" s="22"/>
      <c r="F280" s="4"/>
      <c r="G280" s="4"/>
      <c r="H280" s="4"/>
      <c r="I280" s="23" t="str">
        <f aca="false">IF(F280="","",IF(OR(E280="Variable seule",G280=""),F280,F280&amp;"["&amp;G280&amp;"]"))</f>
        <v/>
      </c>
      <c r="J280" s="23" t="str">
        <f aca="false">IF(A280="","",COUNTIF(Cablage!$A:$A,A280))</f>
        <v/>
      </c>
      <c r="K280" s="23" t="str">
        <f aca="false">IF(A280="","",COUNTIF(Liens!$A:$A,A280))</f>
        <v/>
      </c>
      <c r="L280" s="23" t="str">
        <f aca="false">IF(OR(A280="",E280="Variable seule",F280="",G280=""),"",IF(COUNTIFS($F$9:$F$308,F280,$G$9:$G$308,G280,$A$9:$A$308,"&lt;&gt;"&amp;A280)&gt;0,"index deja pris",""))</f>
        <v/>
      </c>
      <c r="M280" s="4"/>
    </row>
    <row r="281" customFormat="false" ht="15" hidden="false" customHeight="true" outlineLevel="0" collapsed="false">
      <c r="A281" s="4"/>
      <c r="B281" s="22"/>
      <c r="C281" s="4"/>
      <c r="D281" s="22"/>
      <c r="E281" s="22"/>
      <c r="F281" s="4"/>
      <c r="G281" s="4"/>
      <c r="H281" s="4"/>
      <c r="I281" s="23" t="str">
        <f aca="false">IF(F281="","",IF(OR(E281="Variable seule",G281=""),F281,F281&amp;"["&amp;G281&amp;"]"))</f>
        <v/>
      </c>
      <c r="J281" s="23" t="str">
        <f aca="false">IF(A281="","",COUNTIF(Cablage!$A:$A,A281))</f>
        <v/>
      </c>
      <c r="K281" s="23" t="str">
        <f aca="false">IF(A281="","",COUNTIF(Liens!$A:$A,A281))</f>
        <v/>
      </c>
      <c r="L281" s="23" t="str">
        <f aca="false">IF(OR(A281="",E281="Variable seule",F281="",G281=""),"",IF(COUNTIFS($F$9:$F$308,F281,$G$9:$G$308,G281,$A$9:$A$308,"&lt;&gt;"&amp;A281)&gt;0,"index deja pris",""))</f>
        <v/>
      </c>
      <c r="M281" s="4"/>
    </row>
    <row r="282" customFormat="false" ht="15" hidden="false" customHeight="true" outlineLevel="0" collapsed="false">
      <c r="A282" s="4"/>
      <c r="B282" s="22"/>
      <c r="C282" s="4"/>
      <c r="D282" s="22"/>
      <c r="E282" s="22"/>
      <c r="F282" s="4"/>
      <c r="G282" s="4"/>
      <c r="H282" s="4"/>
      <c r="I282" s="23" t="str">
        <f aca="false">IF(F282="","",IF(OR(E282="Variable seule",G282=""),F282,F282&amp;"["&amp;G282&amp;"]"))</f>
        <v/>
      </c>
      <c r="J282" s="23" t="str">
        <f aca="false">IF(A282="","",COUNTIF(Cablage!$A:$A,A282))</f>
        <v/>
      </c>
      <c r="K282" s="23" t="str">
        <f aca="false">IF(A282="","",COUNTIF(Liens!$A:$A,A282))</f>
        <v/>
      </c>
      <c r="L282" s="23" t="str">
        <f aca="false">IF(OR(A282="",E282="Variable seule",F282="",G282=""),"",IF(COUNTIFS($F$9:$F$308,F282,$G$9:$G$308,G282,$A$9:$A$308,"&lt;&gt;"&amp;A282)&gt;0,"index deja pris",""))</f>
        <v/>
      </c>
      <c r="M282" s="4"/>
    </row>
    <row r="283" customFormat="false" ht="15" hidden="false" customHeight="true" outlineLevel="0" collapsed="false">
      <c r="A283" s="4"/>
      <c r="B283" s="22"/>
      <c r="C283" s="4"/>
      <c r="D283" s="22"/>
      <c r="E283" s="22"/>
      <c r="F283" s="4"/>
      <c r="G283" s="4"/>
      <c r="H283" s="4"/>
      <c r="I283" s="23" t="str">
        <f aca="false">IF(F283="","",IF(OR(E283="Variable seule",G283=""),F283,F283&amp;"["&amp;G283&amp;"]"))</f>
        <v/>
      </c>
      <c r="J283" s="23" t="str">
        <f aca="false">IF(A283="","",COUNTIF(Cablage!$A:$A,A283))</f>
        <v/>
      </c>
      <c r="K283" s="23" t="str">
        <f aca="false">IF(A283="","",COUNTIF(Liens!$A:$A,A283))</f>
        <v/>
      </c>
      <c r="L283" s="23" t="str">
        <f aca="false">IF(OR(A283="",E283="Variable seule",F283="",G283=""),"",IF(COUNTIFS($F$9:$F$308,F283,$G$9:$G$308,G283,$A$9:$A$308,"&lt;&gt;"&amp;A283)&gt;0,"index deja pris",""))</f>
        <v/>
      </c>
      <c r="M283" s="4"/>
    </row>
    <row r="284" customFormat="false" ht="15" hidden="false" customHeight="true" outlineLevel="0" collapsed="false">
      <c r="A284" s="4"/>
      <c r="B284" s="22"/>
      <c r="C284" s="4"/>
      <c r="D284" s="22"/>
      <c r="E284" s="22"/>
      <c r="F284" s="4"/>
      <c r="G284" s="4"/>
      <c r="H284" s="4"/>
      <c r="I284" s="23" t="str">
        <f aca="false">IF(F284="","",IF(OR(E284="Variable seule",G284=""),F284,F284&amp;"["&amp;G284&amp;"]"))</f>
        <v/>
      </c>
      <c r="J284" s="23" t="str">
        <f aca="false">IF(A284="","",COUNTIF(Cablage!$A:$A,A284))</f>
        <v/>
      </c>
      <c r="K284" s="23" t="str">
        <f aca="false">IF(A284="","",COUNTIF(Liens!$A:$A,A284))</f>
        <v/>
      </c>
      <c r="L284" s="23" t="str">
        <f aca="false">IF(OR(A284="",E284="Variable seule",F284="",G284=""),"",IF(COUNTIFS($F$9:$F$308,F284,$G$9:$G$308,G284,$A$9:$A$308,"&lt;&gt;"&amp;A284)&gt;0,"index deja pris",""))</f>
        <v/>
      </c>
      <c r="M284" s="4"/>
    </row>
    <row r="285" customFormat="false" ht="15" hidden="false" customHeight="true" outlineLevel="0" collapsed="false">
      <c r="A285" s="4"/>
      <c r="B285" s="22"/>
      <c r="C285" s="4"/>
      <c r="D285" s="22"/>
      <c r="E285" s="22"/>
      <c r="F285" s="4"/>
      <c r="G285" s="4"/>
      <c r="H285" s="4"/>
      <c r="I285" s="23" t="str">
        <f aca="false">IF(F285="","",IF(OR(E285="Variable seule",G285=""),F285,F285&amp;"["&amp;G285&amp;"]"))</f>
        <v/>
      </c>
      <c r="J285" s="23" t="str">
        <f aca="false">IF(A285="","",COUNTIF(Cablage!$A:$A,A285))</f>
        <v/>
      </c>
      <c r="K285" s="23" t="str">
        <f aca="false">IF(A285="","",COUNTIF(Liens!$A:$A,A285))</f>
        <v/>
      </c>
      <c r="L285" s="23" t="str">
        <f aca="false">IF(OR(A285="",E285="Variable seule",F285="",G285=""),"",IF(COUNTIFS($F$9:$F$308,F285,$G$9:$G$308,G285,$A$9:$A$308,"&lt;&gt;"&amp;A285)&gt;0,"index deja pris",""))</f>
        <v/>
      </c>
      <c r="M285" s="4"/>
    </row>
    <row r="286" customFormat="false" ht="15" hidden="false" customHeight="true" outlineLevel="0" collapsed="false">
      <c r="A286" s="4"/>
      <c r="B286" s="22"/>
      <c r="C286" s="4"/>
      <c r="D286" s="22"/>
      <c r="E286" s="22"/>
      <c r="F286" s="4"/>
      <c r="G286" s="4"/>
      <c r="H286" s="4"/>
      <c r="I286" s="23" t="str">
        <f aca="false">IF(F286="","",IF(OR(E286="Variable seule",G286=""),F286,F286&amp;"["&amp;G286&amp;"]"))</f>
        <v/>
      </c>
      <c r="J286" s="23" t="str">
        <f aca="false">IF(A286="","",COUNTIF(Cablage!$A:$A,A286))</f>
        <v/>
      </c>
      <c r="K286" s="23" t="str">
        <f aca="false">IF(A286="","",COUNTIF(Liens!$A:$A,A286))</f>
        <v/>
      </c>
      <c r="L286" s="23" t="str">
        <f aca="false">IF(OR(A286="",E286="Variable seule",F286="",G286=""),"",IF(COUNTIFS($F$9:$F$308,F286,$G$9:$G$308,G286,$A$9:$A$308,"&lt;&gt;"&amp;A286)&gt;0,"index deja pris",""))</f>
        <v/>
      </c>
      <c r="M286" s="4"/>
    </row>
    <row r="287" customFormat="false" ht="15" hidden="false" customHeight="true" outlineLevel="0" collapsed="false">
      <c r="A287" s="4"/>
      <c r="B287" s="22"/>
      <c r="C287" s="4"/>
      <c r="D287" s="22"/>
      <c r="E287" s="22"/>
      <c r="F287" s="4"/>
      <c r="G287" s="4"/>
      <c r="H287" s="4"/>
      <c r="I287" s="23" t="str">
        <f aca="false">IF(F287="","",IF(OR(E287="Variable seule",G287=""),F287,F287&amp;"["&amp;G287&amp;"]"))</f>
        <v/>
      </c>
      <c r="J287" s="23" t="str">
        <f aca="false">IF(A287="","",COUNTIF(Cablage!$A:$A,A287))</f>
        <v/>
      </c>
      <c r="K287" s="23" t="str">
        <f aca="false">IF(A287="","",COUNTIF(Liens!$A:$A,A287))</f>
        <v/>
      </c>
      <c r="L287" s="23" t="str">
        <f aca="false">IF(OR(A287="",E287="Variable seule",F287="",G287=""),"",IF(COUNTIFS($F$9:$F$308,F287,$G$9:$G$308,G287,$A$9:$A$308,"&lt;&gt;"&amp;A287)&gt;0,"index deja pris",""))</f>
        <v/>
      </c>
      <c r="M287" s="4"/>
    </row>
    <row r="288" customFormat="false" ht="15" hidden="false" customHeight="true" outlineLevel="0" collapsed="false">
      <c r="A288" s="4"/>
      <c r="B288" s="22"/>
      <c r="C288" s="4"/>
      <c r="D288" s="22"/>
      <c r="E288" s="22"/>
      <c r="F288" s="4"/>
      <c r="G288" s="4"/>
      <c r="H288" s="4"/>
      <c r="I288" s="23" t="str">
        <f aca="false">IF(F288="","",IF(OR(E288="Variable seule",G288=""),F288,F288&amp;"["&amp;G288&amp;"]"))</f>
        <v/>
      </c>
      <c r="J288" s="23" t="str">
        <f aca="false">IF(A288="","",COUNTIF(Cablage!$A:$A,A288))</f>
        <v/>
      </c>
      <c r="K288" s="23" t="str">
        <f aca="false">IF(A288="","",COUNTIF(Liens!$A:$A,A288))</f>
        <v/>
      </c>
      <c r="L288" s="23" t="str">
        <f aca="false">IF(OR(A288="",E288="Variable seule",F288="",G288=""),"",IF(COUNTIFS($F$9:$F$308,F288,$G$9:$G$308,G288,$A$9:$A$308,"&lt;&gt;"&amp;A288)&gt;0,"index deja pris",""))</f>
        <v/>
      </c>
      <c r="M288" s="4"/>
    </row>
    <row r="289" customFormat="false" ht="15" hidden="false" customHeight="true" outlineLevel="0" collapsed="false">
      <c r="A289" s="4"/>
      <c r="B289" s="22"/>
      <c r="C289" s="4"/>
      <c r="D289" s="22"/>
      <c r="E289" s="22"/>
      <c r="F289" s="4"/>
      <c r="G289" s="4"/>
      <c r="H289" s="4"/>
      <c r="I289" s="23" t="str">
        <f aca="false">IF(F289="","",IF(OR(E289="Variable seule",G289=""),F289,F289&amp;"["&amp;G289&amp;"]"))</f>
        <v/>
      </c>
      <c r="J289" s="23" t="str">
        <f aca="false">IF(A289="","",COUNTIF(Cablage!$A:$A,A289))</f>
        <v/>
      </c>
      <c r="K289" s="23" t="str">
        <f aca="false">IF(A289="","",COUNTIF(Liens!$A:$A,A289))</f>
        <v/>
      </c>
      <c r="L289" s="23" t="str">
        <f aca="false">IF(OR(A289="",E289="Variable seule",F289="",G289=""),"",IF(COUNTIFS($F$9:$F$308,F289,$G$9:$G$308,G289,$A$9:$A$308,"&lt;&gt;"&amp;A289)&gt;0,"index deja pris",""))</f>
        <v/>
      </c>
      <c r="M289" s="4"/>
    </row>
    <row r="290" customFormat="false" ht="15" hidden="false" customHeight="true" outlineLevel="0" collapsed="false">
      <c r="A290" s="4"/>
      <c r="B290" s="22"/>
      <c r="C290" s="4"/>
      <c r="D290" s="22"/>
      <c r="E290" s="22"/>
      <c r="F290" s="4"/>
      <c r="G290" s="4"/>
      <c r="H290" s="4"/>
      <c r="I290" s="23" t="str">
        <f aca="false">IF(F290="","",IF(OR(E290="Variable seule",G290=""),F290,F290&amp;"["&amp;G290&amp;"]"))</f>
        <v/>
      </c>
      <c r="J290" s="23" t="str">
        <f aca="false">IF(A290="","",COUNTIF(Cablage!$A:$A,A290))</f>
        <v/>
      </c>
      <c r="K290" s="23" t="str">
        <f aca="false">IF(A290="","",COUNTIF(Liens!$A:$A,A290))</f>
        <v/>
      </c>
      <c r="L290" s="23" t="str">
        <f aca="false">IF(OR(A290="",E290="Variable seule",F290="",G290=""),"",IF(COUNTIFS($F$9:$F$308,F290,$G$9:$G$308,G290,$A$9:$A$308,"&lt;&gt;"&amp;A290)&gt;0,"index deja pris",""))</f>
        <v/>
      </c>
      <c r="M290" s="4"/>
    </row>
    <row r="291" customFormat="false" ht="15" hidden="false" customHeight="true" outlineLevel="0" collapsed="false">
      <c r="A291" s="4"/>
      <c r="B291" s="22"/>
      <c r="C291" s="4"/>
      <c r="D291" s="22"/>
      <c r="E291" s="22"/>
      <c r="F291" s="4"/>
      <c r="G291" s="4"/>
      <c r="H291" s="4"/>
      <c r="I291" s="23" t="str">
        <f aca="false">IF(F291="","",IF(OR(E291="Variable seule",G291=""),F291,F291&amp;"["&amp;G291&amp;"]"))</f>
        <v/>
      </c>
      <c r="J291" s="23" t="str">
        <f aca="false">IF(A291="","",COUNTIF(Cablage!$A:$A,A291))</f>
        <v/>
      </c>
      <c r="K291" s="23" t="str">
        <f aca="false">IF(A291="","",COUNTIF(Liens!$A:$A,A291))</f>
        <v/>
      </c>
      <c r="L291" s="23" t="str">
        <f aca="false">IF(OR(A291="",E291="Variable seule",F291="",G291=""),"",IF(COUNTIFS($F$9:$F$308,F291,$G$9:$G$308,G291,$A$9:$A$308,"&lt;&gt;"&amp;A291)&gt;0,"index deja pris",""))</f>
        <v/>
      </c>
      <c r="M291" s="4"/>
    </row>
    <row r="292" customFormat="false" ht="15" hidden="false" customHeight="true" outlineLevel="0" collapsed="false">
      <c r="A292" s="4"/>
      <c r="B292" s="22"/>
      <c r="C292" s="4"/>
      <c r="D292" s="22"/>
      <c r="E292" s="22"/>
      <c r="F292" s="4"/>
      <c r="G292" s="4"/>
      <c r="H292" s="4"/>
      <c r="I292" s="23" t="str">
        <f aca="false">IF(F292="","",IF(OR(E292="Variable seule",G292=""),F292,F292&amp;"["&amp;G292&amp;"]"))</f>
        <v/>
      </c>
      <c r="J292" s="23" t="str">
        <f aca="false">IF(A292="","",COUNTIF(Cablage!$A:$A,A292))</f>
        <v/>
      </c>
      <c r="K292" s="23" t="str">
        <f aca="false">IF(A292="","",COUNTIF(Liens!$A:$A,A292))</f>
        <v/>
      </c>
      <c r="L292" s="23" t="str">
        <f aca="false">IF(OR(A292="",E292="Variable seule",F292="",G292=""),"",IF(COUNTIFS($F$9:$F$308,F292,$G$9:$G$308,G292,$A$9:$A$308,"&lt;&gt;"&amp;A292)&gt;0,"index deja pris",""))</f>
        <v/>
      </c>
      <c r="M292" s="4"/>
    </row>
    <row r="293" customFormat="false" ht="15" hidden="false" customHeight="true" outlineLevel="0" collapsed="false">
      <c r="A293" s="4"/>
      <c r="B293" s="22"/>
      <c r="C293" s="4"/>
      <c r="D293" s="22"/>
      <c r="E293" s="22"/>
      <c r="F293" s="4"/>
      <c r="G293" s="4"/>
      <c r="H293" s="4"/>
      <c r="I293" s="23" t="str">
        <f aca="false">IF(F293="","",IF(OR(E293="Variable seule",G293=""),F293,F293&amp;"["&amp;G293&amp;"]"))</f>
        <v/>
      </c>
      <c r="J293" s="23" t="str">
        <f aca="false">IF(A293="","",COUNTIF(Cablage!$A:$A,A293))</f>
        <v/>
      </c>
      <c r="K293" s="23" t="str">
        <f aca="false">IF(A293="","",COUNTIF(Liens!$A:$A,A293))</f>
        <v/>
      </c>
      <c r="L293" s="23" t="str">
        <f aca="false">IF(OR(A293="",E293="Variable seule",F293="",G293=""),"",IF(COUNTIFS($F$9:$F$308,F293,$G$9:$G$308,G293,$A$9:$A$308,"&lt;&gt;"&amp;A293)&gt;0,"index deja pris",""))</f>
        <v/>
      </c>
      <c r="M293" s="4"/>
    </row>
    <row r="294" customFormat="false" ht="15" hidden="false" customHeight="true" outlineLevel="0" collapsed="false">
      <c r="A294" s="4"/>
      <c r="B294" s="22"/>
      <c r="C294" s="4"/>
      <c r="D294" s="22"/>
      <c r="E294" s="22"/>
      <c r="F294" s="4"/>
      <c r="G294" s="4"/>
      <c r="H294" s="4"/>
      <c r="I294" s="23" t="str">
        <f aca="false">IF(F294="","",IF(OR(E294="Variable seule",G294=""),F294,F294&amp;"["&amp;G294&amp;"]"))</f>
        <v/>
      </c>
      <c r="J294" s="23" t="str">
        <f aca="false">IF(A294="","",COUNTIF(Cablage!$A:$A,A294))</f>
        <v/>
      </c>
      <c r="K294" s="23" t="str">
        <f aca="false">IF(A294="","",COUNTIF(Liens!$A:$A,A294))</f>
        <v/>
      </c>
      <c r="L294" s="23" t="str">
        <f aca="false">IF(OR(A294="",E294="Variable seule",F294="",G294=""),"",IF(COUNTIFS($F$9:$F$308,F294,$G$9:$G$308,G294,$A$9:$A$308,"&lt;&gt;"&amp;A294)&gt;0,"index deja pris",""))</f>
        <v/>
      </c>
      <c r="M294" s="4"/>
    </row>
    <row r="295" customFormat="false" ht="15" hidden="false" customHeight="true" outlineLevel="0" collapsed="false">
      <c r="A295" s="4"/>
      <c r="B295" s="22"/>
      <c r="C295" s="4"/>
      <c r="D295" s="22"/>
      <c r="E295" s="22"/>
      <c r="F295" s="4"/>
      <c r="G295" s="4"/>
      <c r="H295" s="4"/>
      <c r="I295" s="23" t="str">
        <f aca="false">IF(F295="","",IF(OR(E295="Variable seule",G295=""),F295,F295&amp;"["&amp;G295&amp;"]"))</f>
        <v/>
      </c>
      <c r="J295" s="23" t="str">
        <f aca="false">IF(A295="","",COUNTIF(Cablage!$A:$A,A295))</f>
        <v/>
      </c>
      <c r="K295" s="23" t="str">
        <f aca="false">IF(A295="","",COUNTIF(Liens!$A:$A,A295))</f>
        <v/>
      </c>
      <c r="L295" s="23" t="str">
        <f aca="false">IF(OR(A295="",E295="Variable seule",F295="",G295=""),"",IF(COUNTIFS($F$9:$F$308,F295,$G$9:$G$308,G295,$A$9:$A$308,"&lt;&gt;"&amp;A295)&gt;0,"index deja pris",""))</f>
        <v/>
      </c>
      <c r="M295" s="4"/>
    </row>
    <row r="296" customFormat="false" ht="15" hidden="false" customHeight="true" outlineLevel="0" collapsed="false">
      <c r="A296" s="4"/>
      <c r="B296" s="22"/>
      <c r="C296" s="4"/>
      <c r="D296" s="22"/>
      <c r="E296" s="22"/>
      <c r="F296" s="4"/>
      <c r="G296" s="4"/>
      <c r="H296" s="4"/>
      <c r="I296" s="23" t="str">
        <f aca="false">IF(F296="","",IF(OR(E296="Variable seule",G296=""),F296,F296&amp;"["&amp;G296&amp;"]"))</f>
        <v/>
      </c>
      <c r="J296" s="23" t="str">
        <f aca="false">IF(A296="","",COUNTIF(Cablage!$A:$A,A296))</f>
        <v/>
      </c>
      <c r="K296" s="23" t="str">
        <f aca="false">IF(A296="","",COUNTIF(Liens!$A:$A,A296))</f>
        <v/>
      </c>
      <c r="L296" s="23" t="str">
        <f aca="false">IF(OR(A296="",E296="Variable seule",F296="",G296=""),"",IF(COUNTIFS($F$9:$F$308,F296,$G$9:$G$308,G296,$A$9:$A$308,"&lt;&gt;"&amp;A296)&gt;0,"index deja pris",""))</f>
        <v/>
      </c>
      <c r="M296" s="4"/>
    </row>
    <row r="297" customFormat="false" ht="15" hidden="false" customHeight="true" outlineLevel="0" collapsed="false">
      <c r="A297" s="4"/>
      <c r="B297" s="22"/>
      <c r="C297" s="4"/>
      <c r="D297" s="22"/>
      <c r="E297" s="22"/>
      <c r="F297" s="4"/>
      <c r="G297" s="4"/>
      <c r="H297" s="4"/>
      <c r="I297" s="23" t="str">
        <f aca="false">IF(F297="","",IF(OR(E297="Variable seule",G297=""),F297,F297&amp;"["&amp;G297&amp;"]"))</f>
        <v/>
      </c>
      <c r="J297" s="23" t="str">
        <f aca="false">IF(A297="","",COUNTIF(Cablage!$A:$A,A297))</f>
        <v/>
      </c>
      <c r="K297" s="23" t="str">
        <f aca="false">IF(A297="","",COUNTIF(Liens!$A:$A,A297))</f>
        <v/>
      </c>
      <c r="L297" s="23" t="str">
        <f aca="false">IF(OR(A297="",E297="Variable seule",F297="",G297=""),"",IF(COUNTIFS($F$9:$F$308,F297,$G$9:$G$308,G297,$A$9:$A$308,"&lt;&gt;"&amp;A297)&gt;0,"index deja pris",""))</f>
        <v/>
      </c>
      <c r="M297" s="4"/>
    </row>
    <row r="298" customFormat="false" ht="15" hidden="false" customHeight="true" outlineLevel="0" collapsed="false">
      <c r="A298" s="4"/>
      <c r="B298" s="22"/>
      <c r="C298" s="4"/>
      <c r="D298" s="22"/>
      <c r="E298" s="22"/>
      <c r="F298" s="4"/>
      <c r="G298" s="4"/>
      <c r="H298" s="4"/>
      <c r="I298" s="23" t="str">
        <f aca="false">IF(F298="","",IF(OR(E298="Variable seule",G298=""),F298,F298&amp;"["&amp;G298&amp;"]"))</f>
        <v/>
      </c>
      <c r="J298" s="23" t="str">
        <f aca="false">IF(A298="","",COUNTIF(Cablage!$A:$A,A298))</f>
        <v/>
      </c>
      <c r="K298" s="23" t="str">
        <f aca="false">IF(A298="","",COUNTIF(Liens!$A:$A,A298))</f>
        <v/>
      </c>
      <c r="L298" s="23" t="str">
        <f aca="false">IF(OR(A298="",E298="Variable seule",F298="",G298=""),"",IF(COUNTIFS($F$9:$F$308,F298,$G$9:$G$308,G298,$A$9:$A$308,"&lt;&gt;"&amp;A298)&gt;0,"index deja pris",""))</f>
        <v/>
      </c>
      <c r="M298" s="4"/>
    </row>
    <row r="299" customFormat="false" ht="15" hidden="false" customHeight="true" outlineLevel="0" collapsed="false">
      <c r="A299" s="4"/>
      <c r="B299" s="22"/>
      <c r="C299" s="4"/>
      <c r="D299" s="22"/>
      <c r="E299" s="22"/>
      <c r="F299" s="4"/>
      <c r="G299" s="4"/>
      <c r="H299" s="4"/>
      <c r="I299" s="23" t="str">
        <f aca="false">IF(F299="","",IF(OR(E299="Variable seule",G299=""),F299,F299&amp;"["&amp;G299&amp;"]"))</f>
        <v/>
      </c>
      <c r="J299" s="23" t="str">
        <f aca="false">IF(A299="","",COUNTIF(Cablage!$A:$A,A299))</f>
        <v/>
      </c>
      <c r="K299" s="23" t="str">
        <f aca="false">IF(A299="","",COUNTIF(Liens!$A:$A,A299))</f>
        <v/>
      </c>
      <c r="L299" s="23" t="str">
        <f aca="false">IF(OR(A299="",E299="Variable seule",F299="",G299=""),"",IF(COUNTIFS($F$9:$F$308,F299,$G$9:$G$308,G299,$A$9:$A$308,"&lt;&gt;"&amp;A299)&gt;0,"index deja pris",""))</f>
        <v/>
      </c>
      <c r="M299" s="4"/>
    </row>
    <row r="300" customFormat="false" ht="15" hidden="false" customHeight="true" outlineLevel="0" collapsed="false">
      <c r="A300" s="4"/>
      <c r="B300" s="22"/>
      <c r="C300" s="4"/>
      <c r="D300" s="22"/>
      <c r="E300" s="22"/>
      <c r="F300" s="4"/>
      <c r="G300" s="4"/>
      <c r="H300" s="4"/>
      <c r="I300" s="23" t="str">
        <f aca="false">IF(F300="","",IF(OR(E300="Variable seule",G300=""),F300,F300&amp;"["&amp;G300&amp;"]"))</f>
        <v/>
      </c>
      <c r="J300" s="23" t="str">
        <f aca="false">IF(A300="","",COUNTIF(Cablage!$A:$A,A300))</f>
        <v/>
      </c>
      <c r="K300" s="23" t="str">
        <f aca="false">IF(A300="","",COUNTIF(Liens!$A:$A,A300))</f>
        <v/>
      </c>
      <c r="L300" s="23" t="str">
        <f aca="false">IF(OR(A300="",E300="Variable seule",F300="",G300=""),"",IF(COUNTIFS($F$9:$F$308,F300,$G$9:$G$308,G300,$A$9:$A$308,"&lt;&gt;"&amp;A300)&gt;0,"index deja pris",""))</f>
        <v/>
      </c>
      <c r="M300" s="4"/>
    </row>
    <row r="301" customFormat="false" ht="15" hidden="false" customHeight="true" outlineLevel="0" collapsed="false">
      <c r="A301" s="4"/>
      <c r="B301" s="22"/>
      <c r="C301" s="4"/>
      <c r="D301" s="22"/>
      <c r="E301" s="22"/>
      <c r="F301" s="4"/>
      <c r="G301" s="4"/>
      <c r="H301" s="4"/>
      <c r="I301" s="23" t="str">
        <f aca="false">IF(F301="","",IF(OR(E301="Variable seule",G301=""),F301,F301&amp;"["&amp;G301&amp;"]"))</f>
        <v/>
      </c>
      <c r="J301" s="23" t="str">
        <f aca="false">IF(A301="","",COUNTIF(Cablage!$A:$A,A301))</f>
        <v/>
      </c>
      <c r="K301" s="23" t="str">
        <f aca="false">IF(A301="","",COUNTIF(Liens!$A:$A,A301))</f>
        <v/>
      </c>
      <c r="L301" s="23" t="str">
        <f aca="false">IF(OR(A301="",E301="Variable seule",F301="",G301=""),"",IF(COUNTIFS($F$9:$F$308,F301,$G$9:$G$308,G301,$A$9:$A$308,"&lt;&gt;"&amp;A301)&gt;0,"index deja pris",""))</f>
        <v/>
      </c>
      <c r="M301" s="4"/>
    </row>
    <row r="302" customFormat="false" ht="15" hidden="false" customHeight="true" outlineLevel="0" collapsed="false">
      <c r="A302" s="4"/>
      <c r="B302" s="22"/>
      <c r="C302" s="4"/>
      <c r="D302" s="22"/>
      <c r="E302" s="22"/>
      <c r="F302" s="4"/>
      <c r="G302" s="4"/>
      <c r="H302" s="4"/>
      <c r="I302" s="23" t="str">
        <f aca="false">IF(F302="","",IF(OR(E302="Variable seule",G302=""),F302,F302&amp;"["&amp;G302&amp;"]"))</f>
        <v/>
      </c>
      <c r="J302" s="23" t="str">
        <f aca="false">IF(A302="","",COUNTIF(Cablage!$A:$A,A302))</f>
        <v/>
      </c>
      <c r="K302" s="23" t="str">
        <f aca="false">IF(A302="","",COUNTIF(Liens!$A:$A,A302))</f>
        <v/>
      </c>
      <c r="L302" s="23" t="str">
        <f aca="false">IF(OR(A302="",E302="Variable seule",F302="",G302=""),"",IF(COUNTIFS($F$9:$F$308,F302,$G$9:$G$308,G302,$A$9:$A$308,"&lt;&gt;"&amp;A302)&gt;0,"index deja pris",""))</f>
        <v/>
      </c>
      <c r="M302" s="4"/>
    </row>
    <row r="303" customFormat="false" ht="15" hidden="false" customHeight="true" outlineLevel="0" collapsed="false">
      <c r="A303" s="4"/>
      <c r="B303" s="22"/>
      <c r="C303" s="4"/>
      <c r="D303" s="22"/>
      <c r="E303" s="22"/>
      <c r="F303" s="4"/>
      <c r="G303" s="4"/>
      <c r="H303" s="4"/>
      <c r="I303" s="23" t="str">
        <f aca="false">IF(F303="","",IF(OR(E303="Variable seule",G303=""),F303,F303&amp;"["&amp;G303&amp;"]"))</f>
        <v/>
      </c>
      <c r="J303" s="23" t="str">
        <f aca="false">IF(A303="","",COUNTIF(Cablage!$A:$A,A303))</f>
        <v/>
      </c>
      <c r="K303" s="23" t="str">
        <f aca="false">IF(A303="","",COUNTIF(Liens!$A:$A,A303))</f>
        <v/>
      </c>
      <c r="L303" s="23" t="str">
        <f aca="false">IF(OR(A303="",E303="Variable seule",F303="",G303=""),"",IF(COUNTIFS($F$9:$F$308,F303,$G$9:$G$308,G303,$A$9:$A$308,"&lt;&gt;"&amp;A303)&gt;0,"index deja pris",""))</f>
        <v/>
      </c>
      <c r="M303" s="4"/>
    </row>
    <row r="304" customFormat="false" ht="15" hidden="false" customHeight="true" outlineLevel="0" collapsed="false">
      <c r="A304" s="4"/>
      <c r="B304" s="22"/>
      <c r="C304" s="4"/>
      <c r="D304" s="22"/>
      <c r="E304" s="22"/>
      <c r="F304" s="4"/>
      <c r="G304" s="4"/>
      <c r="H304" s="4"/>
      <c r="I304" s="23" t="str">
        <f aca="false">IF(F304="","",IF(OR(E304="Variable seule",G304=""),F304,F304&amp;"["&amp;G304&amp;"]"))</f>
        <v/>
      </c>
      <c r="J304" s="23" t="str">
        <f aca="false">IF(A304="","",COUNTIF(Cablage!$A:$A,A304))</f>
        <v/>
      </c>
      <c r="K304" s="23" t="str">
        <f aca="false">IF(A304="","",COUNTIF(Liens!$A:$A,A304))</f>
        <v/>
      </c>
      <c r="L304" s="23" t="str">
        <f aca="false">IF(OR(A304="",E304="Variable seule",F304="",G304=""),"",IF(COUNTIFS($F$9:$F$308,F304,$G$9:$G$308,G304,$A$9:$A$308,"&lt;&gt;"&amp;A304)&gt;0,"index deja pris",""))</f>
        <v/>
      </c>
      <c r="M304" s="4"/>
    </row>
    <row r="305" customFormat="false" ht="15" hidden="false" customHeight="true" outlineLevel="0" collapsed="false">
      <c r="A305" s="4"/>
      <c r="B305" s="22"/>
      <c r="C305" s="4"/>
      <c r="D305" s="22"/>
      <c r="E305" s="22"/>
      <c r="F305" s="4"/>
      <c r="G305" s="4"/>
      <c r="H305" s="4"/>
      <c r="I305" s="23" t="str">
        <f aca="false">IF(F305="","",IF(OR(E305="Variable seule",G305=""),F305,F305&amp;"["&amp;G305&amp;"]"))</f>
        <v/>
      </c>
      <c r="J305" s="23" t="str">
        <f aca="false">IF(A305="","",COUNTIF(Cablage!$A:$A,A305))</f>
        <v/>
      </c>
      <c r="K305" s="23" t="str">
        <f aca="false">IF(A305="","",COUNTIF(Liens!$A:$A,A305))</f>
        <v/>
      </c>
      <c r="L305" s="23" t="str">
        <f aca="false">IF(OR(A305="",E305="Variable seule",F305="",G305=""),"",IF(COUNTIFS($F$9:$F$308,F305,$G$9:$G$308,G305,$A$9:$A$308,"&lt;&gt;"&amp;A305)&gt;0,"index deja pris",""))</f>
        <v/>
      </c>
      <c r="M305" s="4"/>
    </row>
    <row r="306" customFormat="false" ht="15" hidden="false" customHeight="true" outlineLevel="0" collapsed="false">
      <c r="A306" s="4"/>
      <c r="B306" s="22"/>
      <c r="C306" s="4"/>
      <c r="D306" s="22"/>
      <c r="E306" s="22"/>
      <c r="F306" s="4"/>
      <c r="G306" s="4"/>
      <c r="H306" s="4"/>
      <c r="I306" s="23" t="str">
        <f aca="false">IF(F306="","",IF(OR(E306="Variable seule",G306=""),F306,F306&amp;"["&amp;G306&amp;"]"))</f>
        <v/>
      </c>
      <c r="J306" s="23" t="str">
        <f aca="false">IF(A306="","",COUNTIF(Cablage!$A:$A,A306))</f>
        <v/>
      </c>
      <c r="K306" s="23" t="str">
        <f aca="false">IF(A306="","",COUNTIF(Liens!$A:$A,A306))</f>
        <v/>
      </c>
      <c r="L306" s="23" t="str">
        <f aca="false">IF(OR(A306="",E306="Variable seule",F306="",G306=""),"",IF(COUNTIFS($F$9:$F$308,F306,$G$9:$G$308,G306,$A$9:$A$308,"&lt;&gt;"&amp;A306)&gt;0,"index deja pris",""))</f>
        <v/>
      </c>
      <c r="M306" s="4"/>
    </row>
    <row r="307" customFormat="false" ht="15" hidden="false" customHeight="true" outlineLevel="0" collapsed="false">
      <c r="A307" s="4"/>
      <c r="B307" s="22"/>
      <c r="C307" s="4"/>
      <c r="D307" s="22"/>
      <c r="E307" s="22"/>
      <c r="F307" s="4"/>
      <c r="G307" s="4"/>
      <c r="H307" s="4"/>
      <c r="I307" s="23" t="str">
        <f aca="false">IF(F307="","",IF(OR(E307="Variable seule",G307=""),F307,F307&amp;"["&amp;G307&amp;"]"))</f>
        <v/>
      </c>
      <c r="J307" s="23" t="str">
        <f aca="false">IF(A307="","",COUNTIF(Cablage!$A:$A,A307))</f>
        <v/>
      </c>
      <c r="K307" s="23" t="str">
        <f aca="false">IF(A307="","",COUNTIF(Liens!$A:$A,A307))</f>
        <v/>
      </c>
      <c r="L307" s="23" t="str">
        <f aca="false">IF(OR(A307="",E307="Variable seule",F307="",G307=""),"",IF(COUNTIFS($F$9:$F$308,F307,$G$9:$G$308,G307,$A$9:$A$308,"&lt;&gt;"&amp;A307)&gt;0,"index deja pris",""))</f>
        <v/>
      </c>
      <c r="M307" s="4"/>
    </row>
    <row r="308" customFormat="false" ht="15" hidden="false" customHeight="true" outlineLevel="0" collapsed="false">
      <c r="A308" s="4"/>
      <c r="B308" s="22"/>
      <c r="C308" s="4"/>
      <c r="D308" s="22"/>
      <c r="E308" s="22"/>
      <c r="F308" s="4"/>
      <c r="G308" s="4"/>
      <c r="H308" s="4"/>
      <c r="I308" s="23" t="str">
        <f aca="false">IF(F308="","",IF(OR(E308="Variable seule",G308=""),F308,F308&amp;"["&amp;G308&amp;"]"))</f>
        <v/>
      </c>
      <c r="J308" s="23" t="str">
        <f aca="false">IF(A308="","",COUNTIF(Cablage!$A:$A,A308))</f>
        <v/>
      </c>
      <c r="K308" s="23" t="str">
        <f aca="false">IF(A308="","",COUNTIF(Liens!$A:$A,A308))</f>
        <v/>
      </c>
      <c r="L308" s="23" t="str">
        <f aca="false">IF(OR(A308="",E308="Variable seule",F308="",G308=""),"",IF(COUNTIFS($F$9:$F$308,F308,$G$9:$G$308,G308,$A$9:$A$308,"&lt;&gt;"&amp;A308)&gt;0,"index deja pris",""))</f>
        <v/>
      </c>
      <c r="M308" s="4"/>
    </row>
    <row r="310" customFormat="false" ht="15" hidden="false" customHeight="false" outlineLevel="0" collapsed="false">
      <c r="BR310" s="11" t="s">
        <v>245</v>
      </c>
    </row>
  </sheetData>
  <autoFilter ref="A7:M7"/>
  <mergeCells count="5">
    <mergeCell ref="A1:M1"/>
    <mergeCell ref="A2:M2"/>
    <mergeCell ref="A6:D6"/>
    <mergeCell ref="E6:I6"/>
    <mergeCell ref="J6:L6"/>
  </mergeCells>
  <dataValidations count="3">
    <dataValidation allowBlank="true" errorStyle="stop" operator="between" showDropDown="false" showErrorMessage="false" showInputMessage="false" sqref="B9:B308" type="list">
      <formula1>CatFamilles</formula1>
      <formula2>0</formula2>
    </dataValidation>
    <dataValidation allowBlank="true" errorStyle="stop" operator="between" showDropDown="false" showErrorMessage="false" showInputMessage="false" sqref="D9:D308" type="list">
      <formula1>"O,N"</formula1>
      <formula2>0</formula2>
    </dataValidation>
    <dataValidation allowBlank="true" errorStyle="stop" operator="between" showDropDown="false" showErrorMessage="false" showInputMessage="false" sqref="E9:E308" type="list">
      <formula1>"Tableau,Variable seule"</formula1>
      <formula2>0</formula2>
    </dataValidation>
  </dataValidations>
  <printOptions headings="false" gridLines="false" gridLinesSet="true" horizontalCentered="true" verticalCentered="false"/>
  <pageMargins left="0.35" right="0.35" top="0.4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Affaire 2024_06_264 - Equipements&amp;C&amp;7 &amp;D&amp;R&amp;7 page 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6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.9"/>
    <col collapsed="false" customWidth="true" hidden="false" outlineLevel="0" max="3" min="3" style="0" width="15.39"/>
    <col collapsed="false" customWidth="true" hidden="false" outlineLevel="0" max="4" min="4" style="0" width="13.4"/>
    <col collapsed="false" customWidth="true" hidden="false" outlineLevel="0" max="5" min="5" style="0" width="6.39"/>
    <col collapsed="false" customWidth="true" hidden="false" outlineLevel="0" max="6" min="6" style="0" width="22"/>
    <col collapsed="false" customWidth="true" hidden="false" outlineLevel="0" max="7" min="7" style="0" width="6.39"/>
    <col collapsed="false" customWidth="true" hidden="false" outlineLevel="0" max="8" min="8" style="0" width="24"/>
    <col collapsed="false" customWidth="true" hidden="false" outlineLevel="0" max="9" min="9" style="0" width="9.4"/>
    <col collapsed="false" customWidth="true" hidden="false" outlineLevel="0" max="10" min="10" style="0" width="30"/>
  </cols>
  <sheetData>
    <row r="1" customFormat="false" ht="25.5" hidden="false" customHeight="true" outlineLevel="0" collapsed="false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247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.75" hidden="false" customHeight="tru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.75" hidden="false" customHeight="true" outlineLevel="0" collapsed="false">
      <c r="A4" s="3" t="s">
        <v>6</v>
      </c>
      <c r="B4" s="4" t="s">
        <v>7</v>
      </c>
      <c r="D4" s="3" t="s">
        <v>8</v>
      </c>
      <c r="E4" s="4" t="s">
        <v>9</v>
      </c>
    </row>
    <row r="6" customFormat="false" ht="15" hidden="false" customHeight="true" outlineLevel="0" collapsed="false">
      <c r="A6" s="16" t="s">
        <v>156</v>
      </c>
      <c r="B6" s="16"/>
      <c r="C6" s="16"/>
      <c r="D6" s="17" t="s">
        <v>144</v>
      </c>
      <c r="E6" s="17"/>
      <c r="F6" s="17"/>
      <c r="G6" s="17"/>
      <c r="H6" s="17"/>
      <c r="I6" s="17"/>
      <c r="J6" s="17"/>
    </row>
    <row r="7" customFormat="false" ht="30" hidden="false" customHeight="true" outlineLevel="0" collapsed="false">
      <c r="A7" s="20" t="s">
        <v>156</v>
      </c>
      <c r="B7" s="20" t="s">
        <v>217</v>
      </c>
      <c r="C7" s="20" t="s">
        <v>248</v>
      </c>
      <c r="D7" s="20" t="s">
        <v>249</v>
      </c>
      <c r="E7" s="20" t="s">
        <v>250</v>
      </c>
      <c r="F7" s="20" t="s">
        <v>251</v>
      </c>
      <c r="G7" s="20" t="s">
        <v>252</v>
      </c>
      <c r="H7" s="20" t="s">
        <v>253</v>
      </c>
      <c r="I7" s="20" t="s">
        <v>153</v>
      </c>
      <c r="J7" s="20" t="s">
        <v>151</v>
      </c>
    </row>
    <row r="8" customFormat="false" ht="12.75" hidden="false" customHeight="true" outlineLevel="0" collapsed="false">
      <c r="A8" s="21"/>
      <c r="B8" s="21"/>
      <c r="C8" s="21"/>
      <c r="D8" s="21" t="s">
        <v>254</v>
      </c>
      <c r="E8" s="21"/>
      <c r="F8" s="21"/>
      <c r="G8" s="21"/>
      <c r="H8" s="21"/>
      <c r="I8" s="21"/>
      <c r="J8" s="21"/>
    </row>
    <row r="9" customFormat="false" ht="15" hidden="false" customHeight="true" outlineLevel="0" collapsed="false">
      <c r="A9" s="23"/>
      <c r="B9" s="23"/>
      <c r="C9" s="23" t="str">
        <f aca="false">IFERROR(IF(OR(A9="",B9=""),"",INDEX(Equipements!$H:$H,MATCH(A9,Equipements!$A:$A,0))&amp;"."&amp;B9),"")</f>
        <v/>
      </c>
      <c r="D9" s="23"/>
      <c r="E9" s="23"/>
      <c r="F9" s="23"/>
      <c r="G9" s="23"/>
      <c r="H9" s="23"/>
      <c r="I9" s="23"/>
      <c r="J9" s="23"/>
    </row>
    <row r="10" customFormat="false" ht="15" hidden="false" customHeight="true" outlineLevel="0" collapsed="false">
      <c r="A10" s="23"/>
      <c r="B10" s="23"/>
      <c r="C10" s="23" t="str">
        <f aca="false">IFERROR(IF(OR(A10="",B10=""),"",INDEX(Equipements!$H:$H,MATCH(A10,Equipements!$A:$A,0))&amp;"."&amp;B10),"")</f>
        <v/>
      </c>
      <c r="D10" s="23"/>
      <c r="E10" s="23"/>
      <c r="F10" s="23"/>
      <c r="G10" s="23"/>
      <c r="H10" s="23"/>
      <c r="I10" s="23"/>
      <c r="J10" s="23"/>
    </row>
    <row r="11" customFormat="false" ht="15" hidden="false" customHeight="true" outlineLevel="0" collapsed="false">
      <c r="A11" s="23"/>
      <c r="B11" s="23"/>
      <c r="C11" s="23" t="str">
        <f aca="false">IFERROR(IF(OR(A11="",B11=""),"",INDEX(Equipements!$H:$H,MATCH(A11,Equipements!$A:$A,0))&amp;"."&amp;B11),"")</f>
        <v/>
      </c>
      <c r="D11" s="23"/>
      <c r="E11" s="23"/>
      <c r="F11" s="23"/>
      <c r="G11" s="23"/>
      <c r="H11" s="23"/>
      <c r="I11" s="23"/>
      <c r="J11" s="23"/>
    </row>
    <row r="12" customFormat="false" ht="15" hidden="false" customHeight="true" outlineLevel="0" collapsed="false">
      <c r="A12" s="23"/>
      <c r="B12" s="23"/>
      <c r="C12" s="23" t="str">
        <f aca="false">IFERROR(IF(OR(A12="",B12=""),"",INDEX(Equipements!$H:$H,MATCH(A12,Equipements!$A:$A,0))&amp;"."&amp;B12),"")</f>
        <v/>
      </c>
      <c r="D12" s="23"/>
      <c r="E12" s="23"/>
      <c r="F12" s="23"/>
      <c r="G12" s="23"/>
      <c r="H12" s="23"/>
      <c r="I12" s="23"/>
      <c r="J12" s="23"/>
    </row>
    <row r="13" customFormat="false" ht="15" hidden="false" customHeight="true" outlineLevel="0" collapsed="false">
      <c r="A13" s="23"/>
      <c r="B13" s="23"/>
      <c r="C13" s="23" t="str">
        <f aca="false">IFERROR(IF(OR(A13="",B13=""),"",INDEX(Equipements!$H:$H,MATCH(A13,Equipements!$A:$A,0))&amp;"."&amp;B13),"")</f>
        <v/>
      </c>
      <c r="D13" s="23"/>
      <c r="E13" s="23"/>
      <c r="F13" s="23"/>
      <c r="G13" s="23"/>
      <c r="H13" s="23"/>
      <c r="I13" s="23"/>
      <c r="J13" s="23"/>
    </row>
    <row r="14" customFormat="false" ht="15" hidden="false" customHeight="true" outlineLevel="0" collapsed="false">
      <c r="A14" s="23"/>
      <c r="B14" s="23"/>
      <c r="C14" s="23" t="str">
        <f aca="false">IFERROR(IF(OR(A14="",B14=""),"",INDEX(Equipements!$H:$H,MATCH(A14,Equipements!$A:$A,0))&amp;"."&amp;B14),"")</f>
        <v/>
      </c>
      <c r="D14" s="23"/>
      <c r="E14" s="23"/>
      <c r="F14" s="23"/>
      <c r="G14" s="23"/>
      <c r="H14" s="23"/>
      <c r="I14" s="23"/>
      <c r="J14" s="23"/>
    </row>
    <row r="15" customFormat="false" ht="15" hidden="false" customHeight="true" outlineLevel="0" collapsed="false">
      <c r="A15" s="23"/>
      <c r="B15" s="23"/>
      <c r="C15" s="23" t="str">
        <f aca="false">IFERROR(IF(OR(A15="",B15=""),"",INDEX(Equipements!$H:$H,MATCH(A15,Equipements!$A:$A,0))&amp;"."&amp;B15),"")</f>
        <v/>
      </c>
      <c r="D15" s="23"/>
      <c r="E15" s="23"/>
      <c r="F15" s="23"/>
      <c r="G15" s="23"/>
      <c r="H15" s="23"/>
      <c r="I15" s="23"/>
      <c r="J15" s="23"/>
    </row>
    <row r="16" customFormat="false" ht="15" hidden="false" customHeight="true" outlineLevel="0" collapsed="false">
      <c r="A16" s="23"/>
      <c r="B16" s="23"/>
      <c r="C16" s="23" t="str">
        <f aca="false">IFERROR(IF(OR(A16="",B16=""),"",INDEX(Equipements!$H:$H,MATCH(A16,Equipements!$A:$A,0))&amp;"."&amp;B16),"")</f>
        <v/>
      </c>
      <c r="D16" s="23"/>
      <c r="E16" s="23"/>
      <c r="F16" s="23"/>
      <c r="G16" s="23"/>
      <c r="H16" s="23"/>
      <c r="I16" s="23"/>
      <c r="J16" s="23"/>
    </row>
    <row r="17" customFormat="false" ht="15" hidden="false" customHeight="true" outlineLevel="0" collapsed="false">
      <c r="A17" s="23"/>
      <c r="B17" s="23"/>
      <c r="C17" s="23" t="str">
        <f aca="false">IFERROR(IF(OR(A17="",B17=""),"",INDEX(Equipements!$H:$H,MATCH(A17,Equipements!$A:$A,0))&amp;"."&amp;B17),"")</f>
        <v/>
      </c>
      <c r="D17" s="23"/>
      <c r="E17" s="23"/>
      <c r="F17" s="23"/>
      <c r="G17" s="23"/>
      <c r="H17" s="23"/>
      <c r="I17" s="23"/>
      <c r="J17" s="23"/>
    </row>
    <row r="18" customFormat="false" ht="15" hidden="false" customHeight="true" outlineLevel="0" collapsed="false">
      <c r="A18" s="23"/>
      <c r="B18" s="23"/>
      <c r="C18" s="23" t="str">
        <f aca="false">IFERROR(IF(OR(A18="",B18=""),"",INDEX(Equipements!$H:$H,MATCH(A18,Equipements!$A:$A,0))&amp;"."&amp;B18),"")</f>
        <v/>
      </c>
      <c r="D18" s="23"/>
      <c r="E18" s="23"/>
      <c r="F18" s="23"/>
      <c r="G18" s="23"/>
      <c r="H18" s="23"/>
      <c r="I18" s="23"/>
      <c r="J18" s="23"/>
    </row>
    <row r="19" customFormat="false" ht="15" hidden="false" customHeight="true" outlineLevel="0" collapsed="false">
      <c r="A19" s="23"/>
      <c r="B19" s="23"/>
      <c r="C19" s="23" t="str">
        <f aca="false">IFERROR(IF(OR(A19="",B19=""),"",INDEX(Equipements!$H:$H,MATCH(A19,Equipements!$A:$A,0))&amp;"."&amp;B19),"")</f>
        <v/>
      </c>
      <c r="D19" s="23"/>
      <c r="E19" s="23"/>
      <c r="F19" s="23"/>
      <c r="G19" s="23"/>
      <c r="H19" s="23"/>
      <c r="I19" s="23"/>
      <c r="J19" s="23"/>
    </row>
    <row r="20" customFormat="false" ht="15" hidden="false" customHeight="true" outlineLevel="0" collapsed="false">
      <c r="A20" s="23"/>
      <c r="B20" s="23"/>
      <c r="C20" s="23" t="str">
        <f aca="false">IFERROR(IF(OR(A20="",B20=""),"",INDEX(Equipements!$H:$H,MATCH(A20,Equipements!$A:$A,0))&amp;"."&amp;B20),"")</f>
        <v/>
      </c>
      <c r="D20" s="23"/>
      <c r="E20" s="23"/>
      <c r="F20" s="23"/>
      <c r="G20" s="23"/>
      <c r="H20" s="23"/>
      <c r="I20" s="23"/>
      <c r="J20" s="23"/>
    </row>
    <row r="21" customFormat="false" ht="15" hidden="false" customHeight="true" outlineLevel="0" collapsed="false">
      <c r="A21" s="23"/>
      <c r="B21" s="23"/>
      <c r="C21" s="23" t="str">
        <f aca="false">IFERROR(IF(OR(A21="",B21=""),"",INDEX(Equipements!$H:$H,MATCH(A21,Equipements!$A:$A,0))&amp;"."&amp;B21),"")</f>
        <v/>
      </c>
      <c r="D21" s="23"/>
      <c r="E21" s="23"/>
      <c r="F21" s="23"/>
      <c r="G21" s="23"/>
      <c r="H21" s="23"/>
      <c r="I21" s="23"/>
      <c r="J21" s="23"/>
    </row>
    <row r="22" customFormat="false" ht="15" hidden="false" customHeight="true" outlineLevel="0" collapsed="false">
      <c r="A22" s="23"/>
      <c r="B22" s="23"/>
      <c r="C22" s="23" t="str">
        <f aca="false">IFERROR(IF(OR(A22="",B22=""),"",INDEX(Equipements!$H:$H,MATCH(A22,Equipements!$A:$A,0))&amp;"."&amp;B22),"")</f>
        <v/>
      </c>
      <c r="D22" s="23"/>
      <c r="E22" s="23"/>
      <c r="F22" s="23"/>
      <c r="G22" s="23"/>
      <c r="H22" s="23"/>
      <c r="I22" s="23"/>
      <c r="J22" s="23"/>
    </row>
    <row r="23" customFormat="false" ht="15" hidden="false" customHeight="true" outlineLevel="0" collapsed="false">
      <c r="A23" s="23"/>
      <c r="B23" s="23"/>
      <c r="C23" s="23" t="str">
        <f aca="false">IFERROR(IF(OR(A23="",B23=""),"",INDEX(Equipements!$H:$H,MATCH(A23,Equipements!$A:$A,0))&amp;"."&amp;B23),"")</f>
        <v/>
      </c>
      <c r="D23" s="23"/>
      <c r="E23" s="23"/>
      <c r="F23" s="23"/>
      <c r="G23" s="23"/>
      <c r="H23" s="23"/>
      <c r="I23" s="23"/>
      <c r="J23" s="23"/>
    </row>
    <row r="24" customFormat="false" ht="15" hidden="false" customHeight="true" outlineLevel="0" collapsed="false">
      <c r="A24" s="23"/>
      <c r="B24" s="23"/>
      <c r="C24" s="23" t="str">
        <f aca="false">IFERROR(IF(OR(A24="",B24=""),"",INDEX(Equipements!$H:$H,MATCH(A24,Equipements!$A:$A,0))&amp;"."&amp;B24),"")</f>
        <v/>
      </c>
      <c r="D24" s="23"/>
      <c r="E24" s="23"/>
      <c r="F24" s="23"/>
      <c r="G24" s="23"/>
      <c r="H24" s="23"/>
      <c r="I24" s="23"/>
      <c r="J24" s="23"/>
    </row>
    <row r="25" customFormat="false" ht="15" hidden="false" customHeight="true" outlineLevel="0" collapsed="false">
      <c r="A25" s="23"/>
      <c r="B25" s="23"/>
      <c r="C25" s="23" t="str">
        <f aca="false">IFERROR(IF(OR(A25="",B25=""),"",INDEX(Equipements!$H:$H,MATCH(A25,Equipements!$A:$A,0))&amp;"."&amp;B25),"")</f>
        <v/>
      </c>
      <c r="D25" s="23"/>
      <c r="E25" s="23"/>
      <c r="F25" s="23"/>
      <c r="G25" s="23"/>
      <c r="H25" s="23"/>
      <c r="I25" s="23"/>
      <c r="J25" s="23"/>
    </row>
    <row r="26" customFormat="false" ht="15" hidden="false" customHeight="true" outlineLevel="0" collapsed="false">
      <c r="A26" s="23"/>
      <c r="B26" s="23"/>
      <c r="C26" s="23" t="str">
        <f aca="false">IFERROR(IF(OR(A26="",B26=""),"",INDEX(Equipements!$H:$H,MATCH(A26,Equipements!$A:$A,0))&amp;"."&amp;B26),"")</f>
        <v/>
      </c>
      <c r="D26" s="23"/>
      <c r="E26" s="23"/>
      <c r="F26" s="23"/>
      <c r="G26" s="23"/>
      <c r="H26" s="23"/>
      <c r="I26" s="23"/>
      <c r="J26" s="23"/>
    </row>
    <row r="27" customFormat="false" ht="15" hidden="false" customHeight="true" outlineLevel="0" collapsed="false">
      <c r="A27" s="23"/>
      <c r="B27" s="23"/>
      <c r="C27" s="23" t="str">
        <f aca="false">IFERROR(IF(OR(A27="",B27=""),"",INDEX(Equipements!$H:$H,MATCH(A27,Equipements!$A:$A,0))&amp;"."&amp;B27),"")</f>
        <v/>
      </c>
      <c r="D27" s="23"/>
      <c r="E27" s="23"/>
      <c r="F27" s="23"/>
      <c r="G27" s="23"/>
      <c r="H27" s="23"/>
      <c r="I27" s="23"/>
      <c r="J27" s="23"/>
    </row>
    <row r="28" customFormat="false" ht="15" hidden="false" customHeight="true" outlineLevel="0" collapsed="false">
      <c r="A28" s="23"/>
      <c r="B28" s="23"/>
      <c r="C28" s="23" t="str">
        <f aca="false">IFERROR(IF(OR(A28="",B28=""),"",INDEX(Equipements!$H:$H,MATCH(A28,Equipements!$A:$A,0))&amp;"."&amp;B28),"")</f>
        <v/>
      </c>
      <c r="D28" s="23"/>
      <c r="E28" s="23"/>
      <c r="F28" s="23"/>
      <c r="G28" s="23"/>
      <c r="H28" s="23"/>
      <c r="I28" s="23"/>
      <c r="J28" s="23"/>
    </row>
    <row r="29" customFormat="false" ht="15" hidden="false" customHeight="true" outlineLevel="0" collapsed="false">
      <c r="A29" s="23"/>
      <c r="B29" s="23"/>
      <c r="C29" s="23" t="str">
        <f aca="false">IFERROR(IF(OR(A29="",B29=""),"",INDEX(Equipements!$H:$H,MATCH(A29,Equipements!$A:$A,0))&amp;"."&amp;B29),"")</f>
        <v/>
      </c>
      <c r="D29" s="23"/>
      <c r="E29" s="23"/>
      <c r="F29" s="23"/>
      <c r="G29" s="23"/>
      <c r="H29" s="23"/>
      <c r="I29" s="23"/>
      <c r="J29" s="23"/>
    </row>
    <row r="30" customFormat="false" ht="15" hidden="false" customHeight="true" outlineLevel="0" collapsed="false">
      <c r="A30" s="23"/>
      <c r="B30" s="23"/>
      <c r="C30" s="23" t="str">
        <f aca="false">IFERROR(IF(OR(A30="",B30=""),"",INDEX(Equipements!$H:$H,MATCH(A30,Equipements!$A:$A,0))&amp;"."&amp;B30),"")</f>
        <v/>
      </c>
      <c r="D30" s="23"/>
      <c r="E30" s="23"/>
      <c r="F30" s="23"/>
      <c r="G30" s="23"/>
      <c r="H30" s="23"/>
      <c r="I30" s="23"/>
      <c r="J30" s="23"/>
    </row>
    <row r="31" customFormat="false" ht="15" hidden="false" customHeight="true" outlineLevel="0" collapsed="false">
      <c r="A31" s="23"/>
      <c r="B31" s="23"/>
      <c r="C31" s="23" t="str">
        <f aca="false">IFERROR(IF(OR(A31="",B31=""),"",INDEX(Equipements!$H:$H,MATCH(A31,Equipements!$A:$A,0))&amp;"."&amp;B31),"")</f>
        <v/>
      </c>
      <c r="D31" s="23"/>
      <c r="E31" s="23"/>
      <c r="F31" s="23"/>
      <c r="G31" s="23"/>
      <c r="H31" s="23"/>
      <c r="I31" s="23"/>
      <c r="J31" s="23"/>
    </row>
    <row r="32" customFormat="false" ht="15" hidden="false" customHeight="true" outlineLevel="0" collapsed="false">
      <c r="A32" s="23"/>
      <c r="B32" s="23"/>
      <c r="C32" s="23" t="str">
        <f aca="false">IFERROR(IF(OR(A32="",B32=""),"",INDEX(Equipements!$H:$H,MATCH(A32,Equipements!$A:$A,0))&amp;"."&amp;B32),"")</f>
        <v/>
      </c>
      <c r="D32" s="23"/>
      <c r="E32" s="23"/>
      <c r="F32" s="23"/>
      <c r="G32" s="23"/>
      <c r="H32" s="23"/>
      <c r="I32" s="23"/>
      <c r="J32" s="23"/>
    </row>
    <row r="33" customFormat="false" ht="15" hidden="false" customHeight="true" outlineLevel="0" collapsed="false">
      <c r="A33" s="23"/>
      <c r="B33" s="23"/>
      <c r="C33" s="23" t="str">
        <f aca="false">IFERROR(IF(OR(A33="",B33=""),"",INDEX(Equipements!$H:$H,MATCH(A33,Equipements!$A:$A,0))&amp;"."&amp;B33),"")</f>
        <v/>
      </c>
      <c r="D33" s="23"/>
      <c r="E33" s="23"/>
      <c r="F33" s="23"/>
      <c r="G33" s="23"/>
      <c r="H33" s="23"/>
      <c r="I33" s="23"/>
      <c r="J33" s="23"/>
    </row>
    <row r="34" customFormat="false" ht="15" hidden="false" customHeight="true" outlineLevel="0" collapsed="false">
      <c r="A34" s="23"/>
      <c r="B34" s="23"/>
      <c r="C34" s="23" t="str">
        <f aca="false">IFERROR(IF(OR(A34="",B34=""),"",INDEX(Equipements!$H:$H,MATCH(A34,Equipements!$A:$A,0))&amp;"."&amp;B34),"")</f>
        <v/>
      </c>
      <c r="D34" s="23"/>
      <c r="E34" s="23"/>
      <c r="F34" s="23"/>
      <c r="G34" s="23"/>
      <c r="H34" s="23"/>
      <c r="I34" s="23"/>
      <c r="J34" s="23"/>
    </row>
    <row r="35" customFormat="false" ht="15" hidden="false" customHeight="true" outlineLevel="0" collapsed="false">
      <c r="A35" s="23"/>
      <c r="B35" s="23"/>
      <c r="C35" s="23" t="str">
        <f aca="false">IFERROR(IF(OR(A35="",B35=""),"",INDEX(Equipements!$H:$H,MATCH(A35,Equipements!$A:$A,0))&amp;"."&amp;B35),"")</f>
        <v/>
      </c>
      <c r="D35" s="23"/>
      <c r="E35" s="23"/>
      <c r="F35" s="23"/>
      <c r="G35" s="23"/>
      <c r="H35" s="23"/>
      <c r="I35" s="23"/>
      <c r="J35" s="23"/>
    </row>
    <row r="36" customFormat="false" ht="15" hidden="false" customHeight="true" outlineLevel="0" collapsed="false">
      <c r="A36" s="23"/>
      <c r="B36" s="23"/>
      <c r="C36" s="23" t="str">
        <f aca="false">IFERROR(IF(OR(A36="",B36=""),"",INDEX(Equipements!$H:$H,MATCH(A36,Equipements!$A:$A,0))&amp;"."&amp;B36),"")</f>
        <v/>
      </c>
      <c r="D36" s="23"/>
      <c r="E36" s="23"/>
      <c r="F36" s="23"/>
      <c r="G36" s="23"/>
      <c r="H36" s="23"/>
      <c r="I36" s="23"/>
      <c r="J36" s="23"/>
    </row>
    <row r="37" customFormat="false" ht="15" hidden="false" customHeight="true" outlineLevel="0" collapsed="false">
      <c r="A37" s="23"/>
      <c r="B37" s="23"/>
      <c r="C37" s="23" t="str">
        <f aca="false">IFERROR(IF(OR(A37="",B37=""),"",INDEX(Equipements!$H:$H,MATCH(A37,Equipements!$A:$A,0))&amp;"."&amp;B37),"")</f>
        <v/>
      </c>
      <c r="D37" s="23"/>
      <c r="E37" s="23"/>
      <c r="F37" s="23"/>
      <c r="G37" s="23"/>
      <c r="H37" s="23"/>
      <c r="I37" s="23"/>
      <c r="J37" s="23"/>
    </row>
    <row r="38" customFormat="false" ht="15" hidden="false" customHeight="true" outlineLevel="0" collapsed="false">
      <c r="A38" s="23"/>
      <c r="B38" s="23"/>
      <c r="C38" s="23" t="str">
        <f aca="false">IFERROR(IF(OR(A38="",B38=""),"",INDEX(Equipements!$H:$H,MATCH(A38,Equipements!$A:$A,0))&amp;"."&amp;B38),"")</f>
        <v/>
      </c>
      <c r="D38" s="23"/>
      <c r="E38" s="23"/>
      <c r="F38" s="23"/>
      <c r="G38" s="23"/>
      <c r="H38" s="23"/>
      <c r="I38" s="23"/>
      <c r="J38" s="23"/>
    </row>
    <row r="39" customFormat="false" ht="15" hidden="false" customHeight="true" outlineLevel="0" collapsed="false">
      <c r="A39" s="23"/>
      <c r="B39" s="23"/>
      <c r="C39" s="23" t="str">
        <f aca="false">IFERROR(IF(OR(A39="",B39=""),"",INDEX(Equipements!$H:$H,MATCH(A39,Equipements!$A:$A,0))&amp;"."&amp;B39),"")</f>
        <v/>
      </c>
      <c r="D39" s="23"/>
      <c r="E39" s="23"/>
      <c r="F39" s="23"/>
      <c r="G39" s="23"/>
      <c r="H39" s="23"/>
      <c r="I39" s="23"/>
      <c r="J39" s="23"/>
    </row>
    <row r="40" customFormat="false" ht="15" hidden="false" customHeight="true" outlineLevel="0" collapsed="false">
      <c r="A40" s="23"/>
      <c r="B40" s="23"/>
      <c r="C40" s="23" t="str">
        <f aca="false">IFERROR(IF(OR(A40="",B40=""),"",INDEX(Equipements!$H:$H,MATCH(A40,Equipements!$A:$A,0))&amp;"."&amp;B40),"")</f>
        <v/>
      </c>
      <c r="D40" s="23"/>
      <c r="E40" s="23"/>
      <c r="F40" s="23"/>
      <c r="G40" s="23"/>
      <c r="H40" s="23"/>
      <c r="I40" s="23"/>
      <c r="J40" s="23"/>
    </row>
    <row r="41" customFormat="false" ht="15" hidden="false" customHeight="true" outlineLevel="0" collapsed="false">
      <c r="A41" s="23"/>
      <c r="B41" s="23"/>
      <c r="C41" s="23" t="str">
        <f aca="false">IFERROR(IF(OR(A41="",B41=""),"",INDEX(Equipements!$H:$H,MATCH(A41,Equipements!$A:$A,0))&amp;"."&amp;B41),"")</f>
        <v/>
      </c>
      <c r="D41" s="23"/>
      <c r="E41" s="23"/>
      <c r="F41" s="23"/>
      <c r="G41" s="23"/>
      <c r="H41" s="23"/>
      <c r="I41" s="23"/>
      <c r="J41" s="23"/>
    </row>
    <row r="42" customFormat="false" ht="15" hidden="false" customHeight="true" outlineLevel="0" collapsed="false">
      <c r="A42" s="23"/>
      <c r="B42" s="23"/>
      <c r="C42" s="23" t="str">
        <f aca="false">IFERROR(IF(OR(A42="",B42=""),"",INDEX(Equipements!$H:$H,MATCH(A42,Equipements!$A:$A,0))&amp;"."&amp;B42),"")</f>
        <v/>
      </c>
      <c r="D42" s="23"/>
      <c r="E42" s="23"/>
      <c r="F42" s="23"/>
      <c r="G42" s="23"/>
      <c r="H42" s="23"/>
      <c r="I42" s="23"/>
      <c r="J42" s="23"/>
    </row>
    <row r="43" customFormat="false" ht="15" hidden="false" customHeight="true" outlineLevel="0" collapsed="false">
      <c r="A43" s="23"/>
      <c r="B43" s="23"/>
      <c r="C43" s="23" t="str">
        <f aca="false">IFERROR(IF(OR(A43="",B43=""),"",INDEX(Equipements!$H:$H,MATCH(A43,Equipements!$A:$A,0))&amp;"."&amp;B43),"")</f>
        <v/>
      </c>
      <c r="D43" s="23"/>
      <c r="E43" s="23"/>
      <c r="F43" s="23"/>
      <c r="G43" s="23"/>
      <c r="H43" s="23"/>
      <c r="I43" s="23"/>
      <c r="J43" s="23"/>
    </row>
    <row r="44" customFormat="false" ht="15" hidden="false" customHeight="true" outlineLevel="0" collapsed="false">
      <c r="A44" s="23"/>
      <c r="B44" s="23"/>
      <c r="C44" s="23" t="str">
        <f aca="false">IFERROR(IF(OR(A44="",B44=""),"",INDEX(Equipements!$H:$H,MATCH(A44,Equipements!$A:$A,0))&amp;"."&amp;B44),"")</f>
        <v/>
      </c>
      <c r="D44" s="23"/>
      <c r="E44" s="23"/>
      <c r="F44" s="23"/>
      <c r="G44" s="23"/>
      <c r="H44" s="23"/>
      <c r="I44" s="23"/>
      <c r="J44" s="23"/>
    </row>
    <row r="45" customFormat="false" ht="15" hidden="false" customHeight="true" outlineLevel="0" collapsed="false">
      <c r="A45" s="23"/>
      <c r="B45" s="23"/>
      <c r="C45" s="23" t="str">
        <f aca="false">IFERROR(IF(OR(A45="",B45=""),"",INDEX(Equipements!$H:$H,MATCH(A45,Equipements!$A:$A,0))&amp;"."&amp;B45),"")</f>
        <v/>
      </c>
      <c r="D45" s="23"/>
      <c r="E45" s="23"/>
      <c r="F45" s="23"/>
      <c r="G45" s="23"/>
      <c r="H45" s="23"/>
      <c r="I45" s="23"/>
      <c r="J45" s="23"/>
    </row>
    <row r="46" customFormat="false" ht="15" hidden="false" customHeight="true" outlineLevel="0" collapsed="false">
      <c r="A46" s="23"/>
      <c r="B46" s="23"/>
      <c r="C46" s="23" t="str">
        <f aca="false">IFERROR(IF(OR(A46="",B46=""),"",INDEX(Equipements!$H:$H,MATCH(A46,Equipements!$A:$A,0))&amp;"."&amp;B46),"")</f>
        <v/>
      </c>
      <c r="D46" s="23"/>
      <c r="E46" s="23"/>
      <c r="F46" s="23"/>
      <c r="G46" s="23"/>
      <c r="H46" s="23"/>
      <c r="I46" s="23"/>
      <c r="J46" s="23"/>
    </row>
    <row r="47" customFormat="false" ht="15" hidden="false" customHeight="true" outlineLevel="0" collapsed="false">
      <c r="A47" s="23"/>
      <c r="B47" s="23"/>
      <c r="C47" s="23" t="str">
        <f aca="false">IFERROR(IF(OR(A47="",B47=""),"",INDEX(Equipements!$H:$H,MATCH(A47,Equipements!$A:$A,0))&amp;"."&amp;B47),"")</f>
        <v/>
      </c>
      <c r="D47" s="23"/>
      <c r="E47" s="23"/>
      <c r="F47" s="23"/>
      <c r="G47" s="23"/>
      <c r="H47" s="23"/>
      <c r="I47" s="23"/>
      <c r="J47" s="23"/>
    </row>
    <row r="48" customFormat="false" ht="15" hidden="false" customHeight="true" outlineLevel="0" collapsed="false">
      <c r="A48" s="23"/>
      <c r="B48" s="23"/>
      <c r="C48" s="23" t="str">
        <f aca="false">IFERROR(IF(OR(A48="",B48=""),"",INDEX(Equipements!$H:$H,MATCH(A48,Equipements!$A:$A,0))&amp;"."&amp;B48),"")</f>
        <v/>
      </c>
      <c r="D48" s="23"/>
      <c r="E48" s="23"/>
      <c r="F48" s="23"/>
      <c r="G48" s="23"/>
      <c r="H48" s="23"/>
      <c r="I48" s="23"/>
      <c r="J48" s="23"/>
    </row>
    <row r="49" customFormat="false" ht="15" hidden="false" customHeight="true" outlineLevel="0" collapsed="false">
      <c r="A49" s="23"/>
      <c r="B49" s="23"/>
      <c r="C49" s="23" t="str">
        <f aca="false">IFERROR(IF(OR(A49="",B49=""),"",INDEX(Equipements!$H:$H,MATCH(A49,Equipements!$A:$A,0))&amp;"."&amp;B49),"")</f>
        <v/>
      </c>
      <c r="D49" s="23"/>
      <c r="E49" s="23"/>
      <c r="F49" s="23"/>
      <c r="G49" s="23"/>
      <c r="H49" s="23"/>
      <c r="I49" s="23"/>
      <c r="J49" s="23"/>
    </row>
    <row r="50" customFormat="false" ht="15" hidden="false" customHeight="true" outlineLevel="0" collapsed="false">
      <c r="A50" s="23"/>
      <c r="B50" s="23"/>
      <c r="C50" s="23" t="str">
        <f aca="false">IFERROR(IF(OR(A50="",B50=""),"",INDEX(Equipements!$H:$H,MATCH(A50,Equipements!$A:$A,0))&amp;"."&amp;B50),"")</f>
        <v/>
      </c>
      <c r="D50" s="23"/>
      <c r="E50" s="23"/>
      <c r="F50" s="23"/>
      <c r="G50" s="23"/>
      <c r="H50" s="23"/>
      <c r="I50" s="23"/>
      <c r="J50" s="23"/>
    </row>
    <row r="51" customFormat="false" ht="15" hidden="false" customHeight="true" outlineLevel="0" collapsed="false">
      <c r="A51" s="23"/>
      <c r="B51" s="23"/>
      <c r="C51" s="23" t="str">
        <f aca="false">IFERROR(IF(OR(A51="",B51=""),"",INDEX(Equipements!$H:$H,MATCH(A51,Equipements!$A:$A,0))&amp;"."&amp;B51),"")</f>
        <v/>
      </c>
      <c r="D51" s="23"/>
      <c r="E51" s="23"/>
      <c r="F51" s="23"/>
      <c r="G51" s="23"/>
      <c r="H51" s="23"/>
      <c r="I51" s="23"/>
      <c r="J51" s="23"/>
    </row>
    <row r="52" customFormat="false" ht="15" hidden="false" customHeight="true" outlineLevel="0" collapsed="false">
      <c r="A52" s="23"/>
      <c r="B52" s="23"/>
      <c r="C52" s="23" t="str">
        <f aca="false">IFERROR(IF(OR(A52="",B52=""),"",INDEX(Equipements!$H:$H,MATCH(A52,Equipements!$A:$A,0))&amp;"."&amp;B52),"")</f>
        <v/>
      </c>
      <c r="D52" s="23"/>
      <c r="E52" s="23"/>
      <c r="F52" s="23"/>
      <c r="G52" s="23"/>
      <c r="H52" s="23"/>
      <c r="I52" s="23"/>
      <c r="J52" s="23"/>
    </row>
    <row r="53" customFormat="false" ht="15" hidden="false" customHeight="true" outlineLevel="0" collapsed="false">
      <c r="A53" s="23"/>
      <c r="B53" s="23"/>
      <c r="C53" s="23" t="str">
        <f aca="false">IFERROR(IF(OR(A53="",B53=""),"",INDEX(Equipements!$H:$H,MATCH(A53,Equipements!$A:$A,0))&amp;"."&amp;B53),"")</f>
        <v/>
      </c>
      <c r="D53" s="23"/>
      <c r="E53" s="23"/>
      <c r="F53" s="23"/>
      <c r="G53" s="23"/>
      <c r="H53" s="23"/>
      <c r="I53" s="23"/>
      <c r="J53" s="23"/>
    </row>
    <row r="54" customFormat="false" ht="15" hidden="false" customHeight="true" outlineLevel="0" collapsed="false">
      <c r="A54" s="23"/>
      <c r="B54" s="23"/>
      <c r="C54" s="23" t="str">
        <f aca="false">IFERROR(IF(OR(A54="",B54=""),"",INDEX(Equipements!$H:$H,MATCH(A54,Equipements!$A:$A,0))&amp;"."&amp;B54),"")</f>
        <v/>
      </c>
      <c r="D54" s="23"/>
      <c r="E54" s="23"/>
      <c r="F54" s="23"/>
      <c r="G54" s="23"/>
      <c r="H54" s="23"/>
      <c r="I54" s="23"/>
      <c r="J54" s="23"/>
    </row>
    <row r="55" customFormat="false" ht="15" hidden="false" customHeight="true" outlineLevel="0" collapsed="false">
      <c r="A55" s="23"/>
      <c r="B55" s="23"/>
      <c r="C55" s="23" t="str">
        <f aca="false">IFERROR(IF(OR(A55="",B55=""),"",INDEX(Equipements!$H:$H,MATCH(A55,Equipements!$A:$A,0))&amp;"."&amp;B55),"")</f>
        <v/>
      </c>
      <c r="D55" s="23"/>
      <c r="E55" s="23"/>
      <c r="F55" s="23"/>
      <c r="G55" s="23"/>
      <c r="H55" s="23"/>
      <c r="I55" s="23"/>
      <c r="J55" s="23"/>
    </row>
    <row r="56" customFormat="false" ht="15" hidden="false" customHeight="true" outlineLevel="0" collapsed="false">
      <c r="A56" s="23"/>
      <c r="B56" s="23"/>
      <c r="C56" s="23" t="str">
        <f aca="false">IFERROR(IF(OR(A56="",B56=""),"",INDEX(Equipements!$H:$H,MATCH(A56,Equipements!$A:$A,0))&amp;"."&amp;B56),"")</f>
        <v/>
      </c>
      <c r="D56" s="23"/>
      <c r="E56" s="23"/>
      <c r="F56" s="23"/>
      <c r="G56" s="23"/>
      <c r="H56" s="23"/>
      <c r="I56" s="23"/>
      <c r="J56" s="23"/>
    </row>
    <row r="57" customFormat="false" ht="15" hidden="false" customHeight="true" outlineLevel="0" collapsed="false">
      <c r="A57" s="23"/>
      <c r="B57" s="23"/>
      <c r="C57" s="23" t="str">
        <f aca="false">IFERROR(IF(OR(A57="",B57=""),"",INDEX(Equipements!$H:$H,MATCH(A57,Equipements!$A:$A,0))&amp;"."&amp;B57),"")</f>
        <v/>
      </c>
      <c r="D57" s="23"/>
      <c r="E57" s="23"/>
      <c r="F57" s="23"/>
      <c r="G57" s="23"/>
      <c r="H57" s="23"/>
      <c r="I57" s="23"/>
      <c r="J57" s="23"/>
    </row>
    <row r="58" customFormat="false" ht="15" hidden="false" customHeight="true" outlineLevel="0" collapsed="false">
      <c r="A58" s="23"/>
      <c r="B58" s="23"/>
      <c r="C58" s="23" t="str">
        <f aca="false">IFERROR(IF(OR(A58="",B58=""),"",INDEX(Equipements!$H:$H,MATCH(A58,Equipements!$A:$A,0))&amp;"."&amp;B58),"")</f>
        <v/>
      </c>
      <c r="D58" s="23"/>
      <c r="E58" s="23"/>
      <c r="F58" s="23"/>
      <c r="G58" s="23"/>
      <c r="H58" s="23"/>
      <c r="I58" s="23"/>
      <c r="J58" s="23"/>
    </row>
    <row r="59" customFormat="false" ht="15" hidden="false" customHeight="true" outlineLevel="0" collapsed="false">
      <c r="A59" s="23"/>
      <c r="B59" s="23"/>
      <c r="C59" s="23" t="str">
        <f aca="false">IFERROR(IF(OR(A59="",B59=""),"",INDEX(Equipements!$H:$H,MATCH(A59,Equipements!$A:$A,0))&amp;"."&amp;B59),"")</f>
        <v/>
      </c>
      <c r="D59" s="23"/>
      <c r="E59" s="23"/>
      <c r="F59" s="23"/>
      <c r="G59" s="23"/>
      <c r="H59" s="23"/>
      <c r="I59" s="23"/>
      <c r="J59" s="23"/>
    </row>
    <row r="60" customFormat="false" ht="15" hidden="false" customHeight="true" outlineLevel="0" collapsed="false">
      <c r="A60" s="23"/>
      <c r="B60" s="23"/>
      <c r="C60" s="23" t="str">
        <f aca="false">IFERROR(IF(OR(A60="",B60=""),"",INDEX(Equipements!$H:$H,MATCH(A60,Equipements!$A:$A,0))&amp;"."&amp;B60),"")</f>
        <v/>
      </c>
      <c r="D60" s="23"/>
      <c r="E60" s="23"/>
      <c r="F60" s="23"/>
      <c r="G60" s="23"/>
      <c r="H60" s="23"/>
      <c r="I60" s="23"/>
      <c r="J60" s="23"/>
    </row>
    <row r="61" customFormat="false" ht="15" hidden="false" customHeight="true" outlineLevel="0" collapsed="false">
      <c r="A61" s="23"/>
      <c r="B61" s="23"/>
      <c r="C61" s="23" t="str">
        <f aca="false">IFERROR(IF(OR(A61="",B61=""),"",INDEX(Equipements!$H:$H,MATCH(A61,Equipements!$A:$A,0))&amp;"."&amp;B61),"")</f>
        <v/>
      </c>
      <c r="D61" s="23"/>
      <c r="E61" s="23"/>
      <c r="F61" s="23"/>
      <c r="G61" s="23"/>
      <c r="H61" s="23"/>
      <c r="I61" s="23"/>
      <c r="J61" s="23"/>
    </row>
    <row r="62" customFormat="false" ht="15" hidden="false" customHeight="true" outlineLevel="0" collapsed="false">
      <c r="A62" s="23"/>
      <c r="B62" s="23"/>
      <c r="C62" s="23" t="str">
        <f aca="false">IFERROR(IF(OR(A62="",B62=""),"",INDEX(Equipements!$H:$H,MATCH(A62,Equipements!$A:$A,0))&amp;"."&amp;B62),"")</f>
        <v/>
      </c>
      <c r="D62" s="23"/>
      <c r="E62" s="23"/>
      <c r="F62" s="23"/>
      <c r="G62" s="23"/>
      <c r="H62" s="23"/>
      <c r="I62" s="23"/>
      <c r="J62" s="23"/>
    </row>
    <row r="63" customFormat="false" ht="15" hidden="false" customHeight="true" outlineLevel="0" collapsed="false">
      <c r="A63" s="23"/>
      <c r="B63" s="23"/>
      <c r="C63" s="23" t="str">
        <f aca="false">IFERROR(IF(OR(A63="",B63=""),"",INDEX(Equipements!$H:$H,MATCH(A63,Equipements!$A:$A,0))&amp;"."&amp;B63),"")</f>
        <v/>
      </c>
      <c r="D63" s="23"/>
      <c r="E63" s="23"/>
      <c r="F63" s="23"/>
      <c r="G63" s="23"/>
      <c r="H63" s="23"/>
      <c r="I63" s="23"/>
      <c r="J63" s="23"/>
    </row>
    <row r="64" customFormat="false" ht="15" hidden="false" customHeight="true" outlineLevel="0" collapsed="false">
      <c r="A64" s="23"/>
      <c r="B64" s="23"/>
      <c r="C64" s="23" t="str">
        <f aca="false">IFERROR(IF(OR(A64="",B64=""),"",INDEX(Equipements!$H:$H,MATCH(A64,Equipements!$A:$A,0))&amp;"."&amp;B64),"")</f>
        <v/>
      </c>
      <c r="D64" s="23"/>
      <c r="E64" s="23"/>
      <c r="F64" s="23"/>
      <c r="G64" s="23"/>
      <c r="H64" s="23"/>
      <c r="I64" s="23"/>
      <c r="J64" s="23"/>
    </row>
    <row r="65" customFormat="false" ht="15" hidden="false" customHeight="true" outlineLevel="0" collapsed="false">
      <c r="A65" s="23"/>
      <c r="B65" s="23"/>
      <c r="C65" s="23" t="str">
        <f aca="false">IFERROR(IF(OR(A65="",B65=""),"",INDEX(Equipements!$H:$H,MATCH(A65,Equipements!$A:$A,0))&amp;"."&amp;B65),"")</f>
        <v/>
      </c>
      <c r="D65" s="23"/>
      <c r="E65" s="23"/>
      <c r="F65" s="23"/>
      <c r="G65" s="23"/>
      <c r="H65" s="23"/>
      <c r="I65" s="23"/>
      <c r="J65" s="23"/>
    </row>
    <row r="66" customFormat="false" ht="15" hidden="false" customHeight="true" outlineLevel="0" collapsed="false">
      <c r="A66" s="23"/>
      <c r="B66" s="23"/>
      <c r="C66" s="23" t="str">
        <f aca="false">IFERROR(IF(OR(A66="",B66=""),"",INDEX(Equipements!$H:$H,MATCH(A66,Equipements!$A:$A,0))&amp;"."&amp;B66),"")</f>
        <v/>
      </c>
      <c r="D66" s="23"/>
      <c r="E66" s="23"/>
      <c r="F66" s="23"/>
      <c r="G66" s="23"/>
      <c r="H66" s="23"/>
      <c r="I66" s="23"/>
      <c r="J66" s="23"/>
    </row>
    <row r="67" customFormat="false" ht="15" hidden="false" customHeight="true" outlineLevel="0" collapsed="false">
      <c r="A67" s="23"/>
      <c r="B67" s="23"/>
      <c r="C67" s="23" t="str">
        <f aca="false">IFERROR(IF(OR(A67="",B67=""),"",INDEX(Equipements!$H:$H,MATCH(A67,Equipements!$A:$A,0))&amp;"."&amp;B67),"")</f>
        <v/>
      </c>
      <c r="D67" s="23"/>
      <c r="E67" s="23"/>
      <c r="F67" s="23"/>
      <c r="G67" s="23"/>
      <c r="H67" s="23"/>
      <c r="I67" s="23"/>
      <c r="J67" s="23"/>
    </row>
    <row r="68" customFormat="false" ht="15" hidden="false" customHeight="true" outlineLevel="0" collapsed="false">
      <c r="A68" s="23"/>
      <c r="B68" s="23"/>
      <c r="C68" s="23" t="str">
        <f aca="false">IFERROR(IF(OR(A68="",B68=""),"",INDEX(Equipements!$H:$H,MATCH(A68,Equipements!$A:$A,0))&amp;"."&amp;B68),"")</f>
        <v/>
      </c>
      <c r="D68" s="23"/>
      <c r="E68" s="23"/>
      <c r="F68" s="23"/>
      <c r="G68" s="23"/>
      <c r="H68" s="23"/>
      <c r="I68" s="23"/>
      <c r="J68" s="23"/>
    </row>
    <row r="69" customFormat="false" ht="15" hidden="false" customHeight="true" outlineLevel="0" collapsed="false">
      <c r="A69" s="23"/>
      <c r="B69" s="23"/>
      <c r="C69" s="23" t="str">
        <f aca="false">IFERROR(IF(OR(A69="",B69=""),"",INDEX(Equipements!$H:$H,MATCH(A69,Equipements!$A:$A,0))&amp;"."&amp;B69),"")</f>
        <v/>
      </c>
      <c r="D69" s="23"/>
      <c r="E69" s="23"/>
      <c r="F69" s="23"/>
      <c r="G69" s="23"/>
      <c r="H69" s="23"/>
      <c r="I69" s="23"/>
      <c r="J69" s="23"/>
    </row>
    <row r="70" customFormat="false" ht="15" hidden="false" customHeight="true" outlineLevel="0" collapsed="false">
      <c r="A70" s="23"/>
      <c r="B70" s="23"/>
      <c r="C70" s="23" t="str">
        <f aca="false">IFERROR(IF(OR(A70="",B70=""),"",INDEX(Equipements!$H:$H,MATCH(A70,Equipements!$A:$A,0))&amp;"."&amp;B70),"")</f>
        <v/>
      </c>
      <c r="D70" s="23"/>
      <c r="E70" s="23"/>
      <c r="F70" s="23"/>
      <c r="G70" s="23"/>
      <c r="H70" s="23"/>
      <c r="I70" s="23"/>
      <c r="J70" s="23"/>
    </row>
    <row r="71" customFormat="false" ht="15" hidden="false" customHeight="true" outlineLevel="0" collapsed="false">
      <c r="A71" s="23"/>
      <c r="B71" s="23"/>
      <c r="C71" s="23" t="str">
        <f aca="false">IFERROR(IF(OR(A71="",B71=""),"",INDEX(Equipements!$H:$H,MATCH(A71,Equipements!$A:$A,0))&amp;"."&amp;B71),"")</f>
        <v/>
      </c>
      <c r="D71" s="23"/>
      <c r="E71" s="23"/>
      <c r="F71" s="23"/>
      <c r="G71" s="23"/>
      <c r="H71" s="23"/>
      <c r="I71" s="23"/>
      <c r="J71" s="23"/>
    </row>
    <row r="72" customFormat="false" ht="15" hidden="false" customHeight="true" outlineLevel="0" collapsed="false">
      <c r="A72" s="23"/>
      <c r="B72" s="23"/>
      <c r="C72" s="23" t="str">
        <f aca="false">IFERROR(IF(OR(A72="",B72=""),"",INDEX(Equipements!$H:$H,MATCH(A72,Equipements!$A:$A,0))&amp;"."&amp;B72),"")</f>
        <v/>
      </c>
      <c r="D72" s="23"/>
      <c r="E72" s="23"/>
      <c r="F72" s="23"/>
      <c r="G72" s="23"/>
      <c r="H72" s="23"/>
      <c r="I72" s="23"/>
      <c r="J72" s="23"/>
    </row>
    <row r="73" customFormat="false" ht="15" hidden="false" customHeight="true" outlineLevel="0" collapsed="false">
      <c r="A73" s="23"/>
      <c r="B73" s="23"/>
      <c r="C73" s="23" t="str">
        <f aca="false">IFERROR(IF(OR(A73="",B73=""),"",INDEX(Equipements!$H:$H,MATCH(A73,Equipements!$A:$A,0))&amp;"."&amp;B73),"")</f>
        <v/>
      </c>
      <c r="D73" s="23"/>
      <c r="E73" s="23"/>
      <c r="F73" s="23"/>
      <c r="G73" s="23"/>
      <c r="H73" s="23"/>
      <c r="I73" s="23"/>
      <c r="J73" s="23"/>
    </row>
    <row r="74" customFormat="false" ht="15" hidden="false" customHeight="true" outlineLevel="0" collapsed="false">
      <c r="A74" s="23"/>
      <c r="B74" s="23"/>
      <c r="C74" s="23" t="str">
        <f aca="false">IFERROR(IF(OR(A74="",B74=""),"",INDEX(Equipements!$H:$H,MATCH(A74,Equipements!$A:$A,0))&amp;"."&amp;B74),"")</f>
        <v/>
      </c>
      <c r="D74" s="23"/>
      <c r="E74" s="23"/>
      <c r="F74" s="23"/>
      <c r="G74" s="23"/>
      <c r="H74" s="23"/>
      <c r="I74" s="23"/>
      <c r="J74" s="23"/>
    </row>
    <row r="75" customFormat="false" ht="15" hidden="false" customHeight="true" outlineLevel="0" collapsed="false">
      <c r="A75" s="23"/>
      <c r="B75" s="23"/>
      <c r="C75" s="23" t="str">
        <f aca="false">IFERROR(IF(OR(A75="",B75=""),"",INDEX(Equipements!$H:$H,MATCH(A75,Equipements!$A:$A,0))&amp;"."&amp;B75),"")</f>
        <v/>
      </c>
      <c r="D75" s="23"/>
      <c r="E75" s="23"/>
      <c r="F75" s="23"/>
      <c r="G75" s="23"/>
      <c r="H75" s="23"/>
      <c r="I75" s="23"/>
      <c r="J75" s="23"/>
    </row>
    <row r="76" customFormat="false" ht="15" hidden="false" customHeight="true" outlineLevel="0" collapsed="false">
      <c r="A76" s="23"/>
      <c r="B76" s="23"/>
      <c r="C76" s="23" t="str">
        <f aca="false">IFERROR(IF(OR(A76="",B76=""),"",INDEX(Equipements!$H:$H,MATCH(A76,Equipements!$A:$A,0))&amp;"."&amp;B76),"")</f>
        <v/>
      </c>
      <c r="D76" s="23"/>
      <c r="E76" s="23"/>
      <c r="F76" s="23"/>
      <c r="G76" s="23"/>
      <c r="H76" s="23"/>
      <c r="I76" s="23"/>
      <c r="J76" s="23"/>
    </row>
    <row r="77" customFormat="false" ht="15" hidden="false" customHeight="true" outlineLevel="0" collapsed="false">
      <c r="A77" s="23"/>
      <c r="B77" s="23"/>
      <c r="C77" s="23" t="str">
        <f aca="false">IFERROR(IF(OR(A77="",B77=""),"",INDEX(Equipements!$H:$H,MATCH(A77,Equipements!$A:$A,0))&amp;"."&amp;B77),"")</f>
        <v/>
      </c>
      <c r="D77" s="23"/>
      <c r="E77" s="23"/>
      <c r="F77" s="23"/>
      <c r="G77" s="23"/>
      <c r="H77" s="23"/>
      <c r="I77" s="23"/>
      <c r="J77" s="23"/>
    </row>
    <row r="78" customFormat="false" ht="15" hidden="false" customHeight="true" outlineLevel="0" collapsed="false">
      <c r="A78" s="23"/>
      <c r="B78" s="23"/>
      <c r="C78" s="23" t="str">
        <f aca="false">IFERROR(IF(OR(A78="",B78=""),"",INDEX(Equipements!$H:$H,MATCH(A78,Equipements!$A:$A,0))&amp;"."&amp;B78),"")</f>
        <v/>
      </c>
      <c r="D78" s="23"/>
      <c r="E78" s="23"/>
      <c r="F78" s="23"/>
      <c r="G78" s="23"/>
      <c r="H78" s="23"/>
      <c r="I78" s="23"/>
      <c r="J78" s="23"/>
    </row>
    <row r="79" customFormat="false" ht="15" hidden="false" customHeight="true" outlineLevel="0" collapsed="false">
      <c r="A79" s="23"/>
      <c r="B79" s="23"/>
      <c r="C79" s="23" t="str">
        <f aca="false">IFERROR(IF(OR(A79="",B79=""),"",INDEX(Equipements!$H:$H,MATCH(A79,Equipements!$A:$A,0))&amp;"."&amp;B79),"")</f>
        <v/>
      </c>
      <c r="D79" s="23"/>
      <c r="E79" s="23"/>
      <c r="F79" s="23"/>
      <c r="G79" s="23"/>
      <c r="H79" s="23"/>
      <c r="I79" s="23"/>
      <c r="J79" s="23"/>
    </row>
    <row r="80" customFormat="false" ht="15" hidden="false" customHeight="true" outlineLevel="0" collapsed="false">
      <c r="A80" s="23"/>
      <c r="B80" s="23"/>
      <c r="C80" s="23" t="str">
        <f aca="false">IFERROR(IF(OR(A80="",B80=""),"",INDEX(Equipements!$H:$H,MATCH(A80,Equipements!$A:$A,0))&amp;"."&amp;B80),"")</f>
        <v/>
      </c>
      <c r="D80" s="23"/>
      <c r="E80" s="23"/>
      <c r="F80" s="23"/>
      <c r="G80" s="23"/>
      <c r="H80" s="23"/>
      <c r="I80" s="23"/>
      <c r="J80" s="23"/>
    </row>
    <row r="81" customFormat="false" ht="15" hidden="false" customHeight="true" outlineLevel="0" collapsed="false">
      <c r="A81" s="23"/>
      <c r="B81" s="23"/>
      <c r="C81" s="23" t="str">
        <f aca="false">IFERROR(IF(OR(A81="",B81=""),"",INDEX(Equipements!$H:$H,MATCH(A81,Equipements!$A:$A,0))&amp;"."&amp;B81),"")</f>
        <v/>
      </c>
      <c r="D81" s="23"/>
      <c r="E81" s="23"/>
      <c r="F81" s="23"/>
      <c r="G81" s="23"/>
      <c r="H81" s="23"/>
      <c r="I81" s="23"/>
      <c r="J81" s="23"/>
    </row>
    <row r="82" customFormat="false" ht="15" hidden="false" customHeight="true" outlineLevel="0" collapsed="false">
      <c r="A82" s="23"/>
      <c r="B82" s="23"/>
      <c r="C82" s="23" t="str">
        <f aca="false">IFERROR(IF(OR(A82="",B82=""),"",INDEX(Equipements!$H:$H,MATCH(A82,Equipements!$A:$A,0))&amp;"."&amp;B82),"")</f>
        <v/>
      </c>
      <c r="D82" s="23"/>
      <c r="E82" s="23"/>
      <c r="F82" s="23"/>
      <c r="G82" s="23"/>
      <c r="H82" s="23"/>
      <c r="I82" s="23"/>
      <c r="J82" s="23"/>
    </row>
    <row r="83" customFormat="false" ht="15" hidden="false" customHeight="true" outlineLevel="0" collapsed="false">
      <c r="A83" s="23"/>
      <c r="B83" s="23"/>
      <c r="C83" s="23" t="str">
        <f aca="false">IFERROR(IF(OR(A83="",B83=""),"",INDEX(Equipements!$H:$H,MATCH(A83,Equipements!$A:$A,0))&amp;"."&amp;B83),"")</f>
        <v/>
      </c>
      <c r="D83" s="23"/>
      <c r="E83" s="23"/>
      <c r="F83" s="23"/>
      <c r="G83" s="23"/>
      <c r="H83" s="23"/>
      <c r="I83" s="23"/>
      <c r="J83" s="23"/>
    </row>
    <row r="84" customFormat="false" ht="15" hidden="false" customHeight="true" outlineLevel="0" collapsed="false">
      <c r="A84" s="23"/>
      <c r="B84" s="23"/>
      <c r="C84" s="23" t="str">
        <f aca="false">IFERROR(IF(OR(A84="",B84=""),"",INDEX(Equipements!$H:$H,MATCH(A84,Equipements!$A:$A,0))&amp;"."&amp;B84),"")</f>
        <v/>
      </c>
      <c r="D84" s="23"/>
      <c r="E84" s="23"/>
      <c r="F84" s="23"/>
      <c r="G84" s="23"/>
      <c r="H84" s="23"/>
      <c r="I84" s="23"/>
      <c r="J84" s="23"/>
    </row>
    <row r="85" customFormat="false" ht="15" hidden="false" customHeight="true" outlineLevel="0" collapsed="false">
      <c r="A85" s="23"/>
      <c r="B85" s="23"/>
      <c r="C85" s="23" t="str">
        <f aca="false">IFERROR(IF(OR(A85="",B85=""),"",INDEX(Equipements!$H:$H,MATCH(A85,Equipements!$A:$A,0))&amp;"."&amp;B85),"")</f>
        <v/>
      </c>
      <c r="D85" s="23"/>
      <c r="E85" s="23"/>
      <c r="F85" s="23"/>
      <c r="G85" s="23"/>
      <c r="H85" s="23"/>
      <c r="I85" s="23"/>
      <c r="J85" s="23"/>
    </row>
    <row r="86" customFormat="false" ht="15" hidden="false" customHeight="true" outlineLevel="0" collapsed="false">
      <c r="A86" s="23"/>
      <c r="B86" s="23"/>
      <c r="C86" s="23" t="str">
        <f aca="false">IFERROR(IF(OR(A86="",B86=""),"",INDEX(Equipements!$H:$H,MATCH(A86,Equipements!$A:$A,0))&amp;"."&amp;B86),"")</f>
        <v/>
      </c>
      <c r="D86" s="23"/>
      <c r="E86" s="23"/>
      <c r="F86" s="23"/>
      <c r="G86" s="23"/>
      <c r="H86" s="23"/>
      <c r="I86" s="23"/>
      <c r="J86" s="23"/>
    </row>
    <row r="87" customFormat="false" ht="15" hidden="false" customHeight="true" outlineLevel="0" collapsed="false">
      <c r="A87" s="23"/>
      <c r="B87" s="23"/>
      <c r="C87" s="23" t="str">
        <f aca="false">IFERROR(IF(OR(A87="",B87=""),"",INDEX(Equipements!$H:$H,MATCH(A87,Equipements!$A:$A,0))&amp;"."&amp;B87),"")</f>
        <v/>
      </c>
      <c r="D87" s="23"/>
      <c r="E87" s="23"/>
      <c r="F87" s="23"/>
      <c r="G87" s="23"/>
      <c r="H87" s="23"/>
      <c r="I87" s="23"/>
      <c r="J87" s="23"/>
    </row>
    <row r="88" customFormat="false" ht="15" hidden="false" customHeight="true" outlineLevel="0" collapsed="false">
      <c r="A88" s="23"/>
      <c r="B88" s="23"/>
      <c r="C88" s="23" t="str">
        <f aca="false">IFERROR(IF(OR(A88="",B88=""),"",INDEX(Equipements!$H:$H,MATCH(A88,Equipements!$A:$A,0))&amp;"."&amp;B88),"")</f>
        <v/>
      </c>
      <c r="D88" s="23"/>
      <c r="E88" s="23"/>
      <c r="F88" s="23"/>
      <c r="G88" s="23"/>
      <c r="H88" s="23"/>
      <c r="I88" s="23"/>
      <c r="J88" s="23"/>
    </row>
    <row r="89" customFormat="false" ht="15" hidden="false" customHeight="true" outlineLevel="0" collapsed="false">
      <c r="A89" s="23"/>
      <c r="B89" s="23"/>
      <c r="C89" s="23" t="str">
        <f aca="false">IFERROR(IF(OR(A89="",B89=""),"",INDEX(Equipements!$H:$H,MATCH(A89,Equipements!$A:$A,0))&amp;"."&amp;B89),"")</f>
        <v/>
      </c>
      <c r="D89" s="23"/>
      <c r="E89" s="23"/>
      <c r="F89" s="23"/>
      <c r="G89" s="23"/>
      <c r="H89" s="23"/>
      <c r="I89" s="23"/>
      <c r="J89" s="23"/>
    </row>
    <row r="90" customFormat="false" ht="15" hidden="false" customHeight="true" outlineLevel="0" collapsed="false">
      <c r="A90" s="23"/>
      <c r="B90" s="23"/>
      <c r="C90" s="23" t="str">
        <f aca="false">IFERROR(IF(OR(A90="",B90=""),"",INDEX(Equipements!$H:$H,MATCH(A90,Equipements!$A:$A,0))&amp;"."&amp;B90),"")</f>
        <v/>
      </c>
      <c r="D90" s="23"/>
      <c r="E90" s="23"/>
      <c r="F90" s="23"/>
      <c r="G90" s="23"/>
      <c r="H90" s="23"/>
      <c r="I90" s="23"/>
      <c r="J90" s="23"/>
    </row>
    <row r="91" customFormat="false" ht="15" hidden="false" customHeight="true" outlineLevel="0" collapsed="false">
      <c r="A91" s="23"/>
      <c r="B91" s="23"/>
      <c r="C91" s="23" t="str">
        <f aca="false">IFERROR(IF(OR(A91="",B91=""),"",INDEX(Equipements!$H:$H,MATCH(A91,Equipements!$A:$A,0))&amp;"."&amp;B91),"")</f>
        <v/>
      </c>
      <c r="D91" s="23"/>
      <c r="E91" s="23"/>
      <c r="F91" s="23"/>
      <c r="G91" s="23"/>
      <c r="H91" s="23"/>
      <c r="I91" s="23"/>
      <c r="J91" s="23"/>
    </row>
    <row r="92" customFormat="false" ht="15" hidden="false" customHeight="true" outlineLevel="0" collapsed="false">
      <c r="A92" s="23"/>
      <c r="B92" s="23"/>
      <c r="C92" s="23" t="str">
        <f aca="false">IFERROR(IF(OR(A92="",B92=""),"",INDEX(Equipements!$H:$H,MATCH(A92,Equipements!$A:$A,0))&amp;"."&amp;B92),"")</f>
        <v/>
      </c>
      <c r="D92" s="23"/>
      <c r="E92" s="23"/>
      <c r="F92" s="23"/>
      <c r="G92" s="23"/>
      <c r="H92" s="23"/>
      <c r="I92" s="23"/>
      <c r="J92" s="23"/>
    </row>
    <row r="93" customFormat="false" ht="15" hidden="false" customHeight="true" outlineLevel="0" collapsed="false">
      <c r="A93" s="23"/>
      <c r="B93" s="23"/>
      <c r="C93" s="23" t="str">
        <f aca="false">IFERROR(IF(OR(A93="",B93=""),"",INDEX(Equipements!$H:$H,MATCH(A93,Equipements!$A:$A,0))&amp;"."&amp;B93),"")</f>
        <v/>
      </c>
      <c r="D93" s="23"/>
      <c r="E93" s="23"/>
      <c r="F93" s="23"/>
      <c r="G93" s="23"/>
      <c r="H93" s="23"/>
      <c r="I93" s="23"/>
      <c r="J93" s="23"/>
    </row>
    <row r="94" customFormat="false" ht="15" hidden="false" customHeight="true" outlineLevel="0" collapsed="false">
      <c r="A94" s="23"/>
      <c r="B94" s="23"/>
      <c r="C94" s="23" t="str">
        <f aca="false">IFERROR(IF(OR(A94="",B94=""),"",INDEX(Equipements!$H:$H,MATCH(A94,Equipements!$A:$A,0))&amp;"."&amp;B94),"")</f>
        <v/>
      </c>
      <c r="D94" s="23"/>
      <c r="E94" s="23"/>
      <c r="F94" s="23"/>
      <c r="G94" s="23"/>
      <c r="H94" s="23"/>
      <c r="I94" s="23"/>
      <c r="J94" s="23"/>
    </row>
    <row r="95" customFormat="false" ht="15" hidden="false" customHeight="true" outlineLevel="0" collapsed="false">
      <c r="A95" s="23"/>
      <c r="B95" s="23"/>
      <c r="C95" s="23" t="str">
        <f aca="false">IFERROR(IF(OR(A95="",B95=""),"",INDEX(Equipements!$H:$H,MATCH(A95,Equipements!$A:$A,0))&amp;"."&amp;B95),"")</f>
        <v/>
      </c>
      <c r="D95" s="23"/>
      <c r="E95" s="23"/>
      <c r="F95" s="23"/>
      <c r="G95" s="23"/>
      <c r="H95" s="23"/>
      <c r="I95" s="23"/>
      <c r="J95" s="23"/>
    </row>
    <row r="96" customFormat="false" ht="15" hidden="false" customHeight="true" outlineLevel="0" collapsed="false">
      <c r="A96" s="23"/>
      <c r="B96" s="23"/>
      <c r="C96" s="23" t="str">
        <f aca="false">IFERROR(IF(OR(A96="",B96=""),"",INDEX(Equipements!$H:$H,MATCH(A96,Equipements!$A:$A,0))&amp;"."&amp;B96),"")</f>
        <v/>
      </c>
      <c r="D96" s="23"/>
      <c r="E96" s="23"/>
      <c r="F96" s="23"/>
      <c r="G96" s="23"/>
      <c r="H96" s="23"/>
      <c r="I96" s="23"/>
      <c r="J96" s="23"/>
    </row>
    <row r="97" customFormat="false" ht="15" hidden="false" customHeight="true" outlineLevel="0" collapsed="false">
      <c r="A97" s="23"/>
      <c r="B97" s="23"/>
      <c r="C97" s="23" t="str">
        <f aca="false">IFERROR(IF(OR(A97="",B97=""),"",INDEX(Equipements!$H:$H,MATCH(A97,Equipements!$A:$A,0))&amp;"."&amp;B97),"")</f>
        <v/>
      </c>
      <c r="D97" s="23"/>
      <c r="E97" s="23"/>
      <c r="F97" s="23"/>
      <c r="G97" s="23"/>
      <c r="H97" s="23"/>
      <c r="I97" s="23"/>
      <c r="J97" s="23"/>
    </row>
    <row r="98" customFormat="false" ht="15" hidden="false" customHeight="true" outlineLevel="0" collapsed="false">
      <c r="A98" s="23"/>
      <c r="B98" s="23"/>
      <c r="C98" s="23" t="str">
        <f aca="false">IFERROR(IF(OR(A98="",B98=""),"",INDEX(Equipements!$H:$H,MATCH(A98,Equipements!$A:$A,0))&amp;"."&amp;B98),"")</f>
        <v/>
      </c>
      <c r="D98" s="23"/>
      <c r="E98" s="23"/>
      <c r="F98" s="23"/>
      <c r="G98" s="23"/>
      <c r="H98" s="23"/>
      <c r="I98" s="23"/>
      <c r="J98" s="23"/>
    </row>
    <row r="99" customFormat="false" ht="15" hidden="false" customHeight="true" outlineLevel="0" collapsed="false">
      <c r="A99" s="23"/>
      <c r="B99" s="23"/>
      <c r="C99" s="23" t="str">
        <f aca="false">IFERROR(IF(OR(A99="",B99=""),"",INDEX(Equipements!$H:$H,MATCH(A99,Equipements!$A:$A,0))&amp;"."&amp;B99),"")</f>
        <v/>
      </c>
      <c r="D99" s="23"/>
      <c r="E99" s="23"/>
      <c r="F99" s="23"/>
      <c r="G99" s="23"/>
      <c r="H99" s="23"/>
      <c r="I99" s="23"/>
      <c r="J99" s="23"/>
    </row>
    <row r="100" customFormat="false" ht="15" hidden="false" customHeight="true" outlineLevel="0" collapsed="false">
      <c r="A100" s="23"/>
      <c r="B100" s="23"/>
      <c r="C100" s="23" t="str">
        <f aca="false">IFERROR(IF(OR(A100="",B100=""),"",INDEX(Equipements!$H:$H,MATCH(A100,Equipements!$A:$A,0))&amp;"."&amp;B100),"")</f>
        <v/>
      </c>
      <c r="D100" s="23"/>
      <c r="E100" s="23"/>
      <c r="F100" s="23"/>
      <c r="G100" s="23"/>
      <c r="H100" s="23"/>
      <c r="I100" s="23"/>
      <c r="J100" s="23"/>
    </row>
    <row r="101" customFormat="false" ht="15" hidden="false" customHeight="true" outlineLevel="0" collapsed="false">
      <c r="A101" s="23"/>
      <c r="B101" s="23"/>
      <c r="C101" s="23" t="str">
        <f aca="false">IFERROR(IF(OR(A101="",B101=""),"",INDEX(Equipements!$H:$H,MATCH(A101,Equipements!$A:$A,0))&amp;"."&amp;B101),"")</f>
        <v/>
      </c>
      <c r="D101" s="23"/>
      <c r="E101" s="23"/>
      <c r="F101" s="23"/>
      <c r="G101" s="23"/>
      <c r="H101" s="23"/>
      <c r="I101" s="23"/>
      <c r="J101" s="23"/>
    </row>
    <row r="102" customFormat="false" ht="15" hidden="false" customHeight="true" outlineLevel="0" collapsed="false">
      <c r="A102" s="23"/>
      <c r="B102" s="23"/>
      <c r="C102" s="23" t="str">
        <f aca="false">IFERROR(IF(OR(A102="",B102=""),"",INDEX(Equipements!$H:$H,MATCH(A102,Equipements!$A:$A,0))&amp;"."&amp;B102),"")</f>
        <v/>
      </c>
      <c r="D102" s="23"/>
      <c r="E102" s="23"/>
      <c r="F102" s="23"/>
      <c r="G102" s="23"/>
      <c r="H102" s="23"/>
      <c r="I102" s="23"/>
      <c r="J102" s="23"/>
    </row>
    <row r="103" customFormat="false" ht="15" hidden="false" customHeight="true" outlineLevel="0" collapsed="false">
      <c r="A103" s="23"/>
      <c r="B103" s="23"/>
      <c r="C103" s="23" t="str">
        <f aca="false">IFERROR(IF(OR(A103="",B103=""),"",INDEX(Equipements!$H:$H,MATCH(A103,Equipements!$A:$A,0))&amp;"."&amp;B103),"")</f>
        <v/>
      </c>
      <c r="D103" s="23"/>
      <c r="E103" s="23"/>
      <c r="F103" s="23"/>
      <c r="G103" s="23"/>
      <c r="H103" s="23"/>
      <c r="I103" s="23"/>
      <c r="J103" s="23"/>
    </row>
    <row r="104" customFormat="false" ht="15" hidden="false" customHeight="true" outlineLevel="0" collapsed="false">
      <c r="A104" s="23"/>
      <c r="B104" s="23"/>
      <c r="C104" s="23" t="str">
        <f aca="false">IFERROR(IF(OR(A104="",B104=""),"",INDEX(Equipements!$H:$H,MATCH(A104,Equipements!$A:$A,0))&amp;"."&amp;B104),"")</f>
        <v/>
      </c>
      <c r="D104" s="23"/>
      <c r="E104" s="23"/>
      <c r="F104" s="23"/>
      <c r="G104" s="23"/>
      <c r="H104" s="23"/>
      <c r="I104" s="23"/>
      <c r="J104" s="23"/>
    </row>
    <row r="105" customFormat="false" ht="15" hidden="false" customHeight="true" outlineLevel="0" collapsed="false">
      <c r="A105" s="23"/>
      <c r="B105" s="23"/>
      <c r="C105" s="23" t="str">
        <f aca="false">IFERROR(IF(OR(A105="",B105=""),"",INDEX(Equipements!$H:$H,MATCH(A105,Equipements!$A:$A,0))&amp;"."&amp;B105),"")</f>
        <v/>
      </c>
      <c r="D105" s="23"/>
      <c r="E105" s="23"/>
      <c r="F105" s="23"/>
      <c r="G105" s="23"/>
      <c r="H105" s="23"/>
      <c r="I105" s="23"/>
      <c r="J105" s="23"/>
    </row>
    <row r="106" customFormat="false" ht="15" hidden="false" customHeight="true" outlineLevel="0" collapsed="false">
      <c r="A106" s="23"/>
      <c r="B106" s="23"/>
      <c r="C106" s="23" t="str">
        <f aca="false">IFERROR(IF(OR(A106="",B106=""),"",INDEX(Equipements!$H:$H,MATCH(A106,Equipements!$A:$A,0))&amp;"."&amp;B106),"")</f>
        <v/>
      </c>
      <c r="D106" s="23"/>
      <c r="E106" s="23"/>
      <c r="F106" s="23"/>
      <c r="G106" s="23"/>
      <c r="H106" s="23"/>
      <c r="I106" s="23"/>
      <c r="J106" s="23"/>
    </row>
    <row r="107" customFormat="false" ht="15" hidden="false" customHeight="true" outlineLevel="0" collapsed="false">
      <c r="A107" s="23"/>
      <c r="B107" s="23"/>
      <c r="C107" s="23" t="str">
        <f aca="false">IFERROR(IF(OR(A107="",B107=""),"",INDEX(Equipements!$H:$H,MATCH(A107,Equipements!$A:$A,0))&amp;"."&amp;B107),"")</f>
        <v/>
      </c>
      <c r="D107" s="23"/>
      <c r="E107" s="23"/>
      <c r="F107" s="23"/>
      <c r="G107" s="23"/>
      <c r="H107" s="23"/>
      <c r="I107" s="23"/>
      <c r="J107" s="23"/>
    </row>
    <row r="108" customFormat="false" ht="15" hidden="false" customHeight="true" outlineLevel="0" collapsed="false">
      <c r="A108" s="23"/>
      <c r="B108" s="23"/>
      <c r="C108" s="23" t="str">
        <f aca="false">IFERROR(IF(OR(A108="",B108=""),"",INDEX(Equipements!$H:$H,MATCH(A108,Equipements!$A:$A,0))&amp;"."&amp;B108),"")</f>
        <v/>
      </c>
      <c r="D108" s="23"/>
      <c r="E108" s="23"/>
      <c r="F108" s="23"/>
      <c r="G108" s="23"/>
      <c r="H108" s="23"/>
      <c r="I108" s="23"/>
      <c r="J108" s="23"/>
    </row>
    <row r="109" customFormat="false" ht="15" hidden="false" customHeight="true" outlineLevel="0" collapsed="false">
      <c r="A109" s="23"/>
      <c r="B109" s="23"/>
      <c r="C109" s="23" t="str">
        <f aca="false">IFERROR(IF(OR(A109="",B109=""),"",INDEX(Equipements!$H:$H,MATCH(A109,Equipements!$A:$A,0))&amp;"."&amp;B109),"")</f>
        <v/>
      </c>
      <c r="D109" s="23"/>
      <c r="E109" s="23"/>
      <c r="F109" s="23"/>
      <c r="G109" s="23"/>
      <c r="H109" s="23"/>
      <c r="I109" s="23"/>
      <c r="J109" s="23"/>
    </row>
    <row r="110" customFormat="false" ht="15" hidden="false" customHeight="true" outlineLevel="0" collapsed="false">
      <c r="A110" s="23"/>
      <c r="B110" s="23"/>
      <c r="C110" s="23" t="str">
        <f aca="false">IFERROR(IF(OR(A110="",B110=""),"",INDEX(Equipements!$H:$H,MATCH(A110,Equipements!$A:$A,0))&amp;"."&amp;B110),"")</f>
        <v/>
      </c>
      <c r="D110" s="23"/>
      <c r="E110" s="23"/>
      <c r="F110" s="23"/>
      <c r="G110" s="23"/>
      <c r="H110" s="23"/>
      <c r="I110" s="23"/>
      <c r="J110" s="23"/>
    </row>
    <row r="111" customFormat="false" ht="15" hidden="false" customHeight="true" outlineLevel="0" collapsed="false">
      <c r="A111" s="23"/>
      <c r="B111" s="23"/>
      <c r="C111" s="23" t="str">
        <f aca="false">IFERROR(IF(OR(A111="",B111=""),"",INDEX(Equipements!$H:$H,MATCH(A111,Equipements!$A:$A,0))&amp;"."&amp;B111),"")</f>
        <v/>
      </c>
      <c r="D111" s="23"/>
      <c r="E111" s="23"/>
      <c r="F111" s="23"/>
      <c r="G111" s="23"/>
      <c r="H111" s="23"/>
      <c r="I111" s="23"/>
      <c r="J111" s="23"/>
    </row>
    <row r="112" customFormat="false" ht="15" hidden="false" customHeight="true" outlineLevel="0" collapsed="false">
      <c r="A112" s="23"/>
      <c r="B112" s="23"/>
      <c r="C112" s="23" t="str">
        <f aca="false">IFERROR(IF(OR(A112="",B112=""),"",INDEX(Equipements!$H:$H,MATCH(A112,Equipements!$A:$A,0))&amp;"."&amp;B112),"")</f>
        <v/>
      </c>
      <c r="D112" s="23"/>
      <c r="E112" s="23"/>
      <c r="F112" s="23"/>
      <c r="G112" s="23"/>
      <c r="H112" s="23"/>
      <c r="I112" s="23"/>
      <c r="J112" s="23"/>
    </row>
    <row r="113" customFormat="false" ht="15" hidden="false" customHeight="true" outlineLevel="0" collapsed="false">
      <c r="A113" s="23"/>
      <c r="B113" s="23"/>
      <c r="C113" s="23" t="str">
        <f aca="false">IFERROR(IF(OR(A113="",B113=""),"",INDEX(Equipements!$H:$H,MATCH(A113,Equipements!$A:$A,0))&amp;"."&amp;B113),"")</f>
        <v/>
      </c>
      <c r="D113" s="23"/>
      <c r="E113" s="23"/>
      <c r="F113" s="23"/>
      <c r="G113" s="23"/>
      <c r="H113" s="23"/>
      <c r="I113" s="23"/>
      <c r="J113" s="23"/>
    </row>
    <row r="114" customFormat="false" ht="15" hidden="false" customHeight="true" outlineLevel="0" collapsed="false">
      <c r="A114" s="23"/>
      <c r="B114" s="23"/>
      <c r="C114" s="23" t="str">
        <f aca="false">IFERROR(IF(OR(A114="",B114=""),"",INDEX(Equipements!$H:$H,MATCH(A114,Equipements!$A:$A,0))&amp;"."&amp;B114),"")</f>
        <v/>
      </c>
      <c r="D114" s="23"/>
      <c r="E114" s="23"/>
      <c r="F114" s="23"/>
      <c r="G114" s="23"/>
      <c r="H114" s="23"/>
      <c r="I114" s="23"/>
      <c r="J114" s="23"/>
    </row>
    <row r="115" customFormat="false" ht="15" hidden="false" customHeight="true" outlineLevel="0" collapsed="false">
      <c r="A115" s="23"/>
      <c r="B115" s="23"/>
      <c r="C115" s="23" t="str">
        <f aca="false">IFERROR(IF(OR(A115="",B115=""),"",INDEX(Equipements!$H:$H,MATCH(A115,Equipements!$A:$A,0))&amp;"."&amp;B115),"")</f>
        <v/>
      </c>
      <c r="D115" s="23"/>
      <c r="E115" s="23"/>
      <c r="F115" s="23"/>
      <c r="G115" s="23"/>
      <c r="H115" s="23"/>
      <c r="I115" s="23"/>
      <c r="J115" s="23"/>
    </row>
    <row r="116" customFormat="false" ht="15" hidden="false" customHeight="true" outlineLevel="0" collapsed="false">
      <c r="A116" s="23"/>
      <c r="B116" s="23"/>
      <c r="C116" s="23" t="str">
        <f aca="false">IFERROR(IF(OR(A116="",B116=""),"",INDEX(Equipements!$H:$H,MATCH(A116,Equipements!$A:$A,0))&amp;"."&amp;B116),"")</f>
        <v/>
      </c>
      <c r="D116" s="23"/>
      <c r="E116" s="23"/>
      <c r="F116" s="23"/>
      <c r="G116" s="23"/>
      <c r="H116" s="23"/>
      <c r="I116" s="23"/>
      <c r="J116" s="23"/>
    </row>
    <row r="117" customFormat="false" ht="15" hidden="false" customHeight="true" outlineLevel="0" collapsed="false">
      <c r="A117" s="23"/>
      <c r="B117" s="23"/>
      <c r="C117" s="23" t="str">
        <f aca="false">IFERROR(IF(OR(A117="",B117=""),"",INDEX(Equipements!$H:$H,MATCH(A117,Equipements!$A:$A,0))&amp;"."&amp;B117),"")</f>
        <v/>
      </c>
      <c r="D117" s="23"/>
      <c r="E117" s="23"/>
      <c r="F117" s="23"/>
      <c r="G117" s="23"/>
      <c r="H117" s="23"/>
      <c r="I117" s="23"/>
      <c r="J117" s="23"/>
    </row>
    <row r="118" customFormat="false" ht="15" hidden="false" customHeight="true" outlineLevel="0" collapsed="false">
      <c r="A118" s="23"/>
      <c r="B118" s="23"/>
      <c r="C118" s="23" t="str">
        <f aca="false">IFERROR(IF(OR(A118="",B118=""),"",INDEX(Equipements!$H:$H,MATCH(A118,Equipements!$A:$A,0))&amp;"."&amp;B118),"")</f>
        <v/>
      </c>
      <c r="D118" s="23"/>
      <c r="E118" s="23"/>
      <c r="F118" s="23"/>
      <c r="G118" s="23"/>
      <c r="H118" s="23"/>
      <c r="I118" s="23"/>
      <c r="J118" s="23"/>
    </row>
    <row r="119" customFormat="false" ht="15" hidden="false" customHeight="true" outlineLevel="0" collapsed="false">
      <c r="A119" s="23"/>
      <c r="B119" s="23"/>
      <c r="C119" s="23" t="str">
        <f aca="false">IFERROR(IF(OR(A119="",B119=""),"",INDEX(Equipements!$H:$H,MATCH(A119,Equipements!$A:$A,0))&amp;"."&amp;B119),"")</f>
        <v/>
      </c>
      <c r="D119" s="23"/>
      <c r="E119" s="23"/>
      <c r="F119" s="23"/>
      <c r="G119" s="23"/>
      <c r="H119" s="23"/>
      <c r="I119" s="23"/>
      <c r="J119" s="23"/>
    </row>
    <row r="120" customFormat="false" ht="15" hidden="false" customHeight="true" outlineLevel="0" collapsed="false">
      <c r="A120" s="23"/>
      <c r="B120" s="23"/>
      <c r="C120" s="23" t="str">
        <f aca="false">IFERROR(IF(OR(A120="",B120=""),"",INDEX(Equipements!$H:$H,MATCH(A120,Equipements!$A:$A,0))&amp;"."&amp;B120),"")</f>
        <v/>
      </c>
      <c r="D120" s="23"/>
      <c r="E120" s="23"/>
      <c r="F120" s="23"/>
      <c r="G120" s="23"/>
      <c r="H120" s="23"/>
      <c r="I120" s="23"/>
      <c r="J120" s="23"/>
    </row>
    <row r="121" customFormat="false" ht="15" hidden="false" customHeight="true" outlineLevel="0" collapsed="false">
      <c r="A121" s="23"/>
      <c r="B121" s="23"/>
      <c r="C121" s="23" t="str">
        <f aca="false">IFERROR(IF(OR(A121="",B121=""),"",INDEX(Equipements!$H:$H,MATCH(A121,Equipements!$A:$A,0))&amp;"."&amp;B121),"")</f>
        <v/>
      </c>
      <c r="D121" s="23"/>
      <c r="E121" s="23"/>
      <c r="F121" s="23"/>
      <c r="G121" s="23"/>
      <c r="H121" s="23"/>
      <c r="I121" s="23"/>
      <c r="J121" s="23"/>
    </row>
    <row r="122" customFormat="false" ht="15" hidden="false" customHeight="true" outlineLevel="0" collapsed="false">
      <c r="A122" s="23"/>
      <c r="B122" s="23"/>
      <c r="C122" s="23" t="str">
        <f aca="false">IFERROR(IF(OR(A122="",B122=""),"",INDEX(Equipements!$H:$H,MATCH(A122,Equipements!$A:$A,0))&amp;"."&amp;B122),"")</f>
        <v/>
      </c>
      <c r="D122" s="23"/>
      <c r="E122" s="23"/>
      <c r="F122" s="23"/>
      <c r="G122" s="23"/>
      <c r="H122" s="23"/>
      <c r="I122" s="23"/>
      <c r="J122" s="23"/>
    </row>
    <row r="123" customFormat="false" ht="15" hidden="false" customHeight="true" outlineLevel="0" collapsed="false">
      <c r="A123" s="23"/>
      <c r="B123" s="23"/>
      <c r="C123" s="23" t="str">
        <f aca="false">IFERROR(IF(OR(A123="",B123=""),"",INDEX(Equipements!$H:$H,MATCH(A123,Equipements!$A:$A,0))&amp;"."&amp;B123),"")</f>
        <v/>
      </c>
      <c r="D123" s="23"/>
      <c r="E123" s="23"/>
      <c r="F123" s="23"/>
      <c r="G123" s="23"/>
      <c r="H123" s="23"/>
      <c r="I123" s="23"/>
      <c r="J123" s="23"/>
    </row>
    <row r="124" customFormat="false" ht="15" hidden="false" customHeight="true" outlineLevel="0" collapsed="false">
      <c r="A124" s="23"/>
      <c r="B124" s="23"/>
      <c r="C124" s="23" t="str">
        <f aca="false">IFERROR(IF(OR(A124="",B124=""),"",INDEX(Equipements!$H:$H,MATCH(A124,Equipements!$A:$A,0))&amp;"."&amp;B124),"")</f>
        <v/>
      </c>
      <c r="D124" s="23"/>
      <c r="E124" s="23"/>
      <c r="F124" s="23"/>
      <c r="G124" s="23"/>
      <c r="H124" s="23"/>
      <c r="I124" s="23"/>
      <c r="J124" s="23"/>
    </row>
    <row r="125" customFormat="false" ht="15" hidden="false" customHeight="true" outlineLevel="0" collapsed="false">
      <c r="A125" s="23"/>
      <c r="B125" s="23"/>
      <c r="C125" s="23" t="str">
        <f aca="false">IFERROR(IF(OR(A125="",B125=""),"",INDEX(Equipements!$H:$H,MATCH(A125,Equipements!$A:$A,0))&amp;"."&amp;B125),"")</f>
        <v/>
      </c>
      <c r="D125" s="23"/>
      <c r="E125" s="23"/>
      <c r="F125" s="23"/>
      <c r="G125" s="23"/>
      <c r="H125" s="23"/>
      <c r="I125" s="23"/>
      <c r="J125" s="23"/>
    </row>
    <row r="126" customFormat="false" ht="15" hidden="false" customHeight="true" outlineLevel="0" collapsed="false">
      <c r="A126" s="23"/>
      <c r="B126" s="23"/>
      <c r="C126" s="23" t="str">
        <f aca="false">IFERROR(IF(OR(A126="",B126=""),"",INDEX(Equipements!$H:$H,MATCH(A126,Equipements!$A:$A,0))&amp;"."&amp;B126),"")</f>
        <v/>
      </c>
      <c r="D126" s="23"/>
      <c r="E126" s="23"/>
      <c r="F126" s="23"/>
      <c r="G126" s="23"/>
      <c r="H126" s="23"/>
      <c r="I126" s="23"/>
      <c r="J126" s="23"/>
    </row>
    <row r="127" customFormat="false" ht="15" hidden="false" customHeight="true" outlineLevel="0" collapsed="false">
      <c r="A127" s="23"/>
      <c r="B127" s="23"/>
      <c r="C127" s="23" t="str">
        <f aca="false">IFERROR(IF(OR(A127="",B127=""),"",INDEX(Equipements!$H:$H,MATCH(A127,Equipements!$A:$A,0))&amp;"."&amp;B127),"")</f>
        <v/>
      </c>
      <c r="D127" s="23"/>
      <c r="E127" s="23"/>
      <c r="F127" s="23"/>
      <c r="G127" s="23"/>
      <c r="H127" s="23"/>
      <c r="I127" s="23"/>
      <c r="J127" s="23"/>
    </row>
    <row r="128" customFormat="false" ht="15" hidden="false" customHeight="true" outlineLevel="0" collapsed="false">
      <c r="A128" s="23"/>
      <c r="B128" s="23"/>
      <c r="C128" s="23" t="str">
        <f aca="false">IFERROR(IF(OR(A128="",B128=""),"",INDEX(Equipements!$H:$H,MATCH(A128,Equipements!$A:$A,0))&amp;"."&amp;B128),"")</f>
        <v/>
      </c>
      <c r="D128" s="23"/>
      <c r="E128" s="23"/>
      <c r="F128" s="23"/>
      <c r="G128" s="23"/>
      <c r="H128" s="23"/>
      <c r="I128" s="23"/>
      <c r="J128" s="23"/>
    </row>
    <row r="129" customFormat="false" ht="15" hidden="false" customHeight="true" outlineLevel="0" collapsed="false">
      <c r="A129" s="23"/>
      <c r="B129" s="23"/>
      <c r="C129" s="23" t="str">
        <f aca="false">IFERROR(IF(OR(A129="",B129=""),"",INDEX(Equipements!$H:$H,MATCH(A129,Equipements!$A:$A,0))&amp;"."&amp;B129),"")</f>
        <v/>
      </c>
      <c r="D129" s="23"/>
      <c r="E129" s="23"/>
      <c r="F129" s="23"/>
      <c r="G129" s="23"/>
      <c r="H129" s="23"/>
      <c r="I129" s="23"/>
      <c r="J129" s="23"/>
    </row>
    <row r="130" customFormat="false" ht="15" hidden="false" customHeight="true" outlineLevel="0" collapsed="false">
      <c r="A130" s="23"/>
      <c r="B130" s="23"/>
      <c r="C130" s="23" t="str">
        <f aca="false">IFERROR(IF(OR(A130="",B130=""),"",INDEX(Equipements!$H:$H,MATCH(A130,Equipements!$A:$A,0))&amp;"."&amp;B130),"")</f>
        <v/>
      </c>
      <c r="D130" s="23"/>
      <c r="E130" s="23"/>
      <c r="F130" s="23"/>
      <c r="G130" s="23"/>
      <c r="H130" s="23"/>
      <c r="I130" s="23"/>
      <c r="J130" s="23"/>
    </row>
    <row r="131" customFormat="false" ht="15" hidden="false" customHeight="true" outlineLevel="0" collapsed="false">
      <c r="A131" s="23"/>
      <c r="B131" s="23"/>
      <c r="C131" s="23" t="str">
        <f aca="false">IFERROR(IF(OR(A131="",B131=""),"",INDEX(Equipements!$H:$H,MATCH(A131,Equipements!$A:$A,0))&amp;"."&amp;B131),"")</f>
        <v/>
      </c>
      <c r="D131" s="23"/>
      <c r="E131" s="23"/>
      <c r="F131" s="23"/>
      <c r="G131" s="23"/>
      <c r="H131" s="23"/>
      <c r="I131" s="23"/>
      <c r="J131" s="23"/>
    </row>
    <row r="132" customFormat="false" ht="15" hidden="false" customHeight="true" outlineLevel="0" collapsed="false">
      <c r="A132" s="23"/>
      <c r="B132" s="23"/>
      <c r="C132" s="23" t="str">
        <f aca="false">IFERROR(IF(OR(A132="",B132=""),"",INDEX(Equipements!$H:$H,MATCH(A132,Equipements!$A:$A,0))&amp;"."&amp;B132),"")</f>
        <v/>
      </c>
      <c r="D132" s="23"/>
      <c r="E132" s="23"/>
      <c r="F132" s="23"/>
      <c r="G132" s="23"/>
      <c r="H132" s="23"/>
      <c r="I132" s="23"/>
      <c r="J132" s="23"/>
    </row>
    <row r="133" customFormat="false" ht="15" hidden="false" customHeight="true" outlineLevel="0" collapsed="false">
      <c r="A133" s="23"/>
      <c r="B133" s="23"/>
      <c r="C133" s="23" t="str">
        <f aca="false">IFERROR(IF(OR(A133="",B133=""),"",INDEX(Equipements!$H:$H,MATCH(A133,Equipements!$A:$A,0))&amp;"."&amp;B133),"")</f>
        <v/>
      </c>
      <c r="D133" s="23"/>
      <c r="E133" s="23"/>
      <c r="F133" s="23"/>
      <c r="G133" s="23"/>
      <c r="H133" s="23"/>
      <c r="I133" s="23"/>
      <c r="J133" s="23"/>
    </row>
    <row r="134" customFormat="false" ht="15" hidden="false" customHeight="true" outlineLevel="0" collapsed="false">
      <c r="A134" s="23"/>
      <c r="B134" s="23"/>
      <c r="C134" s="23" t="str">
        <f aca="false">IFERROR(IF(OR(A134="",B134=""),"",INDEX(Equipements!$H:$H,MATCH(A134,Equipements!$A:$A,0))&amp;"."&amp;B134),"")</f>
        <v/>
      </c>
      <c r="D134" s="23"/>
      <c r="E134" s="23"/>
      <c r="F134" s="23"/>
      <c r="G134" s="23"/>
      <c r="H134" s="23"/>
      <c r="I134" s="23"/>
      <c r="J134" s="23"/>
    </row>
    <row r="135" customFormat="false" ht="15" hidden="false" customHeight="true" outlineLevel="0" collapsed="false">
      <c r="A135" s="23"/>
      <c r="B135" s="23"/>
      <c r="C135" s="23" t="str">
        <f aca="false">IFERROR(IF(OR(A135="",B135=""),"",INDEX(Equipements!$H:$H,MATCH(A135,Equipements!$A:$A,0))&amp;"."&amp;B135),"")</f>
        <v/>
      </c>
      <c r="D135" s="23"/>
      <c r="E135" s="23"/>
      <c r="F135" s="23"/>
      <c r="G135" s="23"/>
      <c r="H135" s="23"/>
      <c r="I135" s="23"/>
      <c r="J135" s="23"/>
    </row>
    <row r="136" customFormat="false" ht="15" hidden="false" customHeight="true" outlineLevel="0" collapsed="false">
      <c r="A136" s="23"/>
      <c r="B136" s="23"/>
      <c r="C136" s="23" t="str">
        <f aca="false">IFERROR(IF(OR(A136="",B136=""),"",INDEX(Equipements!$H:$H,MATCH(A136,Equipements!$A:$A,0))&amp;"."&amp;B136),"")</f>
        <v/>
      </c>
      <c r="D136" s="23"/>
      <c r="E136" s="23"/>
      <c r="F136" s="23"/>
      <c r="G136" s="23"/>
      <c r="H136" s="23"/>
      <c r="I136" s="23"/>
      <c r="J136" s="23"/>
    </row>
    <row r="137" customFormat="false" ht="15" hidden="false" customHeight="true" outlineLevel="0" collapsed="false">
      <c r="A137" s="23"/>
      <c r="B137" s="23"/>
      <c r="C137" s="23" t="str">
        <f aca="false">IFERROR(IF(OR(A137="",B137=""),"",INDEX(Equipements!$H:$H,MATCH(A137,Equipements!$A:$A,0))&amp;"."&amp;B137),"")</f>
        <v/>
      </c>
      <c r="D137" s="23"/>
      <c r="E137" s="23"/>
      <c r="F137" s="23"/>
      <c r="G137" s="23"/>
      <c r="H137" s="23"/>
      <c r="I137" s="23"/>
      <c r="J137" s="23"/>
    </row>
    <row r="138" customFormat="false" ht="15" hidden="false" customHeight="true" outlineLevel="0" collapsed="false">
      <c r="A138" s="23"/>
      <c r="B138" s="23"/>
      <c r="C138" s="23" t="str">
        <f aca="false">IFERROR(IF(OR(A138="",B138=""),"",INDEX(Equipements!$H:$H,MATCH(A138,Equipements!$A:$A,0))&amp;"."&amp;B138),"")</f>
        <v/>
      </c>
      <c r="D138" s="23"/>
      <c r="E138" s="23"/>
      <c r="F138" s="23"/>
      <c r="G138" s="23"/>
      <c r="H138" s="23"/>
      <c r="I138" s="23"/>
      <c r="J138" s="23"/>
    </row>
    <row r="139" customFormat="false" ht="15" hidden="false" customHeight="true" outlineLevel="0" collapsed="false">
      <c r="A139" s="23"/>
      <c r="B139" s="23"/>
      <c r="C139" s="23" t="str">
        <f aca="false">IFERROR(IF(OR(A139="",B139=""),"",INDEX(Equipements!$H:$H,MATCH(A139,Equipements!$A:$A,0))&amp;"."&amp;B139),"")</f>
        <v/>
      </c>
      <c r="D139" s="23"/>
      <c r="E139" s="23"/>
      <c r="F139" s="23"/>
      <c r="G139" s="23"/>
      <c r="H139" s="23"/>
      <c r="I139" s="23"/>
      <c r="J139" s="23"/>
    </row>
    <row r="140" customFormat="false" ht="15" hidden="false" customHeight="true" outlineLevel="0" collapsed="false">
      <c r="A140" s="23"/>
      <c r="B140" s="23"/>
      <c r="C140" s="23" t="str">
        <f aca="false">IFERROR(IF(OR(A140="",B140=""),"",INDEX(Equipements!$H:$H,MATCH(A140,Equipements!$A:$A,0))&amp;"."&amp;B140),"")</f>
        <v/>
      </c>
      <c r="D140" s="23"/>
      <c r="E140" s="23"/>
      <c r="F140" s="23"/>
      <c r="G140" s="23"/>
      <c r="H140" s="23"/>
      <c r="I140" s="23"/>
      <c r="J140" s="23"/>
    </row>
    <row r="141" customFormat="false" ht="15" hidden="false" customHeight="true" outlineLevel="0" collapsed="false">
      <c r="A141" s="23"/>
      <c r="B141" s="23"/>
      <c r="C141" s="23" t="str">
        <f aca="false">IFERROR(IF(OR(A141="",B141=""),"",INDEX(Equipements!$H:$H,MATCH(A141,Equipements!$A:$A,0))&amp;"."&amp;B141),"")</f>
        <v/>
      </c>
      <c r="D141" s="23"/>
      <c r="E141" s="23"/>
      <c r="F141" s="23"/>
      <c r="G141" s="23"/>
      <c r="H141" s="23"/>
      <c r="I141" s="23"/>
      <c r="J141" s="23"/>
    </row>
    <row r="142" customFormat="false" ht="15" hidden="false" customHeight="true" outlineLevel="0" collapsed="false">
      <c r="A142" s="23"/>
      <c r="B142" s="23"/>
      <c r="C142" s="23" t="str">
        <f aca="false">IFERROR(IF(OR(A142="",B142=""),"",INDEX(Equipements!$H:$H,MATCH(A142,Equipements!$A:$A,0))&amp;"."&amp;B142),"")</f>
        <v/>
      </c>
      <c r="D142" s="23"/>
      <c r="E142" s="23"/>
      <c r="F142" s="23"/>
      <c r="G142" s="23"/>
      <c r="H142" s="23"/>
      <c r="I142" s="23"/>
      <c r="J142" s="23"/>
    </row>
    <row r="143" customFormat="false" ht="15" hidden="false" customHeight="true" outlineLevel="0" collapsed="false">
      <c r="A143" s="23"/>
      <c r="B143" s="23"/>
      <c r="C143" s="23" t="str">
        <f aca="false">IFERROR(IF(OR(A143="",B143=""),"",INDEX(Equipements!$H:$H,MATCH(A143,Equipements!$A:$A,0))&amp;"."&amp;B143),"")</f>
        <v/>
      </c>
      <c r="D143" s="23"/>
      <c r="E143" s="23"/>
      <c r="F143" s="23"/>
      <c r="G143" s="23"/>
      <c r="H143" s="23"/>
      <c r="I143" s="23"/>
      <c r="J143" s="23"/>
    </row>
    <row r="144" customFormat="false" ht="15" hidden="false" customHeight="true" outlineLevel="0" collapsed="false">
      <c r="A144" s="23"/>
      <c r="B144" s="23"/>
      <c r="C144" s="23" t="str">
        <f aca="false">IFERROR(IF(OR(A144="",B144=""),"",INDEX(Equipements!$H:$H,MATCH(A144,Equipements!$A:$A,0))&amp;"."&amp;B144),"")</f>
        <v/>
      </c>
      <c r="D144" s="23"/>
      <c r="E144" s="23"/>
      <c r="F144" s="23"/>
      <c r="G144" s="23"/>
      <c r="H144" s="23"/>
      <c r="I144" s="23"/>
      <c r="J144" s="23"/>
    </row>
    <row r="145" customFormat="false" ht="15" hidden="false" customHeight="true" outlineLevel="0" collapsed="false">
      <c r="A145" s="23"/>
      <c r="B145" s="23"/>
      <c r="C145" s="23" t="str">
        <f aca="false">IFERROR(IF(OR(A145="",B145=""),"",INDEX(Equipements!$H:$H,MATCH(A145,Equipements!$A:$A,0))&amp;"."&amp;B145),"")</f>
        <v/>
      </c>
      <c r="D145" s="23"/>
      <c r="E145" s="23"/>
      <c r="F145" s="23"/>
      <c r="G145" s="23"/>
      <c r="H145" s="23"/>
      <c r="I145" s="23"/>
      <c r="J145" s="23"/>
    </row>
    <row r="146" customFormat="false" ht="15" hidden="false" customHeight="true" outlineLevel="0" collapsed="false">
      <c r="A146" s="23"/>
      <c r="B146" s="23"/>
      <c r="C146" s="23" t="str">
        <f aca="false">IFERROR(IF(OR(A146="",B146=""),"",INDEX(Equipements!$H:$H,MATCH(A146,Equipements!$A:$A,0))&amp;"."&amp;B146),"")</f>
        <v/>
      </c>
      <c r="D146" s="23"/>
      <c r="E146" s="23"/>
      <c r="F146" s="23"/>
      <c r="G146" s="23"/>
      <c r="H146" s="23"/>
      <c r="I146" s="23"/>
      <c r="J146" s="23"/>
    </row>
    <row r="147" customFormat="false" ht="15" hidden="false" customHeight="true" outlineLevel="0" collapsed="false">
      <c r="A147" s="23"/>
      <c r="B147" s="23"/>
      <c r="C147" s="23" t="str">
        <f aca="false">IFERROR(IF(OR(A147="",B147=""),"",INDEX(Equipements!$H:$H,MATCH(A147,Equipements!$A:$A,0))&amp;"."&amp;B147),"")</f>
        <v/>
      </c>
      <c r="D147" s="23"/>
      <c r="E147" s="23"/>
      <c r="F147" s="23"/>
      <c r="G147" s="23"/>
      <c r="H147" s="23"/>
      <c r="I147" s="23"/>
      <c r="J147" s="23"/>
    </row>
    <row r="148" customFormat="false" ht="15" hidden="false" customHeight="true" outlineLevel="0" collapsed="false">
      <c r="A148" s="23"/>
      <c r="B148" s="23"/>
      <c r="C148" s="23" t="str">
        <f aca="false">IFERROR(IF(OR(A148="",B148=""),"",INDEX(Equipements!$H:$H,MATCH(A148,Equipements!$A:$A,0))&amp;"."&amp;B148),"")</f>
        <v/>
      </c>
      <c r="D148" s="23"/>
      <c r="E148" s="23"/>
      <c r="F148" s="23"/>
      <c r="G148" s="23"/>
      <c r="H148" s="23"/>
      <c r="I148" s="23"/>
      <c r="J148" s="23"/>
    </row>
    <row r="149" customFormat="false" ht="15" hidden="false" customHeight="true" outlineLevel="0" collapsed="false">
      <c r="A149" s="23"/>
      <c r="B149" s="23"/>
      <c r="C149" s="23" t="str">
        <f aca="false">IFERROR(IF(OR(A149="",B149=""),"",INDEX(Equipements!$H:$H,MATCH(A149,Equipements!$A:$A,0))&amp;"."&amp;B149),"")</f>
        <v/>
      </c>
      <c r="D149" s="23"/>
      <c r="E149" s="23"/>
      <c r="F149" s="23"/>
      <c r="G149" s="23"/>
      <c r="H149" s="23"/>
      <c r="I149" s="23"/>
      <c r="J149" s="23"/>
    </row>
    <row r="150" customFormat="false" ht="15" hidden="false" customHeight="true" outlineLevel="0" collapsed="false">
      <c r="A150" s="23"/>
      <c r="B150" s="23"/>
      <c r="C150" s="23" t="str">
        <f aca="false">IFERROR(IF(OR(A150="",B150=""),"",INDEX(Equipements!$H:$H,MATCH(A150,Equipements!$A:$A,0))&amp;"."&amp;B150),"")</f>
        <v/>
      </c>
      <c r="D150" s="23"/>
      <c r="E150" s="23"/>
      <c r="F150" s="23"/>
      <c r="G150" s="23"/>
      <c r="H150" s="23"/>
      <c r="I150" s="23"/>
      <c r="J150" s="23"/>
    </row>
    <row r="151" customFormat="false" ht="15" hidden="false" customHeight="true" outlineLevel="0" collapsed="false">
      <c r="A151" s="23"/>
      <c r="B151" s="23"/>
      <c r="C151" s="23" t="str">
        <f aca="false">IFERROR(IF(OR(A151="",B151=""),"",INDEX(Equipements!$H:$H,MATCH(A151,Equipements!$A:$A,0))&amp;"."&amp;B151),"")</f>
        <v/>
      </c>
      <c r="D151" s="23"/>
      <c r="E151" s="23"/>
      <c r="F151" s="23"/>
      <c r="G151" s="23"/>
      <c r="H151" s="23"/>
      <c r="I151" s="23"/>
      <c r="J151" s="23"/>
    </row>
    <row r="152" customFormat="false" ht="15" hidden="false" customHeight="true" outlineLevel="0" collapsed="false">
      <c r="A152" s="23"/>
      <c r="B152" s="23"/>
      <c r="C152" s="23" t="str">
        <f aca="false">IFERROR(IF(OR(A152="",B152=""),"",INDEX(Equipements!$H:$H,MATCH(A152,Equipements!$A:$A,0))&amp;"."&amp;B152),"")</f>
        <v/>
      </c>
      <c r="D152" s="23"/>
      <c r="E152" s="23"/>
      <c r="F152" s="23"/>
      <c r="G152" s="23"/>
      <c r="H152" s="23"/>
      <c r="I152" s="23"/>
      <c r="J152" s="23"/>
    </row>
    <row r="153" customFormat="false" ht="15" hidden="false" customHeight="true" outlineLevel="0" collapsed="false">
      <c r="A153" s="23"/>
      <c r="B153" s="23"/>
      <c r="C153" s="23" t="str">
        <f aca="false">IFERROR(IF(OR(A153="",B153=""),"",INDEX(Equipements!$H:$H,MATCH(A153,Equipements!$A:$A,0))&amp;"."&amp;B153),"")</f>
        <v/>
      </c>
      <c r="D153" s="23"/>
      <c r="E153" s="23"/>
      <c r="F153" s="23"/>
      <c r="G153" s="23"/>
      <c r="H153" s="23"/>
      <c r="I153" s="23"/>
      <c r="J153" s="23"/>
    </row>
    <row r="154" customFormat="false" ht="15" hidden="false" customHeight="true" outlineLevel="0" collapsed="false">
      <c r="A154" s="23"/>
      <c r="B154" s="23"/>
      <c r="C154" s="23" t="str">
        <f aca="false">IFERROR(IF(OR(A154="",B154=""),"",INDEX(Equipements!$H:$H,MATCH(A154,Equipements!$A:$A,0))&amp;"."&amp;B154),"")</f>
        <v/>
      </c>
      <c r="D154" s="23"/>
      <c r="E154" s="23"/>
      <c r="F154" s="23"/>
      <c r="G154" s="23"/>
      <c r="H154" s="23"/>
      <c r="I154" s="23"/>
      <c r="J154" s="23"/>
    </row>
    <row r="155" customFormat="false" ht="15" hidden="false" customHeight="true" outlineLevel="0" collapsed="false">
      <c r="A155" s="23"/>
      <c r="B155" s="23"/>
      <c r="C155" s="23" t="str">
        <f aca="false">IFERROR(IF(OR(A155="",B155=""),"",INDEX(Equipements!$H:$H,MATCH(A155,Equipements!$A:$A,0))&amp;"."&amp;B155),"")</f>
        <v/>
      </c>
      <c r="D155" s="23"/>
      <c r="E155" s="23"/>
      <c r="F155" s="23"/>
      <c r="G155" s="23"/>
      <c r="H155" s="23"/>
      <c r="I155" s="23"/>
      <c r="J155" s="23"/>
    </row>
    <row r="156" customFormat="false" ht="15" hidden="false" customHeight="true" outlineLevel="0" collapsed="false">
      <c r="A156" s="23"/>
      <c r="B156" s="23"/>
      <c r="C156" s="23" t="str">
        <f aca="false">IFERROR(IF(OR(A156="",B156=""),"",INDEX(Equipements!$H:$H,MATCH(A156,Equipements!$A:$A,0))&amp;"."&amp;B156),"")</f>
        <v/>
      </c>
      <c r="D156" s="23"/>
      <c r="E156" s="23"/>
      <c r="F156" s="23"/>
      <c r="G156" s="23"/>
      <c r="H156" s="23"/>
      <c r="I156" s="23"/>
      <c r="J156" s="23"/>
    </row>
    <row r="157" customFormat="false" ht="15" hidden="false" customHeight="true" outlineLevel="0" collapsed="false">
      <c r="A157" s="23"/>
      <c r="B157" s="23"/>
      <c r="C157" s="23" t="str">
        <f aca="false">IFERROR(IF(OR(A157="",B157=""),"",INDEX(Equipements!$H:$H,MATCH(A157,Equipements!$A:$A,0))&amp;"."&amp;B157),"")</f>
        <v/>
      </c>
      <c r="D157" s="23"/>
      <c r="E157" s="23"/>
      <c r="F157" s="23"/>
      <c r="G157" s="23"/>
      <c r="H157" s="23"/>
      <c r="I157" s="23"/>
      <c r="J157" s="23"/>
    </row>
    <row r="158" customFormat="false" ht="15" hidden="false" customHeight="true" outlineLevel="0" collapsed="false">
      <c r="A158" s="23"/>
      <c r="B158" s="23"/>
      <c r="C158" s="23" t="str">
        <f aca="false">IFERROR(IF(OR(A158="",B158=""),"",INDEX(Equipements!$H:$H,MATCH(A158,Equipements!$A:$A,0))&amp;"."&amp;B158),"")</f>
        <v/>
      </c>
      <c r="D158" s="23"/>
      <c r="E158" s="23"/>
      <c r="F158" s="23"/>
      <c r="G158" s="23"/>
      <c r="H158" s="23"/>
      <c r="I158" s="23"/>
      <c r="J158" s="23"/>
    </row>
    <row r="159" customFormat="false" ht="15" hidden="false" customHeight="true" outlineLevel="0" collapsed="false">
      <c r="A159" s="23"/>
      <c r="B159" s="23"/>
      <c r="C159" s="23" t="str">
        <f aca="false">IFERROR(IF(OR(A159="",B159=""),"",INDEX(Equipements!$H:$H,MATCH(A159,Equipements!$A:$A,0))&amp;"."&amp;B159),"")</f>
        <v/>
      </c>
      <c r="D159" s="23"/>
      <c r="E159" s="23"/>
      <c r="F159" s="23"/>
      <c r="G159" s="23"/>
      <c r="H159" s="23"/>
      <c r="I159" s="23"/>
      <c r="J159" s="23"/>
    </row>
    <row r="160" customFormat="false" ht="15" hidden="false" customHeight="true" outlineLevel="0" collapsed="false">
      <c r="A160" s="23"/>
      <c r="B160" s="23"/>
      <c r="C160" s="23" t="str">
        <f aca="false">IFERROR(IF(OR(A160="",B160=""),"",INDEX(Equipements!$H:$H,MATCH(A160,Equipements!$A:$A,0))&amp;"."&amp;B160),"")</f>
        <v/>
      </c>
      <c r="D160" s="23"/>
      <c r="E160" s="23"/>
      <c r="F160" s="23"/>
      <c r="G160" s="23"/>
      <c r="H160" s="23"/>
      <c r="I160" s="23"/>
      <c r="J160" s="23"/>
    </row>
    <row r="161" customFormat="false" ht="15" hidden="false" customHeight="true" outlineLevel="0" collapsed="false">
      <c r="A161" s="23"/>
      <c r="B161" s="23"/>
      <c r="C161" s="23" t="str">
        <f aca="false">IFERROR(IF(OR(A161="",B161=""),"",INDEX(Equipements!$H:$H,MATCH(A161,Equipements!$A:$A,0))&amp;"."&amp;B161),"")</f>
        <v/>
      </c>
      <c r="D161" s="23"/>
      <c r="E161" s="23"/>
      <c r="F161" s="23"/>
      <c r="G161" s="23"/>
      <c r="H161" s="23"/>
      <c r="I161" s="23"/>
      <c r="J161" s="23"/>
    </row>
    <row r="162" customFormat="false" ht="15" hidden="false" customHeight="true" outlineLevel="0" collapsed="false">
      <c r="A162" s="23"/>
      <c r="B162" s="23"/>
      <c r="C162" s="23" t="str">
        <f aca="false">IFERROR(IF(OR(A162="",B162=""),"",INDEX(Equipements!$H:$H,MATCH(A162,Equipements!$A:$A,0))&amp;"."&amp;B162),"")</f>
        <v/>
      </c>
      <c r="D162" s="23"/>
      <c r="E162" s="23"/>
      <c r="F162" s="23"/>
      <c r="G162" s="23"/>
      <c r="H162" s="23"/>
      <c r="I162" s="23"/>
      <c r="J162" s="23"/>
    </row>
    <row r="163" customFormat="false" ht="15" hidden="false" customHeight="true" outlineLevel="0" collapsed="false">
      <c r="A163" s="23"/>
      <c r="B163" s="23"/>
      <c r="C163" s="23" t="str">
        <f aca="false">IFERROR(IF(OR(A163="",B163=""),"",INDEX(Equipements!$H:$H,MATCH(A163,Equipements!$A:$A,0))&amp;"."&amp;B163),"")</f>
        <v/>
      </c>
      <c r="D163" s="23"/>
      <c r="E163" s="23"/>
      <c r="F163" s="23"/>
      <c r="G163" s="23"/>
      <c r="H163" s="23"/>
      <c r="I163" s="23"/>
      <c r="J163" s="23"/>
    </row>
    <row r="164" customFormat="false" ht="15" hidden="false" customHeight="true" outlineLevel="0" collapsed="false">
      <c r="A164" s="23"/>
      <c r="B164" s="23"/>
      <c r="C164" s="23" t="str">
        <f aca="false">IFERROR(IF(OR(A164="",B164=""),"",INDEX(Equipements!$H:$H,MATCH(A164,Equipements!$A:$A,0))&amp;"."&amp;B164),"")</f>
        <v/>
      </c>
      <c r="D164" s="23"/>
      <c r="E164" s="23"/>
      <c r="F164" s="23"/>
      <c r="G164" s="23"/>
      <c r="H164" s="23"/>
      <c r="I164" s="23"/>
      <c r="J164" s="23"/>
    </row>
    <row r="165" customFormat="false" ht="15" hidden="false" customHeight="true" outlineLevel="0" collapsed="false">
      <c r="A165" s="23"/>
      <c r="B165" s="23"/>
      <c r="C165" s="23" t="str">
        <f aca="false">IFERROR(IF(OR(A165="",B165=""),"",INDEX(Equipements!$H:$H,MATCH(A165,Equipements!$A:$A,0))&amp;"."&amp;B165),"")</f>
        <v/>
      </c>
      <c r="D165" s="23"/>
      <c r="E165" s="23"/>
      <c r="F165" s="23"/>
      <c r="G165" s="23"/>
      <c r="H165" s="23"/>
      <c r="I165" s="23"/>
      <c r="J165" s="23"/>
    </row>
    <row r="166" customFormat="false" ht="15" hidden="false" customHeight="true" outlineLevel="0" collapsed="false">
      <c r="A166" s="23"/>
      <c r="B166" s="23"/>
      <c r="C166" s="23" t="str">
        <f aca="false">IFERROR(IF(OR(A166="",B166=""),"",INDEX(Equipements!$H:$H,MATCH(A166,Equipements!$A:$A,0))&amp;"."&amp;B166),"")</f>
        <v/>
      </c>
      <c r="D166" s="23"/>
      <c r="E166" s="23"/>
      <c r="F166" s="23"/>
      <c r="G166" s="23"/>
      <c r="H166" s="23"/>
      <c r="I166" s="23"/>
      <c r="J166" s="23"/>
    </row>
    <row r="167" customFormat="false" ht="15" hidden="false" customHeight="true" outlineLevel="0" collapsed="false">
      <c r="A167" s="23"/>
      <c r="B167" s="23"/>
      <c r="C167" s="23" t="str">
        <f aca="false">IFERROR(IF(OR(A167="",B167=""),"",INDEX(Equipements!$H:$H,MATCH(A167,Equipements!$A:$A,0))&amp;"."&amp;B167),"")</f>
        <v/>
      </c>
      <c r="D167" s="23"/>
      <c r="E167" s="23"/>
      <c r="F167" s="23"/>
      <c r="G167" s="23"/>
      <c r="H167" s="23"/>
      <c r="I167" s="23"/>
      <c r="J167" s="23"/>
    </row>
    <row r="168" customFormat="false" ht="15" hidden="false" customHeight="true" outlineLevel="0" collapsed="false">
      <c r="A168" s="23"/>
      <c r="B168" s="23"/>
      <c r="C168" s="23" t="str">
        <f aca="false">IFERROR(IF(OR(A168="",B168=""),"",INDEX(Equipements!$H:$H,MATCH(A168,Equipements!$A:$A,0))&amp;"."&amp;B168),"")</f>
        <v/>
      </c>
      <c r="D168" s="23"/>
      <c r="E168" s="23"/>
      <c r="F168" s="23"/>
      <c r="G168" s="23"/>
      <c r="H168" s="23"/>
      <c r="I168" s="23"/>
      <c r="J168" s="23"/>
    </row>
    <row r="169" customFormat="false" ht="15" hidden="false" customHeight="true" outlineLevel="0" collapsed="false">
      <c r="A169" s="23"/>
      <c r="B169" s="23"/>
      <c r="C169" s="23" t="str">
        <f aca="false">IFERROR(IF(OR(A169="",B169=""),"",INDEX(Equipements!$H:$H,MATCH(A169,Equipements!$A:$A,0))&amp;"."&amp;B169),"")</f>
        <v/>
      </c>
      <c r="D169" s="23"/>
      <c r="E169" s="23"/>
      <c r="F169" s="23"/>
      <c r="G169" s="23"/>
      <c r="H169" s="23"/>
      <c r="I169" s="23"/>
      <c r="J169" s="23"/>
    </row>
    <row r="170" customFormat="false" ht="15" hidden="false" customHeight="true" outlineLevel="0" collapsed="false">
      <c r="A170" s="23"/>
      <c r="B170" s="23"/>
      <c r="C170" s="23" t="str">
        <f aca="false">IFERROR(IF(OR(A170="",B170=""),"",INDEX(Equipements!$H:$H,MATCH(A170,Equipements!$A:$A,0))&amp;"."&amp;B170),"")</f>
        <v/>
      </c>
      <c r="D170" s="23"/>
      <c r="E170" s="23"/>
      <c r="F170" s="23"/>
      <c r="G170" s="23"/>
      <c r="H170" s="23"/>
      <c r="I170" s="23"/>
      <c r="J170" s="23"/>
    </row>
    <row r="171" customFormat="false" ht="15" hidden="false" customHeight="true" outlineLevel="0" collapsed="false">
      <c r="A171" s="23"/>
      <c r="B171" s="23"/>
      <c r="C171" s="23" t="str">
        <f aca="false">IFERROR(IF(OR(A171="",B171=""),"",INDEX(Equipements!$H:$H,MATCH(A171,Equipements!$A:$A,0))&amp;"."&amp;B171),"")</f>
        <v/>
      </c>
      <c r="D171" s="23"/>
      <c r="E171" s="23"/>
      <c r="F171" s="23"/>
      <c r="G171" s="23"/>
      <c r="H171" s="23"/>
      <c r="I171" s="23"/>
      <c r="J171" s="23"/>
    </row>
    <row r="172" customFormat="false" ht="15" hidden="false" customHeight="true" outlineLevel="0" collapsed="false">
      <c r="A172" s="23"/>
      <c r="B172" s="23"/>
      <c r="C172" s="23" t="str">
        <f aca="false">IFERROR(IF(OR(A172="",B172=""),"",INDEX(Equipements!$H:$H,MATCH(A172,Equipements!$A:$A,0))&amp;"."&amp;B172),"")</f>
        <v/>
      </c>
      <c r="D172" s="23"/>
      <c r="E172" s="23"/>
      <c r="F172" s="23"/>
      <c r="G172" s="23"/>
      <c r="H172" s="23"/>
      <c r="I172" s="23"/>
      <c r="J172" s="23"/>
    </row>
    <row r="173" customFormat="false" ht="15" hidden="false" customHeight="true" outlineLevel="0" collapsed="false">
      <c r="A173" s="23"/>
      <c r="B173" s="23"/>
      <c r="C173" s="23" t="str">
        <f aca="false">IFERROR(IF(OR(A173="",B173=""),"",INDEX(Equipements!$H:$H,MATCH(A173,Equipements!$A:$A,0))&amp;"."&amp;B173),"")</f>
        <v/>
      </c>
      <c r="D173" s="23"/>
      <c r="E173" s="23"/>
      <c r="F173" s="23"/>
      <c r="G173" s="23"/>
      <c r="H173" s="23"/>
      <c r="I173" s="23"/>
      <c r="J173" s="23"/>
    </row>
    <row r="174" customFormat="false" ht="15" hidden="false" customHeight="true" outlineLevel="0" collapsed="false">
      <c r="A174" s="23"/>
      <c r="B174" s="23"/>
      <c r="C174" s="23" t="str">
        <f aca="false">IFERROR(IF(OR(A174="",B174=""),"",INDEX(Equipements!$H:$H,MATCH(A174,Equipements!$A:$A,0))&amp;"."&amp;B174),"")</f>
        <v/>
      </c>
      <c r="D174" s="23"/>
      <c r="E174" s="23"/>
      <c r="F174" s="23"/>
      <c r="G174" s="23"/>
      <c r="H174" s="23"/>
      <c r="I174" s="23"/>
      <c r="J174" s="23"/>
    </row>
    <row r="175" customFormat="false" ht="15" hidden="false" customHeight="true" outlineLevel="0" collapsed="false">
      <c r="A175" s="23"/>
      <c r="B175" s="23"/>
      <c r="C175" s="23" t="str">
        <f aca="false">IFERROR(IF(OR(A175="",B175=""),"",INDEX(Equipements!$H:$H,MATCH(A175,Equipements!$A:$A,0))&amp;"."&amp;B175),"")</f>
        <v/>
      </c>
      <c r="D175" s="23"/>
      <c r="E175" s="23"/>
      <c r="F175" s="23"/>
      <c r="G175" s="23"/>
      <c r="H175" s="23"/>
      <c r="I175" s="23"/>
      <c r="J175" s="23"/>
    </row>
    <row r="176" customFormat="false" ht="15" hidden="false" customHeight="true" outlineLevel="0" collapsed="false">
      <c r="A176" s="23"/>
      <c r="B176" s="23"/>
      <c r="C176" s="23" t="str">
        <f aca="false">IFERROR(IF(OR(A176="",B176=""),"",INDEX(Equipements!$H:$H,MATCH(A176,Equipements!$A:$A,0))&amp;"."&amp;B176),"")</f>
        <v/>
      </c>
      <c r="D176" s="23"/>
      <c r="E176" s="23"/>
      <c r="F176" s="23"/>
      <c r="G176" s="23"/>
      <c r="H176" s="23"/>
      <c r="I176" s="23"/>
      <c r="J176" s="23"/>
    </row>
    <row r="177" customFormat="false" ht="15" hidden="false" customHeight="true" outlineLevel="0" collapsed="false">
      <c r="A177" s="23"/>
      <c r="B177" s="23"/>
      <c r="C177" s="23" t="str">
        <f aca="false">IFERROR(IF(OR(A177="",B177=""),"",INDEX(Equipements!$H:$H,MATCH(A177,Equipements!$A:$A,0))&amp;"."&amp;B177),"")</f>
        <v/>
      </c>
      <c r="D177" s="23"/>
      <c r="E177" s="23"/>
      <c r="F177" s="23"/>
      <c r="G177" s="23"/>
      <c r="H177" s="23"/>
      <c r="I177" s="23"/>
      <c r="J177" s="23"/>
    </row>
    <row r="178" customFormat="false" ht="15" hidden="false" customHeight="true" outlineLevel="0" collapsed="false">
      <c r="A178" s="23"/>
      <c r="B178" s="23"/>
      <c r="C178" s="23" t="str">
        <f aca="false">IFERROR(IF(OR(A178="",B178=""),"",INDEX(Equipements!$H:$H,MATCH(A178,Equipements!$A:$A,0))&amp;"."&amp;B178),"")</f>
        <v/>
      </c>
      <c r="D178" s="23"/>
      <c r="E178" s="23"/>
      <c r="F178" s="23"/>
      <c r="G178" s="23"/>
      <c r="H178" s="23"/>
      <c r="I178" s="23"/>
      <c r="J178" s="23"/>
    </row>
    <row r="179" customFormat="false" ht="15" hidden="false" customHeight="true" outlineLevel="0" collapsed="false">
      <c r="A179" s="23"/>
      <c r="B179" s="23"/>
      <c r="C179" s="23" t="str">
        <f aca="false">IFERROR(IF(OR(A179="",B179=""),"",INDEX(Equipements!$H:$H,MATCH(A179,Equipements!$A:$A,0))&amp;"."&amp;B179),"")</f>
        <v/>
      </c>
      <c r="D179" s="23"/>
      <c r="E179" s="23"/>
      <c r="F179" s="23"/>
      <c r="G179" s="23"/>
      <c r="H179" s="23"/>
      <c r="I179" s="23"/>
      <c r="J179" s="23"/>
    </row>
    <row r="180" customFormat="false" ht="15" hidden="false" customHeight="true" outlineLevel="0" collapsed="false">
      <c r="A180" s="23"/>
      <c r="B180" s="23"/>
      <c r="C180" s="23" t="str">
        <f aca="false">IFERROR(IF(OR(A180="",B180=""),"",INDEX(Equipements!$H:$H,MATCH(A180,Equipements!$A:$A,0))&amp;"."&amp;B180),"")</f>
        <v/>
      </c>
      <c r="D180" s="23"/>
      <c r="E180" s="23"/>
      <c r="F180" s="23"/>
      <c r="G180" s="23"/>
      <c r="H180" s="23"/>
      <c r="I180" s="23"/>
      <c r="J180" s="23"/>
    </row>
    <row r="181" customFormat="false" ht="15" hidden="false" customHeight="true" outlineLevel="0" collapsed="false">
      <c r="A181" s="23"/>
      <c r="B181" s="23"/>
      <c r="C181" s="23" t="str">
        <f aca="false">IFERROR(IF(OR(A181="",B181=""),"",INDEX(Equipements!$H:$H,MATCH(A181,Equipements!$A:$A,0))&amp;"."&amp;B181),"")</f>
        <v/>
      </c>
      <c r="D181" s="23"/>
      <c r="E181" s="23"/>
      <c r="F181" s="23"/>
      <c r="G181" s="23"/>
      <c r="H181" s="23"/>
      <c r="I181" s="23"/>
      <c r="J181" s="23"/>
    </row>
    <row r="182" customFormat="false" ht="15" hidden="false" customHeight="true" outlineLevel="0" collapsed="false">
      <c r="A182" s="23"/>
      <c r="B182" s="23"/>
      <c r="C182" s="23" t="str">
        <f aca="false">IFERROR(IF(OR(A182="",B182=""),"",INDEX(Equipements!$H:$H,MATCH(A182,Equipements!$A:$A,0))&amp;"."&amp;B182),"")</f>
        <v/>
      </c>
      <c r="D182" s="23"/>
      <c r="E182" s="23"/>
      <c r="F182" s="23"/>
      <c r="G182" s="23"/>
      <c r="H182" s="23"/>
      <c r="I182" s="23"/>
      <c r="J182" s="23"/>
    </row>
    <row r="183" customFormat="false" ht="15" hidden="false" customHeight="true" outlineLevel="0" collapsed="false">
      <c r="A183" s="23"/>
      <c r="B183" s="23"/>
      <c r="C183" s="23" t="str">
        <f aca="false">IFERROR(IF(OR(A183="",B183=""),"",INDEX(Equipements!$H:$H,MATCH(A183,Equipements!$A:$A,0))&amp;"."&amp;B183),"")</f>
        <v/>
      </c>
      <c r="D183" s="23"/>
      <c r="E183" s="23"/>
      <c r="F183" s="23"/>
      <c r="G183" s="23"/>
      <c r="H183" s="23"/>
      <c r="I183" s="23"/>
      <c r="J183" s="23"/>
    </row>
    <row r="184" customFormat="false" ht="15" hidden="false" customHeight="true" outlineLevel="0" collapsed="false">
      <c r="A184" s="23"/>
      <c r="B184" s="23"/>
      <c r="C184" s="23" t="str">
        <f aca="false">IFERROR(IF(OR(A184="",B184=""),"",INDEX(Equipements!$H:$H,MATCH(A184,Equipements!$A:$A,0))&amp;"."&amp;B184),"")</f>
        <v/>
      </c>
      <c r="D184" s="23"/>
      <c r="E184" s="23"/>
      <c r="F184" s="23"/>
      <c r="G184" s="23"/>
      <c r="H184" s="23"/>
      <c r="I184" s="23"/>
      <c r="J184" s="23"/>
    </row>
    <row r="185" customFormat="false" ht="15" hidden="false" customHeight="true" outlineLevel="0" collapsed="false">
      <c r="A185" s="23"/>
      <c r="B185" s="23"/>
      <c r="C185" s="23" t="str">
        <f aca="false">IFERROR(IF(OR(A185="",B185=""),"",INDEX(Equipements!$H:$H,MATCH(A185,Equipements!$A:$A,0))&amp;"."&amp;B185),"")</f>
        <v/>
      </c>
      <c r="D185" s="23"/>
      <c r="E185" s="23"/>
      <c r="F185" s="23"/>
      <c r="G185" s="23"/>
      <c r="H185" s="23"/>
      <c r="I185" s="23"/>
      <c r="J185" s="23"/>
    </row>
    <row r="186" customFormat="false" ht="15" hidden="false" customHeight="true" outlineLevel="0" collapsed="false">
      <c r="A186" s="23"/>
      <c r="B186" s="23"/>
      <c r="C186" s="23" t="str">
        <f aca="false">IFERROR(IF(OR(A186="",B186=""),"",INDEX(Equipements!$H:$H,MATCH(A186,Equipements!$A:$A,0))&amp;"."&amp;B186),"")</f>
        <v/>
      </c>
      <c r="D186" s="23"/>
      <c r="E186" s="23"/>
      <c r="F186" s="23"/>
      <c r="G186" s="23"/>
      <c r="H186" s="23"/>
      <c r="I186" s="23"/>
      <c r="J186" s="23"/>
    </row>
    <row r="187" customFormat="false" ht="15" hidden="false" customHeight="true" outlineLevel="0" collapsed="false">
      <c r="A187" s="23"/>
      <c r="B187" s="23"/>
      <c r="C187" s="23" t="str">
        <f aca="false">IFERROR(IF(OR(A187="",B187=""),"",INDEX(Equipements!$H:$H,MATCH(A187,Equipements!$A:$A,0))&amp;"."&amp;B187),"")</f>
        <v/>
      </c>
      <c r="D187" s="23"/>
      <c r="E187" s="23"/>
      <c r="F187" s="23"/>
      <c r="G187" s="23"/>
      <c r="H187" s="23"/>
      <c r="I187" s="23"/>
      <c r="J187" s="23"/>
    </row>
    <row r="188" customFormat="false" ht="15" hidden="false" customHeight="true" outlineLevel="0" collapsed="false">
      <c r="A188" s="23"/>
      <c r="B188" s="23"/>
      <c r="C188" s="23" t="str">
        <f aca="false">IFERROR(IF(OR(A188="",B188=""),"",INDEX(Equipements!$H:$H,MATCH(A188,Equipements!$A:$A,0))&amp;"."&amp;B188),"")</f>
        <v/>
      </c>
      <c r="D188" s="23"/>
      <c r="E188" s="23"/>
      <c r="F188" s="23"/>
      <c r="G188" s="23"/>
      <c r="H188" s="23"/>
      <c r="I188" s="23"/>
      <c r="J188" s="23"/>
    </row>
    <row r="189" customFormat="false" ht="15" hidden="false" customHeight="true" outlineLevel="0" collapsed="false">
      <c r="A189" s="23"/>
      <c r="B189" s="23"/>
      <c r="C189" s="23" t="str">
        <f aca="false">IFERROR(IF(OR(A189="",B189=""),"",INDEX(Equipements!$H:$H,MATCH(A189,Equipements!$A:$A,0))&amp;"."&amp;B189),"")</f>
        <v/>
      </c>
      <c r="D189" s="23"/>
      <c r="E189" s="23"/>
      <c r="F189" s="23"/>
      <c r="G189" s="23"/>
      <c r="H189" s="23"/>
      <c r="I189" s="23"/>
      <c r="J189" s="23"/>
    </row>
    <row r="190" customFormat="false" ht="15" hidden="false" customHeight="true" outlineLevel="0" collapsed="false">
      <c r="A190" s="23"/>
      <c r="B190" s="23"/>
      <c r="C190" s="23" t="str">
        <f aca="false">IFERROR(IF(OR(A190="",B190=""),"",INDEX(Equipements!$H:$H,MATCH(A190,Equipements!$A:$A,0))&amp;"."&amp;B190),"")</f>
        <v/>
      </c>
      <c r="D190" s="23"/>
      <c r="E190" s="23"/>
      <c r="F190" s="23"/>
      <c r="G190" s="23"/>
      <c r="H190" s="23"/>
      <c r="I190" s="23"/>
      <c r="J190" s="23"/>
    </row>
    <row r="191" customFormat="false" ht="15" hidden="false" customHeight="true" outlineLevel="0" collapsed="false">
      <c r="A191" s="23"/>
      <c r="B191" s="23"/>
      <c r="C191" s="23" t="str">
        <f aca="false">IFERROR(IF(OR(A191="",B191=""),"",INDEX(Equipements!$H:$H,MATCH(A191,Equipements!$A:$A,0))&amp;"."&amp;B191),"")</f>
        <v/>
      </c>
      <c r="D191" s="23"/>
      <c r="E191" s="23"/>
      <c r="F191" s="23"/>
      <c r="G191" s="23"/>
      <c r="H191" s="23"/>
      <c r="I191" s="23"/>
      <c r="J191" s="23"/>
    </row>
    <row r="192" customFormat="false" ht="15" hidden="false" customHeight="true" outlineLevel="0" collapsed="false">
      <c r="A192" s="23"/>
      <c r="B192" s="23"/>
      <c r="C192" s="23" t="str">
        <f aca="false">IFERROR(IF(OR(A192="",B192=""),"",INDEX(Equipements!$H:$H,MATCH(A192,Equipements!$A:$A,0))&amp;"."&amp;B192),"")</f>
        <v/>
      </c>
      <c r="D192" s="23"/>
      <c r="E192" s="23"/>
      <c r="F192" s="23"/>
      <c r="G192" s="23"/>
      <c r="H192" s="23"/>
      <c r="I192" s="23"/>
      <c r="J192" s="23"/>
    </row>
    <row r="193" customFormat="false" ht="15" hidden="false" customHeight="true" outlineLevel="0" collapsed="false">
      <c r="A193" s="23"/>
      <c r="B193" s="23"/>
      <c r="C193" s="23" t="str">
        <f aca="false">IFERROR(IF(OR(A193="",B193=""),"",INDEX(Equipements!$H:$H,MATCH(A193,Equipements!$A:$A,0))&amp;"."&amp;B193),"")</f>
        <v/>
      </c>
      <c r="D193" s="23"/>
      <c r="E193" s="23"/>
      <c r="F193" s="23"/>
      <c r="G193" s="23"/>
      <c r="H193" s="23"/>
      <c r="I193" s="23"/>
      <c r="J193" s="23"/>
    </row>
    <row r="194" customFormat="false" ht="15" hidden="false" customHeight="true" outlineLevel="0" collapsed="false">
      <c r="A194" s="23"/>
      <c r="B194" s="23"/>
      <c r="C194" s="23" t="str">
        <f aca="false">IFERROR(IF(OR(A194="",B194=""),"",INDEX(Equipements!$H:$H,MATCH(A194,Equipements!$A:$A,0))&amp;"."&amp;B194),"")</f>
        <v/>
      </c>
      <c r="D194" s="23"/>
      <c r="E194" s="23"/>
      <c r="F194" s="23"/>
      <c r="G194" s="23"/>
      <c r="H194" s="23"/>
      <c r="I194" s="23"/>
      <c r="J194" s="23"/>
    </row>
    <row r="195" customFormat="false" ht="15" hidden="false" customHeight="true" outlineLevel="0" collapsed="false">
      <c r="A195" s="23"/>
      <c r="B195" s="23"/>
      <c r="C195" s="23" t="str">
        <f aca="false">IFERROR(IF(OR(A195="",B195=""),"",INDEX(Equipements!$H:$H,MATCH(A195,Equipements!$A:$A,0))&amp;"."&amp;B195),"")</f>
        <v/>
      </c>
      <c r="D195" s="23"/>
      <c r="E195" s="23"/>
      <c r="F195" s="23"/>
      <c r="G195" s="23"/>
      <c r="H195" s="23"/>
      <c r="I195" s="23"/>
      <c r="J195" s="23"/>
    </row>
    <row r="196" customFormat="false" ht="15" hidden="false" customHeight="true" outlineLevel="0" collapsed="false">
      <c r="A196" s="23"/>
      <c r="B196" s="23"/>
      <c r="C196" s="23" t="str">
        <f aca="false">IFERROR(IF(OR(A196="",B196=""),"",INDEX(Equipements!$H:$H,MATCH(A196,Equipements!$A:$A,0))&amp;"."&amp;B196),"")</f>
        <v/>
      </c>
      <c r="D196" s="23"/>
      <c r="E196" s="23"/>
      <c r="F196" s="23"/>
      <c r="G196" s="23"/>
      <c r="H196" s="23"/>
      <c r="I196" s="23"/>
      <c r="J196" s="23"/>
    </row>
    <row r="197" customFormat="false" ht="15" hidden="false" customHeight="true" outlineLevel="0" collapsed="false">
      <c r="A197" s="23"/>
      <c r="B197" s="23"/>
      <c r="C197" s="23" t="str">
        <f aca="false">IFERROR(IF(OR(A197="",B197=""),"",INDEX(Equipements!$H:$H,MATCH(A197,Equipements!$A:$A,0))&amp;"."&amp;B197),"")</f>
        <v/>
      </c>
      <c r="D197" s="23"/>
      <c r="E197" s="23"/>
      <c r="F197" s="23"/>
      <c r="G197" s="23"/>
      <c r="H197" s="23"/>
      <c r="I197" s="23"/>
      <c r="J197" s="23"/>
    </row>
    <row r="198" customFormat="false" ht="15" hidden="false" customHeight="true" outlineLevel="0" collapsed="false">
      <c r="A198" s="23"/>
      <c r="B198" s="23"/>
      <c r="C198" s="23" t="str">
        <f aca="false">IFERROR(IF(OR(A198="",B198=""),"",INDEX(Equipements!$H:$H,MATCH(A198,Equipements!$A:$A,0))&amp;"."&amp;B198),"")</f>
        <v/>
      </c>
      <c r="D198" s="23"/>
      <c r="E198" s="23"/>
      <c r="F198" s="23"/>
      <c r="G198" s="23"/>
      <c r="H198" s="23"/>
      <c r="I198" s="23"/>
      <c r="J198" s="23"/>
    </row>
    <row r="199" customFormat="false" ht="15" hidden="false" customHeight="true" outlineLevel="0" collapsed="false">
      <c r="A199" s="23"/>
      <c r="B199" s="23"/>
      <c r="C199" s="23" t="str">
        <f aca="false">IFERROR(IF(OR(A199="",B199=""),"",INDEX(Equipements!$H:$H,MATCH(A199,Equipements!$A:$A,0))&amp;"."&amp;B199),"")</f>
        <v/>
      </c>
      <c r="D199" s="23"/>
      <c r="E199" s="23"/>
      <c r="F199" s="23"/>
      <c r="G199" s="23"/>
      <c r="H199" s="23"/>
      <c r="I199" s="23"/>
      <c r="J199" s="23"/>
    </row>
    <row r="200" customFormat="false" ht="15" hidden="false" customHeight="true" outlineLevel="0" collapsed="false">
      <c r="A200" s="23"/>
      <c r="B200" s="23"/>
      <c r="C200" s="23" t="str">
        <f aca="false">IFERROR(IF(OR(A200="",B200=""),"",INDEX(Equipements!$H:$H,MATCH(A200,Equipements!$A:$A,0))&amp;"."&amp;B200),"")</f>
        <v/>
      </c>
      <c r="D200" s="23"/>
      <c r="E200" s="23"/>
      <c r="F200" s="23"/>
      <c r="G200" s="23"/>
      <c r="H200" s="23"/>
      <c r="I200" s="23"/>
      <c r="J200" s="23"/>
    </row>
    <row r="201" customFormat="false" ht="15" hidden="false" customHeight="true" outlineLevel="0" collapsed="false">
      <c r="A201" s="23"/>
      <c r="B201" s="23"/>
      <c r="C201" s="23" t="str">
        <f aca="false">IFERROR(IF(OR(A201="",B201=""),"",INDEX(Equipements!$H:$H,MATCH(A201,Equipements!$A:$A,0))&amp;"."&amp;B201),"")</f>
        <v/>
      </c>
      <c r="D201" s="23"/>
      <c r="E201" s="23"/>
      <c r="F201" s="23"/>
      <c r="G201" s="23"/>
      <c r="H201" s="23"/>
      <c r="I201" s="23"/>
      <c r="J201" s="23"/>
    </row>
    <row r="202" customFormat="false" ht="15" hidden="false" customHeight="true" outlineLevel="0" collapsed="false">
      <c r="A202" s="23"/>
      <c r="B202" s="23"/>
      <c r="C202" s="23" t="str">
        <f aca="false">IFERROR(IF(OR(A202="",B202=""),"",INDEX(Equipements!$H:$H,MATCH(A202,Equipements!$A:$A,0))&amp;"."&amp;B202),"")</f>
        <v/>
      </c>
      <c r="D202" s="23"/>
      <c r="E202" s="23"/>
      <c r="F202" s="23"/>
      <c r="G202" s="23"/>
      <c r="H202" s="23"/>
      <c r="I202" s="23"/>
      <c r="J202" s="23"/>
    </row>
    <row r="203" customFormat="false" ht="15" hidden="false" customHeight="true" outlineLevel="0" collapsed="false">
      <c r="A203" s="23"/>
      <c r="B203" s="23"/>
      <c r="C203" s="23" t="str">
        <f aca="false">IFERROR(IF(OR(A203="",B203=""),"",INDEX(Equipements!$H:$H,MATCH(A203,Equipements!$A:$A,0))&amp;"."&amp;B203),"")</f>
        <v/>
      </c>
      <c r="D203" s="23"/>
      <c r="E203" s="23"/>
      <c r="F203" s="23"/>
      <c r="G203" s="23"/>
      <c r="H203" s="23"/>
      <c r="I203" s="23"/>
      <c r="J203" s="23"/>
    </row>
    <row r="204" customFormat="false" ht="15" hidden="false" customHeight="true" outlineLevel="0" collapsed="false">
      <c r="A204" s="23"/>
      <c r="B204" s="23"/>
      <c r="C204" s="23" t="str">
        <f aca="false">IFERROR(IF(OR(A204="",B204=""),"",INDEX(Equipements!$H:$H,MATCH(A204,Equipements!$A:$A,0))&amp;"."&amp;B204),"")</f>
        <v/>
      </c>
      <c r="D204" s="23"/>
      <c r="E204" s="23"/>
      <c r="F204" s="23"/>
      <c r="G204" s="23"/>
      <c r="H204" s="23"/>
      <c r="I204" s="23"/>
      <c r="J204" s="23"/>
    </row>
    <row r="205" customFormat="false" ht="15" hidden="false" customHeight="true" outlineLevel="0" collapsed="false">
      <c r="A205" s="23"/>
      <c r="B205" s="23"/>
      <c r="C205" s="23" t="str">
        <f aca="false">IFERROR(IF(OR(A205="",B205=""),"",INDEX(Equipements!$H:$H,MATCH(A205,Equipements!$A:$A,0))&amp;"."&amp;B205),"")</f>
        <v/>
      </c>
      <c r="D205" s="23"/>
      <c r="E205" s="23"/>
      <c r="F205" s="23"/>
      <c r="G205" s="23"/>
      <c r="H205" s="23"/>
      <c r="I205" s="23"/>
      <c r="J205" s="23"/>
    </row>
    <row r="206" customFormat="false" ht="15" hidden="false" customHeight="true" outlineLevel="0" collapsed="false">
      <c r="A206" s="23"/>
      <c r="B206" s="23"/>
      <c r="C206" s="23" t="str">
        <f aca="false">IFERROR(IF(OR(A206="",B206=""),"",INDEX(Equipements!$H:$H,MATCH(A206,Equipements!$A:$A,0))&amp;"."&amp;B206),"")</f>
        <v/>
      </c>
      <c r="D206" s="23"/>
      <c r="E206" s="23"/>
      <c r="F206" s="23"/>
      <c r="G206" s="23"/>
      <c r="H206" s="23"/>
      <c r="I206" s="23"/>
      <c r="J206" s="23"/>
    </row>
    <row r="207" customFormat="false" ht="15" hidden="false" customHeight="true" outlineLevel="0" collapsed="false">
      <c r="A207" s="23"/>
      <c r="B207" s="23"/>
      <c r="C207" s="23" t="str">
        <f aca="false">IFERROR(IF(OR(A207="",B207=""),"",INDEX(Equipements!$H:$H,MATCH(A207,Equipements!$A:$A,0))&amp;"."&amp;B207),"")</f>
        <v/>
      </c>
      <c r="D207" s="23"/>
      <c r="E207" s="23"/>
      <c r="F207" s="23"/>
      <c r="G207" s="23"/>
      <c r="H207" s="23"/>
      <c r="I207" s="23"/>
      <c r="J207" s="23"/>
    </row>
    <row r="208" customFormat="false" ht="15" hidden="false" customHeight="true" outlineLevel="0" collapsed="false">
      <c r="A208" s="23"/>
      <c r="B208" s="23"/>
      <c r="C208" s="23" t="str">
        <f aca="false">IFERROR(IF(OR(A208="",B208=""),"",INDEX(Equipements!$H:$H,MATCH(A208,Equipements!$A:$A,0))&amp;"."&amp;B208),"")</f>
        <v/>
      </c>
      <c r="D208" s="23"/>
      <c r="E208" s="23"/>
      <c r="F208" s="23"/>
      <c r="G208" s="23"/>
      <c r="H208" s="23"/>
      <c r="I208" s="23"/>
      <c r="J208" s="23"/>
    </row>
    <row r="209" customFormat="false" ht="15" hidden="false" customHeight="true" outlineLevel="0" collapsed="false">
      <c r="A209" s="23"/>
      <c r="B209" s="23"/>
      <c r="C209" s="23" t="str">
        <f aca="false">IFERROR(IF(OR(A209="",B209=""),"",INDEX(Equipements!$H:$H,MATCH(A209,Equipements!$A:$A,0))&amp;"."&amp;B209),"")</f>
        <v/>
      </c>
      <c r="D209" s="23"/>
      <c r="E209" s="23"/>
      <c r="F209" s="23"/>
      <c r="G209" s="23"/>
      <c r="H209" s="23"/>
      <c r="I209" s="23"/>
      <c r="J209" s="23"/>
    </row>
    <row r="210" customFormat="false" ht="15" hidden="false" customHeight="true" outlineLevel="0" collapsed="false">
      <c r="A210" s="23"/>
      <c r="B210" s="23"/>
      <c r="C210" s="23" t="str">
        <f aca="false">IFERROR(IF(OR(A210="",B210=""),"",INDEX(Equipements!$H:$H,MATCH(A210,Equipements!$A:$A,0))&amp;"."&amp;B210),"")</f>
        <v/>
      </c>
      <c r="D210" s="23"/>
      <c r="E210" s="23"/>
      <c r="F210" s="23"/>
      <c r="G210" s="23"/>
      <c r="H210" s="23"/>
      <c r="I210" s="23"/>
      <c r="J210" s="23"/>
    </row>
    <row r="211" customFormat="false" ht="15" hidden="false" customHeight="true" outlineLevel="0" collapsed="false">
      <c r="A211" s="23"/>
      <c r="B211" s="23"/>
      <c r="C211" s="23" t="str">
        <f aca="false">IFERROR(IF(OR(A211="",B211=""),"",INDEX(Equipements!$H:$H,MATCH(A211,Equipements!$A:$A,0))&amp;"."&amp;B211),"")</f>
        <v/>
      </c>
      <c r="D211" s="23"/>
      <c r="E211" s="23"/>
      <c r="F211" s="23"/>
      <c r="G211" s="23"/>
      <c r="H211" s="23"/>
      <c r="I211" s="23"/>
      <c r="J211" s="23"/>
    </row>
    <row r="212" customFormat="false" ht="15" hidden="false" customHeight="true" outlineLevel="0" collapsed="false">
      <c r="A212" s="23"/>
      <c r="B212" s="23"/>
      <c r="C212" s="23" t="str">
        <f aca="false">IFERROR(IF(OR(A212="",B212=""),"",INDEX(Equipements!$H:$H,MATCH(A212,Equipements!$A:$A,0))&amp;"."&amp;B212),"")</f>
        <v/>
      </c>
      <c r="D212" s="23"/>
      <c r="E212" s="23"/>
      <c r="F212" s="23"/>
      <c r="G212" s="23"/>
      <c r="H212" s="23"/>
      <c r="I212" s="23"/>
      <c r="J212" s="23"/>
    </row>
    <row r="213" customFormat="false" ht="15" hidden="false" customHeight="true" outlineLevel="0" collapsed="false">
      <c r="A213" s="23"/>
      <c r="B213" s="23"/>
      <c r="C213" s="23" t="str">
        <f aca="false">IFERROR(IF(OR(A213="",B213=""),"",INDEX(Equipements!$H:$H,MATCH(A213,Equipements!$A:$A,0))&amp;"."&amp;B213),"")</f>
        <v/>
      </c>
      <c r="D213" s="23"/>
      <c r="E213" s="23"/>
      <c r="F213" s="23"/>
      <c r="G213" s="23"/>
      <c r="H213" s="23"/>
      <c r="I213" s="23"/>
      <c r="J213" s="23"/>
    </row>
    <row r="214" customFormat="false" ht="15" hidden="false" customHeight="true" outlineLevel="0" collapsed="false">
      <c r="A214" s="23"/>
      <c r="B214" s="23"/>
      <c r="C214" s="23" t="str">
        <f aca="false">IFERROR(IF(OR(A214="",B214=""),"",INDEX(Equipements!$H:$H,MATCH(A214,Equipements!$A:$A,0))&amp;"."&amp;B214),"")</f>
        <v/>
      </c>
      <c r="D214" s="23"/>
      <c r="E214" s="23"/>
      <c r="F214" s="23"/>
      <c r="G214" s="23"/>
      <c r="H214" s="23"/>
      <c r="I214" s="23"/>
      <c r="J214" s="23"/>
    </row>
    <row r="215" customFormat="false" ht="15" hidden="false" customHeight="true" outlineLevel="0" collapsed="false">
      <c r="A215" s="23"/>
      <c r="B215" s="23"/>
      <c r="C215" s="23" t="str">
        <f aca="false">IFERROR(IF(OR(A215="",B215=""),"",INDEX(Equipements!$H:$H,MATCH(A215,Equipements!$A:$A,0))&amp;"."&amp;B215),"")</f>
        <v/>
      </c>
      <c r="D215" s="23"/>
      <c r="E215" s="23"/>
      <c r="F215" s="23"/>
      <c r="G215" s="23"/>
      <c r="H215" s="23"/>
      <c r="I215" s="23"/>
      <c r="J215" s="23"/>
    </row>
    <row r="216" customFormat="false" ht="15" hidden="false" customHeight="true" outlineLevel="0" collapsed="false">
      <c r="A216" s="23"/>
      <c r="B216" s="23"/>
      <c r="C216" s="23" t="str">
        <f aca="false">IFERROR(IF(OR(A216="",B216=""),"",INDEX(Equipements!$H:$H,MATCH(A216,Equipements!$A:$A,0))&amp;"."&amp;B216),"")</f>
        <v/>
      </c>
      <c r="D216" s="23"/>
      <c r="E216" s="23"/>
      <c r="F216" s="23"/>
      <c r="G216" s="23"/>
      <c r="H216" s="23"/>
      <c r="I216" s="23"/>
      <c r="J216" s="23"/>
    </row>
    <row r="217" customFormat="false" ht="15" hidden="false" customHeight="true" outlineLevel="0" collapsed="false">
      <c r="A217" s="23"/>
      <c r="B217" s="23"/>
      <c r="C217" s="23" t="str">
        <f aca="false">IFERROR(IF(OR(A217="",B217=""),"",INDEX(Equipements!$H:$H,MATCH(A217,Equipements!$A:$A,0))&amp;"."&amp;B217),"")</f>
        <v/>
      </c>
      <c r="D217" s="23"/>
      <c r="E217" s="23"/>
      <c r="F217" s="23"/>
      <c r="G217" s="23"/>
      <c r="H217" s="23"/>
      <c r="I217" s="23"/>
      <c r="J217" s="23"/>
    </row>
    <row r="218" customFormat="false" ht="15" hidden="false" customHeight="true" outlineLevel="0" collapsed="false">
      <c r="A218" s="23"/>
      <c r="B218" s="23"/>
      <c r="C218" s="23" t="str">
        <f aca="false">IFERROR(IF(OR(A218="",B218=""),"",INDEX(Equipements!$H:$H,MATCH(A218,Equipements!$A:$A,0))&amp;"."&amp;B218),"")</f>
        <v/>
      </c>
      <c r="D218" s="23"/>
      <c r="E218" s="23"/>
      <c r="F218" s="23"/>
      <c r="G218" s="23"/>
      <c r="H218" s="23"/>
      <c r="I218" s="23"/>
      <c r="J218" s="23"/>
    </row>
    <row r="219" customFormat="false" ht="15" hidden="false" customHeight="true" outlineLevel="0" collapsed="false">
      <c r="A219" s="23"/>
      <c r="B219" s="23"/>
      <c r="C219" s="23" t="str">
        <f aca="false">IFERROR(IF(OR(A219="",B219=""),"",INDEX(Equipements!$H:$H,MATCH(A219,Equipements!$A:$A,0))&amp;"."&amp;B219),"")</f>
        <v/>
      </c>
      <c r="D219" s="23"/>
      <c r="E219" s="23"/>
      <c r="F219" s="23"/>
      <c r="G219" s="23"/>
      <c r="H219" s="23"/>
      <c r="I219" s="23"/>
      <c r="J219" s="23"/>
    </row>
    <row r="220" customFormat="false" ht="15" hidden="false" customHeight="true" outlineLevel="0" collapsed="false">
      <c r="A220" s="23"/>
      <c r="B220" s="23"/>
      <c r="C220" s="23" t="str">
        <f aca="false">IFERROR(IF(OR(A220="",B220=""),"",INDEX(Equipements!$H:$H,MATCH(A220,Equipements!$A:$A,0))&amp;"."&amp;B220),"")</f>
        <v/>
      </c>
      <c r="D220" s="23"/>
      <c r="E220" s="23"/>
      <c r="F220" s="23"/>
      <c r="G220" s="23"/>
      <c r="H220" s="23"/>
      <c r="I220" s="23"/>
      <c r="J220" s="23"/>
    </row>
    <row r="221" customFormat="false" ht="15" hidden="false" customHeight="true" outlineLevel="0" collapsed="false">
      <c r="A221" s="23"/>
      <c r="B221" s="23"/>
      <c r="C221" s="23" t="str">
        <f aca="false">IFERROR(IF(OR(A221="",B221=""),"",INDEX(Equipements!$H:$H,MATCH(A221,Equipements!$A:$A,0))&amp;"."&amp;B221),"")</f>
        <v/>
      </c>
      <c r="D221" s="23"/>
      <c r="E221" s="23"/>
      <c r="F221" s="23"/>
      <c r="G221" s="23"/>
      <c r="H221" s="23"/>
      <c r="I221" s="23"/>
      <c r="J221" s="23"/>
    </row>
    <row r="222" customFormat="false" ht="15" hidden="false" customHeight="true" outlineLevel="0" collapsed="false">
      <c r="A222" s="23"/>
      <c r="B222" s="23"/>
      <c r="C222" s="23" t="str">
        <f aca="false">IFERROR(IF(OR(A222="",B222=""),"",INDEX(Equipements!$H:$H,MATCH(A222,Equipements!$A:$A,0))&amp;"."&amp;B222),"")</f>
        <v/>
      </c>
      <c r="D222" s="23"/>
      <c r="E222" s="23"/>
      <c r="F222" s="23"/>
      <c r="G222" s="23"/>
      <c r="H222" s="23"/>
      <c r="I222" s="23"/>
      <c r="J222" s="23"/>
    </row>
    <row r="223" customFormat="false" ht="15" hidden="false" customHeight="true" outlineLevel="0" collapsed="false">
      <c r="A223" s="23"/>
      <c r="B223" s="23"/>
      <c r="C223" s="23" t="str">
        <f aca="false">IFERROR(IF(OR(A223="",B223=""),"",INDEX(Equipements!$H:$H,MATCH(A223,Equipements!$A:$A,0))&amp;"."&amp;B223),"")</f>
        <v/>
      </c>
      <c r="D223" s="23"/>
      <c r="E223" s="23"/>
      <c r="F223" s="23"/>
      <c r="G223" s="23"/>
      <c r="H223" s="23"/>
      <c r="I223" s="23"/>
      <c r="J223" s="23"/>
    </row>
    <row r="224" customFormat="false" ht="15" hidden="false" customHeight="true" outlineLevel="0" collapsed="false">
      <c r="A224" s="23"/>
      <c r="B224" s="23"/>
      <c r="C224" s="23" t="str">
        <f aca="false">IFERROR(IF(OR(A224="",B224=""),"",INDEX(Equipements!$H:$H,MATCH(A224,Equipements!$A:$A,0))&amp;"."&amp;B224),"")</f>
        <v/>
      </c>
      <c r="D224" s="23"/>
      <c r="E224" s="23"/>
      <c r="F224" s="23"/>
      <c r="G224" s="23"/>
      <c r="H224" s="23"/>
      <c r="I224" s="23"/>
      <c r="J224" s="23"/>
    </row>
    <row r="225" customFormat="false" ht="15" hidden="false" customHeight="true" outlineLevel="0" collapsed="false">
      <c r="A225" s="23"/>
      <c r="B225" s="23"/>
      <c r="C225" s="23" t="str">
        <f aca="false">IFERROR(IF(OR(A225="",B225=""),"",INDEX(Equipements!$H:$H,MATCH(A225,Equipements!$A:$A,0))&amp;"."&amp;B225),"")</f>
        <v/>
      </c>
      <c r="D225" s="23"/>
      <c r="E225" s="23"/>
      <c r="F225" s="23"/>
      <c r="G225" s="23"/>
      <c r="H225" s="23"/>
      <c r="I225" s="23"/>
      <c r="J225" s="23"/>
    </row>
    <row r="226" customFormat="false" ht="15" hidden="false" customHeight="true" outlineLevel="0" collapsed="false">
      <c r="A226" s="23"/>
      <c r="B226" s="23"/>
      <c r="C226" s="23" t="str">
        <f aca="false">IFERROR(IF(OR(A226="",B226=""),"",INDEX(Equipements!$H:$H,MATCH(A226,Equipements!$A:$A,0))&amp;"."&amp;B226),"")</f>
        <v/>
      </c>
      <c r="D226" s="23"/>
      <c r="E226" s="23"/>
      <c r="F226" s="23"/>
      <c r="G226" s="23"/>
      <c r="H226" s="23"/>
      <c r="I226" s="23"/>
      <c r="J226" s="23"/>
    </row>
    <row r="227" customFormat="false" ht="15" hidden="false" customHeight="true" outlineLevel="0" collapsed="false">
      <c r="A227" s="23"/>
      <c r="B227" s="23"/>
      <c r="C227" s="23" t="str">
        <f aca="false">IFERROR(IF(OR(A227="",B227=""),"",INDEX(Equipements!$H:$H,MATCH(A227,Equipements!$A:$A,0))&amp;"."&amp;B227),"")</f>
        <v/>
      </c>
      <c r="D227" s="23"/>
      <c r="E227" s="23"/>
      <c r="F227" s="23"/>
      <c r="G227" s="23"/>
      <c r="H227" s="23"/>
      <c r="I227" s="23"/>
      <c r="J227" s="23"/>
    </row>
    <row r="228" customFormat="false" ht="15" hidden="false" customHeight="true" outlineLevel="0" collapsed="false">
      <c r="A228" s="23"/>
      <c r="B228" s="23"/>
      <c r="C228" s="23" t="str">
        <f aca="false">IFERROR(IF(OR(A228="",B228=""),"",INDEX(Equipements!$H:$H,MATCH(A228,Equipements!$A:$A,0))&amp;"."&amp;B228),"")</f>
        <v/>
      </c>
      <c r="D228" s="23"/>
      <c r="E228" s="23"/>
      <c r="F228" s="23"/>
      <c r="G228" s="23"/>
      <c r="H228" s="23"/>
      <c r="I228" s="23"/>
      <c r="J228" s="23"/>
    </row>
    <row r="229" customFormat="false" ht="15" hidden="false" customHeight="true" outlineLevel="0" collapsed="false">
      <c r="A229" s="23"/>
      <c r="B229" s="23"/>
      <c r="C229" s="23" t="str">
        <f aca="false">IFERROR(IF(OR(A229="",B229=""),"",INDEX(Equipements!$H:$H,MATCH(A229,Equipements!$A:$A,0))&amp;"."&amp;B229),"")</f>
        <v/>
      </c>
      <c r="D229" s="23"/>
      <c r="E229" s="23"/>
      <c r="F229" s="23"/>
      <c r="G229" s="23"/>
      <c r="H229" s="23"/>
      <c r="I229" s="23"/>
      <c r="J229" s="23"/>
    </row>
    <row r="230" customFormat="false" ht="15" hidden="false" customHeight="true" outlineLevel="0" collapsed="false">
      <c r="A230" s="23"/>
      <c r="B230" s="23"/>
      <c r="C230" s="23" t="str">
        <f aca="false">IFERROR(IF(OR(A230="",B230=""),"",INDEX(Equipements!$H:$H,MATCH(A230,Equipements!$A:$A,0))&amp;"."&amp;B230),"")</f>
        <v/>
      </c>
      <c r="D230" s="23"/>
      <c r="E230" s="23"/>
      <c r="F230" s="23"/>
      <c r="G230" s="23"/>
      <c r="H230" s="23"/>
      <c r="I230" s="23"/>
      <c r="J230" s="23"/>
    </row>
    <row r="231" customFormat="false" ht="15" hidden="false" customHeight="true" outlineLevel="0" collapsed="false">
      <c r="A231" s="23"/>
      <c r="B231" s="23"/>
      <c r="C231" s="23" t="str">
        <f aca="false">IFERROR(IF(OR(A231="",B231=""),"",INDEX(Equipements!$H:$H,MATCH(A231,Equipements!$A:$A,0))&amp;"."&amp;B231),"")</f>
        <v/>
      </c>
      <c r="D231" s="23"/>
      <c r="E231" s="23"/>
      <c r="F231" s="23"/>
      <c r="G231" s="23"/>
      <c r="H231" s="23"/>
      <c r="I231" s="23"/>
      <c r="J231" s="23"/>
    </row>
    <row r="232" customFormat="false" ht="15" hidden="false" customHeight="true" outlineLevel="0" collapsed="false">
      <c r="A232" s="23"/>
      <c r="B232" s="23"/>
      <c r="C232" s="23" t="str">
        <f aca="false">IFERROR(IF(OR(A232="",B232=""),"",INDEX(Equipements!$H:$H,MATCH(A232,Equipements!$A:$A,0))&amp;"."&amp;B232),"")</f>
        <v/>
      </c>
      <c r="D232" s="23"/>
      <c r="E232" s="23"/>
      <c r="F232" s="23"/>
      <c r="G232" s="23"/>
      <c r="H232" s="23"/>
      <c r="I232" s="23"/>
      <c r="J232" s="23"/>
    </row>
    <row r="233" customFormat="false" ht="15" hidden="false" customHeight="true" outlineLevel="0" collapsed="false">
      <c r="A233" s="23"/>
      <c r="B233" s="23"/>
      <c r="C233" s="23" t="str">
        <f aca="false">IFERROR(IF(OR(A233="",B233=""),"",INDEX(Equipements!$H:$H,MATCH(A233,Equipements!$A:$A,0))&amp;"."&amp;B233),"")</f>
        <v/>
      </c>
      <c r="D233" s="23"/>
      <c r="E233" s="23"/>
      <c r="F233" s="23"/>
      <c r="G233" s="23"/>
      <c r="H233" s="23"/>
      <c r="I233" s="23"/>
      <c r="J233" s="23"/>
    </row>
    <row r="234" customFormat="false" ht="15" hidden="false" customHeight="true" outlineLevel="0" collapsed="false">
      <c r="A234" s="23"/>
      <c r="B234" s="23"/>
      <c r="C234" s="23" t="str">
        <f aca="false">IFERROR(IF(OR(A234="",B234=""),"",INDEX(Equipements!$H:$H,MATCH(A234,Equipements!$A:$A,0))&amp;"."&amp;B234),"")</f>
        <v/>
      </c>
      <c r="D234" s="23"/>
      <c r="E234" s="23"/>
      <c r="F234" s="23"/>
      <c r="G234" s="23"/>
      <c r="H234" s="23"/>
      <c r="I234" s="23"/>
      <c r="J234" s="23"/>
    </row>
    <row r="235" customFormat="false" ht="15" hidden="false" customHeight="true" outlineLevel="0" collapsed="false">
      <c r="A235" s="23"/>
      <c r="B235" s="23"/>
      <c r="C235" s="23" t="str">
        <f aca="false">IFERROR(IF(OR(A235="",B235=""),"",INDEX(Equipements!$H:$H,MATCH(A235,Equipements!$A:$A,0))&amp;"."&amp;B235),"")</f>
        <v/>
      </c>
      <c r="D235" s="23"/>
      <c r="E235" s="23"/>
      <c r="F235" s="23"/>
      <c r="G235" s="23"/>
      <c r="H235" s="23"/>
      <c r="I235" s="23"/>
      <c r="J235" s="23"/>
    </row>
    <row r="236" customFormat="false" ht="15" hidden="false" customHeight="true" outlineLevel="0" collapsed="false">
      <c r="A236" s="23"/>
      <c r="B236" s="23"/>
      <c r="C236" s="23" t="str">
        <f aca="false">IFERROR(IF(OR(A236="",B236=""),"",INDEX(Equipements!$H:$H,MATCH(A236,Equipements!$A:$A,0))&amp;"."&amp;B236),"")</f>
        <v/>
      </c>
      <c r="D236" s="23"/>
      <c r="E236" s="23"/>
      <c r="F236" s="23"/>
      <c r="G236" s="23"/>
      <c r="H236" s="23"/>
      <c r="I236" s="23"/>
      <c r="J236" s="23"/>
    </row>
    <row r="237" customFormat="false" ht="15" hidden="false" customHeight="true" outlineLevel="0" collapsed="false">
      <c r="A237" s="23"/>
      <c r="B237" s="23"/>
      <c r="C237" s="23" t="str">
        <f aca="false">IFERROR(IF(OR(A237="",B237=""),"",INDEX(Equipements!$H:$H,MATCH(A237,Equipements!$A:$A,0))&amp;"."&amp;B237),"")</f>
        <v/>
      </c>
      <c r="D237" s="23"/>
      <c r="E237" s="23"/>
      <c r="F237" s="23"/>
      <c r="G237" s="23"/>
      <c r="H237" s="23"/>
      <c r="I237" s="23"/>
      <c r="J237" s="23"/>
    </row>
    <row r="238" customFormat="false" ht="15" hidden="false" customHeight="true" outlineLevel="0" collapsed="false">
      <c r="A238" s="23"/>
      <c r="B238" s="23"/>
      <c r="C238" s="23" t="str">
        <f aca="false">IFERROR(IF(OR(A238="",B238=""),"",INDEX(Equipements!$H:$H,MATCH(A238,Equipements!$A:$A,0))&amp;"."&amp;B238),"")</f>
        <v/>
      </c>
      <c r="D238" s="23"/>
      <c r="E238" s="23"/>
      <c r="F238" s="23"/>
      <c r="G238" s="23"/>
      <c r="H238" s="23"/>
      <c r="I238" s="23"/>
      <c r="J238" s="23"/>
    </row>
    <row r="239" customFormat="false" ht="15" hidden="false" customHeight="true" outlineLevel="0" collapsed="false">
      <c r="A239" s="23"/>
      <c r="B239" s="23"/>
      <c r="C239" s="23" t="str">
        <f aca="false">IFERROR(IF(OR(A239="",B239=""),"",INDEX(Equipements!$H:$H,MATCH(A239,Equipements!$A:$A,0))&amp;"."&amp;B239),"")</f>
        <v/>
      </c>
      <c r="D239" s="23"/>
      <c r="E239" s="23"/>
      <c r="F239" s="23"/>
      <c r="G239" s="23"/>
      <c r="H239" s="23"/>
      <c r="I239" s="23"/>
      <c r="J239" s="23"/>
    </row>
    <row r="240" customFormat="false" ht="15" hidden="false" customHeight="true" outlineLevel="0" collapsed="false">
      <c r="A240" s="23"/>
      <c r="B240" s="23"/>
      <c r="C240" s="23" t="str">
        <f aca="false">IFERROR(IF(OR(A240="",B240=""),"",INDEX(Equipements!$H:$H,MATCH(A240,Equipements!$A:$A,0))&amp;"."&amp;B240),"")</f>
        <v/>
      </c>
      <c r="D240" s="23"/>
      <c r="E240" s="23"/>
      <c r="F240" s="23"/>
      <c r="G240" s="23"/>
      <c r="H240" s="23"/>
      <c r="I240" s="23"/>
      <c r="J240" s="23"/>
    </row>
    <row r="241" customFormat="false" ht="15" hidden="false" customHeight="true" outlineLevel="0" collapsed="false">
      <c r="A241" s="23"/>
      <c r="B241" s="23"/>
      <c r="C241" s="23" t="str">
        <f aca="false">IFERROR(IF(OR(A241="",B241=""),"",INDEX(Equipements!$H:$H,MATCH(A241,Equipements!$A:$A,0))&amp;"."&amp;B241),"")</f>
        <v/>
      </c>
      <c r="D241" s="23"/>
      <c r="E241" s="23"/>
      <c r="F241" s="23"/>
      <c r="G241" s="23"/>
      <c r="H241" s="23"/>
      <c r="I241" s="23"/>
      <c r="J241" s="23"/>
    </row>
    <row r="242" customFormat="false" ht="15" hidden="false" customHeight="true" outlineLevel="0" collapsed="false">
      <c r="A242" s="23"/>
      <c r="B242" s="23"/>
      <c r="C242" s="23" t="str">
        <f aca="false">IFERROR(IF(OR(A242="",B242=""),"",INDEX(Equipements!$H:$H,MATCH(A242,Equipements!$A:$A,0))&amp;"."&amp;B242),"")</f>
        <v/>
      </c>
      <c r="D242" s="23"/>
      <c r="E242" s="23"/>
      <c r="F242" s="23"/>
      <c r="G242" s="23"/>
      <c r="H242" s="23"/>
      <c r="I242" s="23"/>
      <c r="J242" s="23"/>
    </row>
    <row r="243" customFormat="false" ht="15" hidden="false" customHeight="true" outlineLevel="0" collapsed="false">
      <c r="A243" s="23"/>
      <c r="B243" s="23"/>
      <c r="C243" s="23" t="str">
        <f aca="false">IFERROR(IF(OR(A243="",B243=""),"",INDEX(Equipements!$H:$H,MATCH(A243,Equipements!$A:$A,0))&amp;"."&amp;B243),"")</f>
        <v/>
      </c>
      <c r="D243" s="23"/>
      <c r="E243" s="23"/>
      <c r="F243" s="23"/>
      <c r="G243" s="23"/>
      <c r="H243" s="23"/>
      <c r="I243" s="23"/>
      <c r="J243" s="23"/>
    </row>
    <row r="244" customFormat="false" ht="15" hidden="false" customHeight="true" outlineLevel="0" collapsed="false">
      <c r="A244" s="23"/>
      <c r="B244" s="23"/>
      <c r="C244" s="23" t="str">
        <f aca="false">IFERROR(IF(OR(A244="",B244=""),"",INDEX(Equipements!$H:$H,MATCH(A244,Equipements!$A:$A,0))&amp;"."&amp;B244),"")</f>
        <v/>
      </c>
      <c r="D244" s="23"/>
      <c r="E244" s="23"/>
      <c r="F244" s="23"/>
      <c r="G244" s="23"/>
      <c r="H244" s="23"/>
      <c r="I244" s="23"/>
      <c r="J244" s="23"/>
    </row>
    <row r="245" customFormat="false" ht="15" hidden="false" customHeight="true" outlineLevel="0" collapsed="false">
      <c r="A245" s="23"/>
      <c r="B245" s="23"/>
      <c r="C245" s="23" t="str">
        <f aca="false">IFERROR(IF(OR(A245="",B245=""),"",INDEX(Equipements!$H:$H,MATCH(A245,Equipements!$A:$A,0))&amp;"."&amp;B245),"")</f>
        <v/>
      </c>
      <c r="D245" s="23"/>
      <c r="E245" s="23"/>
      <c r="F245" s="23"/>
      <c r="G245" s="23"/>
      <c r="H245" s="23"/>
      <c r="I245" s="23"/>
      <c r="J245" s="23"/>
    </row>
    <row r="246" customFormat="false" ht="15" hidden="false" customHeight="true" outlineLevel="0" collapsed="false">
      <c r="A246" s="23"/>
      <c r="B246" s="23"/>
      <c r="C246" s="23" t="str">
        <f aca="false">IFERROR(IF(OR(A246="",B246=""),"",INDEX(Equipements!$H:$H,MATCH(A246,Equipements!$A:$A,0))&amp;"."&amp;B246),"")</f>
        <v/>
      </c>
      <c r="D246" s="23"/>
      <c r="E246" s="23"/>
      <c r="F246" s="23"/>
      <c r="G246" s="23"/>
      <c r="H246" s="23"/>
      <c r="I246" s="23"/>
      <c r="J246" s="23"/>
    </row>
    <row r="247" customFormat="false" ht="15" hidden="false" customHeight="true" outlineLevel="0" collapsed="false">
      <c r="A247" s="23"/>
      <c r="B247" s="23"/>
      <c r="C247" s="23" t="str">
        <f aca="false">IFERROR(IF(OR(A247="",B247=""),"",INDEX(Equipements!$H:$H,MATCH(A247,Equipements!$A:$A,0))&amp;"."&amp;B247),"")</f>
        <v/>
      </c>
      <c r="D247" s="23"/>
      <c r="E247" s="23"/>
      <c r="F247" s="23"/>
      <c r="G247" s="23"/>
      <c r="H247" s="23"/>
      <c r="I247" s="23"/>
      <c r="J247" s="23"/>
    </row>
    <row r="248" customFormat="false" ht="15" hidden="false" customHeight="true" outlineLevel="0" collapsed="false">
      <c r="A248" s="23"/>
      <c r="B248" s="23"/>
      <c r="C248" s="23" t="str">
        <f aca="false">IFERROR(IF(OR(A248="",B248=""),"",INDEX(Equipements!$H:$H,MATCH(A248,Equipements!$A:$A,0))&amp;"."&amp;B248),"")</f>
        <v/>
      </c>
      <c r="D248" s="23"/>
      <c r="E248" s="23"/>
      <c r="F248" s="23"/>
      <c r="G248" s="23"/>
      <c r="H248" s="23"/>
      <c r="I248" s="23"/>
      <c r="J248" s="23"/>
    </row>
    <row r="249" customFormat="false" ht="15" hidden="false" customHeight="true" outlineLevel="0" collapsed="false">
      <c r="A249" s="23"/>
      <c r="B249" s="23"/>
      <c r="C249" s="23" t="str">
        <f aca="false">IFERROR(IF(OR(A249="",B249=""),"",INDEX(Equipements!$H:$H,MATCH(A249,Equipements!$A:$A,0))&amp;"."&amp;B249),"")</f>
        <v/>
      </c>
      <c r="D249" s="23"/>
      <c r="E249" s="23"/>
      <c r="F249" s="23"/>
      <c r="G249" s="23"/>
      <c r="H249" s="23"/>
      <c r="I249" s="23"/>
      <c r="J249" s="23"/>
    </row>
    <row r="250" customFormat="false" ht="15" hidden="false" customHeight="true" outlineLevel="0" collapsed="false">
      <c r="A250" s="23"/>
      <c r="B250" s="23"/>
      <c r="C250" s="23" t="str">
        <f aca="false">IFERROR(IF(OR(A250="",B250=""),"",INDEX(Equipements!$H:$H,MATCH(A250,Equipements!$A:$A,0))&amp;"."&amp;B250),"")</f>
        <v/>
      </c>
      <c r="D250" s="23"/>
      <c r="E250" s="23"/>
      <c r="F250" s="23"/>
      <c r="G250" s="23"/>
      <c r="H250" s="23"/>
      <c r="I250" s="23"/>
      <c r="J250" s="23"/>
    </row>
    <row r="251" customFormat="false" ht="15" hidden="false" customHeight="true" outlineLevel="0" collapsed="false">
      <c r="A251" s="23"/>
      <c r="B251" s="23"/>
      <c r="C251" s="23" t="str">
        <f aca="false">IFERROR(IF(OR(A251="",B251=""),"",INDEX(Equipements!$H:$H,MATCH(A251,Equipements!$A:$A,0))&amp;"."&amp;B251),"")</f>
        <v/>
      </c>
      <c r="D251" s="23"/>
      <c r="E251" s="23"/>
      <c r="F251" s="23"/>
      <c r="G251" s="23"/>
      <c r="H251" s="23"/>
      <c r="I251" s="23"/>
      <c r="J251" s="23"/>
    </row>
    <row r="252" customFormat="false" ht="15" hidden="false" customHeight="true" outlineLevel="0" collapsed="false">
      <c r="A252" s="23"/>
      <c r="B252" s="23"/>
      <c r="C252" s="23" t="str">
        <f aca="false">IFERROR(IF(OR(A252="",B252=""),"",INDEX(Equipements!$H:$H,MATCH(A252,Equipements!$A:$A,0))&amp;"."&amp;B252),"")</f>
        <v/>
      </c>
      <c r="D252" s="23"/>
      <c r="E252" s="23"/>
      <c r="F252" s="23"/>
      <c r="G252" s="23"/>
      <c r="H252" s="23"/>
      <c r="I252" s="23"/>
      <c r="J252" s="23"/>
    </row>
    <row r="253" customFormat="false" ht="15" hidden="false" customHeight="true" outlineLevel="0" collapsed="false">
      <c r="A253" s="23"/>
      <c r="B253" s="23"/>
      <c r="C253" s="23" t="str">
        <f aca="false">IFERROR(IF(OR(A253="",B253=""),"",INDEX(Equipements!$H:$H,MATCH(A253,Equipements!$A:$A,0))&amp;"."&amp;B253),"")</f>
        <v/>
      </c>
      <c r="D253" s="23"/>
      <c r="E253" s="23"/>
      <c r="F253" s="23"/>
      <c r="G253" s="23"/>
      <c r="H253" s="23"/>
      <c r="I253" s="23"/>
      <c r="J253" s="23"/>
    </row>
    <row r="254" customFormat="false" ht="15" hidden="false" customHeight="true" outlineLevel="0" collapsed="false">
      <c r="A254" s="23"/>
      <c r="B254" s="23"/>
      <c r="C254" s="23" t="str">
        <f aca="false">IFERROR(IF(OR(A254="",B254=""),"",INDEX(Equipements!$H:$H,MATCH(A254,Equipements!$A:$A,0))&amp;"."&amp;B254),"")</f>
        <v/>
      </c>
      <c r="D254" s="23"/>
      <c r="E254" s="23"/>
      <c r="F254" s="23"/>
      <c r="G254" s="23"/>
      <c r="H254" s="23"/>
      <c r="I254" s="23"/>
      <c r="J254" s="23"/>
    </row>
    <row r="255" customFormat="false" ht="15" hidden="false" customHeight="true" outlineLevel="0" collapsed="false">
      <c r="A255" s="23"/>
      <c r="B255" s="23"/>
      <c r="C255" s="23" t="str">
        <f aca="false">IFERROR(IF(OR(A255="",B255=""),"",INDEX(Equipements!$H:$H,MATCH(A255,Equipements!$A:$A,0))&amp;"."&amp;B255),"")</f>
        <v/>
      </c>
      <c r="D255" s="23"/>
      <c r="E255" s="23"/>
      <c r="F255" s="23"/>
      <c r="G255" s="23"/>
      <c r="H255" s="23"/>
      <c r="I255" s="23"/>
      <c r="J255" s="23"/>
    </row>
    <row r="256" customFormat="false" ht="15" hidden="false" customHeight="true" outlineLevel="0" collapsed="false">
      <c r="A256" s="23"/>
      <c r="B256" s="23"/>
      <c r="C256" s="23" t="str">
        <f aca="false">IFERROR(IF(OR(A256="",B256=""),"",INDEX(Equipements!$H:$H,MATCH(A256,Equipements!$A:$A,0))&amp;"."&amp;B256),"")</f>
        <v/>
      </c>
      <c r="D256" s="23"/>
      <c r="E256" s="23"/>
      <c r="F256" s="23"/>
      <c r="G256" s="23"/>
      <c r="H256" s="23"/>
      <c r="I256" s="23"/>
      <c r="J256" s="23"/>
    </row>
    <row r="257" customFormat="false" ht="15" hidden="false" customHeight="true" outlineLevel="0" collapsed="false">
      <c r="A257" s="23"/>
      <c r="B257" s="23"/>
      <c r="C257" s="23" t="str">
        <f aca="false">IFERROR(IF(OR(A257="",B257=""),"",INDEX(Equipements!$H:$H,MATCH(A257,Equipements!$A:$A,0))&amp;"."&amp;B257),"")</f>
        <v/>
      </c>
      <c r="D257" s="23"/>
      <c r="E257" s="23"/>
      <c r="F257" s="23"/>
      <c r="G257" s="23"/>
      <c r="H257" s="23"/>
      <c r="I257" s="23"/>
      <c r="J257" s="23"/>
    </row>
    <row r="258" customFormat="false" ht="15" hidden="false" customHeight="true" outlineLevel="0" collapsed="false">
      <c r="A258" s="23"/>
      <c r="B258" s="23"/>
      <c r="C258" s="23" t="str">
        <f aca="false">IFERROR(IF(OR(A258="",B258=""),"",INDEX(Equipements!$H:$H,MATCH(A258,Equipements!$A:$A,0))&amp;"."&amp;B258),"")</f>
        <v/>
      </c>
      <c r="D258" s="23"/>
      <c r="E258" s="23"/>
      <c r="F258" s="23"/>
      <c r="G258" s="23"/>
      <c r="H258" s="23"/>
      <c r="I258" s="23"/>
      <c r="J258" s="23"/>
    </row>
    <row r="259" customFormat="false" ht="15" hidden="false" customHeight="true" outlineLevel="0" collapsed="false">
      <c r="A259" s="23"/>
      <c r="B259" s="23"/>
      <c r="C259" s="23" t="str">
        <f aca="false">IFERROR(IF(OR(A259="",B259=""),"",INDEX(Equipements!$H:$H,MATCH(A259,Equipements!$A:$A,0))&amp;"."&amp;B259),"")</f>
        <v/>
      </c>
      <c r="D259" s="23"/>
      <c r="E259" s="23"/>
      <c r="F259" s="23"/>
      <c r="G259" s="23"/>
      <c r="H259" s="23"/>
      <c r="I259" s="23"/>
      <c r="J259" s="23"/>
    </row>
    <row r="260" customFormat="false" ht="15" hidden="false" customHeight="true" outlineLevel="0" collapsed="false">
      <c r="A260" s="23"/>
      <c r="B260" s="23"/>
      <c r="C260" s="23" t="str">
        <f aca="false">IFERROR(IF(OR(A260="",B260=""),"",INDEX(Equipements!$H:$H,MATCH(A260,Equipements!$A:$A,0))&amp;"."&amp;B260),"")</f>
        <v/>
      </c>
      <c r="D260" s="23"/>
      <c r="E260" s="23"/>
      <c r="F260" s="23"/>
      <c r="G260" s="23"/>
      <c r="H260" s="23"/>
      <c r="I260" s="23"/>
      <c r="J260" s="23"/>
    </row>
    <row r="261" customFormat="false" ht="15" hidden="false" customHeight="true" outlineLevel="0" collapsed="false">
      <c r="A261" s="23"/>
      <c r="B261" s="23"/>
      <c r="C261" s="23" t="str">
        <f aca="false">IFERROR(IF(OR(A261="",B261=""),"",INDEX(Equipements!$H:$H,MATCH(A261,Equipements!$A:$A,0))&amp;"."&amp;B261),"")</f>
        <v/>
      </c>
      <c r="D261" s="23"/>
      <c r="E261" s="23"/>
      <c r="F261" s="23"/>
      <c r="G261" s="23"/>
      <c r="H261" s="23"/>
      <c r="I261" s="23"/>
      <c r="J261" s="23"/>
    </row>
    <row r="262" customFormat="false" ht="15" hidden="false" customHeight="true" outlineLevel="0" collapsed="false">
      <c r="A262" s="23"/>
      <c r="B262" s="23"/>
      <c r="C262" s="23" t="str">
        <f aca="false">IFERROR(IF(OR(A262="",B262=""),"",INDEX(Equipements!$H:$H,MATCH(A262,Equipements!$A:$A,0))&amp;"."&amp;B262),"")</f>
        <v/>
      </c>
      <c r="D262" s="23"/>
      <c r="E262" s="23"/>
      <c r="F262" s="23"/>
      <c r="G262" s="23"/>
      <c r="H262" s="23"/>
      <c r="I262" s="23"/>
      <c r="J262" s="23"/>
    </row>
    <row r="263" customFormat="false" ht="15" hidden="false" customHeight="true" outlineLevel="0" collapsed="false">
      <c r="A263" s="23"/>
      <c r="B263" s="23"/>
      <c r="C263" s="23" t="str">
        <f aca="false">IFERROR(IF(OR(A263="",B263=""),"",INDEX(Equipements!$H:$H,MATCH(A263,Equipements!$A:$A,0))&amp;"."&amp;B263),"")</f>
        <v/>
      </c>
      <c r="D263" s="23"/>
      <c r="E263" s="23"/>
      <c r="F263" s="23"/>
      <c r="G263" s="23"/>
      <c r="H263" s="23"/>
      <c r="I263" s="23"/>
      <c r="J263" s="23"/>
    </row>
    <row r="264" customFormat="false" ht="15" hidden="false" customHeight="true" outlineLevel="0" collapsed="false">
      <c r="A264" s="23"/>
      <c r="B264" s="23"/>
      <c r="C264" s="23" t="str">
        <f aca="false">IFERROR(IF(OR(A264="",B264=""),"",INDEX(Equipements!$H:$H,MATCH(A264,Equipements!$A:$A,0))&amp;"."&amp;B264),"")</f>
        <v/>
      </c>
      <c r="D264" s="23"/>
      <c r="E264" s="23"/>
      <c r="F264" s="23"/>
      <c r="G264" s="23"/>
      <c r="H264" s="23"/>
      <c r="I264" s="23"/>
      <c r="J264" s="23"/>
    </row>
    <row r="265" customFormat="false" ht="15" hidden="false" customHeight="true" outlineLevel="0" collapsed="false">
      <c r="A265" s="23"/>
      <c r="B265" s="23"/>
      <c r="C265" s="23" t="str">
        <f aca="false">IFERROR(IF(OR(A265="",B265=""),"",INDEX(Equipements!$H:$H,MATCH(A265,Equipements!$A:$A,0))&amp;"."&amp;B265),"")</f>
        <v/>
      </c>
      <c r="D265" s="23"/>
      <c r="E265" s="23"/>
      <c r="F265" s="23"/>
      <c r="G265" s="23"/>
      <c r="H265" s="23"/>
      <c r="I265" s="23"/>
      <c r="J265" s="23"/>
    </row>
    <row r="266" customFormat="false" ht="15" hidden="false" customHeight="true" outlineLevel="0" collapsed="false">
      <c r="A266" s="23"/>
      <c r="B266" s="23"/>
      <c r="C266" s="23" t="str">
        <f aca="false">IFERROR(IF(OR(A266="",B266=""),"",INDEX(Equipements!$H:$H,MATCH(A266,Equipements!$A:$A,0))&amp;"."&amp;B266),"")</f>
        <v/>
      </c>
      <c r="D266" s="23"/>
      <c r="E266" s="23"/>
      <c r="F266" s="23"/>
      <c r="G266" s="23"/>
      <c r="H266" s="23"/>
      <c r="I266" s="23"/>
      <c r="J266" s="23"/>
    </row>
    <row r="267" customFormat="false" ht="15" hidden="false" customHeight="true" outlineLevel="0" collapsed="false">
      <c r="A267" s="23"/>
      <c r="B267" s="23"/>
      <c r="C267" s="23" t="str">
        <f aca="false">IFERROR(IF(OR(A267="",B267=""),"",INDEX(Equipements!$H:$H,MATCH(A267,Equipements!$A:$A,0))&amp;"."&amp;B267),"")</f>
        <v/>
      </c>
      <c r="D267" s="23"/>
      <c r="E267" s="23"/>
      <c r="F267" s="23"/>
      <c r="G267" s="23"/>
      <c r="H267" s="23"/>
      <c r="I267" s="23"/>
      <c r="J267" s="23"/>
    </row>
    <row r="268" customFormat="false" ht="15" hidden="false" customHeight="true" outlineLevel="0" collapsed="false">
      <c r="A268" s="23"/>
      <c r="B268" s="23"/>
      <c r="C268" s="23" t="str">
        <f aca="false">IFERROR(IF(OR(A268="",B268=""),"",INDEX(Equipements!$H:$H,MATCH(A268,Equipements!$A:$A,0))&amp;"."&amp;B268),"")</f>
        <v/>
      </c>
      <c r="D268" s="23"/>
      <c r="E268" s="23"/>
      <c r="F268" s="23"/>
      <c r="G268" s="23"/>
      <c r="H268" s="23"/>
      <c r="I268" s="23"/>
      <c r="J268" s="23"/>
    </row>
    <row r="269" customFormat="false" ht="15" hidden="false" customHeight="true" outlineLevel="0" collapsed="false">
      <c r="A269" s="23"/>
      <c r="B269" s="23"/>
      <c r="C269" s="23" t="str">
        <f aca="false">IFERROR(IF(OR(A269="",B269=""),"",INDEX(Equipements!$H:$H,MATCH(A269,Equipements!$A:$A,0))&amp;"."&amp;B269),"")</f>
        <v/>
      </c>
      <c r="D269" s="23"/>
      <c r="E269" s="23"/>
      <c r="F269" s="23"/>
      <c r="G269" s="23"/>
      <c r="H269" s="23"/>
      <c r="I269" s="23"/>
      <c r="J269" s="23"/>
    </row>
    <row r="270" customFormat="false" ht="15" hidden="false" customHeight="true" outlineLevel="0" collapsed="false">
      <c r="A270" s="23"/>
      <c r="B270" s="23"/>
      <c r="C270" s="23" t="str">
        <f aca="false">IFERROR(IF(OR(A270="",B270=""),"",INDEX(Equipements!$H:$H,MATCH(A270,Equipements!$A:$A,0))&amp;"."&amp;B270),"")</f>
        <v/>
      </c>
      <c r="D270" s="23"/>
      <c r="E270" s="23"/>
      <c r="F270" s="23"/>
      <c r="G270" s="23"/>
      <c r="H270" s="23"/>
      <c r="I270" s="23"/>
      <c r="J270" s="23"/>
    </row>
    <row r="271" customFormat="false" ht="15" hidden="false" customHeight="true" outlineLevel="0" collapsed="false">
      <c r="A271" s="23"/>
      <c r="B271" s="23"/>
      <c r="C271" s="23" t="str">
        <f aca="false">IFERROR(IF(OR(A271="",B271=""),"",INDEX(Equipements!$H:$H,MATCH(A271,Equipements!$A:$A,0))&amp;"."&amp;B271),"")</f>
        <v/>
      </c>
      <c r="D271" s="23"/>
      <c r="E271" s="23"/>
      <c r="F271" s="23"/>
      <c r="G271" s="23"/>
      <c r="H271" s="23"/>
      <c r="I271" s="23"/>
      <c r="J271" s="23"/>
    </row>
    <row r="272" customFormat="false" ht="15" hidden="false" customHeight="true" outlineLevel="0" collapsed="false">
      <c r="A272" s="23"/>
      <c r="B272" s="23"/>
      <c r="C272" s="23" t="str">
        <f aca="false">IFERROR(IF(OR(A272="",B272=""),"",INDEX(Equipements!$H:$H,MATCH(A272,Equipements!$A:$A,0))&amp;"."&amp;B272),"")</f>
        <v/>
      </c>
      <c r="D272" s="23"/>
      <c r="E272" s="23"/>
      <c r="F272" s="23"/>
      <c r="G272" s="23"/>
      <c r="H272" s="23"/>
      <c r="I272" s="23"/>
      <c r="J272" s="23"/>
    </row>
    <row r="273" customFormat="false" ht="15" hidden="false" customHeight="true" outlineLevel="0" collapsed="false">
      <c r="A273" s="23"/>
      <c r="B273" s="23"/>
      <c r="C273" s="23" t="str">
        <f aca="false">IFERROR(IF(OR(A273="",B273=""),"",INDEX(Equipements!$H:$H,MATCH(A273,Equipements!$A:$A,0))&amp;"."&amp;B273),"")</f>
        <v/>
      </c>
      <c r="D273" s="23"/>
      <c r="E273" s="23"/>
      <c r="F273" s="23"/>
      <c r="G273" s="23"/>
      <c r="H273" s="23"/>
      <c r="I273" s="23"/>
      <c r="J273" s="23"/>
    </row>
    <row r="274" customFormat="false" ht="15" hidden="false" customHeight="true" outlineLevel="0" collapsed="false">
      <c r="A274" s="23"/>
      <c r="B274" s="23"/>
      <c r="C274" s="23" t="str">
        <f aca="false">IFERROR(IF(OR(A274="",B274=""),"",INDEX(Equipements!$H:$H,MATCH(A274,Equipements!$A:$A,0))&amp;"."&amp;B274),"")</f>
        <v/>
      </c>
      <c r="D274" s="23"/>
      <c r="E274" s="23"/>
      <c r="F274" s="23"/>
      <c r="G274" s="23"/>
      <c r="H274" s="23"/>
      <c r="I274" s="23"/>
      <c r="J274" s="23"/>
    </row>
    <row r="275" customFormat="false" ht="15" hidden="false" customHeight="true" outlineLevel="0" collapsed="false">
      <c r="A275" s="23"/>
      <c r="B275" s="23"/>
      <c r="C275" s="23" t="str">
        <f aca="false">IFERROR(IF(OR(A275="",B275=""),"",INDEX(Equipements!$H:$H,MATCH(A275,Equipements!$A:$A,0))&amp;"."&amp;B275),"")</f>
        <v/>
      </c>
      <c r="D275" s="23"/>
      <c r="E275" s="23"/>
      <c r="F275" s="23"/>
      <c r="G275" s="23"/>
      <c r="H275" s="23"/>
      <c r="I275" s="23"/>
      <c r="J275" s="23"/>
    </row>
    <row r="276" customFormat="false" ht="15" hidden="false" customHeight="true" outlineLevel="0" collapsed="false">
      <c r="A276" s="23"/>
      <c r="B276" s="23"/>
      <c r="C276" s="23" t="str">
        <f aca="false">IFERROR(IF(OR(A276="",B276=""),"",INDEX(Equipements!$H:$H,MATCH(A276,Equipements!$A:$A,0))&amp;"."&amp;B276),"")</f>
        <v/>
      </c>
      <c r="D276" s="23"/>
      <c r="E276" s="23"/>
      <c r="F276" s="23"/>
      <c r="G276" s="23"/>
      <c r="H276" s="23"/>
      <c r="I276" s="23"/>
      <c r="J276" s="23"/>
    </row>
    <row r="277" customFormat="false" ht="15" hidden="false" customHeight="true" outlineLevel="0" collapsed="false">
      <c r="A277" s="23"/>
      <c r="B277" s="23"/>
      <c r="C277" s="23" t="str">
        <f aca="false">IFERROR(IF(OR(A277="",B277=""),"",INDEX(Equipements!$H:$H,MATCH(A277,Equipements!$A:$A,0))&amp;"."&amp;B277),"")</f>
        <v/>
      </c>
      <c r="D277" s="23"/>
      <c r="E277" s="23"/>
      <c r="F277" s="23"/>
      <c r="G277" s="23"/>
      <c r="H277" s="23"/>
      <c r="I277" s="23"/>
      <c r="J277" s="23"/>
    </row>
    <row r="278" customFormat="false" ht="15" hidden="false" customHeight="true" outlineLevel="0" collapsed="false">
      <c r="A278" s="23"/>
      <c r="B278" s="23"/>
      <c r="C278" s="23" t="str">
        <f aca="false">IFERROR(IF(OR(A278="",B278=""),"",INDEX(Equipements!$H:$H,MATCH(A278,Equipements!$A:$A,0))&amp;"."&amp;B278),"")</f>
        <v/>
      </c>
      <c r="D278" s="23"/>
      <c r="E278" s="23"/>
      <c r="F278" s="23"/>
      <c r="G278" s="23"/>
      <c r="H278" s="23"/>
      <c r="I278" s="23"/>
      <c r="J278" s="23"/>
    </row>
    <row r="279" customFormat="false" ht="15" hidden="false" customHeight="true" outlineLevel="0" collapsed="false">
      <c r="A279" s="23"/>
      <c r="B279" s="23"/>
      <c r="C279" s="23" t="str">
        <f aca="false">IFERROR(IF(OR(A279="",B279=""),"",INDEX(Equipements!$H:$H,MATCH(A279,Equipements!$A:$A,0))&amp;"."&amp;B279),"")</f>
        <v/>
      </c>
      <c r="D279" s="23"/>
      <c r="E279" s="23"/>
      <c r="F279" s="23"/>
      <c r="G279" s="23"/>
      <c r="H279" s="23"/>
      <c r="I279" s="23"/>
      <c r="J279" s="23"/>
    </row>
    <row r="280" customFormat="false" ht="15" hidden="false" customHeight="true" outlineLevel="0" collapsed="false">
      <c r="A280" s="23"/>
      <c r="B280" s="23"/>
      <c r="C280" s="23" t="str">
        <f aca="false">IFERROR(IF(OR(A280="",B280=""),"",INDEX(Equipements!$H:$H,MATCH(A280,Equipements!$A:$A,0))&amp;"."&amp;B280),"")</f>
        <v/>
      </c>
      <c r="D280" s="23"/>
      <c r="E280" s="23"/>
      <c r="F280" s="23"/>
      <c r="G280" s="23"/>
      <c r="H280" s="23"/>
      <c r="I280" s="23"/>
      <c r="J280" s="23"/>
    </row>
    <row r="281" customFormat="false" ht="15" hidden="false" customHeight="true" outlineLevel="0" collapsed="false">
      <c r="A281" s="23"/>
      <c r="B281" s="23"/>
      <c r="C281" s="23" t="str">
        <f aca="false">IFERROR(IF(OR(A281="",B281=""),"",INDEX(Equipements!$H:$H,MATCH(A281,Equipements!$A:$A,0))&amp;"."&amp;B281),"")</f>
        <v/>
      </c>
      <c r="D281" s="23"/>
      <c r="E281" s="23"/>
      <c r="F281" s="23"/>
      <c r="G281" s="23"/>
      <c r="H281" s="23"/>
      <c r="I281" s="23"/>
      <c r="J281" s="23"/>
    </row>
    <row r="282" customFormat="false" ht="15" hidden="false" customHeight="true" outlineLevel="0" collapsed="false">
      <c r="A282" s="23"/>
      <c r="B282" s="23"/>
      <c r="C282" s="23" t="str">
        <f aca="false">IFERROR(IF(OR(A282="",B282=""),"",INDEX(Equipements!$H:$H,MATCH(A282,Equipements!$A:$A,0))&amp;"."&amp;B282),"")</f>
        <v/>
      </c>
      <c r="D282" s="23"/>
      <c r="E282" s="23"/>
      <c r="F282" s="23"/>
      <c r="G282" s="23"/>
      <c r="H282" s="23"/>
      <c r="I282" s="23"/>
      <c r="J282" s="23"/>
    </row>
    <row r="283" customFormat="false" ht="15" hidden="false" customHeight="true" outlineLevel="0" collapsed="false">
      <c r="A283" s="23"/>
      <c r="B283" s="23"/>
      <c r="C283" s="23" t="str">
        <f aca="false">IFERROR(IF(OR(A283="",B283=""),"",INDEX(Equipements!$H:$H,MATCH(A283,Equipements!$A:$A,0))&amp;"."&amp;B283),"")</f>
        <v/>
      </c>
      <c r="D283" s="23"/>
      <c r="E283" s="23"/>
      <c r="F283" s="23"/>
      <c r="G283" s="23"/>
      <c r="H283" s="23"/>
      <c r="I283" s="23"/>
      <c r="J283" s="23"/>
    </row>
    <row r="284" customFormat="false" ht="15" hidden="false" customHeight="true" outlineLevel="0" collapsed="false">
      <c r="A284" s="23"/>
      <c r="B284" s="23"/>
      <c r="C284" s="23" t="str">
        <f aca="false">IFERROR(IF(OR(A284="",B284=""),"",INDEX(Equipements!$H:$H,MATCH(A284,Equipements!$A:$A,0))&amp;"."&amp;B284),"")</f>
        <v/>
      </c>
      <c r="D284" s="23"/>
      <c r="E284" s="23"/>
      <c r="F284" s="23"/>
      <c r="G284" s="23"/>
      <c r="H284" s="23"/>
      <c r="I284" s="23"/>
      <c r="J284" s="23"/>
    </row>
    <row r="285" customFormat="false" ht="15" hidden="false" customHeight="true" outlineLevel="0" collapsed="false">
      <c r="A285" s="23"/>
      <c r="B285" s="23"/>
      <c r="C285" s="23" t="str">
        <f aca="false">IFERROR(IF(OR(A285="",B285=""),"",INDEX(Equipements!$H:$H,MATCH(A285,Equipements!$A:$A,0))&amp;"."&amp;B285),"")</f>
        <v/>
      </c>
      <c r="D285" s="23"/>
      <c r="E285" s="23"/>
      <c r="F285" s="23"/>
      <c r="G285" s="23"/>
      <c r="H285" s="23"/>
      <c r="I285" s="23"/>
      <c r="J285" s="23"/>
    </row>
    <row r="286" customFormat="false" ht="15" hidden="false" customHeight="true" outlineLevel="0" collapsed="false">
      <c r="A286" s="23"/>
      <c r="B286" s="23"/>
      <c r="C286" s="23" t="str">
        <f aca="false">IFERROR(IF(OR(A286="",B286=""),"",INDEX(Equipements!$H:$H,MATCH(A286,Equipements!$A:$A,0))&amp;"."&amp;B286),"")</f>
        <v/>
      </c>
      <c r="D286" s="23"/>
      <c r="E286" s="23"/>
      <c r="F286" s="23"/>
      <c r="G286" s="23"/>
      <c r="H286" s="23"/>
      <c r="I286" s="23"/>
      <c r="J286" s="23"/>
    </row>
    <row r="287" customFormat="false" ht="15" hidden="false" customHeight="true" outlineLevel="0" collapsed="false">
      <c r="A287" s="23"/>
      <c r="B287" s="23"/>
      <c r="C287" s="23" t="str">
        <f aca="false">IFERROR(IF(OR(A287="",B287=""),"",INDEX(Equipements!$H:$H,MATCH(A287,Equipements!$A:$A,0))&amp;"."&amp;B287),"")</f>
        <v/>
      </c>
      <c r="D287" s="23"/>
      <c r="E287" s="23"/>
      <c r="F287" s="23"/>
      <c r="G287" s="23"/>
      <c r="H287" s="23"/>
      <c r="I287" s="23"/>
      <c r="J287" s="23"/>
    </row>
    <row r="288" customFormat="false" ht="15" hidden="false" customHeight="true" outlineLevel="0" collapsed="false">
      <c r="A288" s="23"/>
      <c r="B288" s="23"/>
      <c r="C288" s="23" t="str">
        <f aca="false">IFERROR(IF(OR(A288="",B288=""),"",INDEX(Equipements!$H:$H,MATCH(A288,Equipements!$A:$A,0))&amp;"."&amp;B288),"")</f>
        <v/>
      </c>
      <c r="D288" s="23"/>
      <c r="E288" s="23"/>
      <c r="F288" s="23"/>
      <c r="G288" s="23"/>
      <c r="H288" s="23"/>
      <c r="I288" s="23"/>
      <c r="J288" s="23"/>
    </row>
    <row r="289" customFormat="false" ht="15" hidden="false" customHeight="true" outlineLevel="0" collapsed="false">
      <c r="A289" s="23"/>
      <c r="B289" s="23"/>
      <c r="C289" s="23" t="str">
        <f aca="false">IFERROR(IF(OR(A289="",B289=""),"",INDEX(Equipements!$H:$H,MATCH(A289,Equipements!$A:$A,0))&amp;"."&amp;B289),"")</f>
        <v/>
      </c>
      <c r="D289" s="23"/>
      <c r="E289" s="23"/>
      <c r="F289" s="23"/>
      <c r="G289" s="23"/>
      <c r="H289" s="23"/>
      <c r="I289" s="23"/>
      <c r="J289" s="23"/>
    </row>
    <row r="290" customFormat="false" ht="15" hidden="false" customHeight="true" outlineLevel="0" collapsed="false">
      <c r="A290" s="23"/>
      <c r="B290" s="23"/>
      <c r="C290" s="23" t="str">
        <f aca="false">IFERROR(IF(OR(A290="",B290=""),"",INDEX(Equipements!$H:$H,MATCH(A290,Equipements!$A:$A,0))&amp;"."&amp;B290),"")</f>
        <v/>
      </c>
      <c r="D290" s="23"/>
      <c r="E290" s="23"/>
      <c r="F290" s="23"/>
      <c r="G290" s="23"/>
      <c r="H290" s="23"/>
      <c r="I290" s="23"/>
      <c r="J290" s="23"/>
    </row>
    <row r="291" customFormat="false" ht="15" hidden="false" customHeight="true" outlineLevel="0" collapsed="false">
      <c r="A291" s="23"/>
      <c r="B291" s="23"/>
      <c r="C291" s="23" t="str">
        <f aca="false">IFERROR(IF(OR(A291="",B291=""),"",INDEX(Equipements!$H:$H,MATCH(A291,Equipements!$A:$A,0))&amp;"."&amp;B291),"")</f>
        <v/>
      </c>
      <c r="D291" s="23"/>
      <c r="E291" s="23"/>
      <c r="F291" s="23"/>
      <c r="G291" s="23"/>
      <c r="H291" s="23"/>
      <c r="I291" s="23"/>
      <c r="J291" s="23"/>
    </row>
    <row r="292" customFormat="false" ht="15" hidden="false" customHeight="true" outlineLevel="0" collapsed="false">
      <c r="A292" s="23"/>
      <c r="B292" s="23"/>
      <c r="C292" s="23" t="str">
        <f aca="false">IFERROR(IF(OR(A292="",B292=""),"",INDEX(Equipements!$H:$H,MATCH(A292,Equipements!$A:$A,0))&amp;"."&amp;B292),"")</f>
        <v/>
      </c>
      <c r="D292" s="23"/>
      <c r="E292" s="23"/>
      <c r="F292" s="23"/>
      <c r="G292" s="23"/>
      <c r="H292" s="23"/>
      <c r="I292" s="23"/>
      <c r="J292" s="23"/>
    </row>
    <row r="293" customFormat="false" ht="15" hidden="false" customHeight="true" outlineLevel="0" collapsed="false">
      <c r="A293" s="23"/>
      <c r="B293" s="23"/>
      <c r="C293" s="23" t="str">
        <f aca="false">IFERROR(IF(OR(A293="",B293=""),"",INDEX(Equipements!$H:$H,MATCH(A293,Equipements!$A:$A,0))&amp;"."&amp;B293),"")</f>
        <v/>
      </c>
      <c r="D293" s="23"/>
      <c r="E293" s="23"/>
      <c r="F293" s="23"/>
      <c r="G293" s="23"/>
      <c r="H293" s="23"/>
      <c r="I293" s="23"/>
      <c r="J293" s="23"/>
    </row>
    <row r="294" customFormat="false" ht="15" hidden="false" customHeight="true" outlineLevel="0" collapsed="false">
      <c r="A294" s="23"/>
      <c r="B294" s="23"/>
      <c r="C294" s="23" t="str">
        <f aca="false">IFERROR(IF(OR(A294="",B294=""),"",INDEX(Equipements!$H:$H,MATCH(A294,Equipements!$A:$A,0))&amp;"."&amp;B294),"")</f>
        <v/>
      </c>
      <c r="D294" s="23"/>
      <c r="E294" s="23"/>
      <c r="F294" s="23"/>
      <c r="G294" s="23"/>
      <c r="H294" s="23"/>
      <c r="I294" s="23"/>
      <c r="J294" s="23"/>
    </row>
    <row r="295" customFormat="false" ht="15" hidden="false" customHeight="true" outlineLevel="0" collapsed="false">
      <c r="A295" s="23"/>
      <c r="B295" s="23"/>
      <c r="C295" s="23" t="str">
        <f aca="false">IFERROR(IF(OR(A295="",B295=""),"",INDEX(Equipements!$H:$H,MATCH(A295,Equipements!$A:$A,0))&amp;"."&amp;B295),"")</f>
        <v/>
      </c>
      <c r="D295" s="23"/>
      <c r="E295" s="23"/>
      <c r="F295" s="23"/>
      <c r="G295" s="23"/>
      <c r="H295" s="23"/>
      <c r="I295" s="23"/>
      <c r="J295" s="23"/>
    </row>
    <row r="296" customFormat="false" ht="15" hidden="false" customHeight="true" outlineLevel="0" collapsed="false">
      <c r="A296" s="23"/>
      <c r="B296" s="23"/>
      <c r="C296" s="23" t="str">
        <f aca="false">IFERROR(IF(OR(A296="",B296=""),"",INDEX(Equipements!$H:$H,MATCH(A296,Equipements!$A:$A,0))&amp;"."&amp;B296),"")</f>
        <v/>
      </c>
      <c r="D296" s="23"/>
      <c r="E296" s="23"/>
      <c r="F296" s="23"/>
      <c r="G296" s="23"/>
      <c r="H296" s="23"/>
      <c r="I296" s="23"/>
      <c r="J296" s="23"/>
    </row>
    <row r="297" customFormat="false" ht="15" hidden="false" customHeight="true" outlineLevel="0" collapsed="false">
      <c r="A297" s="23"/>
      <c r="B297" s="23"/>
      <c r="C297" s="23" t="str">
        <f aca="false">IFERROR(IF(OR(A297="",B297=""),"",INDEX(Equipements!$H:$H,MATCH(A297,Equipements!$A:$A,0))&amp;"."&amp;B297),"")</f>
        <v/>
      </c>
      <c r="D297" s="23"/>
      <c r="E297" s="23"/>
      <c r="F297" s="23"/>
      <c r="G297" s="23"/>
      <c r="H297" s="23"/>
      <c r="I297" s="23"/>
      <c r="J297" s="23"/>
    </row>
    <row r="298" customFormat="false" ht="15" hidden="false" customHeight="true" outlineLevel="0" collapsed="false">
      <c r="A298" s="23"/>
      <c r="B298" s="23"/>
      <c r="C298" s="23" t="str">
        <f aca="false">IFERROR(IF(OR(A298="",B298=""),"",INDEX(Equipements!$H:$H,MATCH(A298,Equipements!$A:$A,0))&amp;"."&amp;B298),"")</f>
        <v/>
      </c>
      <c r="D298" s="23"/>
      <c r="E298" s="23"/>
      <c r="F298" s="23"/>
      <c r="G298" s="23"/>
      <c r="H298" s="23"/>
      <c r="I298" s="23"/>
      <c r="J298" s="23"/>
    </row>
    <row r="299" customFormat="false" ht="15" hidden="false" customHeight="true" outlineLevel="0" collapsed="false">
      <c r="A299" s="23"/>
      <c r="B299" s="23"/>
      <c r="C299" s="23" t="str">
        <f aca="false">IFERROR(IF(OR(A299="",B299=""),"",INDEX(Equipements!$H:$H,MATCH(A299,Equipements!$A:$A,0))&amp;"."&amp;B299),"")</f>
        <v/>
      </c>
      <c r="D299" s="23"/>
      <c r="E299" s="23"/>
      <c r="F299" s="23"/>
      <c r="G299" s="23"/>
      <c r="H299" s="23"/>
      <c r="I299" s="23"/>
      <c r="J299" s="23"/>
    </row>
    <row r="300" customFormat="false" ht="15" hidden="false" customHeight="true" outlineLevel="0" collapsed="false">
      <c r="A300" s="23"/>
      <c r="B300" s="23"/>
      <c r="C300" s="23" t="str">
        <f aca="false">IFERROR(IF(OR(A300="",B300=""),"",INDEX(Equipements!$H:$H,MATCH(A300,Equipements!$A:$A,0))&amp;"."&amp;B300),"")</f>
        <v/>
      </c>
      <c r="D300" s="23"/>
      <c r="E300" s="23"/>
      <c r="F300" s="23"/>
      <c r="G300" s="23"/>
      <c r="H300" s="23"/>
      <c r="I300" s="23"/>
      <c r="J300" s="23"/>
    </row>
    <row r="301" customFormat="false" ht="15" hidden="false" customHeight="true" outlineLevel="0" collapsed="false">
      <c r="A301" s="23"/>
      <c r="B301" s="23"/>
      <c r="C301" s="23" t="str">
        <f aca="false">IFERROR(IF(OR(A301="",B301=""),"",INDEX(Equipements!$H:$H,MATCH(A301,Equipements!$A:$A,0))&amp;"."&amp;B301),"")</f>
        <v/>
      </c>
      <c r="D301" s="23"/>
      <c r="E301" s="23"/>
      <c r="F301" s="23"/>
      <c r="G301" s="23"/>
      <c r="H301" s="23"/>
      <c r="I301" s="23"/>
      <c r="J301" s="23"/>
    </row>
    <row r="302" customFormat="false" ht="15" hidden="false" customHeight="true" outlineLevel="0" collapsed="false">
      <c r="A302" s="23"/>
      <c r="B302" s="23"/>
      <c r="C302" s="23" t="str">
        <f aca="false">IFERROR(IF(OR(A302="",B302=""),"",INDEX(Equipements!$H:$H,MATCH(A302,Equipements!$A:$A,0))&amp;"."&amp;B302),"")</f>
        <v/>
      </c>
      <c r="D302" s="23"/>
      <c r="E302" s="23"/>
      <c r="F302" s="23"/>
      <c r="G302" s="23"/>
      <c r="H302" s="23"/>
      <c r="I302" s="23"/>
      <c r="J302" s="23"/>
    </row>
    <row r="303" customFormat="false" ht="15" hidden="false" customHeight="true" outlineLevel="0" collapsed="false">
      <c r="A303" s="23"/>
      <c r="B303" s="23"/>
      <c r="C303" s="23" t="str">
        <f aca="false">IFERROR(IF(OR(A303="",B303=""),"",INDEX(Equipements!$H:$H,MATCH(A303,Equipements!$A:$A,0))&amp;"."&amp;B303),"")</f>
        <v/>
      </c>
      <c r="D303" s="23"/>
      <c r="E303" s="23"/>
      <c r="F303" s="23"/>
      <c r="G303" s="23"/>
      <c r="H303" s="23"/>
      <c r="I303" s="23"/>
      <c r="J303" s="23"/>
    </row>
    <row r="304" customFormat="false" ht="15" hidden="false" customHeight="true" outlineLevel="0" collapsed="false">
      <c r="A304" s="23"/>
      <c r="B304" s="23"/>
      <c r="C304" s="23" t="str">
        <f aca="false">IFERROR(IF(OR(A304="",B304=""),"",INDEX(Equipements!$H:$H,MATCH(A304,Equipements!$A:$A,0))&amp;"."&amp;B304),"")</f>
        <v/>
      </c>
      <c r="D304" s="23"/>
      <c r="E304" s="23"/>
      <c r="F304" s="23"/>
      <c r="G304" s="23"/>
      <c r="H304" s="23"/>
      <c r="I304" s="23"/>
      <c r="J304" s="23"/>
    </row>
    <row r="305" customFormat="false" ht="15" hidden="false" customHeight="true" outlineLevel="0" collapsed="false">
      <c r="A305" s="23"/>
      <c r="B305" s="23"/>
      <c r="C305" s="23" t="str">
        <f aca="false">IFERROR(IF(OR(A305="",B305=""),"",INDEX(Equipements!$H:$H,MATCH(A305,Equipements!$A:$A,0))&amp;"."&amp;B305),"")</f>
        <v/>
      </c>
      <c r="D305" s="23"/>
      <c r="E305" s="23"/>
      <c r="F305" s="23"/>
      <c r="G305" s="23"/>
      <c r="H305" s="23"/>
      <c r="I305" s="23"/>
      <c r="J305" s="23"/>
    </row>
    <row r="306" customFormat="false" ht="15" hidden="false" customHeight="true" outlineLevel="0" collapsed="false">
      <c r="A306" s="23"/>
      <c r="B306" s="23"/>
      <c r="C306" s="23" t="str">
        <f aca="false">IFERROR(IF(OR(A306="",B306=""),"",INDEX(Equipements!$H:$H,MATCH(A306,Equipements!$A:$A,0))&amp;"."&amp;B306),"")</f>
        <v/>
      </c>
      <c r="D306" s="23"/>
      <c r="E306" s="23"/>
      <c r="F306" s="23"/>
      <c r="G306" s="23"/>
      <c r="H306" s="23"/>
      <c r="I306" s="23"/>
      <c r="J306" s="23"/>
    </row>
    <row r="307" customFormat="false" ht="15" hidden="false" customHeight="true" outlineLevel="0" collapsed="false">
      <c r="A307" s="23"/>
      <c r="B307" s="23"/>
      <c r="C307" s="23" t="str">
        <f aca="false">IFERROR(IF(OR(A307="",B307=""),"",INDEX(Equipements!$H:$H,MATCH(A307,Equipements!$A:$A,0))&amp;"."&amp;B307),"")</f>
        <v/>
      </c>
      <c r="D307" s="23"/>
      <c r="E307" s="23"/>
      <c r="F307" s="23"/>
      <c r="G307" s="23"/>
      <c r="H307" s="23"/>
      <c r="I307" s="23"/>
      <c r="J307" s="23"/>
    </row>
    <row r="308" customFormat="false" ht="15" hidden="false" customHeight="true" outlineLevel="0" collapsed="false">
      <c r="A308" s="23"/>
      <c r="B308" s="23"/>
      <c r="C308" s="23" t="str">
        <f aca="false">IFERROR(IF(OR(A308="",B308=""),"",INDEX(Equipements!$H:$H,MATCH(A308,Equipements!$A:$A,0))&amp;"."&amp;B308),"")</f>
        <v/>
      </c>
      <c r="D308" s="23"/>
      <c r="E308" s="23"/>
      <c r="F308" s="23"/>
      <c r="G308" s="23"/>
      <c r="H308" s="23"/>
      <c r="I308" s="23"/>
      <c r="J308" s="23"/>
    </row>
    <row r="309" customFormat="false" ht="15" hidden="false" customHeight="true" outlineLevel="0" collapsed="false">
      <c r="A309" s="23"/>
      <c r="B309" s="23"/>
      <c r="C309" s="23" t="str">
        <f aca="false">IFERROR(IF(OR(A309="",B309=""),"",INDEX(Equipements!$H:$H,MATCH(A309,Equipements!$A:$A,0))&amp;"."&amp;B309),"")</f>
        <v/>
      </c>
      <c r="D309" s="23"/>
      <c r="E309" s="23"/>
      <c r="F309" s="23"/>
      <c r="G309" s="23"/>
      <c r="H309" s="23"/>
      <c r="I309" s="23"/>
      <c r="J309" s="23"/>
    </row>
    <row r="310" customFormat="false" ht="15" hidden="false" customHeight="true" outlineLevel="0" collapsed="false">
      <c r="A310" s="23"/>
      <c r="B310" s="23"/>
      <c r="C310" s="23" t="str">
        <f aca="false">IFERROR(IF(OR(A310="",B310=""),"",INDEX(Equipements!$H:$H,MATCH(A310,Equipements!$A:$A,0))&amp;"."&amp;B310),"")</f>
        <v/>
      </c>
      <c r="D310" s="23"/>
      <c r="E310" s="23"/>
      <c r="F310" s="23"/>
      <c r="G310" s="23"/>
      <c r="H310" s="23"/>
      <c r="I310" s="23"/>
      <c r="J310" s="23"/>
    </row>
    <row r="311" customFormat="false" ht="15" hidden="false" customHeight="true" outlineLevel="0" collapsed="false">
      <c r="A311" s="23"/>
      <c r="B311" s="23"/>
      <c r="C311" s="23" t="str">
        <f aca="false">IFERROR(IF(OR(A311="",B311=""),"",INDEX(Equipements!$H:$H,MATCH(A311,Equipements!$A:$A,0))&amp;"."&amp;B311),"")</f>
        <v/>
      </c>
      <c r="D311" s="23"/>
      <c r="E311" s="23"/>
      <c r="F311" s="23"/>
      <c r="G311" s="23"/>
      <c r="H311" s="23"/>
      <c r="I311" s="23"/>
      <c r="J311" s="23"/>
    </row>
    <row r="312" customFormat="false" ht="15" hidden="false" customHeight="true" outlineLevel="0" collapsed="false">
      <c r="A312" s="23"/>
      <c r="B312" s="23"/>
      <c r="C312" s="23" t="str">
        <f aca="false">IFERROR(IF(OR(A312="",B312=""),"",INDEX(Equipements!$H:$H,MATCH(A312,Equipements!$A:$A,0))&amp;"."&amp;B312),"")</f>
        <v/>
      </c>
      <c r="D312" s="23"/>
      <c r="E312" s="23"/>
      <c r="F312" s="23"/>
      <c r="G312" s="23"/>
      <c r="H312" s="23"/>
      <c r="I312" s="23"/>
      <c r="J312" s="23"/>
    </row>
    <row r="313" customFormat="false" ht="15" hidden="false" customHeight="true" outlineLevel="0" collapsed="false">
      <c r="A313" s="23"/>
      <c r="B313" s="23"/>
      <c r="C313" s="23" t="str">
        <f aca="false">IFERROR(IF(OR(A313="",B313=""),"",INDEX(Equipements!$H:$H,MATCH(A313,Equipements!$A:$A,0))&amp;"."&amp;B313),"")</f>
        <v/>
      </c>
      <c r="D313" s="23"/>
      <c r="E313" s="23"/>
      <c r="F313" s="23"/>
      <c r="G313" s="23"/>
      <c r="H313" s="23"/>
      <c r="I313" s="23"/>
      <c r="J313" s="23"/>
    </row>
    <row r="314" customFormat="false" ht="15" hidden="false" customHeight="true" outlineLevel="0" collapsed="false">
      <c r="A314" s="23"/>
      <c r="B314" s="23"/>
      <c r="C314" s="23" t="str">
        <f aca="false">IFERROR(IF(OR(A314="",B314=""),"",INDEX(Equipements!$H:$H,MATCH(A314,Equipements!$A:$A,0))&amp;"."&amp;B314),"")</f>
        <v/>
      </c>
      <c r="D314" s="23"/>
      <c r="E314" s="23"/>
      <c r="F314" s="23"/>
      <c r="G314" s="23"/>
      <c r="H314" s="23"/>
      <c r="I314" s="23"/>
      <c r="J314" s="23"/>
    </row>
    <row r="315" customFormat="false" ht="15" hidden="false" customHeight="true" outlineLevel="0" collapsed="false">
      <c r="A315" s="23"/>
      <c r="B315" s="23"/>
      <c r="C315" s="23" t="str">
        <f aca="false">IFERROR(IF(OR(A315="",B315=""),"",INDEX(Equipements!$H:$H,MATCH(A315,Equipements!$A:$A,0))&amp;"."&amp;B315),"")</f>
        <v/>
      </c>
      <c r="D315" s="23"/>
      <c r="E315" s="23"/>
      <c r="F315" s="23"/>
      <c r="G315" s="23"/>
      <c r="H315" s="23"/>
      <c r="I315" s="23"/>
      <c r="J315" s="23"/>
    </row>
    <row r="316" customFormat="false" ht="15" hidden="false" customHeight="true" outlineLevel="0" collapsed="false">
      <c r="A316" s="23"/>
      <c r="B316" s="23"/>
      <c r="C316" s="23" t="str">
        <f aca="false">IFERROR(IF(OR(A316="",B316=""),"",INDEX(Equipements!$H:$H,MATCH(A316,Equipements!$A:$A,0))&amp;"."&amp;B316),"")</f>
        <v/>
      </c>
      <c r="D316" s="23"/>
      <c r="E316" s="23"/>
      <c r="F316" s="23"/>
      <c r="G316" s="23"/>
      <c r="H316" s="23"/>
      <c r="I316" s="23"/>
      <c r="J316" s="23"/>
    </row>
    <row r="317" customFormat="false" ht="15" hidden="false" customHeight="true" outlineLevel="0" collapsed="false">
      <c r="A317" s="23"/>
      <c r="B317" s="23"/>
      <c r="C317" s="23" t="str">
        <f aca="false">IFERROR(IF(OR(A317="",B317=""),"",INDEX(Equipements!$H:$H,MATCH(A317,Equipements!$A:$A,0))&amp;"."&amp;B317),"")</f>
        <v/>
      </c>
      <c r="D317" s="23"/>
      <c r="E317" s="23"/>
      <c r="F317" s="23"/>
      <c r="G317" s="23"/>
      <c r="H317" s="23"/>
      <c r="I317" s="23"/>
      <c r="J317" s="23"/>
    </row>
    <row r="318" customFormat="false" ht="15" hidden="false" customHeight="true" outlineLevel="0" collapsed="false">
      <c r="A318" s="23"/>
      <c r="B318" s="23"/>
      <c r="C318" s="23" t="str">
        <f aca="false">IFERROR(IF(OR(A318="",B318=""),"",INDEX(Equipements!$H:$H,MATCH(A318,Equipements!$A:$A,0))&amp;"."&amp;B318),"")</f>
        <v/>
      </c>
      <c r="D318" s="23"/>
      <c r="E318" s="23"/>
      <c r="F318" s="23"/>
      <c r="G318" s="23"/>
      <c r="H318" s="23"/>
      <c r="I318" s="23"/>
      <c r="J318" s="23"/>
    </row>
    <row r="319" customFormat="false" ht="15" hidden="false" customHeight="true" outlineLevel="0" collapsed="false">
      <c r="A319" s="23"/>
      <c r="B319" s="23"/>
      <c r="C319" s="23" t="str">
        <f aca="false">IFERROR(IF(OR(A319="",B319=""),"",INDEX(Equipements!$H:$H,MATCH(A319,Equipements!$A:$A,0))&amp;"."&amp;B319),"")</f>
        <v/>
      </c>
      <c r="D319" s="23"/>
      <c r="E319" s="23"/>
      <c r="F319" s="23"/>
      <c r="G319" s="23"/>
      <c r="H319" s="23"/>
      <c r="I319" s="23"/>
      <c r="J319" s="23"/>
    </row>
    <row r="320" customFormat="false" ht="15" hidden="false" customHeight="true" outlineLevel="0" collapsed="false">
      <c r="A320" s="23"/>
      <c r="B320" s="23"/>
      <c r="C320" s="23" t="str">
        <f aca="false">IFERROR(IF(OR(A320="",B320=""),"",INDEX(Equipements!$H:$H,MATCH(A320,Equipements!$A:$A,0))&amp;"."&amp;B320),"")</f>
        <v/>
      </c>
      <c r="D320" s="23"/>
      <c r="E320" s="23"/>
      <c r="F320" s="23"/>
      <c r="G320" s="23"/>
      <c r="H320" s="23"/>
      <c r="I320" s="23"/>
      <c r="J320" s="23"/>
    </row>
    <row r="321" customFormat="false" ht="15" hidden="false" customHeight="true" outlineLevel="0" collapsed="false">
      <c r="A321" s="23"/>
      <c r="B321" s="23"/>
      <c r="C321" s="23" t="str">
        <f aca="false">IFERROR(IF(OR(A321="",B321=""),"",INDEX(Equipements!$H:$H,MATCH(A321,Equipements!$A:$A,0))&amp;"."&amp;B321),"")</f>
        <v/>
      </c>
      <c r="D321" s="23"/>
      <c r="E321" s="23"/>
      <c r="F321" s="23"/>
      <c r="G321" s="23"/>
      <c r="H321" s="23"/>
      <c r="I321" s="23"/>
      <c r="J321" s="23"/>
    </row>
    <row r="322" customFormat="false" ht="15" hidden="false" customHeight="true" outlineLevel="0" collapsed="false">
      <c r="A322" s="23"/>
      <c r="B322" s="23"/>
      <c r="C322" s="23" t="str">
        <f aca="false">IFERROR(IF(OR(A322="",B322=""),"",INDEX(Equipements!$H:$H,MATCH(A322,Equipements!$A:$A,0))&amp;"."&amp;B322),"")</f>
        <v/>
      </c>
      <c r="D322" s="23"/>
      <c r="E322" s="23"/>
      <c r="F322" s="23"/>
      <c r="G322" s="23"/>
      <c r="H322" s="23"/>
      <c r="I322" s="23"/>
      <c r="J322" s="23"/>
    </row>
    <row r="323" customFormat="false" ht="15" hidden="false" customHeight="true" outlineLevel="0" collapsed="false">
      <c r="A323" s="23"/>
      <c r="B323" s="23"/>
      <c r="C323" s="23" t="str">
        <f aca="false">IFERROR(IF(OR(A323="",B323=""),"",INDEX(Equipements!$H:$H,MATCH(A323,Equipements!$A:$A,0))&amp;"."&amp;B323),"")</f>
        <v/>
      </c>
      <c r="D323" s="23"/>
      <c r="E323" s="23"/>
      <c r="F323" s="23"/>
      <c r="G323" s="23"/>
      <c r="H323" s="23"/>
      <c r="I323" s="23"/>
      <c r="J323" s="23"/>
    </row>
    <row r="324" customFormat="false" ht="15" hidden="false" customHeight="true" outlineLevel="0" collapsed="false">
      <c r="A324" s="23"/>
      <c r="B324" s="23"/>
      <c r="C324" s="23" t="str">
        <f aca="false">IFERROR(IF(OR(A324="",B324=""),"",INDEX(Equipements!$H:$H,MATCH(A324,Equipements!$A:$A,0))&amp;"."&amp;B324),"")</f>
        <v/>
      </c>
      <c r="D324" s="23"/>
      <c r="E324" s="23"/>
      <c r="F324" s="23"/>
      <c r="G324" s="23"/>
      <c r="H324" s="23"/>
      <c r="I324" s="23"/>
      <c r="J324" s="23"/>
    </row>
    <row r="325" customFormat="false" ht="15" hidden="false" customHeight="true" outlineLevel="0" collapsed="false">
      <c r="A325" s="23"/>
      <c r="B325" s="23"/>
      <c r="C325" s="23" t="str">
        <f aca="false">IFERROR(IF(OR(A325="",B325=""),"",INDEX(Equipements!$H:$H,MATCH(A325,Equipements!$A:$A,0))&amp;"."&amp;B325),"")</f>
        <v/>
      </c>
      <c r="D325" s="23"/>
      <c r="E325" s="23"/>
      <c r="F325" s="23"/>
      <c r="G325" s="23"/>
      <c r="H325" s="23"/>
      <c r="I325" s="23"/>
      <c r="J325" s="23"/>
    </row>
    <row r="326" customFormat="false" ht="15" hidden="false" customHeight="true" outlineLevel="0" collapsed="false">
      <c r="A326" s="23"/>
      <c r="B326" s="23"/>
      <c r="C326" s="23" t="str">
        <f aca="false">IFERROR(IF(OR(A326="",B326=""),"",INDEX(Equipements!$H:$H,MATCH(A326,Equipements!$A:$A,0))&amp;"."&amp;B326),"")</f>
        <v/>
      </c>
      <c r="D326" s="23"/>
      <c r="E326" s="23"/>
      <c r="F326" s="23"/>
      <c r="G326" s="23"/>
      <c r="H326" s="23"/>
      <c r="I326" s="23"/>
      <c r="J326" s="23"/>
    </row>
    <row r="327" customFormat="false" ht="15" hidden="false" customHeight="true" outlineLevel="0" collapsed="false">
      <c r="A327" s="23"/>
      <c r="B327" s="23"/>
      <c r="C327" s="23" t="str">
        <f aca="false">IFERROR(IF(OR(A327="",B327=""),"",INDEX(Equipements!$H:$H,MATCH(A327,Equipements!$A:$A,0))&amp;"."&amp;B327),"")</f>
        <v/>
      </c>
      <c r="D327" s="23"/>
      <c r="E327" s="23"/>
      <c r="F327" s="23"/>
      <c r="G327" s="23"/>
      <c r="H327" s="23"/>
      <c r="I327" s="23"/>
      <c r="J327" s="23"/>
    </row>
    <row r="328" customFormat="false" ht="15" hidden="false" customHeight="true" outlineLevel="0" collapsed="false">
      <c r="A328" s="23"/>
      <c r="B328" s="23"/>
      <c r="C328" s="23" t="str">
        <f aca="false">IFERROR(IF(OR(A328="",B328=""),"",INDEX(Equipements!$H:$H,MATCH(A328,Equipements!$A:$A,0))&amp;"."&amp;B328),"")</f>
        <v/>
      </c>
      <c r="D328" s="23"/>
      <c r="E328" s="23"/>
      <c r="F328" s="23"/>
      <c r="G328" s="23"/>
      <c r="H328" s="23"/>
      <c r="I328" s="23"/>
      <c r="J328" s="23"/>
    </row>
    <row r="329" customFormat="false" ht="15" hidden="false" customHeight="true" outlineLevel="0" collapsed="false">
      <c r="A329" s="23"/>
      <c r="B329" s="23"/>
      <c r="C329" s="23" t="str">
        <f aca="false">IFERROR(IF(OR(A329="",B329=""),"",INDEX(Equipements!$H:$H,MATCH(A329,Equipements!$A:$A,0))&amp;"."&amp;B329),"")</f>
        <v/>
      </c>
      <c r="D329" s="23"/>
      <c r="E329" s="23"/>
      <c r="F329" s="23"/>
      <c r="G329" s="23"/>
      <c r="H329" s="23"/>
      <c r="I329" s="23"/>
      <c r="J329" s="23"/>
    </row>
    <row r="330" customFormat="false" ht="15" hidden="false" customHeight="true" outlineLevel="0" collapsed="false">
      <c r="A330" s="23"/>
      <c r="B330" s="23"/>
      <c r="C330" s="23" t="str">
        <f aca="false">IFERROR(IF(OR(A330="",B330=""),"",INDEX(Equipements!$H:$H,MATCH(A330,Equipements!$A:$A,0))&amp;"."&amp;B330),"")</f>
        <v/>
      </c>
      <c r="D330" s="23"/>
      <c r="E330" s="23"/>
      <c r="F330" s="23"/>
      <c r="G330" s="23"/>
      <c r="H330" s="23"/>
      <c r="I330" s="23"/>
      <c r="J330" s="23"/>
    </row>
    <row r="331" customFormat="false" ht="15" hidden="false" customHeight="true" outlineLevel="0" collapsed="false">
      <c r="A331" s="23"/>
      <c r="B331" s="23"/>
      <c r="C331" s="23" t="str">
        <f aca="false">IFERROR(IF(OR(A331="",B331=""),"",INDEX(Equipements!$H:$H,MATCH(A331,Equipements!$A:$A,0))&amp;"."&amp;B331),"")</f>
        <v/>
      </c>
      <c r="D331" s="23"/>
      <c r="E331" s="23"/>
      <c r="F331" s="23"/>
      <c r="G331" s="23"/>
      <c r="H331" s="23"/>
      <c r="I331" s="23"/>
      <c r="J331" s="23"/>
    </row>
    <row r="332" customFormat="false" ht="15" hidden="false" customHeight="true" outlineLevel="0" collapsed="false">
      <c r="A332" s="23"/>
      <c r="B332" s="23"/>
      <c r="C332" s="23" t="str">
        <f aca="false">IFERROR(IF(OR(A332="",B332=""),"",INDEX(Equipements!$H:$H,MATCH(A332,Equipements!$A:$A,0))&amp;"."&amp;B332),"")</f>
        <v/>
      </c>
      <c r="D332" s="23"/>
      <c r="E332" s="23"/>
      <c r="F332" s="23"/>
      <c r="G332" s="23"/>
      <c r="H332" s="23"/>
      <c r="I332" s="23"/>
      <c r="J332" s="23"/>
    </row>
    <row r="333" customFormat="false" ht="15" hidden="false" customHeight="true" outlineLevel="0" collapsed="false">
      <c r="A333" s="23"/>
      <c r="B333" s="23"/>
      <c r="C333" s="23" t="str">
        <f aca="false">IFERROR(IF(OR(A333="",B333=""),"",INDEX(Equipements!$H:$H,MATCH(A333,Equipements!$A:$A,0))&amp;"."&amp;B333),"")</f>
        <v/>
      </c>
      <c r="D333" s="23"/>
      <c r="E333" s="23"/>
      <c r="F333" s="23"/>
      <c r="G333" s="23"/>
      <c r="H333" s="23"/>
      <c r="I333" s="23"/>
      <c r="J333" s="23"/>
    </row>
    <row r="334" customFormat="false" ht="15" hidden="false" customHeight="true" outlineLevel="0" collapsed="false">
      <c r="A334" s="23"/>
      <c r="B334" s="23"/>
      <c r="C334" s="23" t="str">
        <f aca="false">IFERROR(IF(OR(A334="",B334=""),"",INDEX(Equipements!$H:$H,MATCH(A334,Equipements!$A:$A,0))&amp;"."&amp;B334),"")</f>
        <v/>
      </c>
      <c r="D334" s="23"/>
      <c r="E334" s="23"/>
      <c r="F334" s="23"/>
      <c r="G334" s="23"/>
      <c r="H334" s="23"/>
      <c r="I334" s="23"/>
      <c r="J334" s="23"/>
    </row>
    <row r="335" customFormat="false" ht="15" hidden="false" customHeight="true" outlineLevel="0" collapsed="false">
      <c r="A335" s="23"/>
      <c r="B335" s="23"/>
      <c r="C335" s="23" t="str">
        <f aca="false">IFERROR(IF(OR(A335="",B335=""),"",INDEX(Equipements!$H:$H,MATCH(A335,Equipements!$A:$A,0))&amp;"."&amp;B335),"")</f>
        <v/>
      </c>
      <c r="D335" s="23"/>
      <c r="E335" s="23"/>
      <c r="F335" s="23"/>
      <c r="G335" s="23"/>
      <c r="H335" s="23"/>
      <c r="I335" s="23"/>
      <c r="J335" s="23"/>
    </row>
    <row r="336" customFormat="false" ht="15" hidden="false" customHeight="true" outlineLevel="0" collapsed="false">
      <c r="A336" s="23"/>
      <c r="B336" s="23"/>
      <c r="C336" s="23" t="str">
        <f aca="false">IFERROR(IF(OR(A336="",B336=""),"",INDEX(Equipements!$H:$H,MATCH(A336,Equipements!$A:$A,0))&amp;"."&amp;B336),"")</f>
        <v/>
      </c>
      <c r="D336" s="23"/>
      <c r="E336" s="23"/>
      <c r="F336" s="23"/>
      <c r="G336" s="23"/>
      <c r="H336" s="23"/>
      <c r="I336" s="23"/>
      <c r="J336" s="23"/>
    </row>
    <row r="337" customFormat="false" ht="15" hidden="false" customHeight="true" outlineLevel="0" collapsed="false">
      <c r="A337" s="23"/>
      <c r="B337" s="23"/>
      <c r="C337" s="23" t="str">
        <f aca="false">IFERROR(IF(OR(A337="",B337=""),"",INDEX(Equipements!$H:$H,MATCH(A337,Equipements!$A:$A,0))&amp;"."&amp;B337),"")</f>
        <v/>
      </c>
      <c r="D337" s="23"/>
      <c r="E337" s="23"/>
      <c r="F337" s="23"/>
      <c r="G337" s="23"/>
      <c r="H337" s="23"/>
      <c r="I337" s="23"/>
      <c r="J337" s="23"/>
    </row>
    <row r="338" customFormat="false" ht="15" hidden="false" customHeight="true" outlineLevel="0" collapsed="false">
      <c r="A338" s="23"/>
      <c r="B338" s="23"/>
      <c r="C338" s="23" t="str">
        <f aca="false">IFERROR(IF(OR(A338="",B338=""),"",INDEX(Equipements!$H:$H,MATCH(A338,Equipements!$A:$A,0))&amp;"."&amp;B338),"")</f>
        <v/>
      </c>
      <c r="D338" s="23"/>
      <c r="E338" s="23"/>
      <c r="F338" s="23"/>
      <c r="G338" s="23"/>
      <c r="H338" s="23"/>
      <c r="I338" s="23"/>
      <c r="J338" s="23"/>
    </row>
    <row r="339" customFormat="false" ht="15" hidden="false" customHeight="true" outlineLevel="0" collapsed="false">
      <c r="A339" s="23"/>
      <c r="B339" s="23"/>
      <c r="C339" s="23" t="str">
        <f aca="false">IFERROR(IF(OR(A339="",B339=""),"",INDEX(Equipements!$H:$H,MATCH(A339,Equipements!$A:$A,0))&amp;"."&amp;B339),"")</f>
        <v/>
      </c>
      <c r="D339" s="23"/>
      <c r="E339" s="23"/>
      <c r="F339" s="23"/>
      <c r="G339" s="23"/>
      <c r="H339" s="23"/>
      <c r="I339" s="23"/>
      <c r="J339" s="23"/>
    </row>
    <row r="340" customFormat="false" ht="15" hidden="false" customHeight="true" outlineLevel="0" collapsed="false">
      <c r="A340" s="23"/>
      <c r="B340" s="23"/>
      <c r="C340" s="23" t="str">
        <f aca="false">IFERROR(IF(OR(A340="",B340=""),"",INDEX(Equipements!$H:$H,MATCH(A340,Equipements!$A:$A,0))&amp;"."&amp;B340),"")</f>
        <v/>
      </c>
      <c r="D340" s="23"/>
      <c r="E340" s="23"/>
      <c r="F340" s="23"/>
      <c r="G340" s="23"/>
      <c r="H340" s="23"/>
      <c r="I340" s="23"/>
      <c r="J340" s="23"/>
    </row>
    <row r="341" customFormat="false" ht="15" hidden="false" customHeight="true" outlineLevel="0" collapsed="false">
      <c r="A341" s="23"/>
      <c r="B341" s="23"/>
      <c r="C341" s="23" t="str">
        <f aca="false">IFERROR(IF(OR(A341="",B341=""),"",INDEX(Equipements!$H:$H,MATCH(A341,Equipements!$A:$A,0))&amp;"."&amp;B341),"")</f>
        <v/>
      </c>
      <c r="D341" s="23"/>
      <c r="E341" s="23"/>
      <c r="F341" s="23"/>
      <c r="G341" s="23"/>
      <c r="H341" s="23"/>
      <c r="I341" s="23"/>
      <c r="J341" s="23"/>
    </row>
    <row r="342" customFormat="false" ht="15" hidden="false" customHeight="true" outlineLevel="0" collapsed="false">
      <c r="A342" s="23"/>
      <c r="B342" s="23"/>
      <c r="C342" s="23" t="str">
        <f aca="false">IFERROR(IF(OR(A342="",B342=""),"",INDEX(Equipements!$H:$H,MATCH(A342,Equipements!$A:$A,0))&amp;"."&amp;B342),"")</f>
        <v/>
      </c>
      <c r="D342" s="23"/>
      <c r="E342" s="23"/>
      <c r="F342" s="23"/>
      <c r="G342" s="23"/>
      <c r="H342" s="23"/>
      <c r="I342" s="23"/>
      <c r="J342" s="23"/>
    </row>
    <row r="343" customFormat="false" ht="15" hidden="false" customHeight="true" outlineLevel="0" collapsed="false">
      <c r="A343" s="23"/>
      <c r="B343" s="23"/>
      <c r="C343" s="23" t="str">
        <f aca="false">IFERROR(IF(OR(A343="",B343=""),"",INDEX(Equipements!$H:$H,MATCH(A343,Equipements!$A:$A,0))&amp;"."&amp;B343),"")</f>
        <v/>
      </c>
      <c r="D343" s="23"/>
      <c r="E343" s="23"/>
      <c r="F343" s="23"/>
      <c r="G343" s="23"/>
      <c r="H343" s="23"/>
      <c r="I343" s="23"/>
      <c r="J343" s="23"/>
    </row>
    <row r="344" customFormat="false" ht="15" hidden="false" customHeight="true" outlineLevel="0" collapsed="false">
      <c r="A344" s="23"/>
      <c r="B344" s="23"/>
      <c r="C344" s="23" t="str">
        <f aca="false">IFERROR(IF(OR(A344="",B344=""),"",INDEX(Equipements!$H:$H,MATCH(A344,Equipements!$A:$A,0))&amp;"."&amp;B344),"")</f>
        <v/>
      </c>
      <c r="D344" s="23"/>
      <c r="E344" s="23"/>
      <c r="F344" s="23"/>
      <c r="G344" s="23"/>
      <c r="H344" s="23"/>
      <c r="I344" s="23"/>
      <c r="J344" s="23"/>
    </row>
    <row r="345" customFormat="false" ht="15" hidden="false" customHeight="true" outlineLevel="0" collapsed="false">
      <c r="A345" s="23"/>
      <c r="B345" s="23"/>
      <c r="C345" s="23" t="str">
        <f aca="false">IFERROR(IF(OR(A345="",B345=""),"",INDEX(Equipements!$H:$H,MATCH(A345,Equipements!$A:$A,0))&amp;"."&amp;B345),"")</f>
        <v/>
      </c>
      <c r="D345" s="23"/>
      <c r="E345" s="23"/>
      <c r="F345" s="23"/>
      <c r="G345" s="23"/>
      <c r="H345" s="23"/>
      <c r="I345" s="23"/>
      <c r="J345" s="23"/>
    </row>
    <row r="346" customFormat="false" ht="15" hidden="false" customHeight="true" outlineLevel="0" collapsed="false">
      <c r="A346" s="23"/>
      <c r="B346" s="23"/>
      <c r="C346" s="23" t="str">
        <f aca="false">IFERROR(IF(OR(A346="",B346=""),"",INDEX(Equipements!$H:$H,MATCH(A346,Equipements!$A:$A,0))&amp;"."&amp;B346),"")</f>
        <v/>
      </c>
      <c r="D346" s="23"/>
      <c r="E346" s="23"/>
      <c r="F346" s="23"/>
      <c r="G346" s="23"/>
      <c r="H346" s="23"/>
      <c r="I346" s="23"/>
      <c r="J346" s="23"/>
    </row>
    <row r="347" customFormat="false" ht="15" hidden="false" customHeight="true" outlineLevel="0" collapsed="false">
      <c r="A347" s="23"/>
      <c r="B347" s="23"/>
      <c r="C347" s="23" t="str">
        <f aca="false">IFERROR(IF(OR(A347="",B347=""),"",INDEX(Equipements!$H:$H,MATCH(A347,Equipements!$A:$A,0))&amp;"."&amp;B347),"")</f>
        <v/>
      </c>
      <c r="D347" s="23"/>
      <c r="E347" s="23"/>
      <c r="F347" s="23"/>
      <c r="G347" s="23"/>
      <c r="H347" s="23"/>
      <c r="I347" s="23"/>
      <c r="J347" s="23"/>
    </row>
    <row r="348" customFormat="false" ht="15" hidden="false" customHeight="true" outlineLevel="0" collapsed="false">
      <c r="A348" s="23"/>
      <c r="B348" s="23"/>
      <c r="C348" s="23" t="str">
        <f aca="false">IFERROR(IF(OR(A348="",B348=""),"",INDEX(Equipements!$H:$H,MATCH(A348,Equipements!$A:$A,0))&amp;"."&amp;B348),"")</f>
        <v/>
      </c>
      <c r="D348" s="23"/>
      <c r="E348" s="23"/>
      <c r="F348" s="23"/>
      <c r="G348" s="23"/>
      <c r="H348" s="23"/>
      <c r="I348" s="23"/>
      <c r="J348" s="23"/>
    </row>
    <row r="349" customFormat="false" ht="15" hidden="false" customHeight="true" outlineLevel="0" collapsed="false">
      <c r="A349" s="23"/>
      <c r="B349" s="23"/>
      <c r="C349" s="23" t="str">
        <f aca="false">IFERROR(IF(OR(A349="",B349=""),"",INDEX(Equipements!$H:$H,MATCH(A349,Equipements!$A:$A,0))&amp;"."&amp;B349),"")</f>
        <v/>
      </c>
      <c r="D349" s="23"/>
      <c r="E349" s="23"/>
      <c r="F349" s="23"/>
      <c r="G349" s="23"/>
      <c r="H349" s="23"/>
      <c r="I349" s="23"/>
      <c r="J349" s="23"/>
    </row>
    <row r="350" customFormat="false" ht="15" hidden="false" customHeight="true" outlineLevel="0" collapsed="false">
      <c r="A350" s="23"/>
      <c r="B350" s="23"/>
      <c r="C350" s="23" t="str">
        <f aca="false">IFERROR(IF(OR(A350="",B350=""),"",INDEX(Equipements!$H:$H,MATCH(A350,Equipements!$A:$A,0))&amp;"."&amp;B350),"")</f>
        <v/>
      </c>
      <c r="D350" s="23"/>
      <c r="E350" s="23"/>
      <c r="F350" s="23"/>
      <c r="G350" s="23"/>
      <c r="H350" s="23"/>
      <c r="I350" s="23"/>
      <c r="J350" s="23"/>
    </row>
    <row r="351" customFormat="false" ht="15" hidden="false" customHeight="true" outlineLevel="0" collapsed="false">
      <c r="A351" s="23"/>
      <c r="B351" s="23"/>
      <c r="C351" s="23" t="str">
        <f aca="false">IFERROR(IF(OR(A351="",B351=""),"",INDEX(Equipements!$H:$H,MATCH(A351,Equipements!$A:$A,0))&amp;"."&amp;B351),"")</f>
        <v/>
      </c>
      <c r="D351" s="23"/>
      <c r="E351" s="23"/>
      <c r="F351" s="23"/>
      <c r="G351" s="23"/>
      <c r="H351" s="23"/>
      <c r="I351" s="23"/>
      <c r="J351" s="23"/>
    </row>
    <row r="352" customFormat="false" ht="15" hidden="false" customHeight="true" outlineLevel="0" collapsed="false">
      <c r="A352" s="23"/>
      <c r="B352" s="23"/>
      <c r="C352" s="23" t="str">
        <f aca="false">IFERROR(IF(OR(A352="",B352=""),"",INDEX(Equipements!$H:$H,MATCH(A352,Equipements!$A:$A,0))&amp;"."&amp;B352),"")</f>
        <v/>
      </c>
      <c r="D352" s="23"/>
      <c r="E352" s="23"/>
      <c r="F352" s="23"/>
      <c r="G352" s="23"/>
      <c r="H352" s="23"/>
      <c r="I352" s="23"/>
      <c r="J352" s="23"/>
    </row>
    <row r="353" customFormat="false" ht="15" hidden="false" customHeight="true" outlineLevel="0" collapsed="false">
      <c r="A353" s="23"/>
      <c r="B353" s="23"/>
      <c r="C353" s="23" t="str">
        <f aca="false">IFERROR(IF(OR(A353="",B353=""),"",INDEX(Equipements!$H:$H,MATCH(A353,Equipements!$A:$A,0))&amp;"."&amp;B353),"")</f>
        <v/>
      </c>
      <c r="D353" s="23"/>
      <c r="E353" s="23"/>
      <c r="F353" s="23"/>
      <c r="G353" s="23"/>
      <c r="H353" s="23"/>
      <c r="I353" s="23"/>
      <c r="J353" s="23"/>
    </row>
    <row r="354" customFormat="false" ht="15" hidden="false" customHeight="true" outlineLevel="0" collapsed="false">
      <c r="A354" s="23"/>
      <c r="B354" s="23"/>
      <c r="C354" s="23" t="str">
        <f aca="false">IFERROR(IF(OR(A354="",B354=""),"",INDEX(Equipements!$H:$H,MATCH(A354,Equipements!$A:$A,0))&amp;"."&amp;B354),"")</f>
        <v/>
      </c>
      <c r="D354" s="23"/>
      <c r="E354" s="23"/>
      <c r="F354" s="23"/>
      <c r="G354" s="23"/>
      <c r="H354" s="23"/>
      <c r="I354" s="23"/>
      <c r="J354" s="23"/>
    </row>
    <row r="355" customFormat="false" ht="15" hidden="false" customHeight="true" outlineLevel="0" collapsed="false">
      <c r="A355" s="23"/>
      <c r="B355" s="23"/>
      <c r="C355" s="23" t="str">
        <f aca="false">IFERROR(IF(OR(A355="",B355=""),"",INDEX(Equipements!$H:$H,MATCH(A355,Equipements!$A:$A,0))&amp;"."&amp;B355),"")</f>
        <v/>
      </c>
      <c r="D355" s="23"/>
      <c r="E355" s="23"/>
      <c r="F355" s="23"/>
      <c r="G355" s="23"/>
      <c r="H355" s="23"/>
      <c r="I355" s="23"/>
      <c r="J355" s="23"/>
    </row>
    <row r="356" customFormat="false" ht="15" hidden="false" customHeight="true" outlineLevel="0" collapsed="false">
      <c r="A356" s="23"/>
      <c r="B356" s="23"/>
      <c r="C356" s="23" t="str">
        <f aca="false">IFERROR(IF(OR(A356="",B356=""),"",INDEX(Equipements!$H:$H,MATCH(A356,Equipements!$A:$A,0))&amp;"."&amp;B356),"")</f>
        <v/>
      </c>
      <c r="D356" s="23"/>
      <c r="E356" s="23"/>
      <c r="F356" s="23"/>
      <c r="G356" s="23"/>
      <c r="H356" s="23"/>
      <c r="I356" s="23"/>
      <c r="J356" s="23"/>
    </row>
    <row r="357" customFormat="false" ht="15" hidden="false" customHeight="true" outlineLevel="0" collapsed="false">
      <c r="A357" s="23"/>
      <c r="B357" s="23"/>
      <c r="C357" s="23" t="str">
        <f aca="false">IFERROR(IF(OR(A357="",B357=""),"",INDEX(Equipements!$H:$H,MATCH(A357,Equipements!$A:$A,0))&amp;"."&amp;B357),"")</f>
        <v/>
      </c>
      <c r="D357" s="23"/>
      <c r="E357" s="23"/>
      <c r="F357" s="23"/>
      <c r="G357" s="23"/>
      <c r="H357" s="23"/>
      <c r="I357" s="23"/>
      <c r="J357" s="23"/>
    </row>
    <row r="358" customFormat="false" ht="15" hidden="false" customHeight="true" outlineLevel="0" collapsed="false">
      <c r="A358" s="23"/>
      <c r="B358" s="23"/>
      <c r="C358" s="23" t="str">
        <f aca="false">IFERROR(IF(OR(A358="",B358=""),"",INDEX(Equipements!$H:$H,MATCH(A358,Equipements!$A:$A,0))&amp;"."&amp;B358),"")</f>
        <v/>
      </c>
      <c r="D358" s="23"/>
      <c r="E358" s="23"/>
      <c r="F358" s="23"/>
      <c r="G358" s="23"/>
      <c r="H358" s="23"/>
      <c r="I358" s="23"/>
      <c r="J358" s="23"/>
    </row>
    <row r="359" customFormat="false" ht="15" hidden="false" customHeight="true" outlineLevel="0" collapsed="false">
      <c r="A359" s="23"/>
      <c r="B359" s="23"/>
      <c r="C359" s="23" t="str">
        <f aca="false">IFERROR(IF(OR(A359="",B359=""),"",INDEX(Equipements!$H:$H,MATCH(A359,Equipements!$A:$A,0))&amp;"."&amp;B359),"")</f>
        <v/>
      </c>
      <c r="D359" s="23"/>
      <c r="E359" s="23"/>
      <c r="F359" s="23"/>
      <c r="G359" s="23"/>
      <c r="H359" s="23"/>
      <c r="I359" s="23"/>
      <c r="J359" s="23"/>
    </row>
    <row r="360" customFormat="false" ht="15" hidden="false" customHeight="true" outlineLevel="0" collapsed="false">
      <c r="A360" s="23"/>
      <c r="B360" s="23"/>
      <c r="C360" s="23" t="str">
        <f aca="false">IFERROR(IF(OR(A360="",B360=""),"",INDEX(Equipements!$H:$H,MATCH(A360,Equipements!$A:$A,0))&amp;"."&amp;B360),"")</f>
        <v/>
      </c>
      <c r="D360" s="23"/>
      <c r="E360" s="23"/>
      <c r="F360" s="23"/>
      <c r="G360" s="23"/>
      <c r="H360" s="23"/>
      <c r="I360" s="23"/>
      <c r="J360" s="23"/>
    </row>
    <row r="361" customFormat="false" ht="15" hidden="false" customHeight="true" outlineLevel="0" collapsed="false">
      <c r="A361" s="23"/>
      <c r="B361" s="23"/>
      <c r="C361" s="23" t="str">
        <f aca="false">IFERROR(IF(OR(A361="",B361=""),"",INDEX(Equipements!$H:$H,MATCH(A361,Equipements!$A:$A,0))&amp;"."&amp;B361),"")</f>
        <v/>
      </c>
      <c r="D361" s="23"/>
      <c r="E361" s="23"/>
      <c r="F361" s="23"/>
      <c r="G361" s="23"/>
      <c r="H361" s="23"/>
      <c r="I361" s="23"/>
      <c r="J361" s="23"/>
    </row>
    <row r="362" customFormat="false" ht="15" hidden="false" customHeight="true" outlineLevel="0" collapsed="false">
      <c r="A362" s="23"/>
      <c r="B362" s="23"/>
      <c r="C362" s="23" t="str">
        <f aca="false">IFERROR(IF(OR(A362="",B362=""),"",INDEX(Equipements!$H:$H,MATCH(A362,Equipements!$A:$A,0))&amp;"."&amp;B362),"")</f>
        <v/>
      </c>
      <c r="D362" s="23"/>
      <c r="E362" s="23"/>
      <c r="F362" s="23"/>
      <c r="G362" s="23"/>
      <c r="H362" s="23"/>
      <c r="I362" s="23"/>
      <c r="J362" s="23"/>
    </row>
    <row r="363" customFormat="false" ht="15" hidden="false" customHeight="true" outlineLevel="0" collapsed="false">
      <c r="A363" s="23"/>
      <c r="B363" s="23"/>
      <c r="C363" s="23" t="str">
        <f aca="false">IFERROR(IF(OR(A363="",B363=""),"",INDEX(Equipements!$H:$H,MATCH(A363,Equipements!$A:$A,0))&amp;"."&amp;B363),"")</f>
        <v/>
      </c>
      <c r="D363" s="23"/>
      <c r="E363" s="23"/>
      <c r="F363" s="23"/>
      <c r="G363" s="23"/>
      <c r="H363" s="23"/>
      <c r="I363" s="23"/>
      <c r="J363" s="23"/>
    </row>
    <row r="364" customFormat="false" ht="15" hidden="false" customHeight="true" outlineLevel="0" collapsed="false">
      <c r="A364" s="23"/>
      <c r="B364" s="23"/>
      <c r="C364" s="23" t="str">
        <f aca="false">IFERROR(IF(OR(A364="",B364=""),"",INDEX(Equipements!$H:$H,MATCH(A364,Equipements!$A:$A,0))&amp;"."&amp;B364),"")</f>
        <v/>
      </c>
      <c r="D364" s="23"/>
      <c r="E364" s="23"/>
      <c r="F364" s="23"/>
      <c r="G364" s="23"/>
      <c r="H364" s="23"/>
      <c r="I364" s="23"/>
      <c r="J364" s="23"/>
    </row>
    <row r="365" customFormat="false" ht="15" hidden="false" customHeight="true" outlineLevel="0" collapsed="false">
      <c r="A365" s="23"/>
      <c r="B365" s="23"/>
      <c r="C365" s="23" t="str">
        <f aca="false">IFERROR(IF(OR(A365="",B365=""),"",INDEX(Equipements!$H:$H,MATCH(A365,Equipements!$A:$A,0))&amp;"."&amp;B365),"")</f>
        <v/>
      </c>
      <c r="D365" s="23"/>
      <c r="E365" s="23"/>
      <c r="F365" s="23"/>
      <c r="G365" s="23"/>
      <c r="H365" s="23"/>
      <c r="I365" s="23"/>
      <c r="J365" s="23"/>
    </row>
    <row r="366" customFormat="false" ht="15" hidden="false" customHeight="true" outlineLevel="0" collapsed="false">
      <c r="A366" s="23"/>
      <c r="B366" s="23"/>
      <c r="C366" s="23" t="str">
        <f aca="false">IFERROR(IF(OR(A366="",B366=""),"",INDEX(Equipements!$H:$H,MATCH(A366,Equipements!$A:$A,0))&amp;"."&amp;B366),"")</f>
        <v/>
      </c>
      <c r="D366" s="23"/>
      <c r="E366" s="23"/>
      <c r="F366" s="23"/>
      <c r="G366" s="23"/>
      <c r="H366" s="23"/>
      <c r="I366" s="23"/>
      <c r="J366" s="23"/>
    </row>
    <row r="367" customFormat="false" ht="15" hidden="false" customHeight="true" outlineLevel="0" collapsed="false">
      <c r="A367" s="23"/>
      <c r="B367" s="23"/>
      <c r="C367" s="23" t="str">
        <f aca="false">IFERROR(IF(OR(A367="",B367=""),"",INDEX(Equipements!$H:$H,MATCH(A367,Equipements!$A:$A,0))&amp;"."&amp;B367),"")</f>
        <v/>
      </c>
      <c r="D367" s="23"/>
      <c r="E367" s="23"/>
      <c r="F367" s="23"/>
      <c r="G367" s="23"/>
      <c r="H367" s="23"/>
      <c r="I367" s="23"/>
      <c r="J367" s="23"/>
    </row>
    <row r="368" customFormat="false" ht="15" hidden="false" customHeight="true" outlineLevel="0" collapsed="false">
      <c r="A368" s="23"/>
      <c r="B368" s="23"/>
      <c r="C368" s="23" t="str">
        <f aca="false">IFERROR(IF(OR(A368="",B368=""),"",INDEX(Equipements!$H:$H,MATCH(A368,Equipements!$A:$A,0))&amp;"."&amp;B368),"")</f>
        <v/>
      </c>
      <c r="D368" s="23"/>
      <c r="E368" s="23"/>
      <c r="F368" s="23"/>
      <c r="G368" s="23"/>
      <c r="H368" s="23"/>
      <c r="I368" s="23"/>
      <c r="J368" s="23"/>
    </row>
    <row r="369" customFormat="false" ht="15" hidden="false" customHeight="true" outlineLevel="0" collapsed="false">
      <c r="A369" s="23"/>
      <c r="B369" s="23"/>
      <c r="C369" s="23" t="str">
        <f aca="false">IFERROR(IF(OR(A369="",B369=""),"",INDEX(Equipements!$H:$H,MATCH(A369,Equipements!$A:$A,0))&amp;"."&amp;B369),"")</f>
        <v/>
      </c>
      <c r="D369" s="23"/>
      <c r="E369" s="23"/>
      <c r="F369" s="23"/>
      <c r="G369" s="23"/>
      <c r="H369" s="23"/>
      <c r="I369" s="23"/>
      <c r="J369" s="23"/>
    </row>
    <row r="370" customFormat="false" ht="15" hidden="false" customHeight="true" outlineLevel="0" collapsed="false">
      <c r="A370" s="23"/>
      <c r="B370" s="23"/>
      <c r="C370" s="23" t="str">
        <f aca="false">IFERROR(IF(OR(A370="",B370=""),"",INDEX(Equipements!$H:$H,MATCH(A370,Equipements!$A:$A,0))&amp;"."&amp;B370),"")</f>
        <v/>
      </c>
      <c r="D370" s="23"/>
      <c r="E370" s="23"/>
      <c r="F370" s="23"/>
      <c r="G370" s="23"/>
      <c r="H370" s="23"/>
      <c r="I370" s="23"/>
      <c r="J370" s="23"/>
    </row>
    <row r="371" customFormat="false" ht="15" hidden="false" customHeight="true" outlineLevel="0" collapsed="false">
      <c r="A371" s="23"/>
      <c r="B371" s="23"/>
      <c r="C371" s="23" t="str">
        <f aca="false">IFERROR(IF(OR(A371="",B371=""),"",INDEX(Equipements!$H:$H,MATCH(A371,Equipements!$A:$A,0))&amp;"."&amp;B371),"")</f>
        <v/>
      </c>
      <c r="D371" s="23"/>
      <c r="E371" s="23"/>
      <c r="F371" s="23"/>
      <c r="G371" s="23"/>
      <c r="H371" s="23"/>
      <c r="I371" s="23"/>
      <c r="J371" s="23"/>
    </row>
    <row r="372" customFormat="false" ht="15" hidden="false" customHeight="true" outlineLevel="0" collapsed="false">
      <c r="A372" s="23"/>
      <c r="B372" s="23"/>
      <c r="C372" s="23" t="str">
        <f aca="false">IFERROR(IF(OR(A372="",B372=""),"",INDEX(Equipements!$H:$H,MATCH(A372,Equipements!$A:$A,0))&amp;"."&amp;B372),"")</f>
        <v/>
      </c>
      <c r="D372" s="23"/>
      <c r="E372" s="23"/>
      <c r="F372" s="23"/>
      <c r="G372" s="23"/>
      <c r="H372" s="23"/>
      <c r="I372" s="23"/>
      <c r="J372" s="23"/>
    </row>
    <row r="373" customFormat="false" ht="15" hidden="false" customHeight="true" outlineLevel="0" collapsed="false">
      <c r="A373" s="23"/>
      <c r="B373" s="23"/>
      <c r="C373" s="23" t="str">
        <f aca="false">IFERROR(IF(OR(A373="",B373=""),"",INDEX(Equipements!$H:$H,MATCH(A373,Equipements!$A:$A,0))&amp;"."&amp;B373),"")</f>
        <v/>
      </c>
      <c r="D373" s="23"/>
      <c r="E373" s="23"/>
      <c r="F373" s="23"/>
      <c r="G373" s="23"/>
      <c r="H373" s="23"/>
      <c r="I373" s="23"/>
      <c r="J373" s="23"/>
    </row>
    <row r="374" customFormat="false" ht="15" hidden="false" customHeight="true" outlineLevel="0" collapsed="false">
      <c r="A374" s="23"/>
      <c r="B374" s="23"/>
      <c r="C374" s="23" t="str">
        <f aca="false">IFERROR(IF(OR(A374="",B374=""),"",INDEX(Equipements!$H:$H,MATCH(A374,Equipements!$A:$A,0))&amp;"."&amp;B374),"")</f>
        <v/>
      </c>
      <c r="D374" s="23"/>
      <c r="E374" s="23"/>
      <c r="F374" s="23"/>
      <c r="G374" s="23"/>
      <c r="H374" s="23"/>
      <c r="I374" s="23"/>
      <c r="J374" s="23"/>
    </row>
    <row r="375" customFormat="false" ht="15" hidden="false" customHeight="true" outlineLevel="0" collapsed="false">
      <c r="A375" s="23"/>
      <c r="B375" s="23"/>
      <c r="C375" s="23" t="str">
        <f aca="false">IFERROR(IF(OR(A375="",B375=""),"",INDEX(Equipements!$H:$H,MATCH(A375,Equipements!$A:$A,0))&amp;"."&amp;B375),"")</f>
        <v/>
      </c>
      <c r="D375" s="23"/>
      <c r="E375" s="23"/>
      <c r="F375" s="23"/>
      <c r="G375" s="23"/>
      <c r="H375" s="23"/>
      <c r="I375" s="23"/>
      <c r="J375" s="23"/>
    </row>
    <row r="376" customFormat="false" ht="15" hidden="false" customHeight="true" outlineLevel="0" collapsed="false">
      <c r="A376" s="23"/>
      <c r="B376" s="23"/>
      <c r="C376" s="23" t="str">
        <f aca="false">IFERROR(IF(OR(A376="",B376=""),"",INDEX(Equipements!$H:$H,MATCH(A376,Equipements!$A:$A,0))&amp;"."&amp;B376),"")</f>
        <v/>
      </c>
      <c r="D376" s="23"/>
      <c r="E376" s="23"/>
      <c r="F376" s="23"/>
      <c r="G376" s="23"/>
      <c r="H376" s="23"/>
      <c r="I376" s="23"/>
      <c r="J376" s="23"/>
    </row>
    <row r="377" customFormat="false" ht="15" hidden="false" customHeight="true" outlineLevel="0" collapsed="false">
      <c r="A377" s="23"/>
      <c r="B377" s="23"/>
      <c r="C377" s="23" t="str">
        <f aca="false">IFERROR(IF(OR(A377="",B377=""),"",INDEX(Equipements!$H:$H,MATCH(A377,Equipements!$A:$A,0))&amp;"."&amp;B377),"")</f>
        <v/>
      </c>
      <c r="D377" s="23"/>
      <c r="E377" s="23"/>
      <c r="F377" s="23"/>
      <c r="G377" s="23"/>
      <c r="H377" s="23"/>
      <c r="I377" s="23"/>
      <c r="J377" s="23"/>
    </row>
    <row r="378" customFormat="false" ht="15" hidden="false" customHeight="true" outlineLevel="0" collapsed="false">
      <c r="A378" s="23"/>
      <c r="B378" s="23"/>
      <c r="C378" s="23" t="str">
        <f aca="false">IFERROR(IF(OR(A378="",B378=""),"",INDEX(Equipements!$H:$H,MATCH(A378,Equipements!$A:$A,0))&amp;"."&amp;B378),"")</f>
        <v/>
      </c>
      <c r="D378" s="23"/>
      <c r="E378" s="23"/>
      <c r="F378" s="23"/>
      <c r="G378" s="23"/>
      <c r="H378" s="23"/>
      <c r="I378" s="23"/>
      <c r="J378" s="23"/>
    </row>
    <row r="379" customFormat="false" ht="15" hidden="false" customHeight="true" outlineLevel="0" collapsed="false">
      <c r="A379" s="23"/>
      <c r="B379" s="23"/>
      <c r="C379" s="23" t="str">
        <f aca="false">IFERROR(IF(OR(A379="",B379=""),"",INDEX(Equipements!$H:$H,MATCH(A379,Equipements!$A:$A,0))&amp;"."&amp;B379),"")</f>
        <v/>
      </c>
      <c r="D379" s="23"/>
      <c r="E379" s="23"/>
      <c r="F379" s="23"/>
      <c r="G379" s="23"/>
      <c r="H379" s="23"/>
      <c r="I379" s="23"/>
      <c r="J379" s="23"/>
    </row>
    <row r="380" customFormat="false" ht="15" hidden="false" customHeight="true" outlineLevel="0" collapsed="false">
      <c r="A380" s="23"/>
      <c r="B380" s="23"/>
      <c r="C380" s="23" t="str">
        <f aca="false">IFERROR(IF(OR(A380="",B380=""),"",INDEX(Equipements!$H:$H,MATCH(A380,Equipements!$A:$A,0))&amp;"."&amp;B380),"")</f>
        <v/>
      </c>
      <c r="D380" s="23"/>
      <c r="E380" s="23"/>
      <c r="F380" s="23"/>
      <c r="G380" s="23"/>
      <c r="H380" s="23"/>
      <c r="I380" s="23"/>
      <c r="J380" s="23"/>
    </row>
    <row r="381" customFormat="false" ht="15" hidden="false" customHeight="true" outlineLevel="0" collapsed="false">
      <c r="A381" s="23"/>
      <c r="B381" s="23"/>
      <c r="C381" s="23" t="str">
        <f aca="false">IFERROR(IF(OR(A381="",B381=""),"",INDEX(Equipements!$H:$H,MATCH(A381,Equipements!$A:$A,0))&amp;"."&amp;B381),"")</f>
        <v/>
      </c>
      <c r="D381" s="23"/>
      <c r="E381" s="23"/>
      <c r="F381" s="23"/>
      <c r="G381" s="23"/>
      <c r="H381" s="23"/>
      <c r="I381" s="23"/>
      <c r="J381" s="23"/>
    </row>
    <row r="382" customFormat="false" ht="15" hidden="false" customHeight="true" outlineLevel="0" collapsed="false">
      <c r="A382" s="23"/>
      <c r="B382" s="23"/>
      <c r="C382" s="23" t="str">
        <f aca="false">IFERROR(IF(OR(A382="",B382=""),"",INDEX(Equipements!$H:$H,MATCH(A382,Equipements!$A:$A,0))&amp;"."&amp;B382),"")</f>
        <v/>
      </c>
      <c r="D382" s="23"/>
      <c r="E382" s="23"/>
      <c r="F382" s="23"/>
      <c r="G382" s="23"/>
      <c r="H382" s="23"/>
      <c r="I382" s="23"/>
      <c r="J382" s="23"/>
    </row>
    <row r="383" customFormat="false" ht="15" hidden="false" customHeight="true" outlineLevel="0" collapsed="false">
      <c r="A383" s="23"/>
      <c r="B383" s="23"/>
      <c r="C383" s="23" t="str">
        <f aca="false">IFERROR(IF(OR(A383="",B383=""),"",INDEX(Equipements!$H:$H,MATCH(A383,Equipements!$A:$A,0))&amp;"."&amp;B383),"")</f>
        <v/>
      </c>
      <c r="D383" s="23"/>
      <c r="E383" s="23"/>
      <c r="F383" s="23"/>
      <c r="G383" s="23"/>
      <c r="H383" s="23"/>
      <c r="I383" s="23"/>
      <c r="J383" s="23"/>
    </row>
    <row r="384" customFormat="false" ht="15" hidden="false" customHeight="true" outlineLevel="0" collapsed="false">
      <c r="A384" s="23"/>
      <c r="B384" s="23"/>
      <c r="C384" s="23" t="str">
        <f aca="false">IFERROR(IF(OR(A384="",B384=""),"",INDEX(Equipements!$H:$H,MATCH(A384,Equipements!$A:$A,0))&amp;"."&amp;B384),"")</f>
        <v/>
      </c>
      <c r="D384" s="23"/>
      <c r="E384" s="23"/>
      <c r="F384" s="23"/>
      <c r="G384" s="23"/>
      <c r="H384" s="23"/>
      <c r="I384" s="23"/>
      <c r="J384" s="23"/>
    </row>
    <row r="385" customFormat="false" ht="15" hidden="false" customHeight="true" outlineLevel="0" collapsed="false">
      <c r="A385" s="23"/>
      <c r="B385" s="23"/>
      <c r="C385" s="23" t="str">
        <f aca="false">IFERROR(IF(OR(A385="",B385=""),"",INDEX(Equipements!$H:$H,MATCH(A385,Equipements!$A:$A,0))&amp;"."&amp;B385),"")</f>
        <v/>
      </c>
      <c r="D385" s="23"/>
      <c r="E385" s="23"/>
      <c r="F385" s="23"/>
      <c r="G385" s="23"/>
      <c r="H385" s="23"/>
      <c r="I385" s="23"/>
      <c r="J385" s="23"/>
    </row>
    <row r="386" customFormat="false" ht="15" hidden="false" customHeight="true" outlineLevel="0" collapsed="false">
      <c r="A386" s="23"/>
      <c r="B386" s="23"/>
      <c r="C386" s="23" t="str">
        <f aca="false">IFERROR(IF(OR(A386="",B386=""),"",INDEX(Equipements!$H:$H,MATCH(A386,Equipements!$A:$A,0))&amp;"."&amp;B386),"")</f>
        <v/>
      </c>
      <c r="D386" s="23"/>
      <c r="E386" s="23"/>
      <c r="F386" s="23"/>
      <c r="G386" s="23"/>
      <c r="H386" s="23"/>
      <c r="I386" s="23"/>
      <c r="J386" s="23"/>
    </row>
    <row r="387" customFormat="false" ht="15" hidden="false" customHeight="true" outlineLevel="0" collapsed="false">
      <c r="A387" s="23"/>
      <c r="B387" s="23"/>
      <c r="C387" s="23" t="str">
        <f aca="false">IFERROR(IF(OR(A387="",B387=""),"",INDEX(Equipements!$H:$H,MATCH(A387,Equipements!$A:$A,0))&amp;"."&amp;B387),"")</f>
        <v/>
      </c>
      <c r="D387" s="23"/>
      <c r="E387" s="23"/>
      <c r="F387" s="23"/>
      <c r="G387" s="23"/>
      <c r="H387" s="23"/>
      <c r="I387" s="23"/>
      <c r="J387" s="23"/>
    </row>
    <row r="388" customFormat="false" ht="15" hidden="false" customHeight="true" outlineLevel="0" collapsed="false">
      <c r="A388" s="23"/>
      <c r="B388" s="23"/>
      <c r="C388" s="23" t="str">
        <f aca="false">IFERROR(IF(OR(A388="",B388=""),"",INDEX(Equipements!$H:$H,MATCH(A388,Equipements!$A:$A,0))&amp;"."&amp;B388),"")</f>
        <v/>
      </c>
      <c r="D388" s="23"/>
      <c r="E388" s="23"/>
      <c r="F388" s="23"/>
      <c r="G388" s="23"/>
      <c r="H388" s="23"/>
      <c r="I388" s="23"/>
      <c r="J388" s="23"/>
    </row>
    <row r="389" customFormat="false" ht="15" hidden="false" customHeight="true" outlineLevel="0" collapsed="false">
      <c r="A389" s="23"/>
      <c r="B389" s="23"/>
      <c r="C389" s="23" t="str">
        <f aca="false">IFERROR(IF(OR(A389="",B389=""),"",INDEX(Equipements!$H:$H,MATCH(A389,Equipements!$A:$A,0))&amp;"."&amp;B389),"")</f>
        <v/>
      </c>
      <c r="D389" s="23"/>
      <c r="E389" s="23"/>
      <c r="F389" s="23"/>
      <c r="G389" s="23"/>
      <c r="H389" s="23"/>
      <c r="I389" s="23"/>
      <c r="J389" s="23"/>
    </row>
    <row r="390" customFormat="false" ht="15" hidden="false" customHeight="true" outlineLevel="0" collapsed="false">
      <c r="A390" s="23"/>
      <c r="B390" s="23"/>
      <c r="C390" s="23" t="str">
        <f aca="false">IFERROR(IF(OR(A390="",B390=""),"",INDEX(Equipements!$H:$H,MATCH(A390,Equipements!$A:$A,0))&amp;"."&amp;B390),"")</f>
        <v/>
      </c>
      <c r="D390" s="23"/>
      <c r="E390" s="23"/>
      <c r="F390" s="23"/>
      <c r="G390" s="23"/>
      <c r="H390" s="23"/>
      <c r="I390" s="23"/>
      <c r="J390" s="23"/>
    </row>
    <row r="391" customFormat="false" ht="15" hidden="false" customHeight="true" outlineLevel="0" collapsed="false">
      <c r="A391" s="23"/>
      <c r="B391" s="23"/>
      <c r="C391" s="23" t="str">
        <f aca="false">IFERROR(IF(OR(A391="",B391=""),"",INDEX(Equipements!$H:$H,MATCH(A391,Equipements!$A:$A,0))&amp;"."&amp;B391),"")</f>
        <v/>
      </c>
      <c r="D391" s="23"/>
      <c r="E391" s="23"/>
      <c r="F391" s="23"/>
      <c r="G391" s="23"/>
      <c r="H391" s="23"/>
      <c r="I391" s="23"/>
      <c r="J391" s="23"/>
    </row>
    <row r="392" customFormat="false" ht="15" hidden="false" customHeight="true" outlineLevel="0" collapsed="false">
      <c r="A392" s="23"/>
      <c r="B392" s="23"/>
      <c r="C392" s="23" t="str">
        <f aca="false">IFERROR(IF(OR(A392="",B392=""),"",INDEX(Equipements!$H:$H,MATCH(A392,Equipements!$A:$A,0))&amp;"."&amp;B392),"")</f>
        <v/>
      </c>
      <c r="D392" s="23"/>
      <c r="E392" s="23"/>
      <c r="F392" s="23"/>
      <c r="G392" s="23"/>
      <c r="H392" s="23"/>
      <c r="I392" s="23"/>
      <c r="J392" s="23"/>
    </row>
    <row r="393" customFormat="false" ht="15" hidden="false" customHeight="true" outlineLevel="0" collapsed="false">
      <c r="A393" s="23"/>
      <c r="B393" s="23"/>
      <c r="C393" s="23" t="str">
        <f aca="false">IFERROR(IF(OR(A393="",B393=""),"",INDEX(Equipements!$H:$H,MATCH(A393,Equipements!$A:$A,0))&amp;"."&amp;B393),"")</f>
        <v/>
      </c>
      <c r="D393" s="23"/>
      <c r="E393" s="23"/>
      <c r="F393" s="23"/>
      <c r="G393" s="23"/>
      <c r="H393" s="23"/>
      <c r="I393" s="23"/>
      <c r="J393" s="23"/>
    </row>
    <row r="394" customFormat="false" ht="15" hidden="false" customHeight="true" outlineLevel="0" collapsed="false">
      <c r="A394" s="23"/>
      <c r="B394" s="23"/>
      <c r="C394" s="23" t="str">
        <f aca="false">IFERROR(IF(OR(A394="",B394=""),"",INDEX(Equipements!$H:$H,MATCH(A394,Equipements!$A:$A,0))&amp;"."&amp;B394),"")</f>
        <v/>
      </c>
      <c r="D394" s="23"/>
      <c r="E394" s="23"/>
      <c r="F394" s="23"/>
      <c r="G394" s="23"/>
      <c r="H394" s="23"/>
      <c r="I394" s="23"/>
      <c r="J394" s="23"/>
    </row>
    <row r="395" customFormat="false" ht="15" hidden="false" customHeight="true" outlineLevel="0" collapsed="false">
      <c r="A395" s="23"/>
      <c r="B395" s="23"/>
      <c r="C395" s="23" t="str">
        <f aca="false">IFERROR(IF(OR(A395="",B395=""),"",INDEX(Equipements!$H:$H,MATCH(A395,Equipements!$A:$A,0))&amp;"."&amp;B395),"")</f>
        <v/>
      </c>
      <c r="D395" s="23"/>
      <c r="E395" s="23"/>
      <c r="F395" s="23"/>
      <c r="G395" s="23"/>
      <c r="H395" s="23"/>
      <c r="I395" s="23"/>
      <c r="J395" s="23"/>
    </row>
    <row r="396" customFormat="false" ht="15" hidden="false" customHeight="true" outlineLevel="0" collapsed="false">
      <c r="A396" s="23"/>
      <c r="B396" s="23"/>
      <c r="C396" s="23" t="str">
        <f aca="false">IFERROR(IF(OR(A396="",B396=""),"",INDEX(Equipements!$H:$H,MATCH(A396,Equipements!$A:$A,0))&amp;"."&amp;B396),"")</f>
        <v/>
      </c>
      <c r="D396" s="23"/>
      <c r="E396" s="23"/>
      <c r="F396" s="23"/>
      <c r="G396" s="23"/>
      <c r="H396" s="23"/>
      <c r="I396" s="23"/>
      <c r="J396" s="23"/>
    </row>
    <row r="397" customFormat="false" ht="15" hidden="false" customHeight="true" outlineLevel="0" collapsed="false">
      <c r="A397" s="23"/>
      <c r="B397" s="23"/>
      <c r="C397" s="23" t="str">
        <f aca="false">IFERROR(IF(OR(A397="",B397=""),"",INDEX(Equipements!$H:$H,MATCH(A397,Equipements!$A:$A,0))&amp;"."&amp;B397),"")</f>
        <v/>
      </c>
      <c r="D397" s="23"/>
      <c r="E397" s="23"/>
      <c r="F397" s="23"/>
      <c r="G397" s="23"/>
      <c r="H397" s="23"/>
      <c r="I397" s="23"/>
      <c r="J397" s="23"/>
    </row>
    <row r="398" customFormat="false" ht="15" hidden="false" customHeight="true" outlineLevel="0" collapsed="false">
      <c r="A398" s="23"/>
      <c r="B398" s="23"/>
      <c r="C398" s="23" t="str">
        <f aca="false">IFERROR(IF(OR(A398="",B398=""),"",INDEX(Equipements!$H:$H,MATCH(A398,Equipements!$A:$A,0))&amp;"."&amp;B398),"")</f>
        <v/>
      </c>
      <c r="D398" s="23"/>
      <c r="E398" s="23"/>
      <c r="F398" s="23"/>
      <c r="G398" s="23"/>
      <c r="H398" s="23"/>
      <c r="I398" s="23"/>
      <c r="J398" s="23"/>
    </row>
    <row r="399" customFormat="false" ht="15" hidden="false" customHeight="true" outlineLevel="0" collapsed="false">
      <c r="A399" s="23"/>
      <c r="B399" s="23"/>
      <c r="C399" s="23" t="str">
        <f aca="false">IFERROR(IF(OR(A399="",B399=""),"",INDEX(Equipements!$H:$H,MATCH(A399,Equipements!$A:$A,0))&amp;"."&amp;B399),"")</f>
        <v/>
      </c>
      <c r="D399" s="23"/>
      <c r="E399" s="23"/>
      <c r="F399" s="23"/>
      <c r="G399" s="23"/>
      <c r="H399" s="23"/>
      <c r="I399" s="23"/>
      <c r="J399" s="23"/>
    </row>
    <row r="400" customFormat="false" ht="15" hidden="false" customHeight="true" outlineLevel="0" collapsed="false">
      <c r="A400" s="23"/>
      <c r="B400" s="23"/>
      <c r="C400" s="23" t="str">
        <f aca="false">IFERROR(IF(OR(A400="",B400=""),"",INDEX(Equipements!$H:$H,MATCH(A400,Equipements!$A:$A,0))&amp;"."&amp;B400),"")</f>
        <v/>
      </c>
      <c r="D400" s="23"/>
      <c r="E400" s="23"/>
      <c r="F400" s="23"/>
      <c r="G400" s="23"/>
      <c r="H400" s="23"/>
      <c r="I400" s="23"/>
      <c r="J400" s="23"/>
    </row>
    <row r="401" customFormat="false" ht="15" hidden="false" customHeight="true" outlineLevel="0" collapsed="false">
      <c r="A401" s="23"/>
      <c r="B401" s="23"/>
      <c r="C401" s="23" t="str">
        <f aca="false">IFERROR(IF(OR(A401="",B401=""),"",INDEX(Equipements!$H:$H,MATCH(A401,Equipements!$A:$A,0))&amp;"."&amp;B401),"")</f>
        <v/>
      </c>
      <c r="D401" s="23"/>
      <c r="E401" s="23"/>
      <c r="F401" s="23"/>
      <c r="G401" s="23"/>
      <c r="H401" s="23"/>
      <c r="I401" s="23"/>
      <c r="J401" s="23"/>
    </row>
    <row r="402" customFormat="false" ht="15" hidden="false" customHeight="true" outlineLevel="0" collapsed="false">
      <c r="A402" s="23"/>
      <c r="B402" s="23"/>
      <c r="C402" s="23" t="str">
        <f aca="false">IFERROR(IF(OR(A402="",B402=""),"",INDEX(Equipements!$H:$H,MATCH(A402,Equipements!$A:$A,0))&amp;"."&amp;B402),"")</f>
        <v/>
      </c>
      <c r="D402" s="23"/>
      <c r="E402" s="23"/>
      <c r="F402" s="23"/>
      <c r="G402" s="23"/>
      <c r="H402" s="23"/>
      <c r="I402" s="23"/>
      <c r="J402" s="23"/>
    </row>
    <row r="403" customFormat="false" ht="15" hidden="false" customHeight="true" outlineLevel="0" collapsed="false">
      <c r="A403" s="23"/>
      <c r="B403" s="23"/>
      <c r="C403" s="23" t="str">
        <f aca="false">IFERROR(IF(OR(A403="",B403=""),"",INDEX(Equipements!$H:$H,MATCH(A403,Equipements!$A:$A,0))&amp;"."&amp;B403),"")</f>
        <v/>
      </c>
      <c r="D403" s="23"/>
      <c r="E403" s="23"/>
      <c r="F403" s="23"/>
      <c r="G403" s="23"/>
      <c r="H403" s="23"/>
      <c r="I403" s="23"/>
      <c r="J403" s="23"/>
    </row>
    <row r="404" customFormat="false" ht="15" hidden="false" customHeight="true" outlineLevel="0" collapsed="false">
      <c r="A404" s="23"/>
      <c r="B404" s="23"/>
      <c r="C404" s="23" t="str">
        <f aca="false">IFERROR(IF(OR(A404="",B404=""),"",INDEX(Equipements!$H:$H,MATCH(A404,Equipements!$A:$A,0))&amp;"."&amp;B404),"")</f>
        <v/>
      </c>
      <c r="D404" s="23"/>
      <c r="E404" s="23"/>
      <c r="F404" s="23"/>
      <c r="G404" s="23"/>
      <c r="H404" s="23"/>
      <c r="I404" s="23"/>
      <c r="J404" s="23"/>
    </row>
    <row r="405" customFormat="false" ht="15" hidden="false" customHeight="true" outlineLevel="0" collapsed="false">
      <c r="A405" s="23"/>
      <c r="B405" s="23"/>
      <c r="C405" s="23" t="str">
        <f aca="false">IFERROR(IF(OR(A405="",B405=""),"",INDEX(Equipements!$H:$H,MATCH(A405,Equipements!$A:$A,0))&amp;"."&amp;B405),"")</f>
        <v/>
      </c>
      <c r="D405" s="23"/>
      <c r="E405" s="23"/>
      <c r="F405" s="23"/>
      <c r="G405" s="23"/>
      <c r="H405" s="23"/>
      <c r="I405" s="23"/>
      <c r="J405" s="23"/>
    </row>
    <row r="406" customFormat="false" ht="15" hidden="false" customHeight="true" outlineLevel="0" collapsed="false">
      <c r="A406" s="23"/>
      <c r="B406" s="23"/>
      <c r="C406" s="23" t="str">
        <f aca="false">IFERROR(IF(OR(A406="",B406=""),"",INDEX(Equipements!$H:$H,MATCH(A406,Equipements!$A:$A,0))&amp;"."&amp;B406),"")</f>
        <v/>
      </c>
      <c r="D406" s="23"/>
      <c r="E406" s="23"/>
      <c r="F406" s="23"/>
      <c r="G406" s="23"/>
      <c r="H406" s="23"/>
      <c r="I406" s="23"/>
      <c r="J406" s="23"/>
    </row>
    <row r="407" customFormat="false" ht="15" hidden="false" customHeight="true" outlineLevel="0" collapsed="false">
      <c r="A407" s="23"/>
      <c r="B407" s="23"/>
      <c r="C407" s="23" t="str">
        <f aca="false">IFERROR(IF(OR(A407="",B407=""),"",INDEX(Equipements!$H:$H,MATCH(A407,Equipements!$A:$A,0))&amp;"."&amp;B407),"")</f>
        <v/>
      </c>
      <c r="D407" s="23"/>
      <c r="E407" s="23"/>
      <c r="F407" s="23"/>
      <c r="G407" s="23"/>
      <c r="H407" s="23"/>
      <c r="I407" s="23"/>
      <c r="J407" s="23"/>
    </row>
    <row r="408" customFormat="false" ht="15" hidden="false" customHeight="true" outlineLevel="0" collapsed="false">
      <c r="A408" s="23"/>
      <c r="B408" s="23"/>
      <c r="C408" s="23" t="str">
        <f aca="false">IFERROR(IF(OR(A408="",B408=""),"",INDEX(Equipements!$H:$H,MATCH(A408,Equipements!$A:$A,0))&amp;"."&amp;B408),"")</f>
        <v/>
      </c>
      <c r="D408" s="23"/>
      <c r="E408" s="23"/>
      <c r="F408" s="23"/>
      <c r="G408" s="23"/>
      <c r="H408" s="23"/>
      <c r="I408" s="23"/>
      <c r="J408" s="23"/>
    </row>
    <row r="409" customFormat="false" ht="15" hidden="false" customHeight="true" outlineLevel="0" collapsed="false">
      <c r="A409" s="23"/>
      <c r="B409" s="23"/>
      <c r="C409" s="23" t="str">
        <f aca="false">IFERROR(IF(OR(A409="",B409=""),"",INDEX(Equipements!$H:$H,MATCH(A409,Equipements!$A:$A,0))&amp;"."&amp;B409),"")</f>
        <v/>
      </c>
      <c r="D409" s="23"/>
      <c r="E409" s="23"/>
      <c r="F409" s="23"/>
      <c r="G409" s="23"/>
      <c r="H409" s="23"/>
      <c r="I409" s="23"/>
      <c r="J409" s="23"/>
    </row>
    <row r="410" customFormat="false" ht="15" hidden="false" customHeight="true" outlineLevel="0" collapsed="false">
      <c r="A410" s="23"/>
      <c r="B410" s="23"/>
      <c r="C410" s="23" t="str">
        <f aca="false">IFERROR(IF(OR(A410="",B410=""),"",INDEX(Equipements!$H:$H,MATCH(A410,Equipements!$A:$A,0))&amp;"."&amp;B410),"")</f>
        <v/>
      </c>
      <c r="D410" s="23"/>
      <c r="E410" s="23"/>
      <c r="F410" s="23"/>
      <c r="G410" s="23"/>
      <c r="H410" s="23"/>
      <c r="I410" s="23"/>
      <c r="J410" s="23"/>
    </row>
    <row r="411" customFormat="false" ht="15" hidden="false" customHeight="true" outlineLevel="0" collapsed="false">
      <c r="A411" s="23"/>
      <c r="B411" s="23"/>
      <c r="C411" s="23" t="str">
        <f aca="false">IFERROR(IF(OR(A411="",B411=""),"",INDEX(Equipements!$H:$H,MATCH(A411,Equipements!$A:$A,0))&amp;"."&amp;B411),"")</f>
        <v/>
      </c>
      <c r="D411" s="23"/>
      <c r="E411" s="23"/>
      <c r="F411" s="23"/>
      <c r="G411" s="23"/>
      <c r="H411" s="23"/>
      <c r="I411" s="23"/>
      <c r="J411" s="23"/>
    </row>
    <row r="412" customFormat="false" ht="15" hidden="false" customHeight="true" outlineLevel="0" collapsed="false">
      <c r="A412" s="23"/>
      <c r="B412" s="23"/>
      <c r="C412" s="23" t="str">
        <f aca="false">IFERROR(IF(OR(A412="",B412=""),"",INDEX(Equipements!$H:$H,MATCH(A412,Equipements!$A:$A,0))&amp;"."&amp;B412),"")</f>
        <v/>
      </c>
      <c r="D412" s="23"/>
      <c r="E412" s="23"/>
      <c r="F412" s="23"/>
      <c r="G412" s="23"/>
      <c r="H412" s="23"/>
      <c r="I412" s="23"/>
      <c r="J412" s="23"/>
    </row>
    <row r="413" customFormat="false" ht="15" hidden="false" customHeight="true" outlineLevel="0" collapsed="false">
      <c r="A413" s="23"/>
      <c r="B413" s="23"/>
      <c r="C413" s="23" t="str">
        <f aca="false">IFERROR(IF(OR(A413="",B413=""),"",INDEX(Equipements!$H:$H,MATCH(A413,Equipements!$A:$A,0))&amp;"."&amp;B413),"")</f>
        <v/>
      </c>
      <c r="D413" s="23"/>
      <c r="E413" s="23"/>
      <c r="F413" s="23"/>
      <c r="G413" s="23"/>
      <c r="H413" s="23"/>
      <c r="I413" s="23"/>
      <c r="J413" s="23"/>
    </row>
    <row r="414" customFormat="false" ht="15" hidden="false" customHeight="true" outlineLevel="0" collapsed="false">
      <c r="A414" s="23"/>
      <c r="B414" s="23"/>
      <c r="C414" s="23" t="str">
        <f aca="false">IFERROR(IF(OR(A414="",B414=""),"",INDEX(Equipements!$H:$H,MATCH(A414,Equipements!$A:$A,0))&amp;"."&amp;B414),"")</f>
        <v/>
      </c>
      <c r="D414" s="23"/>
      <c r="E414" s="23"/>
      <c r="F414" s="23"/>
      <c r="G414" s="23"/>
      <c r="H414" s="23"/>
      <c r="I414" s="23"/>
      <c r="J414" s="23"/>
    </row>
    <row r="415" customFormat="false" ht="15" hidden="false" customHeight="true" outlineLevel="0" collapsed="false">
      <c r="A415" s="23"/>
      <c r="B415" s="23"/>
      <c r="C415" s="23" t="str">
        <f aca="false">IFERROR(IF(OR(A415="",B415=""),"",INDEX(Equipements!$H:$H,MATCH(A415,Equipements!$A:$A,0))&amp;"."&amp;B415),"")</f>
        <v/>
      </c>
      <c r="D415" s="23"/>
      <c r="E415" s="23"/>
      <c r="F415" s="23"/>
      <c r="G415" s="23"/>
      <c r="H415" s="23"/>
      <c r="I415" s="23"/>
      <c r="J415" s="23"/>
    </row>
    <row r="416" customFormat="false" ht="15" hidden="false" customHeight="true" outlineLevel="0" collapsed="false">
      <c r="A416" s="23"/>
      <c r="B416" s="23"/>
      <c r="C416" s="23" t="str">
        <f aca="false">IFERROR(IF(OR(A416="",B416=""),"",INDEX(Equipements!$H:$H,MATCH(A416,Equipements!$A:$A,0))&amp;"."&amp;B416),"")</f>
        <v/>
      </c>
      <c r="D416" s="23"/>
      <c r="E416" s="23"/>
      <c r="F416" s="23"/>
      <c r="G416" s="23"/>
      <c r="H416" s="23"/>
      <c r="I416" s="23"/>
      <c r="J416" s="23"/>
    </row>
    <row r="417" customFormat="false" ht="15" hidden="false" customHeight="true" outlineLevel="0" collapsed="false">
      <c r="A417" s="23"/>
      <c r="B417" s="23"/>
      <c r="C417" s="23" t="str">
        <f aca="false">IFERROR(IF(OR(A417="",B417=""),"",INDEX(Equipements!$H:$H,MATCH(A417,Equipements!$A:$A,0))&amp;"."&amp;B417),"")</f>
        <v/>
      </c>
      <c r="D417" s="23"/>
      <c r="E417" s="23"/>
      <c r="F417" s="23"/>
      <c r="G417" s="23"/>
      <c r="H417" s="23"/>
      <c r="I417" s="23"/>
      <c r="J417" s="23"/>
    </row>
    <row r="418" customFormat="false" ht="15" hidden="false" customHeight="true" outlineLevel="0" collapsed="false">
      <c r="A418" s="23"/>
      <c r="B418" s="23"/>
      <c r="C418" s="23" t="str">
        <f aca="false">IFERROR(IF(OR(A418="",B418=""),"",INDEX(Equipements!$H:$H,MATCH(A418,Equipements!$A:$A,0))&amp;"."&amp;B418),"")</f>
        <v/>
      </c>
      <c r="D418" s="23"/>
      <c r="E418" s="23"/>
      <c r="F418" s="23"/>
      <c r="G418" s="23"/>
      <c r="H418" s="23"/>
      <c r="I418" s="23"/>
      <c r="J418" s="23"/>
    </row>
    <row r="419" customFormat="false" ht="15" hidden="false" customHeight="true" outlineLevel="0" collapsed="false">
      <c r="A419" s="23"/>
      <c r="B419" s="23"/>
      <c r="C419" s="23" t="str">
        <f aca="false">IFERROR(IF(OR(A419="",B419=""),"",INDEX(Equipements!$H:$H,MATCH(A419,Equipements!$A:$A,0))&amp;"."&amp;B419),"")</f>
        <v/>
      </c>
      <c r="D419" s="23"/>
      <c r="E419" s="23"/>
      <c r="F419" s="23"/>
      <c r="G419" s="23"/>
      <c r="H419" s="23"/>
      <c r="I419" s="23"/>
      <c r="J419" s="23"/>
    </row>
    <row r="420" customFormat="false" ht="15" hidden="false" customHeight="true" outlineLevel="0" collapsed="false">
      <c r="A420" s="23"/>
      <c r="B420" s="23"/>
      <c r="C420" s="23" t="str">
        <f aca="false">IFERROR(IF(OR(A420="",B420=""),"",INDEX(Equipements!$H:$H,MATCH(A420,Equipements!$A:$A,0))&amp;"."&amp;B420),"")</f>
        <v/>
      </c>
      <c r="D420" s="23"/>
      <c r="E420" s="23"/>
      <c r="F420" s="23"/>
      <c r="G420" s="23"/>
      <c r="H420" s="23"/>
      <c r="I420" s="23"/>
      <c r="J420" s="23"/>
    </row>
    <row r="421" customFormat="false" ht="15" hidden="false" customHeight="true" outlineLevel="0" collapsed="false">
      <c r="A421" s="23"/>
      <c r="B421" s="23"/>
      <c r="C421" s="23" t="str">
        <f aca="false">IFERROR(IF(OR(A421="",B421=""),"",INDEX(Equipements!$H:$H,MATCH(A421,Equipements!$A:$A,0))&amp;"."&amp;B421),"")</f>
        <v/>
      </c>
      <c r="D421" s="23"/>
      <c r="E421" s="23"/>
      <c r="F421" s="23"/>
      <c r="G421" s="23"/>
      <c r="H421" s="23"/>
      <c r="I421" s="23"/>
      <c r="J421" s="23"/>
    </row>
    <row r="422" customFormat="false" ht="15" hidden="false" customHeight="true" outlineLevel="0" collapsed="false">
      <c r="A422" s="23"/>
      <c r="B422" s="23"/>
      <c r="C422" s="23" t="str">
        <f aca="false">IFERROR(IF(OR(A422="",B422=""),"",INDEX(Equipements!$H:$H,MATCH(A422,Equipements!$A:$A,0))&amp;"."&amp;B422),"")</f>
        <v/>
      </c>
      <c r="D422" s="23"/>
      <c r="E422" s="23"/>
      <c r="F422" s="23"/>
      <c r="G422" s="23"/>
      <c r="H422" s="23"/>
      <c r="I422" s="23"/>
      <c r="J422" s="23"/>
    </row>
    <row r="423" customFormat="false" ht="15" hidden="false" customHeight="true" outlineLevel="0" collapsed="false">
      <c r="A423" s="23"/>
      <c r="B423" s="23"/>
      <c r="C423" s="23" t="str">
        <f aca="false">IFERROR(IF(OR(A423="",B423=""),"",INDEX(Equipements!$H:$H,MATCH(A423,Equipements!$A:$A,0))&amp;"."&amp;B423),"")</f>
        <v/>
      </c>
      <c r="D423" s="23"/>
      <c r="E423" s="23"/>
      <c r="F423" s="23"/>
      <c r="G423" s="23"/>
      <c r="H423" s="23"/>
      <c r="I423" s="23"/>
      <c r="J423" s="23"/>
    </row>
    <row r="424" customFormat="false" ht="15" hidden="false" customHeight="true" outlineLevel="0" collapsed="false">
      <c r="A424" s="23"/>
      <c r="B424" s="23"/>
      <c r="C424" s="23" t="str">
        <f aca="false">IFERROR(IF(OR(A424="",B424=""),"",INDEX(Equipements!$H:$H,MATCH(A424,Equipements!$A:$A,0))&amp;"."&amp;B424),"")</f>
        <v/>
      </c>
      <c r="D424" s="23"/>
      <c r="E424" s="23"/>
      <c r="F424" s="23"/>
      <c r="G424" s="23"/>
      <c r="H424" s="23"/>
      <c r="I424" s="23"/>
      <c r="J424" s="23"/>
    </row>
    <row r="425" customFormat="false" ht="15" hidden="false" customHeight="true" outlineLevel="0" collapsed="false">
      <c r="A425" s="23"/>
      <c r="B425" s="23"/>
      <c r="C425" s="23" t="str">
        <f aca="false">IFERROR(IF(OR(A425="",B425=""),"",INDEX(Equipements!$H:$H,MATCH(A425,Equipements!$A:$A,0))&amp;"."&amp;B425),"")</f>
        <v/>
      </c>
      <c r="D425" s="23"/>
      <c r="E425" s="23"/>
      <c r="F425" s="23"/>
      <c r="G425" s="23"/>
      <c r="H425" s="23"/>
      <c r="I425" s="23"/>
      <c r="J425" s="23"/>
    </row>
    <row r="426" customFormat="false" ht="15" hidden="false" customHeight="true" outlineLevel="0" collapsed="false">
      <c r="A426" s="23"/>
      <c r="B426" s="23"/>
      <c r="C426" s="23" t="str">
        <f aca="false">IFERROR(IF(OR(A426="",B426=""),"",INDEX(Equipements!$H:$H,MATCH(A426,Equipements!$A:$A,0))&amp;"."&amp;B426),"")</f>
        <v/>
      </c>
      <c r="D426" s="23"/>
      <c r="E426" s="23"/>
      <c r="F426" s="23"/>
      <c r="G426" s="23"/>
      <c r="H426" s="23"/>
      <c r="I426" s="23"/>
      <c r="J426" s="23"/>
    </row>
    <row r="427" customFormat="false" ht="15" hidden="false" customHeight="true" outlineLevel="0" collapsed="false">
      <c r="A427" s="23"/>
      <c r="B427" s="23"/>
      <c r="C427" s="23" t="str">
        <f aca="false">IFERROR(IF(OR(A427="",B427=""),"",INDEX(Equipements!$H:$H,MATCH(A427,Equipements!$A:$A,0))&amp;"."&amp;B427),"")</f>
        <v/>
      </c>
      <c r="D427" s="23"/>
      <c r="E427" s="23"/>
      <c r="F427" s="23"/>
      <c r="G427" s="23"/>
      <c r="H427" s="23"/>
      <c r="I427" s="23"/>
      <c r="J427" s="23"/>
    </row>
    <row r="428" customFormat="false" ht="15" hidden="false" customHeight="true" outlineLevel="0" collapsed="false">
      <c r="A428" s="23"/>
      <c r="B428" s="23"/>
      <c r="C428" s="23" t="str">
        <f aca="false">IFERROR(IF(OR(A428="",B428=""),"",INDEX(Equipements!$H:$H,MATCH(A428,Equipements!$A:$A,0))&amp;"."&amp;B428),"")</f>
        <v/>
      </c>
      <c r="D428" s="23"/>
      <c r="E428" s="23"/>
      <c r="F428" s="23"/>
      <c r="G428" s="23"/>
      <c r="H428" s="23"/>
      <c r="I428" s="23"/>
      <c r="J428" s="23"/>
    </row>
    <row r="429" customFormat="false" ht="15" hidden="false" customHeight="true" outlineLevel="0" collapsed="false">
      <c r="A429" s="23"/>
      <c r="B429" s="23"/>
      <c r="C429" s="23" t="str">
        <f aca="false">IFERROR(IF(OR(A429="",B429=""),"",INDEX(Equipements!$H:$H,MATCH(A429,Equipements!$A:$A,0))&amp;"."&amp;B429),"")</f>
        <v/>
      </c>
      <c r="D429" s="23"/>
      <c r="E429" s="23"/>
      <c r="F429" s="23"/>
      <c r="G429" s="23"/>
      <c r="H429" s="23"/>
      <c r="I429" s="23"/>
      <c r="J429" s="23"/>
    </row>
    <row r="430" customFormat="false" ht="15" hidden="false" customHeight="true" outlineLevel="0" collapsed="false">
      <c r="A430" s="23"/>
      <c r="B430" s="23"/>
      <c r="C430" s="23" t="str">
        <f aca="false">IFERROR(IF(OR(A430="",B430=""),"",INDEX(Equipements!$H:$H,MATCH(A430,Equipements!$A:$A,0))&amp;"."&amp;B430),"")</f>
        <v/>
      </c>
      <c r="D430" s="23"/>
      <c r="E430" s="23"/>
      <c r="F430" s="23"/>
      <c r="G430" s="23"/>
      <c r="H430" s="23"/>
      <c r="I430" s="23"/>
      <c r="J430" s="23"/>
    </row>
    <row r="431" customFormat="false" ht="15" hidden="false" customHeight="true" outlineLevel="0" collapsed="false">
      <c r="A431" s="23"/>
      <c r="B431" s="23"/>
      <c r="C431" s="23" t="str">
        <f aca="false">IFERROR(IF(OR(A431="",B431=""),"",INDEX(Equipements!$H:$H,MATCH(A431,Equipements!$A:$A,0))&amp;"."&amp;B431),"")</f>
        <v/>
      </c>
      <c r="D431" s="23"/>
      <c r="E431" s="23"/>
      <c r="F431" s="23"/>
      <c r="G431" s="23"/>
      <c r="H431" s="23"/>
      <c r="I431" s="23"/>
      <c r="J431" s="23"/>
    </row>
    <row r="432" customFormat="false" ht="15" hidden="false" customHeight="true" outlineLevel="0" collapsed="false">
      <c r="A432" s="23"/>
      <c r="B432" s="23"/>
      <c r="C432" s="23" t="str">
        <f aca="false">IFERROR(IF(OR(A432="",B432=""),"",INDEX(Equipements!$H:$H,MATCH(A432,Equipements!$A:$A,0))&amp;"."&amp;B432),"")</f>
        <v/>
      </c>
      <c r="D432" s="23"/>
      <c r="E432" s="23"/>
      <c r="F432" s="23"/>
      <c r="G432" s="23"/>
      <c r="H432" s="23"/>
      <c r="I432" s="23"/>
      <c r="J432" s="23"/>
    </row>
    <row r="433" customFormat="false" ht="15" hidden="false" customHeight="true" outlineLevel="0" collapsed="false">
      <c r="A433" s="23"/>
      <c r="B433" s="23"/>
      <c r="C433" s="23" t="str">
        <f aca="false">IFERROR(IF(OR(A433="",B433=""),"",INDEX(Equipements!$H:$H,MATCH(A433,Equipements!$A:$A,0))&amp;"."&amp;B433),"")</f>
        <v/>
      </c>
      <c r="D433" s="23"/>
      <c r="E433" s="23"/>
      <c r="F433" s="23"/>
      <c r="G433" s="23"/>
      <c r="H433" s="23"/>
      <c r="I433" s="23"/>
      <c r="J433" s="23"/>
    </row>
    <row r="434" customFormat="false" ht="15" hidden="false" customHeight="true" outlineLevel="0" collapsed="false">
      <c r="A434" s="23"/>
      <c r="B434" s="23"/>
      <c r="C434" s="23" t="str">
        <f aca="false">IFERROR(IF(OR(A434="",B434=""),"",INDEX(Equipements!$H:$H,MATCH(A434,Equipements!$A:$A,0))&amp;"."&amp;B434),"")</f>
        <v/>
      </c>
      <c r="D434" s="23"/>
      <c r="E434" s="23"/>
      <c r="F434" s="23"/>
      <c r="G434" s="23"/>
      <c r="H434" s="23"/>
      <c r="I434" s="23"/>
      <c r="J434" s="23"/>
    </row>
    <row r="435" customFormat="false" ht="15" hidden="false" customHeight="true" outlineLevel="0" collapsed="false">
      <c r="A435" s="23"/>
      <c r="B435" s="23"/>
      <c r="C435" s="23" t="str">
        <f aca="false">IFERROR(IF(OR(A435="",B435=""),"",INDEX(Equipements!$H:$H,MATCH(A435,Equipements!$A:$A,0))&amp;"."&amp;B435),"")</f>
        <v/>
      </c>
      <c r="D435" s="23"/>
      <c r="E435" s="23"/>
      <c r="F435" s="23"/>
      <c r="G435" s="23"/>
      <c r="H435" s="23"/>
      <c r="I435" s="23"/>
      <c r="J435" s="23"/>
    </row>
    <row r="436" customFormat="false" ht="15" hidden="false" customHeight="true" outlineLevel="0" collapsed="false">
      <c r="A436" s="23"/>
      <c r="B436" s="23"/>
      <c r="C436" s="23" t="str">
        <f aca="false">IFERROR(IF(OR(A436="",B436=""),"",INDEX(Equipements!$H:$H,MATCH(A436,Equipements!$A:$A,0))&amp;"."&amp;B436),"")</f>
        <v/>
      </c>
      <c r="D436" s="23"/>
      <c r="E436" s="23"/>
      <c r="F436" s="23"/>
      <c r="G436" s="23"/>
      <c r="H436" s="23"/>
      <c r="I436" s="23"/>
      <c r="J436" s="23"/>
    </row>
    <row r="437" customFormat="false" ht="15" hidden="false" customHeight="true" outlineLevel="0" collapsed="false">
      <c r="A437" s="23"/>
      <c r="B437" s="23"/>
      <c r="C437" s="23" t="str">
        <f aca="false">IFERROR(IF(OR(A437="",B437=""),"",INDEX(Equipements!$H:$H,MATCH(A437,Equipements!$A:$A,0))&amp;"."&amp;B437),"")</f>
        <v/>
      </c>
      <c r="D437" s="23"/>
      <c r="E437" s="23"/>
      <c r="F437" s="23"/>
      <c r="G437" s="23"/>
      <c r="H437" s="23"/>
      <c r="I437" s="23"/>
      <c r="J437" s="23"/>
    </row>
    <row r="438" customFormat="false" ht="15" hidden="false" customHeight="true" outlineLevel="0" collapsed="false">
      <c r="A438" s="23"/>
      <c r="B438" s="23"/>
      <c r="C438" s="23" t="str">
        <f aca="false">IFERROR(IF(OR(A438="",B438=""),"",INDEX(Equipements!$H:$H,MATCH(A438,Equipements!$A:$A,0))&amp;"."&amp;B438),"")</f>
        <v/>
      </c>
      <c r="D438" s="23"/>
      <c r="E438" s="23"/>
      <c r="F438" s="23"/>
      <c r="G438" s="23"/>
      <c r="H438" s="23"/>
      <c r="I438" s="23"/>
      <c r="J438" s="23"/>
    </row>
    <row r="439" customFormat="false" ht="15" hidden="false" customHeight="true" outlineLevel="0" collapsed="false">
      <c r="A439" s="23"/>
      <c r="B439" s="23"/>
      <c r="C439" s="23" t="str">
        <f aca="false">IFERROR(IF(OR(A439="",B439=""),"",INDEX(Equipements!$H:$H,MATCH(A439,Equipements!$A:$A,0))&amp;"."&amp;B439),"")</f>
        <v/>
      </c>
      <c r="D439" s="23"/>
      <c r="E439" s="23"/>
      <c r="F439" s="23"/>
      <c r="G439" s="23"/>
      <c r="H439" s="23"/>
      <c r="I439" s="23"/>
      <c r="J439" s="23"/>
    </row>
    <row r="440" customFormat="false" ht="15" hidden="false" customHeight="true" outlineLevel="0" collapsed="false">
      <c r="A440" s="23"/>
      <c r="B440" s="23"/>
      <c r="C440" s="23" t="str">
        <f aca="false">IFERROR(IF(OR(A440="",B440=""),"",INDEX(Equipements!$H:$H,MATCH(A440,Equipements!$A:$A,0))&amp;"."&amp;B440),"")</f>
        <v/>
      </c>
      <c r="D440" s="23"/>
      <c r="E440" s="23"/>
      <c r="F440" s="23"/>
      <c r="G440" s="23"/>
      <c r="H440" s="23"/>
      <c r="I440" s="23"/>
      <c r="J440" s="23"/>
    </row>
    <row r="441" customFormat="false" ht="15" hidden="false" customHeight="true" outlineLevel="0" collapsed="false">
      <c r="A441" s="23"/>
      <c r="B441" s="23"/>
      <c r="C441" s="23" t="str">
        <f aca="false">IFERROR(IF(OR(A441="",B441=""),"",INDEX(Equipements!$H:$H,MATCH(A441,Equipements!$A:$A,0))&amp;"."&amp;B441),"")</f>
        <v/>
      </c>
      <c r="D441" s="23"/>
      <c r="E441" s="23"/>
      <c r="F441" s="23"/>
      <c r="G441" s="23"/>
      <c r="H441" s="23"/>
      <c r="I441" s="23"/>
      <c r="J441" s="23"/>
    </row>
    <row r="442" customFormat="false" ht="15" hidden="false" customHeight="true" outlineLevel="0" collapsed="false">
      <c r="A442" s="23"/>
      <c r="B442" s="23"/>
      <c r="C442" s="23" t="str">
        <f aca="false">IFERROR(IF(OR(A442="",B442=""),"",INDEX(Equipements!$H:$H,MATCH(A442,Equipements!$A:$A,0))&amp;"."&amp;B442),"")</f>
        <v/>
      </c>
      <c r="D442" s="23"/>
      <c r="E442" s="23"/>
      <c r="F442" s="23"/>
      <c r="G442" s="23"/>
      <c r="H442" s="23"/>
      <c r="I442" s="23"/>
      <c r="J442" s="23"/>
    </row>
    <row r="443" customFormat="false" ht="15" hidden="false" customHeight="true" outlineLevel="0" collapsed="false">
      <c r="A443" s="23"/>
      <c r="B443" s="23"/>
      <c r="C443" s="23" t="str">
        <f aca="false">IFERROR(IF(OR(A443="",B443=""),"",INDEX(Equipements!$H:$H,MATCH(A443,Equipements!$A:$A,0))&amp;"."&amp;B443),"")</f>
        <v/>
      </c>
      <c r="D443" s="23"/>
      <c r="E443" s="23"/>
      <c r="F443" s="23"/>
      <c r="G443" s="23"/>
      <c r="H443" s="23"/>
      <c r="I443" s="23"/>
      <c r="J443" s="23"/>
    </row>
    <row r="444" customFormat="false" ht="15" hidden="false" customHeight="true" outlineLevel="0" collapsed="false">
      <c r="A444" s="23"/>
      <c r="B444" s="23"/>
      <c r="C444" s="23" t="str">
        <f aca="false">IFERROR(IF(OR(A444="",B444=""),"",INDEX(Equipements!$H:$H,MATCH(A444,Equipements!$A:$A,0))&amp;"."&amp;B444),"")</f>
        <v/>
      </c>
      <c r="D444" s="23"/>
      <c r="E444" s="23"/>
      <c r="F444" s="23"/>
      <c r="G444" s="23"/>
      <c r="H444" s="23"/>
      <c r="I444" s="23"/>
      <c r="J444" s="23"/>
    </row>
    <row r="445" customFormat="false" ht="15" hidden="false" customHeight="true" outlineLevel="0" collapsed="false">
      <c r="A445" s="23"/>
      <c r="B445" s="23"/>
      <c r="C445" s="23" t="str">
        <f aca="false">IFERROR(IF(OR(A445="",B445=""),"",INDEX(Equipements!$H:$H,MATCH(A445,Equipements!$A:$A,0))&amp;"."&amp;B445),"")</f>
        <v/>
      </c>
      <c r="D445" s="23"/>
      <c r="E445" s="23"/>
      <c r="F445" s="23"/>
      <c r="G445" s="23"/>
      <c r="H445" s="23"/>
      <c r="I445" s="23"/>
      <c r="J445" s="23"/>
    </row>
    <row r="446" customFormat="false" ht="15" hidden="false" customHeight="true" outlineLevel="0" collapsed="false">
      <c r="A446" s="23"/>
      <c r="B446" s="23"/>
      <c r="C446" s="23" t="str">
        <f aca="false">IFERROR(IF(OR(A446="",B446=""),"",INDEX(Equipements!$H:$H,MATCH(A446,Equipements!$A:$A,0))&amp;"."&amp;B446),"")</f>
        <v/>
      </c>
      <c r="D446" s="23"/>
      <c r="E446" s="23"/>
      <c r="F446" s="23"/>
      <c r="G446" s="23"/>
      <c r="H446" s="23"/>
      <c r="I446" s="23"/>
      <c r="J446" s="23"/>
    </row>
    <row r="447" customFormat="false" ht="15" hidden="false" customHeight="true" outlineLevel="0" collapsed="false">
      <c r="A447" s="23"/>
      <c r="B447" s="23"/>
      <c r="C447" s="23" t="str">
        <f aca="false">IFERROR(IF(OR(A447="",B447=""),"",INDEX(Equipements!$H:$H,MATCH(A447,Equipements!$A:$A,0))&amp;"."&amp;B447),"")</f>
        <v/>
      </c>
      <c r="D447" s="23"/>
      <c r="E447" s="23"/>
      <c r="F447" s="23"/>
      <c r="G447" s="23"/>
      <c r="H447" s="23"/>
      <c r="I447" s="23"/>
      <c r="J447" s="23"/>
    </row>
    <row r="448" customFormat="false" ht="15" hidden="false" customHeight="true" outlineLevel="0" collapsed="false">
      <c r="A448" s="23"/>
      <c r="B448" s="23"/>
      <c r="C448" s="23" t="str">
        <f aca="false">IFERROR(IF(OR(A448="",B448=""),"",INDEX(Equipements!$H:$H,MATCH(A448,Equipements!$A:$A,0))&amp;"."&amp;B448),"")</f>
        <v/>
      </c>
      <c r="D448" s="23"/>
      <c r="E448" s="23"/>
      <c r="F448" s="23"/>
      <c r="G448" s="23"/>
      <c r="H448" s="23"/>
      <c r="I448" s="23"/>
      <c r="J448" s="23"/>
    </row>
    <row r="449" customFormat="false" ht="15" hidden="false" customHeight="true" outlineLevel="0" collapsed="false">
      <c r="A449" s="23"/>
      <c r="B449" s="23"/>
      <c r="C449" s="23" t="str">
        <f aca="false">IFERROR(IF(OR(A449="",B449=""),"",INDEX(Equipements!$H:$H,MATCH(A449,Equipements!$A:$A,0))&amp;"."&amp;B449),"")</f>
        <v/>
      </c>
      <c r="D449" s="23"/>
      <c r="E449" s="23"/>
      <c r="F449" s="23"/>
      <c r="G449" s="23"/>
      <c r="H449" s="23"/>
      <c r="I449" s="23"/>
      <c r="J449" s="23"/>
    </row>
    <row r="450" customFormat="false" ht="15" hidden="false" customHeight="true" outlineLevel="0" collapsed="false">
      <c r="A450" s="23"/>
      <c r="B450" s="23"/>
      <c r="C450" s="23" t="str">
        <f aca="false">IFERROR(IF(OR(A450="",B450=""),"",INDEX(Equipements!$H:$H,MATCH(A450,Equipements!$A:$A,0))&amp;"."&amp;B450),"")</f>
        <v/>
      </c>
      <c r="D450" s="23"/>
      <c r="E450" s="23"/>
      <c r="F450" s="23"/>
      <c r="G450" s="23"/>
      <c r="H450" s="23"/>
      <c r="I450" s="23"/>
      <c r="J450" s="23"/>
    </row>
    <row r="451" customFormat="false" ht="15" hidden="false" customHeight="true" outlineLevel="0" collapsed="false">
      <c r="A451" s="23"/>
      <c r="B451" s="23"/>
      <c r="C451" s="23" t="str">
        <f aca="false">IFERROR(IF(OR(A451="",B451=""),"",INDEX(Equipements!$H:$H,MATCH(A451,Equipements!$A:$A,0))&amp;"."&amp;B451),"")</f>
        <v/>
      </c>
      <c r="D451" s="23"/>
      <c r="E451" s="23"/>
      <c r="F451" s="23"/>
      <c r="G451" s="23"/>
      <c r="H451" s="23"/>
      <c r="I451" s="23"/>
      <c r="J451" s="23"/>
    </row>
    <row r="452" customFormat="false" ht="15" hidden="false" customHeight="true" outlineLevel="0" collapsed="false">
      <c r="A452" s="23"/>
      <c r="B452" s="23"/>
      <c r="C452" s="23" t="str">
        <f aca="false">IFERROR(IF(OR(A452="",B452=""),"",INDEX(Equipements!$H:$H,MATCH(A452,Equipements!$A:$A,0))&amp;"."&amp;B452),"")</f>
        <v/>
      </c>
      <c r="D452" s="23"/>
      <c r="E452" s="23"/>
      <c r="F452" s="23"/>
      <c r="G452" s="23"/>
      <c r="H452" s="23"/>
      <c r="I452" s="23"/>
      <c r="J452" s="23"/>
    </row>
    <row r="453" customFormat="false" ht="15" hidden="false" customHeight="true" outlineLevel="0" collapsed="false">
      <c r="A453" s="23"/>
      <c r="B453" s="23"/>
      <c r="C453" s="23" t="str">
        <f aca="false">IFERROR(IF(OR(A453="",B453=""),"",INDEX(Equipements!$H:$H,MATCH(A453,Equipements!$A:$A,0))&amp;"."&amp;B453),"")</f>
        <v/>
      </c>
      <c r="D453" s="23"/>
      <c r="E453" s="23"/>
      <c r="F453" s="23"/>
      <c r="G453" s="23"/>
      <c r="H453" s="23"/>
      <c r="I453" s="23"/>
      <c r="J453" s="23"/>
    </row>
    <row r="454" customFormat="false" ht="15" hidden="false" customHeight="true" outlineLevel="0" collapsed="false">
      <c r="A454" s="23"/>
      <c r="B454" s="23"/>
      <c r="C454" s="23" t="str">
        <f aca="false">IFERROR(IF(OR(A454="",B454=""),"",INDEX(Equipements!$H:$H,MATCH(A454,Equipements!$A:$A,0))&amp;"."&amp;B454),"")</f>
        <v/>
      </c>
      <c r="D454" s="23"/>
      <c r="E454" s="23"/>
      <c r="F454" s="23"/>
      <c r="G454" s="23"/>
      <c r="H454" s="23"/>
      <c r="I454" s="23"/>
      <c r="J454" s="23"/>
    </row>
    <row r="455" customFormat="false" ht="15" hidden="false" customHeight="true" outlineLevel="0" collapsed="false">
      <c r="A455" s="23"/>
      <c r="B455" s="23"/>
      <c r="C455" s="23" t="str">
        <f aca="false">IFERROR(IF(OR(A455="",B455=""),"",INDEX(Equipements!$H:$H,MATCH(A455,Equipements!$A:$A,0))&amp;"."&amp;B455),"")</f>
        <v/>
      </c>
      <c r="D455" s="23"/>
      <c r="E455" s="23"/>
      <c r="F455" s="23"/>
      <c r="G455" s="23"/>
      <c r="H455" s="23"/>
      <c r="I455" s="23"/>
      <c r="J455" s="23"/>
    </row>
    <row r="456" customFormat="false" ht="15" hidden="false" customHeight="true" outlineLevel="0" collapsed="false">
      <c r="A456" s="23"/>
      <c r="B456" s="23"/>
      <c r="C456" s="23" t="str">
        <f aca="false">IFERROR(IF(OR(A456="",B456=""),"",INDEX(Equipements!$H:$H,MATCH(A456,Equipements!$A:$A,0))&amp;"."&amp;B456),"")</f>
        <v/>
      </c>
      <c r="D456" s="23"/>
      <c r="E456" s="23"/>
      <c r="F456" s="23"/>
      <c r="G456" s="23"/>
      <c r="H456" s="23"/>
      <c r="I456" s="23"/>
      <c r="J456" s="23"/>
    </row>
    <row r="457" customFormat="false" ht="15" hidden="false" customHeight="true" outlineLevel="0" collapsed="false">
      <c r="A457" s="23"/>
      <c r="B457" s="23"/>
      <c r="C457" s="23" t="str">
        <f aca="false">IFERROR(IF(OR(A457="",B457=""),"",INDEX(Equipements!$H:$H,MATCH(A457,Equipements!$A:$A,0))&amp;"."&amp;B457),"")</f>
        <v/>
      </c>
      <c r="D457" s="23"/>
      <c r="E457" s="23"/>
      <c r="F457" s="23"/>
      <c r="G457" s="23"/>
      <c r="H457" s="23"/>
      <c r="I457" s="23"/>
      <c r="J457" s="23"/>
    </row>
    <row r="458" customFormat="false" ht="15" hidden="false" customHeight="true" outlineLevel="0" collapsed="false">
      <c r="A458" s="23"/>
      <c r="B458" s="23"/>
      <c r="C458" s="23" t="str">
        <f aca="false">IFERROR(IF(OR(A458="",B458=""),"",INDEX(Equipements!$H:$H,MATCH(A458,Equipements!$A:$A,0))&amp;"."&amp;B458),"")</f>
        <v/>
      </c>
      <c r="D458" s="23"/>
      <c r="E458" s="23"/>
      <c r="F458" s="23"/>
      <c r="G458" s="23"/>
      <c r="H458" s="23"/>
      <c r="I458" s="23"/>
      <c r="J458" s="23"/>
    </row>
    <row r="459" customFormat="false" ht="15" hidden="false" customHeight="true" outlineLevel="0" collapsed="false">
      <c r="A459" s="23"/>
      <c r="B459" s="23"/>
      <c r="C459" s="23" t="str">
        <f aca="false">IFERROR(IF(OR(A459="",B459=""),"",INDEX(Equipements!$H:$H,MATCH(A459,Equipements!$A:$A,0))&amp;"."&amp;B459),"")</f>
        <v/>
      </c>
      <c r="D459" s="23"/>
      <c r="E459" s="23"/>
      <c r="F459" s="23"/>
      <c r="G459" s="23"/>
      <c r="H459" s="23"/>
      <c r="I459" s="23"/>
      <c r="J459" s="23"/>
    </row>
    <row r="460" customFormat="false" ht="15" hidden="false" customHeight="true" outlineLevel="0" collapsed="false">
      <c r="A460" s="23"/>
      <c r="B460" s="23"/>
      <c r="C460" s="23" t="str">
        <f aca="false">IFERROR(IF(OR(A460="",B460=""),"",INDEX(Equipements!$H:$H,MATCH(A460,Equipements!$A:$A,0))&amp;"."&amp;B460),"")</f>
        <v/>
      </c>
      <c r="D460" s="23"/>
      <c r="E460" s="23"/>
      <c r="F460" s="23"/>
      <c r="G460" s="23"/>
      <c r="H460" s="23"/>
      <c r="I460" s="23"/>
      <c r="J460" s="23"/>
    </row>
    <row r="461" customFormat="false" ht="15" hidden="false" customHeight="true" outlineLevel="0" collapsed="false">
      <c r="A461" s="23"/>
      <c r="B461" s="23"/>
      <c r="C461" s="23" t="str">
        <f aca="false">IFERROR(IF(OR(A461="",B461=""),"",INDEX(Equipements!$H:$H,MATCH(A461,Equipements!$A:$A,0))&amp;"."&amp;B461),"")</f>
        <v/>
      </c>
      <c r="D461" s="23"/>
      <c r="E461" s="23"/>
      <c r="F461" s="23"/>
      <c r="G461" s="23"/>
      <c r="H461" s="23"/>
      <c r="I461" s="23"/>
      <c r="J461" s="23"/>
    </row>
    <row r="462" customFormat="false" ht="15" hidden="false" customHeight="true" outlineLevel="0" collapsed="false">
      <c r="A462" s="23"/>
      <c r="B462" s="23"/>
      <c r="C462" s="23" t="str">
        <f aca="false">IFERROR(IF(OR(A462="",B462=""),"",INDEX(Equipements!$H:$H,MATCH(A462,Equipements!$A:$A,0))&amp;"."&amp;B462),"")</f>
        <v/>
      </c>
      <c r="D462" s="23"/>
      <c r="E462" s="23"/>
      <c r="F462" s="23"/>
      <c r="G462" s="23"/>
      <c r="H462" s="23"/>
      <c r="I462" s="23"/>
      <c r="J462" s="23"/>
    </row>
    <row r="463" customFormat="false" ht="15" hidden="false" customHeight="true" outlineLevel="0" collapsed="false">
      <c r="A463" s="23"/>
      <c r="B463" s="23"/>
      <c r="C463" s="23" t="str">
        <f aca="false">IFERROR(IF(OR(A463="",B463=""),"",INDEX(Equipements!$H:$H,MATCH(A463,Equipements!$A:$A,0))&amp;"."&amp;B463),"")</f>
        <v/>
      </c>
      <c r="D463" s="23"/>
      <c r="E463" s="23"/>
      <c r="F463" s="23"/>
      <c r="G463" s="23"/>
      <c r="H463" s="23"/>
      <c r="I463" s="23"/>
      <c r="J463" s="23"/>
    </row>
    <row r="464" customFormat="false" ht="15" hidden="false" customHeight="true" outlineLevel="0" collapsed="false">
      <c r="A464" s="23"/>
      <c r="B464" s="23"/>
      <c r="C464" s="23" t="str">
        <f aca="false">IFERROR(IF(OR(A464="",B464=""),"",INDEX(Equipements!$H:$H,MATCH(A464,Equipements!$A:$A,0))&amp;"."&amp;B464),"")</f>
        <v/>
      </c>
      <c r="D464" s="23"/>
      <c r="E464" s="23"/>
      <c r="F464" s="23"/>
      <c r="G464" s="23"/>
      <c r="H464" s="23"/>
      <c r="I464" s="23"/>
      <c r="J464" s="23"/>
    </row>
    <row r="465" customFormat="false" ht="15" hidden="false" customHeight="true" outlineLevel="0" collapsed="false">
      <c r="A465" s="23"/>
      <c r="B465" s="23"/>
      <c r="C465" s="23" t="str">
        <f aca="false">IFERROR(IF(OR(A465="",B465=""),"",INDEX(Equipements!$H:$H,MATCH(A465,Equipements!$A:$A,0))&amp;"."&amp;B465),"")</f>
        <v/>
      </c>
      <c r="D465" s="23"/>
      <c r="E465" s="23"/>
      <c r="F465" s="23"/>
      <c r="G465" s="23"/>
      <c r="H465" s="23"/>
      <c r="I465" s="23"/>
      <c r="J465" s="23"/>
    </row>
    <row r="466" customFormat="false" ht="15" hidden="false" customHeight="true" outlineLevel="0" collapsed="false">
      <c r="A466" s="23"/>
      <c r="B466" s="23"/>
      <c r="C466" s="23" t="str">
        <f aca="false">IFERROR(IF(OR(A466="",B466=""),"",INDEX(Equipements!$H:$H,MATCH(A466,Equipements!$A:$A,0))&amp;"."&amp;B466),"")</f>
        <v/>
      </c>
      <c r="D466" s="23"/>
      <c r="E466" s="23"/>
      <c r="F466" s="23"/>
      <c r="G466" s="23"/>
      <c r="H466" s="23"/>
      <c r="I466" s="23"/>
      <c r="J466" s="23"/>
    </row>
    <row r="467" customFormat="false" ht="15" hidden="false" customHeight="true" outlineLevel="0" collapsed="false">
      <c r="A467" s="23"/>
      <c r="B467" s="23"/>
      <c r="C467" s="23" t="str">
        <f aca="false">IFERROR(IF(OR(A467="",B467=""),"",INDEX(Equipements!$H:$H,MATCH(A467,Equipements!$A:$A,0))&amp;"."&amp;B467),"")</f>
        <v/>
      </c>
      <c r="D467" s="23"/>
      <c r="E467" s="23"/>
      <c r="F467" s="23"/>
      <c r="G467" s="23"/>
      <c r="H467" s="23"/>
      <c r="I467" s="23"/>
      <c r="J467" s="23"/>
    </row>
    <row r="468" customFormat="false" ht="15" hidden="false" customHeight="true" outlineLevel="0" collapsed="false">
      <c r="A468" s="23"/>
      <c r="B468" s="23"/>
      <c r="C468" s="23" t="str">
        <f aca="false">IFERROR(IF(OR(A468="",B468=""),"",INDEX(Equipements!$H:$H,MATCH(A468,Equipements!$A:$A,0))&amp;"."&amp;B468),"")</f>
        <v/>
      </c>
      <c r="D468" s="23"/>
      <c r="E468" s="23"/>
      <c r="F468" s="23"/>
      <c r="G468" s="23"/>
      <c r="H468" s="23"/>
      <c r="I468" s="23"/>
      <c r="J468" s="23"/>
    </row>
    <row r="469" customFormat="false" ht="15" hidden="false" customHeight="true" outlineLevel="0" collapsed="false">
      <c r="A469" s="23"/>
      <c r="B469" s="23"/>
      <c r="C469" s="23" t="str">
        <f aca="false">IFERROR(IF(OR(A469="",B469=""),"",INDEX(Equipements!$H:$H,MATCH(A469,Equipements!$A:$A,0))&amp;"."&amp;B469),"")</f>
        <v/>
      </c>
      <c r="D469" s="23"/>
      <c r="E469" s="23"/>
      <c r="F469" s="23"/>
      <c r="G469" s="23"/>
      <c r="H469" s="23"/>
      <c r="I469" s="23"/>
      <c r="J469" s="23"/>
    </row>
    <row r="470" customFormat="false" ht="15" hidden="false" customHeight="true" outlineLevel="0" collapsed="false">
      <c r="A470" s="23"/>
      <c r="B470" s="23"/>
      <c r="C470" s="23" t="str">
        <f aca="false">IFERROR(IF(OR(A470="",B470=""),"",INDEX(Equipements!$H:$H,MATCH(A470,Equipements!$A:$A,0))&amp;"."&amp;B470),"")</f>
        <v/>
      </c>
      <c r="D470" s="23"/>
      <c r="E470" s="23"/>
      <c r="F470" s="23"/>
      <c r="G470" s="23"/>
      <c r="H470" s="23"/>
      <c r="I470" s="23"/>
      <c r="J470" s="23"/>
    </row>
    <row r="471" customFormat="false" ht="15" hidden="false" customHeight="true" outlineLevel="0" collapsed="false">
      <c r="A471" s="23"/>
      <c r="B471" s="23"/>
      <c r="C471" s="23" t="str">
        <f aca="false">IFERROR(IF(OR(A471="",B471=""),"",INDEX(Equipements!$H:$H,MATCH(A471,Equipements!$A:$A,0))&amp;"."&amp;B471),"")</f>
        <v/>
      </c>
      <c r="D471" s="23"/>
      <c r="E471" s="23"/>
      <c r="F471" s="23"/>
      <c r="G471" s="23"/>
      <c r="H471" s="23"/>
      <c r="I471" s="23"/>
      <c r="J471" s="23"/>
    </row>
    <row r="472" customFormat="false" ht="15" hidden="false" customHeight="true" outlineLevel="0" collapsed="false">
      <c r="A472" s="23"/>
      <c r="B472" s="23"/>
      <c r="C472" s="23" t="str">
        <f aca="false">IFERROR(IF(OR(A472="",B472=""),"",INDEX(Equipements!$H:$H,MATCH(A472,Equipements!$A:$A,0))&amp;"."&amp;B472),"")</f>
        <v/>
      </c>
      <c r="D472" s="23"/>
      <c r="E472" s="23"/>
      <c r="F472" s="23"/>
      <c r="G472" s="23"/>
      <c r="H472" s="23"/>
      <c r="I472" s="23"/>
      <c r="J472" s="23"/>
    </row>
    <row r="473" customFormat="false" ht="15" hidden="false" customHeight="true" outlineLevel="0" collapsed="false">
      <c r="A473" s="23"/>
      <c r="B473" s="23"/>
      <c r="C473" s="23" t="str">
        <f aca="false">IFERROR(IF(OR(A473="",B473=""),"",INDEX(Equipements!$H:$H,MATCH(A473,Equipements!$A:$A,0))&amp;"."&amp;B473),"")</f>
        <v/>
      </c>
      <c r="D473" s="23"/>
      <c r="E473" s="23"/>
      <c r="F473" s="23"/>
      <c r="G473" s="23"/>
      <c r="H473" s="23"/>
      <c r="I473" s="23"/>
      <c r="J473" s="23"/>
    </row>
    <row r="474" customFormat="false" ht="15" hidden="false" customHeight="true" outlineLevel="0" collapsed="false">
      <c r="A474" s="23"/>
      <c r="B474" s="23"/>
      <c r="C474" s="23" t="str">
        <f aca="false">IFERROR(IF(OR(A474="",B474=""),"",INDEX(Equipements!$H:$H,MATCH(A474,Equipements!$A:$A,0))&amp;"."&amp;B474),"")</f>
        <v/>
      </c>
      <c r="D474" s="23"/>
      <c r="E474" s="23"/>
      <c r="F474" s="23"/>
      <c r="G474" s="23"/>
      <c r="H474" s="23"/>
      <c r="I474" s="23"/>
      <c r="J474" s="23"/>
    </row>
    <row r="475" customFormat="false" ht="15" hidden="false" customHeight="true" outlineLevel="0" collapsed="false">
      <c r="A475" s="23"/>
      <c r="B475" s="23"/>
      <c r="C475" s="23" t="str">
        <f aca="false">IFERROR(IF(OR(A475="",B475=""),"",INDEX(Equipements!$H:$H,MATCH(A475,Equipements!$A:$A,0))&amp;"."&amp;B475),"")</f>
        <v/>
      </c>
      <c r="D475" s="23"/>
      <c r="E475" s="23"/>
      <c r="F475" s="23"/>
      <c r="G475" s="23"/>
      <c r="H475" s="23"/>
      <c r="I475" s="23"/>
      <c r="J475" s="23"/>
    </row>
    <row r="476" customFormat="false" ht="15" hidden="false" customHeight="true" outlineLevel="0" collapsed="false">
      <c r="A476" s="23"/>
      <c r="B476" s="23"/>
      <c r="C476" s="23" t="str">
        <f aca="false">IFERROR(IF(OR(A476="",B476=""),"",INDEX(Equipements!$H:$H,MATCH(A476,Equipements!$A:$A,0))&amp;"."&amp;B476),"")</f>
        <v/>
      </c>
      <c r="D476" s="23"/>
      <c r="E476" s="23"/>
      <c r="F476" s="23"/>
      <c r="G476" s="23"/>
      <c r="H476" s="23"/>
      <c r="I476" s="23"/>
      <c r="J476" s="23"/>
    </row>
    <row r="477" customFormat="false" ht="15" hidden="false" customHeight="true" outlineLevel="0" collapsed="false">
      <c r="A477" s="23"/>
      <c r="B477" s="23"/>
      <c r="C477" s="23" t="str">
        <f aca="false">IFERROR(IF(OR(A477="",B477=""),"",INDEX(Equipements!$H:$H,MATCH(A477,Equipements!$A:$A,0))&amp;"."&amp;B477),"")</f>
        <v/>
      </c>
      <c r="D477" s="23"/>
      <c r="E477" s="23"/>
      <c r="F477" s="23"/>
      <c r="G477" s="23"/>
      <c r="H477" s="23"/>
      <c r="I477" s="23"/>
      <c r="J477" s="23"/>
    </row>
    <row r="478" customFormat="false" ht="15" hidden="false" customHeight="true" outlineLevel="0" collapsed="false">
      <c r="A478" s="23"/>
      <c r="B478" s="23"/>
      <c r="C478" s="23" t="str">
        <f aca="false">IFERROR(IF(OR(A478="",B478=""),"",INDEX(Equipements!$H:$H,MATCH(A478,Equipements!$A:$A,0))&amp;"."&amp;B478),"")</f>
        <v/>
      </c>
      <c r="D478" s="23"/>
      <c r="E478" s="23"/>
      <c r="F478" s="23"/>
      <c r="G478" s="23"/>
      <c r="H478" s="23"/>
      <c r="I478" s="23"/>
      <c r="J478" s="23"/>
    </row>
    <row r="479" customFormat="false" ht="15" hidden="false" customHeight="true" outlineLevel="0" collapsed="false">
      <c r="A479" s="23"/>
      <c r="B479" s="23"/>
      <c r="C479" s="23" t="str">
        <f aca="false">IFERROR(IF(OR(A479="",B479=""),"",INDEX(Equipements!$H:$H,MATCH(A479,Equipements!$A:$A,0))&amp;"."&amp;B479),"")</f>
        <v/>
      </c>
      <c r="D479" s="23"/>
      <c r="E479" s="23"/>
      <c r="F479" s="23"/>
      <c r="G479" s="23"/>
      <c r="H479" s="23"/>
      <c r="I479" s="23"/>
      <c r="J479" s="23"/>
    </row>
    <row r="480" customFormat="false" ht="15" hidden="false" customHeight="true" outlineLevel="0" collapsed="false">
      <c r="A480" s="23"/>
      <c r="B480" s="23"/>
      <c r="C480" s="23" t="str">
        <f aca="false">IFERROR(IF(OR(A480="",B480=""),"",INDEX(Equipements!$H:$H,MATCH(A480,Equipements!$A:$A,0))&amp;"."&amp;B480),"")</f>
        <v/>
      </c>
      <c r="D480" s="23"/>
      <c r="E480" s="23"/>
      <c r="F480" s="23"/>
      <c r="G480" s="23"/>
      <c r="H480" s="23"/>
      <c r="I480" s="23"/>
      <c r="J480" s="23"/>
    </row>
    <row r="481" customFormat="false" ht="15" hidden="false" customHeight="true" outlineLevel="0" collapsed="false">
      <c r="A481" s="23"/>
      <c r="B481" s="23"/>
      <c r="C481" s="23" t="str">
        <f aca="false">IFERROR(IF(OR(A481="",B481=""),"",INDEX(Equipements!$H:$H,MATCH(A481,Equipements!$A:$A,0))&amp;"."&amp;B481),"")</f>
        <v/>
      </c>
      <c r="D481" s="23"/>
      <c r="E481" s="23"/>
      <c r="F481" s="23"/>
      <c r="G481" s="23"/>
      <c r="H481" s="23"/>
      <c r="I481" s="23"/>
      <c r="J481" s="23"/>
    </row>
    <row r="482" customFormat="false" ht="15" hidden="false" customHeight="true" outlineLevel="0" collapsed="false">
      <c r="A482" s="23"/>
      <c r="B482" s="23"/>
      <c r="C482" s="23" t="str">
        <f aca="false">IFERROR(IF(OR(A482="",B482=""),"",INDEX(Equipements!$H:$H,MATCH(A482,Equipements!$A:$A,0))&amp;"."&amp;B482),"")</f>
        <v/>
      </c>
      <c r="D482" s="23"/>
      <c r="E482" s="23"/>
      <c r="F482" s="23"/>
      <c r="G482" s="23"/>
      <c r="H482" s="23"/>
      <c r="I482" s="23"/>
      <c r="J482" s="23"/>
    </row>
    <row r="483" customFormat="false" ht="15" hidden="false" customHeight="true" outlineLevel="0" collapsed="false">
      <c r="A483" s="23"/>
      <c r="B483" s="23"/>
      <c r="C483" s="23" t="str">
        <f aca="false">IFERROR(IF(OR(A483="",B483=""),"",INDEX(Equipements!$H:$H,MATCH(A483,Equipements!$A:$A,0))&amp;"."&amp;B483),"")</f>
        <v/>
      </c>
      <c r="D483" s="23"/>
      <c r="E483" s="23"/>
      <c r="F483" s="23"/>
      <c r="G483" s="23"/>
      <c r="H483" s="23"/>
      <c r="I483" s="23"/>
      <c r="J483" s="23"/>
    </row>
    <row r="484" customFormat="false" ht="15" hidden="false" customHeight="true" outlineLevel="0" collapsed="false">
      <c r="A484" s="23"/>
      <c r="B484" s="23"/>
      <c r="C484" s="23" t="str">
        <f aca="false">IFERROR(IF(OR(A484="",B484=""),"",INDEX(Equipements!$H:$H,MATCH(A484,Equipements!$A:$A,0))&amp;"."&amp;B484),"")</f>
        <v/>
      </c>
      <c r="D484" s="23"/>
      <c r="E484" s="23"/>
      <c r="F484" s="23"/>
      <c r="G484" s="23"/>
      <c r="H484" s="23"/>
      <c r="I484" s="23"/>
      <c r="J484" s="23"/>
    </row>
    <row r="485" customFormat="false" ht="15" hidden="false" customHeight="true" outlineLevel="0" collapsed="false">
      <c r="A485" s="23"/>
      <c r="B485" s="23"/>
      <c r="C485" s="23" t="str">
        <f aca="false">IFERROR(IF(OR(A485="",B485=""),"",INDEX(Equipements!$H:$H,MATCH(A485,Equipements!$A:$A,0))&amp;"."&amp;B485),"")</f>
        <v/>
      </c>
      <c r="D485" s="23"/>
      <c r="E485" s="23"/>
      <c r="F485" s="23"/>
      <c r="G485" s="23"/>
      <c r="H485" s="23"/>
      <c r="I485" s="23"/>
      <c r="J485" s="23"/>
    </row>
    <row r="486" customFormat="false" ht="15" hidden="false" customHeight="true" outlineLevel="0" collapsed="false">
      <c r="A486" s="23"/>
      <c r="B486" s="23"/>
      <c r="C486" s="23" t="str">
        <f aca="false">IFERROR(IF(OR(A486="",B486=""),"",INDEX(Equipements!$H:$H,MATCH(A486,Equipements!$A:$A,0))&amp;"."&amp;B486),"")</f>
        <v/>
      </c>
      <c r="D486" s="23"/>
      <c r="E486" s="23"/>
      <c r="F486" s="23"/>
      <c r="G486" s="23"/>
      <c r="H486" s="23"/>
      <c r="I486" s="23"/>
      <c r="J486" s="23"/>
    </row>
    <row r="487" customFormat="false" ht="15" hidden="false" customHeight="true" outlineLevel="0" collapsed="false">
      <c r="A487" s="23"/>
      <c r="B487" s="23"/>
      <c r="C487" s="23" t="str">
        <f aca="false">IFERROR(IF(OR(A487="",B487=""),"",INDEX(Equipements!$H:$H,MATCH(A487,Equipements!$A:$A,0))&amp;"."&amp;B487),"")</f>
        <v/>
      </c>
      <c r="D487" s="23"/>
      <c r="E487" s="23"/>
      <c r="F487" s="23"/>
      <c r="G487" s="23"/>
      <c r="H487" s="23"/>
      <c r="I487" s="23"/>
      <c r="J487" s="23"/>
    </row>
    <row r="488" customFormat="false" ht="15" hidden="false" customHeight="true" outlineLevel="0" collapsed="false">
      <c r="A488" s="23"/>
      <c r="B488" s="23"/>
      <c r="C488" s="23" t="str">
        <f aca="false">IFERROR(IF(OR(A488="",B488=""),"",INDEX(Equipements!$H:$H,MATCH(A488,Equipements!$A:$A,0))&amp;"."&amp;B488),"")</f>
        <v/>
      </c>
      <c r="D488" s="23"/>
      <c r="E488" s="23"/>
      <c r="F488" s="23"/>
      <c r="G488" s="23"/>
      <c r="H488" s="23"/>
      <c r="I488" s="23"/>
      <c r="J488" s="23"/>
    </row>
    <row r="489" customFormat="false" ht="15" hidden="false" customHeight="true" outlineLevel="0" collapsed="false">
      <c r="A489" s="23"/>
      <c r="B489" s="23"/>
      <c r="C489" s="23" t="str">
        <f aca="false">IFERROR(IF(OR(A489="",B489=""),"",INDEX(Equipements!$H:$H,MATCH(A489,Equipements!$A:$A,0))&amp;"."&amp;B489),"")</f>
        <v/>
      </c>
      <c r="D489" s="23"/>
      <c r="E489" s="23"/>
      <c r="F489" s="23"/>
      <c r="G489" s="23"/>
      <c r="H489" s="23"/>
      <c r="I489" s="23"/>
      <c r="J489" s="23"/>
    </row>
    <row r="490" customFormat="false" ht="15" hidden="false" customHeight="true" outlineLevel="0" collapsed="false">
      <c r="A490" s="23"/>
      <c r="B490" s="23"/>
      <c r="C490" s="23" t="str">
        <f aca="false">IFERROR(IF(OR(A490="",B490=""),"",INDEX(Equipements!$H:$H,MATCH(A490,Equipements!$A:$A,0))&amp;"."&amp;B490),"")</f>
        <v/>
      </c>
      <c r="D490" s="23"/>
      <c r="E490" s="23"/>
      <c r="F490" s="23"/>
      <c r="G490" s="23"/>
      <c r="H490" s="23"/>
      <c r="I490" s="23"/>
      <c r="J490" s="23"/>
    </row>
    <row r="491" customFormat="false" ht="15" hidden="false" customHeight="true" outlineLevel="0" collapsed="false">
      <c r="A491" s="23"/>
      <c r="B491" s="23"/>
      <c r="C491" s="23" t="str">
        <f aca="false">IFERROR(IF(OR(A491="",B491=""),"",INDEX(Equipements!$H:$H,MATCH(A491,Equipements!$A:$A,0))&amp;"."&amp;B491),"")</f>
        <v/>
      </c>
      <c r="D491" s="23"/>
      <c r="E491" s="23"/>
      <c r="F491" s="23"/>
      <c r="G491" s="23"/>
      <c r="H491" s="23"/>
      <c r="I491" s="23"/>
      <c r="J491" s="23"/>
    </row>
    <row r="492" customFormat="false" ht="15" hidden="false" customHeight="true" outlineLevel="0" collapsed="false">
      <c r="A492" s="23"/>
      <c r="B492" s="23"/>
      <c r="C492" s="23" t="str">
        <f aca="false">IFERROR(IF(OR(A492="",B492=""),"",INDEX(Equipements!$H:$H,MATCH(A492,Equipements!$A:$A,0))&amp;"."&amp;B492),"")</f>
        <v/>
      </c>
      <c r="D492" s="23"/>
      <c r="E492" s="23"/>
      <c r="F492" s="23"/>
      <c r="G492" s="23"/>
      <c r="H492" s="23"/>
      <c r="I492" s="23"/>
      <c r="J492" s="23"/>
    </row>
    <row r="493" customFormat="false" ht="15" hidden="false" customHeight="true" outlineLevel="0" collapsed="false">
      <c r="A493" s="23"/>
      <c r="B493" s="23"/>
      <c r="C493" s="23" t="str">
        <f aca="false">IFERROR(IF(OR(A493="",B493=""),"",INDEX(Equipements!$H:$H,MATCH(A493,Equipements!$A:$A,0))&amp;"."&amp;B493),"")</f>
        <v/>
      </c>
      <c r="D493" s="23"/>
      <c r="E493" s="23"/>
      <c r="F493" s="23"/>
      <c r="G493" s="23"/>
      <c r="H493" s="23"/>
      <c r="I493" s="23"/>
      <c r="J493" s="23"/>
    </row>
    <row r="494" customFormat="false" ht="15" hidden="false" customHeight="true" outlineLevel="0" collapsed="false">
      <c r="A494" s="23"/>
      <c r="B494" s="23"/>
      <c r="C494" s="23" t="str">
        <f aca="false">IFERROR(IF(OR(A494="",B494=""),"",INDEX(Equipements!$H:$H,MATCH(A494,Equipements!$A:$A,0))&amp;"."&amp;B494),"")</f>
        <v/>
      </c>
      <c r="D494" s="23"/>
      <c r="E494" s="23"/>
      <c r="F494" s="23"/>
      <c r="G494" s="23"/>
      <c r="H494" s="23"/>
      <c r="I494" s="23"/>
      <c r="J494" s="23"/>
    </row>
    <row r="495" customFormat="false" ht="15" hidden="false" customHeight="true" outlineLevel="0" collapsed="false">
      <c r="A495" s="23"/>
      <c r="B495" s="23"/>
      <c r="C495" s="23" t="str">
        <f aca="false">IFERROR(IF(OR(A495="",B495=""),"",INDEX(Equipements!$H:$H,MATCH(A495,Equipements!$A:$A,0))&amp;"."&amp;B495),"")</f>
        <v/>
      </c>
      <c r="D495" s="23"/>
      <c r="E495" s="23"/>
      <c r="F495" s="23"/>
      <c r="G495" s="23"/>
      <c r="H495" s="23"/>
      <c r="I495" s="23"/>
      <c r="J495" s="23"/>
    </row>
    <row r="496" customFormat="false" ht="15" hidden="false" customHeight="true" outlineLevel="0" collapsed="false">
      <c r="A496" s="23"/>
      <c r="B496" s="23"/>
      <c r="C496" s="23" t="str">
        <f aca="false">IFERROR(IF(OR(A496="",B496=""),"",INDEX(Equipements!$H:$H,MATCH(A496,Equipements!$A:$A,0))&amp;"."&amp;B496),"")</f>
        <v/>
      </c>
      <c r="D496" s="23"/>
      <c r="E496" s="23"/>
      <c r="F496" s="23"/>
      <c r="G496" s="23"/>
      <c r="H496" s="23"/>
      <c r="I496" s="23"/>
      <c r="J496" s="23"/>
    </row>
    <row r="497" customFormat="false" ht="15" hidden="false" customHeight="true" outlineLevel="0" collapsed="false">
      <c r="A497" s="23"/>
      <c r="B497" s="23"/>
      <c r="C497" s="23" t="str">
        <f aca="false">IFERROR(IF(OR(A497="",B497=""),"",INDEX(Equipements!$H:$H,MATCH(A497,Equipements!$A:$A,0))&amp;"."&amp;B497),"")</f>
        <v/>
      </c>
      <c r="D497" s="23"/>
      <c r="E497" s="23"/>
      <c r="F497" s="23"/>
      <c r="G497" s="23"/>
      <c r="H497" s="23"/>
      <c r="I497" s="23"/>
      <c r="J497" s="23"/>
    </row>
    <row r="498" customFormat="false" ht="15" hidden="false" customHeight="true" outlineLevel="0" collapsed="false">
      <c r="A498" s="23"/>
      <c r="B498" s="23"/>
      <c r="C498" s="23" t="str">
        <f aca="false">IFERROR(IF(OR(A498="",B498=""),"",INDEX(Equipements!$H:$H,MATCH(A498,Equipements!$A:$A,0))&amp;"."&amp;B498),"")</f>
        <v/>
      </c>
      <c r="D498" s="23"/>
      <c r="E498" s="23"/>
      <c r="F498" s="23"/>
      <c r="G498" s="23"/>
      <c r="H498" s="23"/>
      <c r="I498" s="23"/>
      <c r="J498" s="23"/>
    </row>
    <row r="499" customFormat="false" ht="15" hidden="false" customHeight="true" outlineLevel="0" collapsed="false">
      <c r="A499" s="23"/>
      <c r="B499" s="23"/>
      <c r="C499" s="23" t="str">
        <f aca="false">IFERROR(IF(OR(A499="",B499=""),"",INDEX(Equipements!$H:$H,MATCH(A499,Equipements!$A:$A,0))&amp;"."&amp;B499),"")</f>
        <v/>
      </c>
      <c r="D499" s="23"/>
      <c r="E499" s="23"/>
      <c r="F499" s="23"/>
      <c r="G499" s="23"/>
      <c r="H499" s="23"/>
      <c r="I499" s="23"/>
      <c r="J499" s="23"/>
    </row>
    <row r="500" customFormat="false" ht="15" hidden="false" customHeight="true" outlineLevel="0" collapsed="false">
      <c r="A500" s="23"/>
      <c r="B500" s="23"/>
      <c r="C500" s="23" t="str">
        <f aca="false">IFERROR(IF(OR(A500="",B500=""),"",INDEX(Equipements!$H:$H,MATCH(A500,Equipements!$A:$A,0))&amp;"."&amp;B500),"")</f>
        <v/>
      </c>
      <c r="D500" s="23"/>
      <c r="E500" s="23"/>
      <c r="F500" s="23"/>
      <c r="G500" s="23"/>
      <c r="H500" s="23"/>
      <c r="I500" s="23"/>
      <c r="J500" s="23"/>
    </row>
    <row r="501" customFormat="false" ht="15" hidden="false" customHeight="true" outlineLevel="0" collapsed="false">
      <c r="A501" s="23"/>
      <c r="B501" s="23"/>
      <c r="C501" s="23" t="str">
        <f aca="false">IFERROR(IF(OR(A501="",B501=""),"",INDEX(Equipements!$H:$H,MATCH(A501,Equipements!$A:$A,0))&amp;"."&amp;B501),"")</f>
        <v/>
      </c>
      <c r="D501" s="23"/>
      <c r="E501" s="23"/>
      <c r="F501" s="23"/>
      <c r="G501" s="23"/>
      <c r="H501" s="23"/>
      <c r="I501" s="23"/>
      <c r="J501" s="23"/>
    </row>
    <row r="502" customFormat="false" ht="15" hidden="false" customHeight="true" outlineLevel="0" collapsed="false">
      <c r="A502" s="23"/>
      <c r="B502" s="23"/>
      <c r="C502" s="23" t="str">
        <f aca="false">IFERROR(IF(OR(A502="",B502=""),"",INDEX(Equipements!$H:$H,MATCH(A502,Equipements!$A:$A,0))&amp;"."&amp;B502),"")</f>
        <v/>
      </c>
      <c r="D502" s="23"/>
      <c r="E502" s="23"/>
      <c r="F502" s="23"/>
      <c r="G502" s="23"/>
      <c r="H502" s="23"/>
      <c r="I502" s="23"/>
      <c r="J502" s="23"/>
    </row>
    <row r="503" customFormat="false" ht="15" hidden="false" customHeight="true" outlineLevel="0" collapsed="false">
      <c r="A503" s="23"/>
      <c r="B503" s="23"/>
      <c r="C503" s="23" t="str">
        <f aca="false">IFERROR(IF(OR(A503="",B503=""),"",INDEX(Equipements!$H:$H,MATCH(A503,Equipements!$A:$A,0))&amp;"."&amp;B503),"")</f>
        <v/>
      </c>
      <c r="D503" s="23"/>
      <c r="E503" s="23"/>
      <c r="F503" s="23"/>
      <c r="G503" s="23"/>
      <c r="H503" s="23"/>
      <c r="I503" s="23"/>
      <c r="J503" s="23"/>
    </row>
    <row r="504" customFormat="false" ht="15" hidden="false" customHeight="true" outlineLevel="0" collapsed="false">
      <c r="A504" s="23"/>
      <c r="B504" s="23"/>
      <c r="C504" s="23" t="str">
        <f aca="false">IFERROR(IF(OR(A504="",B504=""),"",INDEX(Equipements!$H:$H,MATCH(A504,Equipements!$A:$A,0))&amp;"."&amp;B504),"")</f>
        <v/>
      </c>
      <c r="D504" s="23"/>
      <c r="E504" s="23"/>
      <c r="F504" s="23"/>
      <c r="G504" s="23"/>
      <c r="H504" s="23"/>
      <c r="I504" s="23"/>
      <c r="J504" s="23"/>
    </row>
    <row r="505" customFormat="false" ht="15" hidden="false" customHeight="true" outlineLevel="0" collapsed="false">
      <c r="A505" s="23"/>
      <c r="B505" s="23"/>
      <c r="C505" s="23" t="str">
        <f aca="false">IFERROR(IF(OR(A505="",B505=""),"",INDEX(Equipements!$H:$H,MATCH(A505,Equipements!$A:$A,0))&amp;"."&amp;B505),"")</f>
        <v/>
      </c>
      <c r="D505" s="23"/>
      <c r="E505" s="23"/>
      <c r="F505" s="23"/>
      <c r="G505" s="23"/>
      <c r="H505" s="23"/>
      <c r="I505" s="23"/>
      <c r="J505" s="23"/>
    </row>
    <row r="506" customFormat="false" ht="15" hidden="false" customHeight="true" outlineLevel="0" collapsed="false">
      <c r="A506" s="23"/>
      <c r="B506" s="23"/>
      <c r="C506" s="23" t="str">
        <f aca="false">IFERROR(IF(OR(A506="",B506=""),"",INDEX(Equipements!$H:$H,MATCH(A506,Equipements!$A:$A,0))&amp;"."&amp;B506),"")</f>
        <v/>
      </c>
      <c r="D506" s="23"/>
      <c r="E506" s="23"/>
      <c r="F506" s="23"/>
      <c r="G506" s="23"/>
      <c r="H506" s="23"/>
      <c r="I506" s="23"/>
      <c r="J506" s="23"/>
    </row>
    <row r="507" customFormat="false" ht="15" hidden="false" customHeight="true" outlineLevel="0" collapsed="false">
      <c r="A507" s="23"/>
      <c r="B507" s="23"/>
      <c r="C507" s="23" t="str">
        <f aca="false">IFERROR(IF(OR(A507="",B507=""),"",INDEX(Equipements!$H:$H,MATCH(A507,Equipements!$A:$A,0))&amp;"."&amp;B507),"")</f>
        <v/>
      </c>
      <c r="D507" s="23"/>
      <c r="E507" s="23"/>
      <c r="F507" s="23"/>
      <c r="G507" s="23"/>
      <c r="H507" s="23"/>
      <c r="I507" s="23"/>
      <c r="J507" s="23"/>
    </row>
    <row r="508" customFormat="false" ht="15" hidden="false" customHeight="true" outlineLevel="0" collapsed="false">
      <c r="A508" s="23"/>
      <c r="B508" s="23"/>
      <c r="C508" s="23" t="str">
        <f aca="false">IFERROR(IF(OR(A508="",B508=""),"",INDEX(Equipements!$H:$H,MATCH(A508,Equipements!$A:$A,0))&amp;"."&amp;B508),"")</f>
        <v/>
      </c>
      <c r="D508" s="23"/>
      <c r="E508" s="23"/>
      <c r="F508" s="23"/>
      <c r="G508" s="23"/>
      <c r="H508" s="23"/>
      <c r="I508" s="23"/>
      <c r="J508" s="23"/>
    </row>
    <row r="509" customFormat="false" ht="15" hidden="false" customHeight="true" outlineLevel="0" collapsed="false">
      <c r="A509" s="23"/>
      <c r="B509" s="23"/>
      <c r="C509" s="23" t="str">
        <f aca="false">IFERROR(IF(OR(A509="",B509=""),"",INDEX(Equipements!$H:$H,MATCH(A509,Equipements!$A:$A,0))&amp;"."&amp;B509),"")</f>
        <v/>
      </c>
      <c r="D509" s="23"/>
      <c r="E509" s="23"/>
      <c r="F509" s="23"/>
      <c r="G509" s="23"/>
      <c r="H509" s="23"/>
      <c r="I509" s="23"/>
      <c r="J509" s="23"/>
    </row>
    <row r="510" customFormat="false" ht="15" hidden="false" customHeight="true" outlineLevel="0" collapsed="false">
      <c r="A510" s="23"/>
      <c r="B510" s="23"/>
      <c r="C510" s="23" t="str">
        <f aca="false">IFERROR(IF(OR(A510="",B510=""),"",INDEX(Equipements!$H:$H,MATCH(A510,Equipements!$A:$A,0))&amp;"."&amp;B510),"")</f>
        <v/>
      </c>
      <c r="D510" s="23"/>
      <c r="E510" s="23"/>
      <c r="F510" s="23"/>
      <c r="G510" s="23"/>
      <c r="H510" s="23"/>
      <c r="I510" s="23"/>
      <c r="J510" s="23"/>
    </row>
    <row r="511" customFormat="false" ht="15" hidden="false" customHeight="true" outlineLevel="0" collapsed="false">
      <c r="A511" s="23"/>
      <c r="B511" s="23"/>
      <c r="C511" s="23" t="str">
        <f aca="false">IFERROR(IF(OR(A511="",B511=""),"",INDEX(Equipements!$H:$H,MATCH(A511,Equipements!$A:$A,0))&amp;"."&amp;B511),"")</f>
        <v/>
      </c>
      <c r="D511" s="23"/>
      <c r="E511" s="23"/>
      <c r="F511" s="23"/>
      <c r="G511" s="23"/>
      <c r="H511" s="23"/>
      <c r="I511" s="23"/>
      <c r="J511" s="23"/>
    </row>
    <row r="512" customFormat="false" ht="15" hidden="false" customHeight="true" outlineLevel="0" collapsed="false">
      <c r="A512" s="23"/>
      <c r="B512" s="23"/>
      <c r="C512" s="23" t="str">
        <f aca="false">IFERROR(IF(OR(A512="",B512=""),"",INDEX(Equipements!$H:$H,MATCH(A512,Equipements!$A:$A,0))&amp;"."&amp;B512),"")</f>
        <v/>
      </c>
      <c r="D512" s="23"/>
      <c r="E512" s="23"/>
      <c r="F512" s="23"/>
      <c r="G512" s="23"/>
      <c r="H512" s="23"/>
      <c r="I512" s="23"/>
      <c r="J512" s="23"/>
    </row>
    <row r="513" customFormat="false" ht="15" hidden="false" customHeight="true" outlineLevel="0" collapsed="false">
      <c r="A513" s="23"/>
      <c r="B513" s="23"/>
      <c r="C513" s="23" t="str">
        <f aca="false">IFERROR(IF(OR(A513="",B513=""),"",INDEX(Equipements!$H:$H,MATCH(A513,Equipements!$A:$A,0))&amp;"."&amp;B513),"")</f>
        <v/>
      </c>
      <c r="D513" s="23"/>
      <c r="E513" s="23"/>
      <c r="F513" s="23"/>
      <c r="G513" s="23"/>
      <c r="H513" s="23"/>
      <c r="I513" s="23"/>
      <c r="J513" s="23"/>
    </row>
    <row r="514" customFormat="false" ht="15" hidden="false" customHeight="true" outlineLevel="0" collapsed="false">
      <c r="A514" s="23"/>
      <c r="B514" s="23"/>
      <c r="C514" s="23" t="str">
        <f aca="false">IFERROR(IF(OR(A514="",B514=""),"",INDEX(Equipements!$H:$H,MATCH(A514,Equipements!$A:$A,0))&amp;"."&amp;B514),"")</f>
        <v/>
      </c>
      <c r="D514" s="23"/>
      <c r="E514" s="23"/>
      <c r="F514" s="23"/>
      <c r="G514" s="23"/>
      <c r="H514" s="23"/>
      <c r="I514" s="23"/>
      <c r="J514" s="23"/>
    </row>
    <row r="515" customFormat="false" ht="15" hidden="false" customHeight="true" outlineLevel="0" collapsed="false">
      <c r="A515" s="23"/>
      <c r="B515" s="23"/>
      <c r="C515" s="23" t="str">
        <f aca="false">IFERROR(IF(OR(A515="",B515=""),"",INDEX(Equipements!$H:$H,MATCH(A515,Equipements!$A:$A,0))&amp;"."&amp;B515),"")</f>
        <v/>
      </c>
      <c r="D515" s="23"/>
      <c r="E515" s="23"/>
      <c r="F515" s="23"/>
      <c r="G515" s="23"/>
      <c r="H515" s="23"/>
      <c r="I515" s="23"/>
      <c r="J515" s="23"/>
    </row>
    <row r="516" customFormat="false" ht="15" hidden="false" customHeight="true" outlineLevel="0" collapsed="false">
      <c r="A516" s="23"/>
      <c r="B516" s="23"/>
      <c r="C516" s="23" t="str">
        <f aca="false">IFERROR(IF(OR(A516="",B516=""),"",INDEX(Equipements!$H:$H,MATCH(A516,Equipements!$A:$A,0))&amp;"."&amp;B516),"")</f>
        <v/>
      </c>
      <c r="D516" s="23"/>
      <c r="E516" s="23"/>
      <c r="F516" s="23"/>
      <c r="G516" s="23"/>
      <c r="H516" s="23"/>
      <c r="I516" s="23"/>
      <c r="J516" s="23"/>
    </row>
    <row r="517" customFormat="false" ht="15" hidden="false" customHeight="true" outlineLevel="0" collapsed="false">
      <c r="A517" s="23"/>
      <c r="B517" s="23"/>
      <c r="C517" s="23" t="str">
        <f aca="false">IFERROR(IF(OR(A517="",B517=""),"",INDEX(Equipements!$H:$H,MATCH(A517,Equipements!$A:$A,0))&amp;"."&amp;B517),"")</f>
        <v/>
      </c>
      <c r="D517" s="23"/>
      <c r="E517" s="23"/>
      <c r="F517" s="23"/>
      <c r="G517" s="23"/>
      <c r="H517" s="23"/>
      <c r="I517" s="23"/>
      <c r="J517" s="23"/>
    </row>
    <row r="518" customFormat="false" ht="15" hidden="false" customHeight="true" outlineLevel="0" collapsed="false">
      <c r="A518" s="23"/>
      <c r="B518" s="23"/>
      <c r="C518" s="23" t="str">
        <f aca="false">IFERROR(IF(OR(A518="",B518=""),"",INDEX(Equipements!$H:$H,MATCH(A518,Equipements!$A:$A,0))&amp;"."&amp;B518),"")</f>
        <v/>
      </c>
      <c r="D518" s="23"/>
      <c r="E518" s="23"/>
      <c r="F518" s="23"/>
      <c r="G518" s="23"/>
      <c r="H518" s="23"/>
      <c r="I518" s="23"/>
      <c r="J518" s="23"/>
    </row>
    <row r="519" customFormat="false" ht="15" hidden="false" customHeight="true" outlineLevel="0" collapsed="false">
      <c r="A519" s="23"/>
      <c r="B519" s="23"/>
      <c r="C519" s="23" t="str">
        <f aca="false">IFERROR(IF(OR(A519="",B519=""),"",INDEX(Equipements!$H:$H,MATCH(A519,Equipements!$A:$A,0))&amp;"."&amp;B519),"")</f>
        <v/>
      </c>
      <c r="D519" s="23"/>
      <c r="E519" s="23"/>
      <c r="F519" s="23"/>
      <c r="G519" s="23"/>
      <c r="H519" s="23"/>
      <c r="I519" s="23"/>
      <c r="J519" s="23"/>
    </row>
    <row r="520" customFormat="false" ht="15" hidden="false" customHeight="true" outlineLevel="0" collapsed="false">
      <c r="A520" s="23"/>
      <c r="B520" s="23"/>
      <c r="C520" s="23" t="str">
        <f aca="false">IFERROR(IF(OR(A520="",B520=""),"",INDEX(Equipements!$H:$H,MATCH(A520,Equipements!$A:$A,0))&amp;"."&amp;B520),"")</f>
        <v/>
      </c>
      <c r="D520" s="23"/>
      <c r="E520" s="23"/>
      <c r="F520" s="23"/>
      <c r="G520" s="23"/>
      <c r="H520" s="23"/>
      <c r="I520" s="23"/>
      <c r="J520" s="23"/>
    </row>
    <row r="521" customFormat="false" ht="15" hidden="false" customHeight="true" outlineLevel="0" collapsed="false">
      <c r="A521" s="23"/>
      <c r="B521" s="23"/>
      <c r="C521" s="23" t="str">
        <f aca="false">IFERROR(IF(OR(A521="",B521=""),"",INDEX(Equipements!$H:$H,MATCH(A521,Equipements!$A:$A,0))&amp;"."&amp;B521),"")</f>
        <v/>
      </c>
      <c r="D521" s="23"/>
      <c r="E521" s="23"/>
      <c r="F521" s="23"/>
      <c r="G521" s="23"/>
      <c r="H521" s="23"/>
      <c r="I521" s="23"/>
      <c r="J521" s="23"/>
    </row>
    <row r="522" customFormat="false" ht="15" hidden="false" customHeight="true" outlineLevel="0" collapsed="false">
      <c r="A522" s="23"/>
      <c r="B522" s="23"/>
      <c r="C522" s="23" t="str">
        <f aca="false">IFERROR(IF(OR(A522="",B522=""),"",INDEX(Equipements!$H:$H,MATCH(A522,Equipements!$A:$A,0))&amp;"."&amp;B522),"")</f>
        <v/>
      </c>
      <c r="D522" s="23"/>
      <c r="E522" s="23"/>
      <c r="F522" s="23"/>
      <c r="G522" s="23"/>
      <c r="H522" s="23"/>
      <c r="I522" s="23"/>
      <c r="J522" s="23"/>
    </row>
    <row r="523" customFormat="false" ht="15" hidden="false" customHeight="true" outlineLevel="0" collapsed="false">
      <c r="A523" s="23"/>
      <c r="B523" s="23"/>
      <c r="C523" s="23" t="str">
        <f aca="false">IFERROR(IF(OR(A523="",B523=""),"",INDEX(Equipements!$H:$H,MATCH(A523,Equipements!$A:$A,0))&amp;"."&amp;B523),"")</f>
        <v/>
      </c>
      <c r="D523" s="23"/>
      <c r="E523" s="23"/>
      <c r="F523" s="23"/>
      <c r="G523" s="23"/>
      <c r="H523" s="23"/>
      <c r="I523" s="23"/>
      <c r="J523" s="23"/>
    </row>
    <row r="524" customFormat="false" ht="15" hidden="false" customHeight="true" outlineLevel="0" collapsed="false">
      <c r="A524" s="23"/>
      <c r="B524" s="23"/>
      <c r="C524" s="23" t="str">
        <f aca="false">IFERROR(IF(OR(A524="",B524=""),"",INDEX(Equipements!$H:$H,MATCH(A524,Equipements!$A:$A,0))&amp;"."&amp;B524),"")</f>
        <v/>
      </c>
      <c r="D524" s="23"/>
      <c r="E524" s="23"/>
      <c r="F524" s="23"/>
      <c r="G524" s="23"/>
      <c r="H524" s="23"/>
      <c r="I524" s="23"/>
      <c r="J524" s="23"/>
    </row>
    <row r="525" customFormat="false" ht="15" hidden="false" customHeight="true" outlineLevel="0" collapsed="false">
      <c r="A525" s="23"/>
      <c r="B525" s="23"/>
      <c r="C525" s="23" t="str">
        <f aca="false">IFERROR(IF(OR(A525="",B525=""),"",INDEX(Equipements!$H:$H,MATCH(A525,Equipements!$A:$A,0))&amp;"."&amp;B525),"")</f>
        <v/>
      </c>
      <c r="D525" s="23"/>
      <c r="E525" s="23"/>
      <c r="F525" s="23"/>
      <c r="G525" s="23"/>
      <c r="H525" s="23"/>
      <c r="I525" s="23"/>
      <c r="J525" s="23"/>
    </row>
    <row r="526" customFormat="false" ht="15" hidden="false" customHeight="true" outlineLevel="0" collapsed="false">
      <c r="A526" s="23"/>
      <c r="B526" s="23"/>
      <c r="C526" s="23" t="str">
        <f aca="false">IFERROR(IF(OR(A526="",B526=""),"",INDEX(Equipements!$H:$H,MATCH(A526,Equipements!$A:$A,0))&amp;"."&amp;B526),"")</f>
        <v/>
      </c>
      <c r="D526" s="23"/>
      <c r="E526" s="23"/>
      <c r="F526" s="23"/>
      <c r="G526" s="23"/>
      <c r="H526" s="23"/>
      <c r="I526" s="23"/>
      <c r="J526" s="23"/>
    </row>
    <row r="527" customFormat="false" ht="15" hidden="false" customHeight="true" outlineLevel="0" collapsed="false">
      <c r="A527" s="23"/>
      <c r="B527" s="23"/>
      <c r="C527" s="23" t="str">
        <f aca="false">IFERROR(IF(OR(A527="",B527=""),"",INDEX(Equipements!$H:$H,MATCH(A527,Equipements!$A:$A,0))&amp;"."&amp;B527),"")</f>
        <v/>
      </c>
      <c r="D527" s="23"/>
      <c r="E527" s="23"/>
      <c r="F527" s="23"/>
      <c r="G527" s="23"/>
      <c r="H527" s="23"/>
      <c r="I527" s="23"/>
      <c r="J527" s="23"/>
    </row>
    <row r="528" customFormat="false" ht="15" hidden="false" customHeight="true" outlineLevel="0" collapsed="false">
      <c r="A528" s="23"/>
      <c r="B528" s="23"/>
      <c r="C528" s="23" t="str">
        <f aca="false">IFERROR(IF(OR(A528="",B528=""),"",INDEX(Equipements!$H:$H,MATCH(A528,Equipements!$A:$A,0))&amp;"."&amp;B528),"")</f>
        <v/>
      </c>
      <c r="D528" s="23"/>
      <c r="E528" s="23"/>
      <c r="F528" s="23"/>
      <c r="G528" s="23"/>
      <c r="H528" s="23"/>
      <c r="I528" s="23"/>
      <c r="J528" s="23"/>
    </row>
    <row r="529" customFormat="false" ht="15" hidden="false" customHeight="true" outlineLevel="0" collapsed="false">
      <c r="A529" s="23"/>
      <c r="B529" s="23"/>
      <c r="C529" s="23" t="str">
        <f aca="false">IFERROR(IF(OR(A529="",B529=""),"",INDEX(Equipements!$H:$H,MATCH(A529,Equipements!$A:$A,0))&amp;"."&amp;B529),"")</f>
        <v/>
      </c>
      <c r="D529" s="23"/>
      <c r="E529" s="23"/>
      <c r="F529" s="23"/>
      <c r="G529" s="23"/>
      <c r="H529" s="23"/>
      <c r="I529" s="23"/>
      <c r="J529" s="23"/>
    </row>
    <row r="530" customFormat="false" ht="15" hidden="false" customHeight="true" outlineLevel="0" collapsed="false">
      <c r="A530" s="23"/>
      <c r="B530" s="23"/>
      <c r="C530" s="23" t="str">
        <f aca="false">IFERROR(IF(OR(A530="",B530=""),"",INDEX(Equipements!$H:$H,MATCH(A530,Equipements!$A:$A,0))&amp;"."&amp;B530),"")</f>
        <v/>
      </c>
      <c r="D530" s="23"/>
      <c r="E530" s="23"/>
      <c r="F530" s="23"/>
      <c r="G530" s="23"/>
      <c r="H530" s="23"/>
      <c r="I530" s="23"/>
      <c r="J530" s="23"/>
    </row>
    <row r="531" customFormat="false" ht="15" hidden="false" customHeight="true" outlineLevel="0" collapsed="false">
      <c r="A531" s="23"/>
      <c r="B531" s="23"/>
      <c r="C531" s="23" t="str">
        <f aca="false">IFERROR(IF(OR(A531="",B531=""),"",INDEX(Equipements!$H:$H,MATCH(A531,Equipements!$A:$A,0))&amp;"."&amp;B531),"")</f>
        <v/>
      </c>
      <c r="D531" s="23"/>
      <c r="E531" s="23"/>
      <c r="F531" s="23"/>
      <c r="G531" s="23"/>
      <c r="H531" s="23"/>
      <c r="I531" s="23"/>
      <c r="J531" s="23"/>
    </row>
    <row r="532" customFormat="false" ht="15" hidden="false" customHeight="true" outlineLevel="0" collapsed="false">
      <c r="A532" s="23"/>
      <c r="B532" s="23"/>
      <c r="C532" s="23" t="str">
        <f aca="false">IFERROR(IF(OR(A532="",B532=""),"",INDEX(Equipements!$H:$H,MATCH(A532,Equipements!$A:$A,0))&amp;"."&amp;B532),"")</f>
        <v/>
      </c>
      <c r="D532" s="23"/>
      <c r="E532" s="23"/>
      <c r="F532" s="23"/>
      <c r="G532" s="23"/>
      <c r="H532" s="23"/>
      <c r="I532" s="23"/>
      <c r="J532" s="23"/>
    </row>
    <row r="533" customFormat="false" ht="15" hidden="false" customHeight="true" outlineLevel="0" collapsed="false">
      <c r="A533" s="23"/>
      <c r="B533" s="23"/>
      <c r="C533" s="23" t="str">
        <f aca="false">IFERROR(IF(OR(A533="",B533=""),"",INDEX(Equipements!$H:$H,MATCH(A533,Equipements!$A:$A,0))&amp;"."&amp;B533),"")</f>
        <v/>
      </c>
      <c r="D533" s="23"/>
      <c r="E533" s="23"/>
      <c r="F533" s="23"/>
      <c r="G533" s="23"/>
      <c r="H533" s="23"/>
      <c r="I533" s="23"/>
      <c r="J533" s="23"/>
    </row>
    <row r="534" customFormat="false" ht="15" hidden="false" customHeight="true" outlineLevel="0" collapsed="false">
      <c r="A534" s="23"/>
      <c r="B534" s="23"/>
      <c r="C534" s="23" t="str">
        <f aca="false">IFERROR(IF(OR(A534="",B534=""),"",INDEX(Equipements!$H:$H,MATCH(A534,Equipements!$A:$A,0))&amp;"."&amp;B534),"")</f>
        <v/>
      </c>
      <c r="D534" s="23"/>
      <c r="E534" s="23"/>
      <c r="F534" s="23"/>
      <c r="G534" s="23"/>
      <c r="H534" s="23"/>
      <c r="I534" s="23"/>
      <c r="J534" s="23"/>
    </row>
    <row r="535" customFormat="false" ht="15" hidden="false" customHeight="true" outlineLevel="0" collapsed="false">
      <c r="A535" s="23"/>
      <c r="B535" s="23"/>
      <c r="C535" s="23" t="str">
        <f aca="false">IFERROR(IF(OR(A535="",B535=""),"",INDEX(Equipements!$H:$H,MATCH(A535,Equipements!$A:$A,0))&amp;"."&amp;B535),"")</f>
        <v/>
      </c>
      <c r="D535" s="23"/>
      <c r="E535" s="23"/>
      <c r="F535" s="23"/>
      <c r="G535" s="23"/>
      <c r="H535" s="23"/>
      <c r="I535" s="23"/>
      <c r="J535" s="23"/>
    </row>
    <row r="536" customFormat="false" ht="15" hidden="false" customHeight="true" outlineLevel="0" collapsed="false">
      <c r="A536" s="23"/>
      <c r="B536" s="23"/>
      <c r="C536" s="23" t="str">
        <f aca="false">IFERROR(IF(OR(A536="",B536=""),"",INDEX(Equipements!$H:$H,MATCH(A536,Equipements!$A:$A,0))&amp;"."&amp;B536),"")</f>
        <v/>
      </c>
      <c r="D536" s="23"/>
      <c r="E536" s="23"/>
      <c r="F536" s="23"/>
      <c r="G536" s="23"/>
      <c r="H536" s="23"/>
      <c r="I536" s="23"/>
      <c r="J536" s="23"/>
    </row>
    <row r="537" customFormat="false" ht="15" hidden="false" customHeight="true" outlineLevel="0" collapsed="false">
      <c r="A537" s="23"/>
      <c r="B537" s="23"/>
      <c r="C537" s="23" t="str">
        <f aca="false">IFERROR(IF(OR(A537="",B537=""),"",INDEX(Equipements!$H:$H,MATCH(A537,Equipements!$A:$A,0))&amp;"."&amp;B537),"")</f>
        <v/>
      </c>
      <c r="D537" s="23"/>
      <c r="E537" s="23"/>
      <c r="F537" s="23"/>
      <c r="G537" s="23"/>
      <c r="H537" s="23"/>
      <c r="I537" s="23"/>
      <c r="J537" s="23"/>
    </row>
    <row r="538" customFormat="false" ht="15" hidden="false" customHeight="true" outlineLevel="0" collapsed="false">
      <c r="A538" s="23"/>
      <c r="B538" s="23"/>
      <c r="C538" s="23" t="str">
        <f aca="false">IFERROR(IF(OR(A538="",B538=""),"",INDEX(Equipements!$H:$H,MATCH(A538,Equipements!$A:$A,0))&amp;"."&amp;B538),"")</f>
        <v/>
      </c>
      <c r="D538" s="23"/>
      <c r="E538" s="23"/>
      <c r="F538" s="23"/>
      <c r="G538" s="23"/>
      <c r="H538" s="23"/>
      <c r="I538" s="23"/>
      <c r="J538" s="23"/>
    </row>
    <row r="539" customFormat="false" ht="15" hidden="false" customHeight="true" outlineLevel="0" collapsed="false">
      <c r="A539" s="23"/>
      <c r="B539" s="23"/>
      <c r="C539" s="23" t="str">
        <f aca="false">IFERROR(IF(OR(A539="",B539=""),"",INDEX(Equipements!$H:$H,MATCH(A539,Equipements!$A:$A,0))&amp;"."&amp;B539),"")</f>
        <v/>
      </c>
      <c r="D539" s="23"/>
      <c r="E539" s="23"/>
      <c r="F539" s="23"/>
      <c r="G539" s="23"/>
      <c r="H539" s="23"/>
      <c r="I539" s="23"/>
      <c r="J539" s="23"/>
    </row>
    <row r="540" customFormat="false" ht="15" hidden="false" customHeight="true" outlineLevel="0" collapsed="false">
      <c r="A540" s="23"/>
      <c r="B540" s="23"/>
      <c r="C540" s="23" t="str">
        <f aca="false">IFERROR(IF(OR(A540="",B540=""),"",INDEX(Equipements!$H:$H,MATCH(A540,Equipements!$A:$A,0))&amp;"."&amp;B540),"")</f>
        <v/>
      </c>
      <c r="D540" s="23"/>
      <c r="E540" s="23"/>
      <c r="F540" s="23"/>
      <c r="G540" s="23"/>
      <c r="H540" s="23"/>
      <c r="I540" s="23"/>
      <c r="J540" s="23"/>
    </row>
    <row r="541" customFormat="false" ht="15" hidden="false" customHeight="true" outlineLevel="0" collapsed="false">
      <c r="A541" s="23"/>
      <c r="B541" s="23"/>
      <c r="C541" s="23" t="str">
        <f aca="false">IFERROR(IF(OR(A541="",B541=""),"",INDEX(Equipements!$H:$H,MATCH(A541,Equipements!$A:$A,0))&amp;"."&amp;B541),"")</f>
        <v/>
      </c>
      <c r="D541" s="23"/>
      <c r="E541" s="23"/>
      <c r="F541" s="23"/>
      <c r="G541" s="23"/>
      <c r="H541" s="23"/>
      <c r="I541" s="23"/>
      <c r="J541" s="23"/>
    </row>
    <row r="542" customFormat="false" ht="15" hidden="false" customHeight="true" outlineLevel="0" collapsed="false">
      <c r="A542" s="23"/>
      <c r="B542" s="23"/>
      <c r="C542" s="23" t="str">
        <f aca="false">IFERROR(IF(OR(A542="",B542=""),"",INDEX(Equipements!$H:$H,MATCH(A542,Equipements!$A:$A,0))&amp;"."&amp;B542),"")</f>
        <v/>
      </c>
      <c r="D542" s="23"/>
      <c r="E542" s="23"/>
      <c r="F542" s="23"/>
      <c r="G542" s="23"/>
      <c r="H542" s="23"/>
      <c r="I542" s="23"/>
      <c r="J542" s="23"/>
    </row>
    <row r="543" customFormat="false" ht="15" hidden="false" customHeight="true" outlineLevel="0" collapsed="false">
      <c r="A543" s="23"/>
      <c r="B543" s="23"/>
      <c r="C543" s="23" t="str">
        <f aca="false">IFERROR(IF(OR(A543="",B543=""),"",INDEX(Equipements!$H:$H,MATCH(A543,Equipements!$A:$A,0))&amp;"."&amp;B543),"")</f>
        <v/>
      </c>
      <c r="D543" s="23"/>
      <c r="E543" s="23"/>
      <c r="F543" s="23"/>
      <c r="G543" s="23"/>
      <c r="H543" s="23"/>
      <c r="I543" s="23"/>
      <c r="J543" s="23"/>
    </row>
    <row r="544" customFormat="false" ht="15" hidden="false" customHeight="true" outlineLevel="0" collapsed="false">
      <c r="A544" s="23"/>
      <c r="B544" s="23"/>
      <c r="C544" s="23" t="str">
        <f aca="false">IFERROR(IF(OR(A544="",B544=""),"",INDEX(Equipements!$H:$H,MATCH(A544,Equipements!$A:$A,0))&amp;"."&amp;B544),"")</f>
        <v/>
      </c>
      <c r="D544" s="23"/>
      <c r="E544" s="23"/>
      <c r="F544" s="23"/>
      <c r="G544" s="23"/>
      <c r="H544" s="23"/>
      <c r="I544" s="23"/>
      <c r="J544" s="23"/>
    </row>
    <row r="545" customFormat="false" ht="15" hidden="false" customHeight="true" outlineLevel="0" collapsed="false">
      <c r="A545" s="23"/>
      <c r="B545" s="23"/>
      <c r="C545" s="23" t="str">
        <f aca="false">IFERROR(IF(OR(A545="",B545=""),"",INDEX(Equipements!$H:$H,MATCH(A545,Equipements!$A:$A,0))&amp;"."&amp;B545),"")</f>
        <v/>
      </c>
      <c r="D545" s="23"/>
      <c r="E545" s="23"/>
      <c r="F545" s="23"/>
      <c r="G545" s="23"/>
      <c r="H545" s="23"/>
      <c r="I545" s="23"/>
      <c r="J545" s="23"/>
    </row>
    <row r="546" customFormat="false" ht="15" hidden="false" customHeight="true" outlineLevel="0" collapsed="false">
      <c r="A546" s="23"/>
      <c r="B546" s="23"/>
      <c r="C546" s="23" t="str">
        <f aca="false">IFERROR(IF(OR(A546="",B546=""),"",INDEX(Equipements!$H:$H,MATCH(A546,Equipements!$A:$A,0))&amp;"."&amp;B546),"")</f>
        <v/>
      </c>
      <c r="D546" s="23"/>
      <c r="E546" s="23"/>
      <c r="F546" s="23"/>
      <c r="G546" s="23"/>
      <c r="H546" s="23"/>
      <c r="I546" s="23"/>
      <c r="J546" s="23"/>
    </row>
    <row r="547" customFormat="false" ht="15" hidden="false" customHeight="true" outlineLevel="0" collapsed="false">
      <c r="A547" s="23"/>
      <c r="B547" s="23"/>
      <c r="C547" s="23" t="str">
        <f aca="false">IFERROR(IF(OR(A547="",B547=""),"",INDEX(Equipements!$H:$H,MATCH(A547,Equipements!$A:$A,0))&amp;"."&amp;B547),"")</f>
        <v/>
      </c>
      <c r="D547" s="23"/>
      <c r="E547" s="23"/>
      <c r="F547" s="23"/>
      <c r="G547" s="23"/>
      <c r="H547" s="23"/>
      <c r="I547" s="23"/>
      <c r="J547" s="23"/>
    </row>
    <row r="548" customFormat="false" ht="15" hidden="false" customHeight="true" outlineLevel="0" collapsed="false">
      <c r="A548" s="23"/>
      <c r="B548" s="23"/>
      <c r="C548" s="23" t="str">
        <f aca="false">IFERROR(IF(OR(A548="",B548=""),"",INDEX(Equipements!$H:$H,MATCH(A548,Equipements!$A:$A,0))&amp;"."&amp;B548),"")</f>
        <v/>
      </c>
      <c r="D548" s="23"/>
      <c r="E548" s="23"/>
      <c r="F548" s="23"/>
      <c r="G548" s="23"/>
      <c r="H548" s="23"/>
      <c r="I548" s="23"/>
      <c r="J548" s="23"/>
    </row>
    <row r="549" customFormat="false" ht="15" hidden="false" customHeight="true" outlineLevel="0" collapsed="false">
      <c r="A549" s="23"/>
      <c r="B549" s="23"/>
      <c r="C549" s="23" t="str">
        <f aca="false">IFERROR(IF(OR(A549="",B549=""),"",INDEX(Equipements!$H:$H,MATCH(A549,Equipements!$A:$A,0))&amp;"."&amp;B549),"")</f>
        <v/>
      </c>
      <c r="D549" s="23"/>
      <c r="E549" s="23"/>
      <c r="F549" s="23"/>
      <c r="G549" s="23"/>
      <c r="H549" s="23"/>
      <c r="I549" s="23"/>
      <c r="J549" s="23"/>
    </row>
    <row r="550" customFormat="false" ht="15" hidden="false" customHeight="true" outlineLevel="0" collapsed="false">
      <c r="A550" s="23"/>
      <c r="B550" s="23"/>
      <c r="C550" s="23" t="str">
        <f aca="false">IFERROR(IF(OR(A550="",B550=""),"",INDEX(Equipements!$H:$H,MATCH(A550,Equipements!$A:$A,0))&amp;"."&amp;B550),"")</f>
        <v/>
      </c>
      <c r="D550" s="23"/>
      <c r="E550" s="23"/>
      <c r="F550" s="23"/>
      <c r="G550" s="23"/>
      <c r="H550" s="23"/>
      <c r="I550" s="23"/>
      <c r="J550" s="23"/>
    </row>
    <row r="551" customFormat="false" ht="15" hidden="false" customHeight="true" outlineLevel="0" collapsed="false">
      <c r="A551" s="23"/>
      <c r="B551" s="23"/>
      <c r="C551" s="23" t="str">
        <f aca="false">IFERROR(IF(OR(A551="",B551=""),"",INDEX(Equipements!$H:$H,MATCH(A551,Equipements!$A:$A,0))&amp;"."&amp;B551),"")</f>
        <v/>
      </c>
      <c r="D551" s="23"/>
      <c r="E551" s="23"/>
      <c r="F551" s="23"/>
      <c r="G551" s="23"/>
      <c r="H551" s="23"/>
      <c r="I551" s="23"/>
      <c r="J551" s="23"/>
    </row>
    <row r="552" customFormat="false" ht="15" hidden="false" customHeight="true" outlineLevel="0" collapsed="false">
      <c r="A552" s="23"/>
      <c r="B552" s="23"/>
      <c r="C552" s="23" t="str">
        <f aca="false">IFERROR(IF(OR(A552="",B552=""),"",INDEX(Equipements!$H:$H,MATCH(A552,Equipements!$A:$A,0))&amp;"."&amp;B552),"")</f>
        <v/>
      </c>
      <c r="D552" s="23"/>
      <c r="E552" s="23"/>
      <c r="F552" s="23"/>
      <c r="G552" s="23"/>
      <c r="H552" s="23"/>
      <c r="I552" s="23"/>
      <c r="J552" s="23"/>
    </row>
    <row r="553" customFormat="false" ht="15" hidden="false" customHeight="true" outlineLevel="0" collapsed="false">
      <c r="A553" s="23"/>
      <c r="B553" s="23"/>
      <c r="C553" s="23" t="str">
        <f aca="false">IFERROR(IF(OR(A553="",B553=""),"",INDEX(Equipements!$H:$H,MATCH(A553,Equipements!$A:$A,0))&amp;"."&amp;B553),"")</f>
        <v/>
      </c>
      <c r="D553" s="23"/>
      <c r="E553" s="23"/>
      <c r="F553" s="23"/>
      <c r="G553" s="23"/>
      <c r="H553" s="23"/>
      <c r="I553" s="23"/>
      <c r="J553" s="23"/>
    </row>
    <row r="554" customFormat="false" ht="15" hidden="false" customHeight="true" outlineLevel="0" collapsed="false">
      <c r="A554" s="23"/>
      <c r="B554" s="23"/>
      <c r="C554" s="23" t="str">
        <f aca="false">IFERROR(IF(OR(A554="",B554=""),"",INDEX(Equipements!$H:$H,MATCH(A554,Equipements!$A:$A,0))&amp;"."&amp;B554),"")</f>
        <v/>
      </c>
      <c r="D554" s="23"/>
      <c r="E554" s="23"/>
      <c r="F554" s="23"/>
      <c r="G554" s="23"/>
      <c r="H554" s="23"/>
      <c r="I554" s="23"/>
      <c r="J554" s="23"/>
    </row>
    <row r="555" customFormat="false" ht="15" hidden="false" customHeight="true" outlineLevel="0" collapsed="false">
      <c r="A555" s="23"/>
      <c r="B555" s="23"/>
      <c r="C555" s="23" t="str">
        <f aca="false">IFERROR(IF(OR(A555="",B555=""),"",INDEX(Equipements!$H:$H,MATCH(A555,Equipements!$A:$A,0))&amp;"."&amp;B555),"")</f>
        <v/>
      </c>
      <c r="D555" s="23"/>
      <c r="E555" s="23"/>
      <c r="F555" s="23"/>
      <c r="G555" s="23"/>
      <c r="H555" s="23"/>
      <c r="I555" s="23"/>
      <c r="J555" s="23"/>
    </row>
    <row r="556" customFormat="false" ht="15" hidden="false" customHeight="true" outlineLevel="0" collapsed="false">
      <c r="A556" s="23"/>
      <c r="B556" s="23"/>
      <c r="C556" s="23" t="str">
        <f aca="false">IFERROR(IF(OR(A556="",B556=""),"",INDEX(Equipements!$H:$H,MATCH(A556,Equipements!$A:$A,0))&amp;"."&amp;B556),"")</f>
        <v/>
      </c>
      <c r="D556" s="23"/>
      <c r="E556" s="23"/>
      <c r="F556" s="23"/>
      <c r="G556" s="23"/>
      <c r="H556" s="23"/>
      <c r="I556" s="23"/>
      <c r="J556" s="23"/>
    </row>
    <row r="557" customFormat="false" ht="15" hidden="false" customHeight="true" outlineLevel="0" collapsed="false">
      <c r="A557" s="23"/>
      <c r="B557" s="23"/>
      <c r="C557" s="23" t="str">
        <f aca="false">IFERROR(IF(OR(A557="",B557=""),"",INDEX(Equipements!$H:$H,MATCH(A557,Equipements!$A:$A,0))&amp;"."&amp;B557),"")</f>
        <v/>
      </c>
      <c r="D557" s="23"/>
      <c r="E557" s="23"/>
      <c r="F557" s="23"/>
      <c r="G557" s="23"/>
      <c r="H557" s="23"/>
      <c r="I557" s="23"/>
      <c r="J557" s="23"/>
    </row>
    <row r="558" customFormat="false" ht="15" hidden="false" customHeight="true" outlineLevel="0" collapsed="false">
      <c r="A558" s="23"/>
      <c r="B558" s="23"/>
      <c r="C558" s="23" t="str">
        <f aca="false">IFERROR(IF(OR(A558="",B558=""),"",INDEX(Equipements!$H:$H,MATCH(A558,Equipements!$A:$A,0))&amp;"."&amp;B558),"")</f>
        <v/>
      </c>
      <c r="D558" s="23"/>
      <c r="E558" s="23"/>
      <c r="F558" s="23"/>
      <c r="G558" s="23"/>
      <c r="H558" s="23"/>
      <c r="I558" s="23"/>
      <c r="J558" s="23"/>
    </row>
    <row r="559" customFormat="false" ht="15" hidden="false" customHeight="true" outlineLevel="0" collapsed="false">
      <c r="A559" s="23"/>
      <c r="B559" s="23"/>
      <c r="C559" s="23" t="str">
        <f aca="false">IFERROR(IF(OR(A559="",B559=""),"",INDEX(Equipements!$H:$H,MATCH(A559,Equipements!$A:$A,0))&amp;"."&amp;B559),"")</f>
        <v/>
      </c>
      <c r="D559" s="23"/>
      <c r="E559" s="23"/>
      <c r="F559" s="23"/>
      <c r="G559" s="23"/>
      <c r="H559" s="23"/>
      <c r="I559" s="23"/>
      <c r="J559" s="23"/>
    </row>
    <row r="560" customFormat="false" ht="15" hidden="false" customHeight="true" outlineLevel="0" collapsed="false">
      <c r="A560" s="23"/>
      <c r="B560" s="23"/>
      <c r="C560" s="23" t="str">
        <f aca="false">IFERROR(IF(OR(A560="",B560=""),"",INDEX(Equipements!$H:$H,MATCH(A560,Equipements!$A:$A,0))&amp;"."&amp;B560),"")</f>
        <v/>
      </c>
      <c r="D560" s="23"/>
      <c r="E560" s="23"/>
      <c r="F560" s="23"/>
      <c r="G560" s="23"/>
      <c r="H560" s="23"/>
      <c r="I560" s="23"/>
      <c r="J560" s="23"/>
    </row>
    <row r="561" customFormat="false" ht="15" hidden="false" customHeight="true" outlineLevel="0" collapsed="false">
      <c r="A561" s="23"/>
      <c r="B561" s="23"/>
      <c r="C561" s="23" t="str">
        <f aca="false">IFERROR(IF(OR(A561="",B561=""),"",INDEX(Equipements!$H:$H,MATCH(A561,Equipements!$A:$A,0))&amp;"."&amp;B561),"")</f>
        <v/>
      </c>
      <c r="D561" s="23"/>
      <c r="E561" s="23"/>
      <c r="F561" s="23"/>
      <c r="G561" s="23"/>
      <c r="H561" s="23"/>
      <c r="I561" s="23"/>
      <c r="J561" s="23"/>
    </row>
    <row r="562" customFormat="false" ht="15" hidden="false" customHeight="true" outlineLevel="0" collapsed="false">
      <c r="A562" s="23"/>
      <c r="B562" s="23"/>
      <c r="C562" s="23" t="str">
        <f aca="false">IFERROR(IF(OR(A562="",B562=""),"",INDEX(Equipements!$H:$H,MATCH(A562,Equipements!$A:$A,0))&amp;"."&amp;B562),"")</f>
        <v/>
      </c>
      <c r="D562" s="23"/>
      <c r="E562" s="23"/>
      <c r="F562" s="23"/>
      <c r="G562" s="23"/>
      <c r="H562" s="23"/>
      <c r="I562" s="23"/>
      <c r="J562" s="23"/>
    </row>
    <row r="563" customFormat="false" ht="15" hidden="false" customHeight="true" outlineLevel="0" collapsed="false">
      <c r="A563" s="23"/>
      <c r="B563" s="23"/>
      <c r="C563" s="23" t="str">
        <f aca="false">IFERROR(IF(OR(A563="",B563=""),"",INDEX(Equipements!$H:$H,MATCH(A563,Equipements!$A:$A,0))&amp;"."&amp;B563),"")</f>
        <v/>
      </c>
      <c r="D563" s="23"/>
      <c r="E563" s="23"/>
      <c r="F563" s="23"/>
      <c r="G563" s="23"/>
      <c r="H563" s="23"/>
      <c r="I563" s="23"/>
      <c r="J563" s="23"/>
    </row>
    <row r="564" customFormat="false" ht="15" hidden="false" customHeight="true" outlineLevel="0" collapsed="false">
      <c r="A564" s="23"/>
      <c r="B564" s="23"/>
      <c r="C564" s="23" t="str">
        <f aca="false">IFERROR(IF(OR(A564="",B564=""),"",INDEX(Equipements!$H:$H,MATCH(A564,Equipements!$A:$A,0))&amp;"."&amp;B564),"")</f>
        <v/>
      </c>
      <c r="D564" s="23"/>
      <c r="E564" s="23"/>
      <c r="F564" s="23"/>
      <c r="G564" s="23"/>
      <c r="H564" s="23"/>
      <c r="I564" s="23"/>
      <c r="J564" s="23"/>
    </row>
    <row r="565" customFormat="false" ht="15" hidden="false" customHeight="true" outlineLevel="0" collapsed="false">
      <c r="A565" s="23"/>
      <c r="B565" s="23"/>
      <c r="C565" s="23" t="str">
        <f aca="false">IFERROR(IF(OR(A565="",B565=""),"",INDEX(Equipements!$H:$H,MATCH(A565,Equipements!$A:$A,0))&amp;"."&amp;B565),"")</f>
        <v/>
      </c>
      <c r="D565" s="23"/>
      <c r="E565" s="23"/>
      <c r="F565" s="23"/>
      <c r="G565" s="23"/>
      <c r="H565" s="23"/>
      <c r="I565" s="23"/>
      <c r="J565" s="23"/>
    </row>
    <row r="566" customFormat="false" ht="15" hidden="false" customHeight="true" outlineLevel="0" collapsed="false">
      <c r="A566" s="23"/>
      <c r="B566" s="23"/>
      <c r="C566" s="23" t="str">
        <f aca="false">IFERROR(IF(OR(A566="",B566=""),"",INDEX(Equipements!$H:$H,MATCH(A566,Equipements!$A:$A,0))&amp;"."&amp;B566),"")</f>
        <v/>
      </c>
      <c r="D566" s="23"/>
      <c r="E566" s="23"/>
      <c r="F566" s="23"/>
      <c r="G566" s="23"/>
      <c r="H566" s="23"/>
      <c r="I566" s="23"/>
      <c r="J566" s="23"/>
    </row>
    <row r="567" customFormat="false" ht="15" hidden="false" customHeight="true" outlineLevel="0" collapsed="false">
      <c r="A567" s="23"/>
      <c r="B567" s="23"/>
      <c r="C567" s="23" t="str">
        <f aca="false">IFERROR(IF(OR(A567="",B567=""),"",INDEX(Equipements!$H:$H,MATCH(A567,Equipements!$A:$A,0))&amp;"."&amp;B567),"")</f>
        <v/>
      </c>
      <c r="D567" s="23"/>
      <c r="E567" s="23"/>
      <c r="F567" s="23"/>
      <c r="G567" s="23"/>
      <c r="H567" s="23"/>
      <c r="I567" s="23"/>
      <c r="J567" s="23"/>
    </row>
    <row r="568" customFormat="false" ht="15" hidden="false" customHeight="true" outlineLevel="0" collapsed="false">
      <c r="A568" s="23"/>
      <c r="B568" s="23"/>
      <c r="C568" s="23" t="str">
        <f aca="false">IFERROR(IF(OR(A568="",B568=""),"",INDEX(Equipements!$H:$H,MATCH(A568,Equipements!$A:$A,0))&amp;"."&amp;B568),"")</f>
        <v/>
      </c>
      <c r="D568" s="23"/>
      <c r="E568" s="23"/>
      <c r="F568" s="23"/>
      <c r="G568" s="23"/>
      <c r="H568" s="23"/>
      <c r="I568" s="23"/>
      <c r="J568" s="23"/>
    </row>
    <row r="569" customFormat="false" ht="15" hidden="false" customHeight="true" outlineLevel="0" collapsed="false">
      <c r="A569" s="23"/>
      <c r="B569" s="23"/>
      <c r="C569" s="23" t="str">
        <f aca="false">IFERROR(IF(OR(A569="",B569=""),"",INDEX(Equipements!$H:$H,MATCH(A569,Equipements!$A:$A,0))&amp;"."&amp;B569),"")</f>
        <v/>
      </c>
      <c r="D569" s="23"/>
      <c r="E569" s="23"/>
      <c r="F569" s="23"/>
      <c r="G569" s="23"/>
      <c r="H569" s="23"/>
      <c r="I569" s="23"/>
      <c r="J569" s="23"/>
    </row>
    <row r="570" customFormat="false" ht="15" hidden="false" customHeight="true" outlineLevel="0" collapsed="false">
      <c r="A570" s="23"/>
      <c r="B570" s="23"/>
      <c r="C570" s="23" t="str">
        <f aca="false">IFERROR(IF(OR(A570="",B570=""),"",INDEX(Equipements!$H:$H,MATCH(A570,Equipements!$A:$A,0))&amp;"."&amp;B570),"")</f>
        <v/>
      </c>
      <c r="D570" s="23"/>
      <c r="E570" s="23"/>
      <c r="F570" s="23"/>
      <c r="G570" s="23"/>
      <c r="H570" s="23"/>
      <c r="I570" s="23"/>
      <c r="J570" s="23"/>
    </row>
    <row r="571" customFormat="false" ht="15" hidden="false" customHeight="true" outlineLevel="0" collapsed="false">
      <c r="A571" s="23"/>
      <c r="B571" s="23"/>
      <c r="C571" s="23" t="str">
        <f aca="false">IFERROR(IF(OR(A571="",B571=""),"",INDEX(Equipements!$H:$H,MATCH(A571,Equipements!$A:$A,0))&amp;"."&amp;B571),"")</f>
        <v/>
      </c>
      <c r="D571" s="23"/>
      <c r="E571" s="23"/>
      <c r="F571" s="23"/>
      <c r="G571" s="23"/>
      <c r="H571" s="23"/>
      <c r="I571" s="23"/>
      <c r="J571" s="23"/>
    </row>
    <row r="572" customFormat="false" ht="15" hidden="false" customHeight="true" outlineLevel="0" collapsed="false">
      <c r="A572" s="23"/>
      <c r="B572" s="23"/>
      <c r="C572" s="23" t="str">
        <f aca="false">IFERROR(IF(OR(A572="",B572=""),"",INDEX(Equipements!$H:$H,MATCH(A572,Equipements!$A:$A,0))&amp;"."&amp;B572),"")</f>
        <v/>
      </c>
      <c r="D572" s="23"/>
      <c r="E572" s="23"/>
      <c r="F572" s="23"/>
      <c r="G572" s="23"/>
      <c r="H572" s="23"/>
      <c r="I572" s="23"/>
      <c r="J572" s="23"/>
    </row>
    <row r="573" customFormat="false" ht="15" hidden="false" customHeight="true" outlineLevel="0" collapsed="false">
      <c r="A573" s="23"/>
      <c r="B573" s="23"/>
      <c r="C573" s="23" t="str">
        <f aca="false">IFERROR(IF(OR(A573="",B573=""),"",INDEX(Equipements!$H:$H,MATCH(A573,Equipements!$A:$A,0))&amp;"."&amp;B573),"")</f>
        <v/>
      </c>
      <c r="D573" s="23"/>
      <c r="E573" s="23"/>
      <c r="F573" s="23"/>
      <c r="G573" s="23"/>
      <c r="H573" s="23"/>
      <c r="I573" s="23"/>
      <c r="J573" s="23"/>
    </row>
    <row r="574" customFormat="false" ht="15" hidden="false" customHeight="true" outlineLevel="0" collapsed="false">
      <c r="A574" s="23"/>
      <c r="B574" s="23"/>
      <c r="C574" s="23" t="str">
        <f aca="false">IFERROR(IF(OR(A574="",B574=""),"",INDEX(Equipements!$H:$H,MATCH(A574,Equipements!$A:$A,0))&amp;"."&amp;B574),"")</f>
        <v/>
      </c>
      <c r="D574" s="23"/>
      <c r="E574" s="23"/>
      <c r="F574" s="23"/>
      <c r="G574" s="23"/>
      <c r="H574" s="23"/>
      <c r="I574" s="23"/>
      <c r="J574" s="23"/>
    </row>
    <row r="575" customFormat="false" ht="15" hidden="false" customHeight="true" outlineLevel="0" collapsed="false">
      <c r="A575" s="23"/>
      <c r="B575" s="23"/>
      <c r="C575" s="23" t="str">
        <f aca="false">IFERROR(IF(OR(A575="",B575=""),"",INDEX(Equipements!$H:$H,MATCH(A575,Equipements!$A:$A,0))&amp;"."&amp;B575),"")</f>
        <v/>
      </c>
      <c r="D575" s="23"/>
      <c r="E575" s="23"/>
      <c r="F575" s="23"/>
      <c r="G575" s="23"/>
      <c r="H575" s="23"/>
      <c r="I575" s="23"/>
      <c r="J575" s="23"/>
    </row>
    <row r="576" customFormat="false" ht="15" hidden="false" customHeight="true" outlineLevel="0" collapsed="false">
      <c r="A576" s="23"/>
      <c r="B576" s="23"/>
      <c r="C576" s="23" t="str">
        <f aca="false">IFERROR(IF(OR(A576="",B576=""),"",INDEX(Equipements!$H:$H,MATCH(A576,Equipements!$A:$A,0))&amp;"."&amp;B576),"")</f>
        <v/>
      </c>
      <c r="D576" s="23"/>
      <c r="E576" s="23"/>
      <c r="F576" s="23"/>
      <c r="G576" s="23"/>
      <c r="H576" s="23"/>
      <c r="I576" s="23"/>
      <c r="J576" s="23"/>
    </row>
    <row r="577" customFormat="false" ht="15" hidden="false" customHeight="true" outlineLevel="0" collapsed="false">
      <c r="A577" s="23"/>
      <c r="B577" s="23"/>
      <c r="C577" s="23" t="str">
        <f aca="false">IFERROR(IF(OR(A577="",B577=""),"",INDEX(Equipements!$H:$H,MATCH(A577,Equipements!$A:$A,0))&amp;"."&amp;B577),"")</f>
        <v/>
      </c>
      <c r="D577" s="23"/>
      <c r="E577" s="23"/>
      <c r="F577" s="23"/>
      <c r="G577" s="23"/>
      <c r="H577" s="23"/>
      <c r="I577" s="23"/>
      <c r="J577" s="23"/>
    </row>
    <row r="578" customFormat="false" ht="15" hidden="false" customHeight="true" outlineLevel="0" collapsed="false">
      <c r="A578" s="23"/>
      <c r="B578" s="23"/>
      <c r="C578" s="23" t="str">
        <f aca="false">IFERROR(IF(OR(A578="",B578=""),"",INDEX(Equipements!$H:$H,MATCH(A578,Equipements!$A:$A,0))&amp;"."&amp;B578),"")</f>
        <v/>
      </c>
      <c r="D578" s="23"/>
      <c r="E578" s="23"/>
      <c r="F578" s="23"/>
      <c r="G578" s="23"/>
      <c r="H578" s="23"/>
      <c r="I578" s="23"/>
      <c r="J578" s="23"/>
    </row>
    <row r="579" customFormat="false" ht="15" hidden="false" customHeight="true" outlineLevel="0" collapsed="false">
      <c r="A579" s="23"/>
      <c r="B579" s="23"/>
      <c r="C579" s="23" t="str">
        <f aca="false">IFERROR(IF(OR(A579="",B579=""),"",INDEX(Equipements!$H:$H,MATCH(A579,Equipements!$A:$A,0))&amp;"."&amp;B579),"")</f>
        <v/>
      </c>
      <c r="D579" s="23"/>
      <c r="E579" s="23"/>
      <c r="F579" s="23"/>
      <c r="G579" s="23"/>
      <c r="H579" s="23"/>
      <c r="I579" s="23"/>
      <c r="J579" s="23"/>
    </row>
    <row r="580" customFormat="false" ht="15" hidden="false" customHeight="true" outlineLevel="0" collapsed="false">
      <c r="A580" s="23"/>
      <c r="B580" s="23"/>
      <c r="C580" s="23" t="str">
        <f aca="false">IFERROR(IF(OR(A580="",B580=""),"",INDEX(Equipements!$H:$H,MATCH(A580,Equipements!$A:$A,0))&amp;"."&amp;B580),"")</f>
        <v/>
      </c>
      <c r="D580" s="23"/>
      <c r="E580" s="23"/>
      <c r="F580" s="23"/>
      <c r="G580" s="23"/>
      <c r="H580" s="23"/>
      <c r="I580" s="23"/>
      <c r="J580" s="23"/>
    </row>
    <row r="581" customFormat="false" ht="15" hidden="false" customHeight="true" outlineLevel="0" collapsed="false">
      <c r="A581" s="23"/>
      <c r="B581" s="23"/>
      <c r="C581" s="23" t="str">
        <f aca="false">IFERROR(IF(OR(A581="",B581=""),"",INDEX(Equipements!$H:$H,MATCH(A581,Equipements!$A:$A,0))&amp;"."&amp;B581),"")</f>
        <v/>
      </c>
      <c r="D581" s="23"/>
      <c r="E581" s="23"/>
      <c r="F581" s="23"/>
      <c r="G581" s="23"/>
      <c r="H581" s="23"/>
      <c r="I581" s="23"/>
      <c r="J581" s="23"/>
    </row>
    <row r="582" customFormat="false" ht="15" hidden="false" customHeight="true" outlineLevel="0" collapsed="false">
      <c r="A582" s="23"/>
      <c r="B582" s="23"/>
      <c r="C582" s="23" t="str">
        <f aca="false">IFERROR(IF(OR(A582="",B582=""),"",INDEX(Equipements!$H:$H,MATCH(A582,Equipements!$A:$A,0))&amp;"."&amp;B582),"")</f>
        <v/>
      </c>
      <c r="D582" s="23"/>
      <c r="E582" s="23"/>
      <c r="F582" s="23"/>
      <c r="G582" s="23"/>
      <c r="H582" s="23"/>
      <c r="I582" s="23"/>
      <c r="J582" s="23"/>
    </row>
    <row r="583" customFormat="false" ht="15" hidden="false" customHeight="true" outlineLevel="0" collapsed="false">
      <c r="A583" s="23"/>
      <c r="B583" s="23"/>
      <c r="C583" s="23" t="str">
        <f aca="false">IFERROR(IF(OR(A583="",B583=""),"",INDEX(Equipements!$H:$H,MATCH(A583,Equipements!$A:$A,0))&amp;"."&amp;B583),"")</f>
        <v/>
      </c>
      <c r="D583" s="23"/>
      <c r="E583" s="23"/>
      <c r="F583" s="23"/>
      <c r="G583" s="23"/>
      <c r="H583" s="23"/>
      <c r="I583" s="23"/>
      <c r="J583" s="23"/>
    </row>
    <row r="584" customFormat="false" ht="15" hidden="false" customHeight="true" outlineLevel="0" collapsed="false">
      <c r="A584" s="23"/>
      <c r="B584" s="23"/>
      <c r="C584" s="23" t="str">
        <f aca="false">IFERROR(IF(OR(A584="",B584=""),"",INDEX(Equipements!$H:$H,MATCH(A584,Equipements!$A:$A,0))&amp;"."&amp;B584),"")</f>
        <v/>
      </c>
      <c r="D584" s="23"/>
      <c r="E584" s="23"/>
      <c r="F584" s="23"/>
      <c r="G584" s="23"/>
      <c r="H584" s="23"/>
      <c r="I584" s="23"/>
      <c r="J584" s="23"/>
    </row>
    <row r="585" customFormat="false" ht="15" hidden="false" customHeight="true" outlineLevel="0" collapsed="false">
      <c r="A585" s="23"/>
      <c r="B585" s="23"/>
      <c r="C585" s="23" t="str">
        <f aca="false">IFERROR(IF(OR(A585="",B585=""),"",INDEX(Equipements!$H:$H,MATCH(A585,Equipements!$A:$A,0))&amp;"."&amp;B585),"")</f>
        <v/>
      </c>
      <c r="D585" s="23"/>
      <c r="E585" s="23"/>
      <c r="F585" s="23"/>
      <c r="G585" s="23"/>
      <c r="H585" s="23"/>
      <c r="I585" s="23"/>
      <c r="J585" s="23"/>
    </row>
    <row r="586" customFormat="false" ht="15" hidden="false" customHeight="true" outlineLevel="0" collapsed="false">
      <c r="A586" s="23"/>
      <c r="B586" s="23"/>
      <c r="C586" s="23" t="str">
        <f aca="false">IFERROR(IF(OR(A586="",B586=""),"",INDEX(Equipements!$H:$H,MATCH(A586,Equipements!$A:$A,0))&amp;"."&amp;B586),"")</f>
        <v/>
      </c>
      <c r="D586" s="23"/>
      <c r="E586" s="23"/>
      <c r="F586" s="23"/>
      <c r="G586" s="23"/>
      <c r="H586" s="23"/>
      <c r="I586" s="23"/>
      <c r="J586" s="23"/>
    </row>
    <row r="587" customFormat="false" ht="15" hidden="false" customHeight="true" outlineLevel="0" collapsed="false">
      <c r="A587" s="23"/>
      <c r="B587" s="23"/>
      <c r="C587" s="23" t="str">
        <f aca="false">IFERROR(IF(OR(A587="",B587=""),"",INDEX(Equipements!$H:$H,MATCH(A587,Equipements!$A:$A,0))&amp;"."&amp;B587),"")</f>
        <v/>
      </c>
      <c r="D587" s="23"/>
      <c r="E587" s="23"/>
      <c r="F587" s="23"/>
      <c r="G587" s="23"/>
      <c r="H587" s="23"/>
      <c r="I587" s="23"/>
      <c r="J587" s="23"/>
    </row>
    <row r="588" customFormat="false" ht="15" hidden="false" customHeight="true" outlineLevel="0" collapsed="false">
      <c r="A588" s="23"/>
      <c r="B588" s="23"/>
      <c r="C588" s="23" t="str">
        <f aca="false">IFERROR(IF(OR(A588="",B588=""),"",INDEX(Equipements!$H:$H,MATCH(A588,Equipements!$A:$A,0))&amp;"."&amp;B588),"")</f>
        <v/>
      </c>
      <c r="D588" s="23"/>
      <c r="E588" s="23"/>
      <c r="F588" s="23"/>
      <c r="G588" s="23"/>
      <c r="H588" s="23"/>
      <c r="I588" s="23"/>
      <c r="J588" s="23"/>
    </row>
    <row r="589" customFormat="false" ht="15" hidden="false" customHeight="true" outlineLevel="0" collapsed="false">
      <c r="A589" s="23"/>
      <c r="B589" s="23"/>
      <c r="C589" s="23" t="str">
        <f aca="false">IFERROR(IF(OR(A589="",B589=""),"",INDEX(Equipements!$H:$H,MATCH(A589,Equipements!$A:$A,0))&amp;"."&amp;B589),"")</f>
        <v/>
      </c>
      <c r="D589" s="23"/>
      <c r="E589" s="23"/>
      <c r="F589" s="23"/>
      <c r="G589" s="23"/>
      <c r="H589" s="23"/>
      <c r="I589" s="23"/>
      <c r="J589" s="23"/>
    </row>
    <row r="590" customFormat="false" ht="15" hidden="false" customHeight="true" outlineLevel="0" collapsed="false">
      <c r="A590" s="23"/>
      <c r="B590" s="23"/>
      <c r="C590" s="23" t="str">
        <f aca="false">IFERROR(IF(OR(A590="",B590=""),"",INDEX(Equipements!$H:$H,MATCH(A590,Equipements!$A:$A,0))&amp;"."&amp;B590),"")</f>
        <v/>
      </c>
      <c r="D590" s="23"/>
      <c r="E590" s="23"/>
      <c r="F590" s="23"/>
      <c r="G590" s="23"/>
      <c r="H590" s="23"/>
      <c r="I590" s="23"/>
      <c r="J590" s="23"/>
    </row>
    <row r="591" customFormat="false" ht="15" hidden="false" customHeight="true" outlineLevel="0" collapsed="false">
      <c r="A591" s="23"/>
      <c r="B591" s="23"/>
      <c r="C591" s="23" t="str">
        <f aca="false">IFERROR(IF(OR(A591="",B591=""),"",INDEX(Equipements!$H:$H,MATCH(A591,Equipements!$A:$A,0))&amp;"."&amp;B591),"")</f>
        <v/>
      </c>
      <c r="D591" s="23"/>
      <c r="E591" s="23"/>
      <c r="F591" s="23"/>
      <c r="G591" s="23"/>
      <c r="H591" s="23"/>
      <c r="I591" s="23"/>
      <c r="J591" s="23"/>
    </row>
    <row r="592" customFormat="false" ht="15" hidden="false" customHeight="true" outlineLevel="0" collapsed="false">
      <c r="A592" s="23"/>
      <c r="B592" s="23"/>
      <c r="C592" s="23" t="str">
        <f aca="false">IFERROR(IF(OR(A592="",B592=""),"",INDEX(Equipements!$H:$H,MATCH(A592,Equipements!$A:$A,0))&amp;"."&amp;B592),"")</f>
        <v/>
      </c>
      <c r="D592" s="23"/>
      <c r="E592" s="23"/>
      <c r="F592" s="23"/>
      <c r="G592" s="23"/>
      <c r="H592" s="23"/>
      <c r="I592" s="23"/>
      <c r="J592" s="23"/>
    </row>
    <row r="593" customFormat="false" ht="15" hidden="false" customHeight="true" outlineLevel="0" collapsed="false">
      <c r="A593" s="23"/>
      <c r="B593" s="23"/>
      <c r="C593" s="23" t="str">
        <f aca="false">IFERROR(IF(OR(A593="",B593=""),"",INDEX(Equipements!$H:$H,MATCH(A593,Equipements!$A:$A,0))&amp;"."&amp;B593),"")</f>
        <v/>
      </c>
      <c r="D593" s="23"/>
      <c r="E593" s="23"/>
      <c r="F593" s="23"/>
      <c r="G593" s="23"/>
      <c r="H593" s="23"/>
      <c r="I593" s="23"/>
      <c r="J593" s="23"/>
    </row>
    <row r="594" customFormat="false" ht="15" hidden="false" customHeight="true" outlineLevel="0" collapsed="false">
      <c r="A594" s="23"/>
      <c r="B594" s="23"/>
      <c r="C594" s="23" t="str">
        <f aca="false">IFERROR(IF(OR(A594="",B594=""),"",INDEX(Equipements!$H:$H,MATCH(A594,Equipements!$A:$A,0))&amp;"."&amp;B594),"")</f>
        <v/>
      </c>
      <c r="D594" s="23"/>
      <c r="E594" s="23"/>
      <c r="F594" s="23"/>
      <c r="G594" s="23"/>
      <c r="H594" s="23"/>
      <c r="I594" s="23"/>
      <c r="J594" s="23"/>
    </row>
    <row r="595" customFormat="false" ht="15" hidden="false" customHeight="true" outlineLevel="0" collapsed="false">
      <c r="A595" s="23"/>
      <c r="B595" s="23"/>
      <c r="C595" s="23" t="str">
        <f aca="false">IFERROR(IF(OR(A595="",B595=""),"",INDEX(Equipements!$H:$H,MATCH(A595,Equipements!$A:$A,0))&amp;"."&amp;B595),"")</f>
        <v/>
      </c>
      <c r="D595" s="23"/>
      <c r="E595" s="23"/>
      <c r="F595" s="23"/>
      <c r="G595" s="23"/>
      <c r="H595" s="23"/>
      <c r="I595" s="23"/>
      <c r="J595" s="23"/>
    </row>
    <row r="596" customFormat="false" ht="15" hidden="false" customHeight="true" outlineLevel="0" collapsed="false">
      <c r="A596" s="23"/>
      <c r="B596" s="23"/>
      <c r="C596" s="23" t="str">
        <f aca="false">IFERROR(IF(OR(A596="",B596=""),"",INDEX(Equipements!$H:$H,MATCH(A596,Equipements!$A:$A,0))&amp;"."&amp;B596),"")</f>
        <v/>
      </c>
      <c r="D596" s="23"/>
      <c r="E596" s="23"/>
      <c r="F596" s="23"/>
      <c r="G596" s="23"/>
      <c r="H596" s="23"/>
      <c r="I596" s="23"/>
      <c r="J596" s="23"/>
    </row>
    <row r="597" customFormat="false" ht="15" hidden="false" customHeight="true" outlineLevel="0" collapsed="false">
      <c r="A597" s="23"/>
      <c r="B597" s="23"/>
      <c r="C597" s="23" t="str">
        <f aca="false">IFERROR(IF(OR(A597="",B597=""),"",INDEX(Equipements!$H:$H,MATCH(A597,Equipements!$A:$A,0))&amp;"."&amp;B597),"")</f>
        <v/>
      </c>
      <c r="D597" s="23"/>
      <c r="E597" s="23"/>
      <c r="F597" s="23"/>
      <c r="G597" s="23"/>
      <c r="H597" s="23"/>
      <c r="I597" s="23"/>
      <c r="J597" s="23"/>
    </row>
    <row r="598" customFormat="false" ht="15" hidden="false" customHeight="true" outlineLevel="0" collapsed="false">
      <c r="A598" s="23"/>
      <c r="B598" s="23"/>
      <c r="C598" s="23" t="str">
        <f aca="false">IFERROR(IF(OR(A598="",B598=""),"",INDEX(Equipements!$H:$H,MATCH(A598,Equipements!$A:$A,0))&amp;"."&amp;B598),"")</f>
        <v/>
      </c>
      <c r="D598" s="23"/>
      <c r="E598" s="23"/>
      <c r="F598" s="23"/>
      <c r="G598" s="23"/>
      <c r="H598" s="23"/>
      <c r="I598" s="23"/>
      <c r="J598" s="23"/>
    </row>
    <row r="599" customFormat="false" ht="15" hidden="false" customHeight="true" outlineLevel="0" collapsed="false">
      <c r="A599" s="23"/>
      <c r="B599" s="23"/>
      <c r="C599" s="23" t="str">
        <f aca="false">IFERROR(IF(OR(A599="",B599=""),"",INDEX(Equipements!$H:$H,MATCH(A599,Equipements!$A:$A,0))&amp;"."&amp;B599),"")</f>
        <v/>
      </c>
      <c r="D599" s="23"/>
      <c r="E599" s="23"/>
      <c r="F599" s="23"/>
      <c r="G599" s="23"/>
      <c r="H599" s="23"/>
      <c r="I599" s="23"/>
      <c r="J599" s="23"/>
    </row>
    <row r="600" customFormat="false" ht="15" hidden="false" customHeight="true" outlineLevel="0" collapsed="false">
      <c r="A600" s="23"/>
      <c r="B600" s="23"/>
      <c r="C600" s="23" t="str">
        <f aca="false">IFERROR(IF(OR(A600="",B600=""),"",INDEX(Equipements!$H:$H,MATCH(A600,Equipements!$A:$A,0))&amp;"."&amp;B600),"")</f>
        <v/>
      </c>
      <c r="D600" s="23"/>
      <c r="E600" s="23"/>
      <c r="F600" s="23"/>
      <c r="G600" s="23"/>
      <c r="H600" s="23"/>
      <c r="I600" s="23"/>
      <c r="J600" s="23"/>
    </row>
    <row r="601" customFormat="false" ht="15" hidden="false" customHeight="true" outlineLevel="0" collapsed="false">
      <c r="A601" s="23"/>
      <c r="B601" s="23"/>
      <c r="C601" s="23" t="str">
        <f aca="false">IFERROR(IF(OR(A601="",B601=""),"",INDEX(Equipements!$H:$H,MATCH(A601,Equipements!$A:$A,0))&amp;"."&amp;B601),"")</f>
        <v/>
      </c>
      <c r="D601" s="23"/>
      <c r="E601" s="23"/>
      <c r="F601" s="23"/>
      <c r="G601" s="23"/>
      <c r="H601" s="23"/>
      <c r="I601" s="23"/>
      <c r="J601" s="23"/>
    </row>
    <row r="602" customFormat="false" ht="15" hidden="false" customHeight="true" outlineLevel="0" collapsed="false">
      <c r="A602" s="23"/>
      <c r="B602" s="23"/>
      <c r="C602" s="23" t="str">
        <f aca="false">IFERROR(IF(OR(A602="",B602=""),"",INDEX(Equipements!$H:$H,MATCH(A602,Equipements!$A:$A,0))&amp;"."&amp;B602),"")</f>
        <v/>
      </c>
      <c r="D602" s="23"/>
      <c r="E602" s="23"/>
      <c r="F602" s="23"/>
      <c r="G602" s="23"/>
      <c r="H602" s="23"/>
      <c r="I602" s="23"/>
      <c r="J602" s="23"/>
    </row>
    <row r="603" customFormat="false" ht="15" hidden="false" customHeight="true" outlineLevel="0" collapsed="false">
      <c r="A603" s="23"/>
      <c r="B603" s="23"/>
      <c r="C603" s="23" t="str">
        <f aca="false">IFERROR(IF(OR(A603="",B603=""),"",INDEX(Equipements!$H:$H,MATCH(A603,Equipements!$A:$A,0))&amp;"."&amp;B603),"")</f>
        <v/>
      </c>
      <c r="D603" s="23"/>
      <c r="E603" s="23"/>
      <c r="F603" s="23"/>
      <c r="G603" s="23"/>
      <c r="H603" s="23"/>
      <c r="I603" s="23"/>
      <c r="J603" s="23"/>
    </row>
    <row r="604" customFormat="false" ht="15" hidden="false" customHeight="true" outlineLevel="0" collapsed="false">
      <c r="A604" s="23"/>
      <c r="B604" s="23"/>
      <c r="C604" s="23" t="str">
        <f aca="false">IFERROR(IF(OR(A604="",B604=""),"",INDEX(Equipements!$H:$H,MATCH(A604,Equipements!$A:$A,0))&amp;"."&amp;B604),"")</f>
        <v/>
      </c>
      <c r="D604" s="23"/>
      <c r="E604" s="23"/>
      <c r="F604" s="23"/>
      <c r="G604" s="23"/>
      <c r="H604" s="23"/>
      <c r="I604" s="23"/>
      <c r="J604" s="23"/>
    </row>
    <row r="605" customFormat="false" ht="15" hidden="false" customHeight="true" outlineLevel="0" collapsed="false">
      <c r="A605" s="23"/>
      <c r="B605" s="23"/>
      <c r="C605" s="23" t="str">
        <f aca="false">IFERROR(IF(OR(A605="",B605=""),"",INDEX(Equipements!$H:$H,MATCH(A605,Equipements!$A:$A,0))&amp;"."&amp;B605),"")</f>
        <v/>
      </c>
      <c r="D605" s="23"/>
      <c r="E605" s="23"/>
      <c r="F605" s="23"/>
      <c r="G605" s="23"/>
      <c r="H605" s="23"/>
      <c r="I605" s="23"/>
      <c r="J605" s="23"/>
    </row>
    <row r="606" customFormat="false" ht="15" hidden="false" customHeight="true" outlineLevel="0" collapsed="false">
      <c r="A606" s="23"/>
      <c r="B606" s="23"/>
      <c r="C606" s="23" t="str">
        <f aca="false">IFERROR(IF(OR(A606="",B606=""),"",INDEX(Equipements!$H:$H,MATCH(A606,Equipements!$A:$A,0))&amp;"."&amp;B606),"")</f>
        <v/>
      </c>
      <c r="D606" s="23"/>
      <c r="E606" s="23"/>
      <c r="F606" s="23"/>
      <c r="G606" s="23"/>
      <c r="H606" s="23"/>
      <c r="I606" s="23"/>
      <c r="J606" s="23"/>
    </row>
    <row r="607" customFormat="false" ht="15" hidden="false" customHeight="true" outlineLevel="0" collapsed="false">
      <c r="A607" s="23"/>
      <c r="B607" s="23"/>
      <c r="C607" s="23" t="str">
        <f aca="false">IFERROR(IF(OR(A607="",B607=""),"",INDEX(Equipements!$H:$H,MATCH(A607,Equipements!$A:$A,0))&amp;"."&amp;B607),"")</f>
        <v/>
      </c>
      <c r="D607" s="23"/>
      <c r="E607" s="23"/>
      <c r="F607" s="23"/>
      <c r="G607" s="23"/>
      <c r="H607" s="23"/>
      <c r="I607" s="23"/>
      <c r="J607" s="23"/>
    </row>
    <row r="608" customFormat="false" ht="15" hidden="false" customHeight="true" outlineLevel="0" collapsed="false">
      <c r="A608" s="23"/>
      <c r="B608" s="23"/>
      <c r="C608" s="23" t="str">
        <f aca="false">IFERROR(IF(OR(A608="",B608=""),"",INDEX(Equipements!$H:$H,MATCH(A608,Equipements!$A:$A,0))&amp;"."&amp;B608),"")</f>
        <v/>
      </c>
      <c r="D608" s="23"/>
      <c r="E608" s="23"/>
      <c r="F608" s="23"/>
      <c r="G608" s="23"/>
      <c r="H608" s="23"/>
      <c r="I608" s="23"/>
      <c r="J608" s="23"/>
    </row>
    <row r="610" customFormat="false" ht="15" hidden="false" customHeight="false" outlineLevel="0" collapsed="false">
      <c r="BR610" s="11" t="s">
        <v>255</v>
      </c>
    </row>
  </sheetData>
  <autoFilter ref="A7:J7"/>
  <mergeCells count="4">
    <mergeCell ref="A1:J1"/>
    <mergeCell ref="A2:J2"/>
    <mergeCell ref="A6:C6"/>
    <mergeCell ref="D6:J6"/>
  </mergeCells>
  <printOptions headings="false" gridLines="false" gridLinesSet="true" horizontalCentered="true" verticalCentered="false"/>
  <pageMargins left="0.35" right="0.35" top="0.4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Affaire 2024_06_264 - Cablage&amp;C&amp;7 &amp;D&amp;R&amp;7 page 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8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.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6"/>
    <col collapsed="false" customWidth="true" hidden="false" outlineLevel="0" max="6" min="6" style="0" width="10.4"/>
    <col collapsed="false" customWidth="true" hidden="false" outlineLevel="0" max="7" min="7" style="0" width="7.4"/>
    <col collapsed="false" customWidth="true" hidden="false" outlineLevel="0" max="8" min="8" style="0" width="6.39"/>
    <col collapsed="false" customWidth="true" hidden="false" outlineLevel="0" max="9" min="9" style="0" width="7.4"/>
    <col collapsed="false" customWidth="true" hidden="false" outlineLevel="0" max="10" min="10" style="0" width="9.4"/>
    <col collapsed="false" customWidth="true" hidden="false" outlineLevel="0" max="11" min="11" style="0" width="6.39"/>
    <col collapsed="false" customWidth="true" hidden="false" outlineLevel="0" max="13" min="12" style="0" width="6"/>
    <col collapsed="false" customWidth="true" hidden="false" outlineLevel="0" max="14" min="14" style="0" width="7.4"/>
    <col collapsed="false" customWidth="true" hidden="false" outlineLevel="0" max="15" min="15" style="0" width="12.4"/>
    <col collapsed="false" customWidth="true" hidden="false" outlineLevel="0" max="16" min="16" style="0" width="26"/>
  </cols>
  <sheetData>
    <row r="1" customFormat="false" ht="25.5" hidden="false" customHeight="true" outlineLevel="0" collapsed="false">
      <c r="A1" s="1" t="s">
        <v>256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257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.75" hidden="false" customHeight="true" outlineLevel="0" collapsed="false">
      <c r="A4" s="3" t="s">
        <v>6</v>
      </c>
      <c r="B4" s="4" t="s">
        <v>7</v>
      </c>
      <c r="D4" s="3" t="s">
        <v>8</v>
      </c>
      <c r="E4" s="4" t="s">
        <v>9</v>
      </c>
    </row>
    <row r="6" customFormat="false" ht="15" hidden="false" customHeight="true" outlineLevel="0" collapsed="false">
      <c r="A6" s="16" t="s">
        <v>253</v>
      </c>
      <c r="B6" s="16"/>
      <c r="C6" s="16"/>
      <c r="D6" s="17" t="s">
        <v>258</v>
      </c>
      <c r="E6" s="17"/>
      <c r="F6" s="17"/>
      <c r="G6" s="18" t="s">
        <v>153</v>
      </c>
      <c r="H6" s="18"/>
      <c r="I6" s="18"/>
      <c r="J6" s="18"/>
      <c r="K6" s="33" t="s">
        <v>259</v>
      </c>
      <c r="L6" s="33"/>
      <c r="M6" s="33"/>
      <c r="N6" s="33"/>
      <c r="O6" s="36" t="s">
        <v>260</v>
      </c>
      <c r="P6" s="37" t="s">
        <v>65</v>
      </c>
    </row>
    <row r="7" customFormat="false" ht="30" hidden="false" customHeight="true" outlineLevel="0" collapsed="false">
      <c r="A7" s="20" t="s">
        <v>156</v>
      </c>
      <c r="B7" s="20" t="s">
        <v>217</v>
      </c>
      <c r="C7" s="20" t="s">
        <v>261</v>
      </c>
      <c r="D7" s="20" t="s">
        <v>151</v>
      </c>
      <c r="E7" s="20" t="s">
        <v>249</v>
      </c>
      <c r="F7" s="20" t="s">
        <v>221</v>
      </c>
      <c r="G7" s="20" t="s">
        <v>262</v>
      </c>
      <c r="H7" s="20" t="s">
        <v>263</v>
      </c>
      <c r="I7" s="20" t="s">
        <v>264</v>
      </c>
      <c r="J7" s="20" t="s">
        <v>265</v>
      </c>
      <c r="K7" s="20" t="s">
        <v>163</v>
      </c>
      <c r="L7" s="20" t="s">
        <v>266</v>
      </c>
      <c r="M7" s="20" t="s">
        <v>267</v>
      </c>
      <c r="N7" s="20" t="s">
        <v>268</v>
      </c>
      <c r="O7" s="20" t="s">
        <v>269</v>
      </c>
      <c r="P7" s="20" t="s">
        <v>81</v>
      </c>
    </row>
    <row r="8" customFormat="false" ht="12.75" hidden="false" customHeight="true" outlineLevel="0" collapsed="false">
      <c r="A8" s="21" t="s">
        <v>85</v>
      </c>
      <c r="B8" s="21" t="s">
        <v>85</v>
      </c>
      <c r="C8" s="21"/>
      <c r="D8" s="21" t="s">
        <v>270</v>
      </c>
      <c r="E8" s="21" t="s">
        <v>271</v>
      </c>
      <c r="F8" s="21" t="s">
        <v>230</v>
      </c>
      <c r="G8" s="21" t="s">
        <v>272</v>
      </c>
      <c r="H8" s="21"/>
      <c r="I8" s="21" t="s">
        <v>84</v>
      </c>
      <c r="J8" s="21"/>
      <c r="K8" s="21"/>
      <c r="L8" s="21"/>
      <c r="M8" s="21"/>
      <c r="N8" s="21"/>
      <c r="O8" s="21"/>
      <c r="P8" s="21"/>
    </row>
    <row r="9" customFormat="false" ht="15" hidden="false" customHeight="true" outlineLevel="0" collapsed="false">
      <c r="A9" s="22"/>
      <c r="B9" s="22"/>
      <c r="C9" s="23" t="str">
        <f aca="false">IFERROR(IF(OR(A9="",B9=""),"",INDEX(Equipements!$H:$H,MATCH(A9,Equipements!$A:$A,0))&amp;"."&amp;B9),"")</f>
        <v/>
      </c>
      <c r="D9" s="4"/>
      <c r="E9" s="22"/>
      <c r="F9" s="22"/>
      <c r="G9" s="22"/>
      <c r="H9" s="4"/>
      <c r="I9" s="4"/>
      <c r="J9" s="23" t="str">
        <f aca="false">IF(OR(G9="",H9=""),"","%"&amp;G9&amp;H9)</f>
        <v/>
      </c>
      <c r="K9" s="4"/>
      <c r="L9" s="4"/>
      <c r="M9" s="4"/>
      <c r="N9" s="4"/>
      <c r="O9" s="23" t="str">
        <f aca="false">IF(H9="","",IF(I9="","mot entier","bit "&amp;I9))</f>
        <v/>
      </c>
      <c r="P9" s="4"/>
    </row>
    <row r="10" customFormat="false" ht="15" hidden="false" customHeight="true" outlineLevel="0" collapsed="false">
      <c r="A10" s="22"/>
      <c r="B10" s="22"/>
      <c r="C10" s="23" t="str">
        <f aca="false">IFERROR(IF(OR(A10="",B10=""),"",INDEX(Equipements!$H:$H,MATCH(A10,Equipements!$A:$A,0))&amp;"."&amp;B10),"")</f>
        <v/>
      </c>
      <c r="D10" s="4"/>
      <c r="E10" s="22"/>
      <c r="F10" s="22"/>
      <c r="G10" s="22"/>
      <c r="H10" s="4"/>
      <c r="I10" s="4"/>
      <c r="J10" s="23" t="str">
        <f aca="false">IF(OR(G10="",H10=""),"","%"&amp;G10&amp;H10)</f>
        <v/>
      </c>
      <c r="K10" s="4"/>
      <c r="L10" s="4"/>
      <c r="M10" s="4"/>
      <c r="N10" s="4"/>
      <c r="O10" s="23" t="str">
        <f aca="false">IF(H10="","",IF(I10="","mot entier","bit "&amp;I10))</f>
        <v/>
      </c>
      <c r="P10" s="4"/>
    </row>
    <row r="11" customFormat="false" ht="15" hidden="false" customHeight="true" outlineLevel="0" collapsed="false">
      <c r="A11" s="22"/>
      <c r="B11" s="22"/>
      <c r="C11" s="23" t="str">
        <f aca="false">IFERROR(IF(OR(A11="",B11=""),"",INDEX(Equipements!$H:$H,MATCH(A11,Equipements!$A:$A,0))&amp;"."&amp;B11),"")</f>
        <v/>
      </c>
      <c r="D11" s="4"/>
      <c r="E11" s="22"/>
      <c r="F11" s="22"/>
      <c r="G11" s="22"/>
      <c r="H11" s="4"/>
      <c r="I11" s="4"/>
      <c r="J11" s="23" t="str">
        <f aca="false">IF(OR(G11="",H11=""),"","%"&amp;G11&amp;H11)</f>
        <v/>
      </c>
      <c r="K11" s="4"/>
      <c r="L11" s="4"/>
      <c r="M11" s="4"/>
      <c r="N11" s="4"/>
      <c r="O11" s="23" t="str">
        <f aca="false">IF(H11="","",IF(I11="","mot entier","bit "&amp;I11))</f>
        <v/>
      </c>
      <c r="P11" s="4"/>
    </row>
    <row r="12" customFormat="false" ht="15" hidden="false" customHeight="true" outlineLevel="0" collapsed="false">
      <c r="A12" s="22"/>
      <c r="B12" s="22"/>
      <c r="C12" s="23" t="str">
        <f aca="false">IFERROR(IF(OR(A12="",B12=""),"",INDEX(Equipements!$H:$H,MATCH(A12,Equipements!$A:$A,0))&amp;"."&amp;B12),"")</f>
        <v/>
      </c>
      <c r="D12" s="4"/>
      <c r="E12" s="22"/>
      <c r="F12" s="22"/>
      <c r="G12" s="22"/>
      <c r="H12" s="4"/>
      <c r="I12" s="4"/>
      <c r="J12" s="23" t="str">
        <f aca="false">IF(OR(G12="",H12=""),"","%"&amp;G12&amp;H12)</f>
        <v/>
      </c>
      <c r="K12" s="4"/>
      <c r="L12" s="4"/>
      <c r="M12" s="4"/>
      <c r="N12" s="4"/>
      <c r="O12" s="23" t="str">
        <f aca="false">IF(H12="","",IF(I12="","mot entier","bit "&amp;I12))</f>
        <v/>
      </c>
      <c r="P12" s="4"/>
    </row>
    <row r="13" customFormat="false" ht="15" hidden="false" customHeight="true" outlineLevel="0" collapsed="false">
      <c r="A13" s="22"/>
      <c r="B13" s="22"/>
      <c r="C13" s="23" t="str">
        <f aca="false">IFERROR(IF(OR(A13="",B13=""),"",INDEX(Equipements!$H:$H,MATCH(A13,Equipements!$A:$A,0))&amp;"."&amp;B13),"")</f>
        <v/>
      </c>
      <c r="D13" s="4"/>
      <c r="E13" s="22"/>
      <c r="F13" s="22"/>
      <c r="G13" s="22"/>
      <c r="H13" s="4"/>
      <c r="I13" s="4"/>
      <c r="J13" s="23" t="str">
        <f aca="false">IF(OR(G13="",H13=""),"","%"&amp;G13&amp;H13)</f>
        <v/>
      </c>
      <c r="K13" s="4"/>
      <c r="L13" s="4"/>
      <c r="M13" s="4"/>
      <c r="N13" s="4"/>
      <c r="O13" s="23" t="str">
        <f aca="false">IF(H13="","",IF(I13="","mot entier","bit "&amp;I13))</f>
        <v/>
      </c>
      <c r="P13" s="4"/>
    </row>
    <row r="14" customFormat="false" ht="15" hidden="false" customHeight="true" outlineLevel="0" collapsed="false">
      <c r="A14" s="22"/>
      <c r="B14" s="22"/>
      <c r="C14" s="23" t="str">
        <f aca="false">IFERROR(IF(OR(A14="",B14=""),"",INDEX(Equipements!$H:$H,MATCH(A14,Equipements!$A:$A,0))&amp;"."&amp;B14),"")</f>
        <v/>
      </c>
      <c r="D14" s="4"/>
      <c r="E14" s="22"/>
      <c r="F14" s="22"/>
      <c r="G14" s="22"/>
      <c r="H14" s="4"/>
      <c r="I14" s="4"/>
      <c r="J14" s="23" t="str">
        <f aca="false">IF(OR(G14="",H14=""),"","%"&amp;G14&amp;H14)</f>
        <v/>
      </c>
      <c r="K14" s="4"/>
      <c r="L14" s="4"/>
      <c r="M14" s="4"/>
      <c r="N14" s="4"/>
      <c r="O14" s="23" t="str">
        <f aca="false">IF(H14="","",IF(I14="","mot entier","bit "&amp;I14))</f>
        <v/>
      </c>
      <c r="P14" s="4"/>
    </row>
    <row r="15" customFormat="false" ht="15" hidden="false" customHeight="true" outlineLevel="0" collapsed="false">
      <c r="A15" s="22"/>
      <c r="B15" s="22"/>
      <c r="C15" s="23" t="str">
        <f aca="false">IFERROR(IF(OR(A15="",B15=""),"",INDEX(Equipements!$H:$H,MATCH(A15,Equipements!$A:$A,0))&amp;"."&amp;B15),"")</f>
        <v/>
      </c>
      <c r="D15" s="4"/>
      <c r="E15" s="22"/>
      <c r="F15" s="22"/>
      <c r="G15" s="22"/>
      <c r="H15" s="4"/>
      <c r="I15" s="4"/>
      <c r="J15" s="23" t="str">
        <f aca="false">IF(OR(G15="",H15=""),"","%"&amp;G15&amp;H15)</f>
        <v/>
      </c>
      <c r="K15" s="4"/>
      <c r="L15" s="4"/>
      <c r="M15" s="4"/>
      <c r="N15" s="4"/>
      <c r="O15" s="23" t="str">
        <f aca="false">IF(H15="","",IF(I15="","mot entier","bit "&amp;I15))</f>
        <v/>
      </c>
      <c r="P15" s="4"/>
    </row>
    <row r="16" customFormat="false" ht="15" hidden="false" customHeight="true" outlineLevel="0" collapsed="false">
      <c r="A16" s="22"/>
      <c r="B16" s="22"/>
      <c r="C16" s="23" t="str">
        <f aca="false">IFERROR(IF(OR(A16="",B16=""),"",INDEX(Equipements!$H:$H,MATCH(A16,Equipements!$A:$A,0))&amp;"."&amp;B16),"")</f>
        <v/>
      </c>
      <c r="D16" s="4"/>
      <c r="E16" s="22"/>
      <c r="F16" s="22"/>
      <c r="G16" s="22"/>
      <c r="H16" s="4"/>
      <c r="I16" s="4"/>
      <c r="J16" s="23" t="str">
        <f aca="false">IF(OR(G16="",H16=""),"","%"&amp;G16&amp;H16)</f>
        <v/>
      </c>
      <c r="K16" s="4"/>
      <c r="L16" s="4"/>
      <c r="M16" s="4"/>
      <c r="N16" s="4"/>
      <c r="O16" s="23" t="str">
        <f aca="false">IF(H16="","",IF(I16="","mot entier","bit "&amp;I16))</f>
        <v/>
      </c>
      <c r="P16" s="4"/>
    </row>
    <row r="17" customFormat="false" ht="15" hidden="false" customHeight="true" outlineLevel="0" collapsed="false">
      <c r="A17" s="22"/>
      <c r="B17" s="22"/>
      <c r="C17" s="23" t="str">
        <f aca="false">IFERROR(IF(OR(A17="",B17=""),"",INDEX(Equipements!$H:$H,MATCH(A17,Equipements!$A:$A,0))&amp;"."&amp;B17),"")</f>
        <v/>
      </c>
      <c r="D17" s="4"/>
      <c r="E17" s="22"/>
      <c r="F17" s="22"/>
      <c r="G17" s="22"/>
      <c r="H17" s="4"/>
      <c r="I17" s="4"/>
      <c r="J17" s="23" t="str">
        <f aca="false">IF(OR(G17="",H17=""),"","%"&amp;G17&amp;H17)</f>
        <v/>
      </c>
      <c r="K17" s="4"/>
      <c r="L17" s="4"/>
      <c r="M17" s="4"/>
      <c r="N17" s="4"/>
      <c r="O17" s="23" t="str">
        <f aca="false">IF(H17="","",IF(I17="","mot entier","bit "&amp;I17))</f>
        <v/>
      </c>
      <c r="P17" s="4"/>
    </row>
    <row r="18" customFormat="false" ht="15" hidden="false" customHeight="true" outlineLevel="0" collapsed="false">
      <c r="A18" s="22"/>
      <c r="B18" s="22"/>
      <c r="C18" s="23" t="str">
        <f aca="false">IFERROR(IF(OR(A18="",B18=""),"",INDEX(Equipements!$H:$H,MATCH(A18,Equipements!$A:$A,0))&amp;"."&amp;B18),"")</f>
        <v/>
      </c>
      <c r="D18" s="4"/>
      <c r="E18" s="22"/>
      <c r="F18" s="22"/>
      <c r="G18" s="22"/>
      <c r="H18" s="4"/>
      <c r="I18" s="4"/>
      <c r="J18" s="23" t="str">
        <f aca="false">IF(OR(G18="",H18=""),"","%"&amp;G18&amp;H18)</f>
        <v/>
      </c>
      <c r="K18" s="4"/>
      <c r="L18" s="4"/>
      <c r="M18" s="4"/>
      <c r="N18" s="4"/>
      <c r="O18" s="23" t="str">
        <f aca="false">IF(H18="","",IF(I18="","mot entier","bit "&amp;I18))</f>
        <v/>
      </c>
      <c r="P18" s="4"/>
    </row>
    <row r="19" customFormat="false" ht="15" hidden="false" customHeight="true" outlineLevel="0" collapsed="false">
      <c r="A19" s="22"/>
      <c r="B19" s="22"/>
      <c r="C19" s="23" t="str">
        <f aca="false">IFERROR(IF(OR(A19="",B19=""),"",INDEX(Equipements!$H:$H,MATCH(A19,Equipements!$A:$A,0))&amp;"."&amp;B19),"")</f>
        <v/>
      </c>
      <c r="D19" s="4"/>
      <c r="E19" s="22"/>
      <c r="F19" s="22"/>
      <c r="G19" s="22"/>
      <c r="H19" s="4"/>
      <c r="I19" s="4"/>
      <c r="J19" s="23" t="str">
        <f aca="false">IF(OR(G19="",H19=""),"","%"&amp;G19&amp;H19)</f>
        <v/>
      </c>
      <c r="K19" s="4"/>
      <c r="L19" s="4"/>
      <c r="M19" s="4"/>
      <c r="N19" s="4"/>
      <c r="O19" s="23" t="str">
        <f aca="false">IF(H19="","",IF(I19="","mot entier","bit "&amp;I19))</f>
        <v/>
      </c>
      <c r="P19" s="4"/>
    </row>
    <row r="20" customFormat="false" ht="15" hidden="false" customHeight="true" outlineLevel="0" collapsed="false">
      <c r="A20" s="22"/>
      <c r="B20" s="22"/>
      <c r="C20" s="23" t="str">
        <f aca="false">IFERROR(IF(OR(A20="",B20=""),"",INDEX(Equipements!$H:$H,MATCH(A20,Equipements!$A:$A,0))&amp;"."&amp;B20),"")</f>
        <v/>
      </c>
      <c r="D20" s="4"/>
      <c r="E20" s="22"/>
      <c r="F20" s="22"/>
      <c r="G20" s="22"/>
      <c r="H20" s="4"/>
      <c r="I20" s="4"/>
      <c r="J20" s="23" t="str">
        <f aca="false">IF(OR(G20="",H20=""),"","%"&amp;G20&amp;H20)</f>
        <v/>
      </c>
      <c r="K20" s="4"/>
      <c r="L20" s="4"/>
      <c r="M20" s="4"/>
      <c r="N20" s="4"/>
      <c r="O20" s="23" t="str">
        <f aca="false">IF(H20="","",IF(I20="","mot entier","bit "&amp;I20))</f>
        <v/>
      </c>
      <c r="P20" s="4"/>
    </row>
    <row r="21" customFormat="false" ht="15" hidden="false" customHeight="true" outlineLevel="0" collapsed="false">
      <c r="A21" s="22"/>
      <c r="B21" s="22"/>
      <c r="C21" s="23" t="str">
        <f aca="false">IFERROR(IF(OR(A21="",B21=""),"",INDEX(Equipements!$H:$H,MATCH(A21,Equipements!$A:$A,0))&amp;"."&amp;B21),"")</f>
        <v/>
      </c>
      <c r="D21" s="4"/>
      <c r="E21" s="22"/>
      <c r="F21" s="22"/>
      <c r="G21" s="22"/>
      <c r="H21" s="4"/>
      <c r="I21" s="4"/>
      <c r="J21" s="23" t="str">
        <f aca="false">IF(OR(G21="",H21=""),"","%"&amp;G21&amp;H21)</f>
        <v/>
      </c>
      <c r="K21" s="4"/>
      <c r="L21" s="4"/>
      <c r="M21" s="4"/>
      <c r="N21" s="4"/>
      <c r="O21" s="23" t="str">
        <f aca="false">IF(H21="","",IF(I21="","mot entier","bit "&amp;I21))</f>
        <v/>
      </c>
      <c r="P21" s="4"/>
    </row>
    <row r="22" customFormat="false" ht="15" hidden="false" customHeight="true" outlineLevel="0" collapsed="false">
      <c r="A22" s="22"/>
      <c r="B22" s="22"/>
      <c r="C22" s="23" t="str">
        <f aca="false">IFERROR(IF(OR(A22="",B22=""),"",INDEX(Equipements!$H:$H,MATCH(A22,Equipements!$A:$A,0))&amp;"."&amp;B22),"")</f>
        <v/>
      </c>
      <c r="D22" s="4"/>
      <c r="E22" s="22"/>
      <c r="F22" s="22"/>
      <c r="G22" s="22"/>
      <c r="H22" s="4"/>
      <c r="I22" s="4"/>
      <c r="J22" s="23" t="str">
        <f aca="false">IF(OR(G22="",H22=""),"","%"&amp;G22&amp;H22)</f>
        <v/>
      </c>
      <c r="K22" s="4"/>
      <c r="L22" s="4"/>
      <c r="M22" s="4"/>
      <c r="N22" s="4"/>
      <c r="O22" s="23" t="str">
        <f aca="false">IF(H22="","",IF(I22="","mot entier","bit "&amp;I22))</f>
        <v/>
      </c>
      <c r="P22" s="4"/>
    </row>
    <row r="23" customFormat="false" ht="15" hidden="false" customHeight="true" outlineLevel="0" collapsed="false">
      <c r="A23" s="22"/>
      <c r="B23" s="22"/>
      <c r="C23" s="23" t="str">
        <f aca="false">IFERROR(IF(OR(A23="",B23=""),"",INDEX(Equipements!$H:$H,MATCH(A23,Equipements!$A:$A,0))&amp;"."&amp;B23),"")</f>
        <v/>
      </c>
      <c r="D23" s="4"/>
      <c r="E23" s="22"/>
      <c r="F23" s="22"/>
      <c r="G23" s="22"/>
      <c r="H23" s="4"/>
      <c r="I23" s="4"/>
      <c r="J23" s="23" t="str">
        <f aca="false">IF(OR(G23="",H23=""),"","%"&amp;G23&amp;H23)</f>
        <v/>
      </c>
      <c r="K23" s="4"/>
      <c r="L23" s="4"/>
      <c r="M23" s="4"/>
      <c r="N23" s="4"/>
      <c r="O23" s="23" t="str">
        <f aca="false">IF(H23="","",IF(I23="","mot entier","bit "&amp;I23))</f>
        <v/>
      </c>
      <c r="P23" s="4"/>
    </row>
    <row r="24" customFormat="false" ht="15" hidden="false" customHeight="true" outlineLevel="0" collapsed="false">
      <c r="A24" s="22"/>
      <c r="B24" s="22"/>
      <c r="C24" s="23" t="str">
        <f aca="false">IFERROR(IF(OR(A24="",B24=""),"",INDEX(Equipements!$H:$H,MATCH(A24,Equipements!$A:$A,0))&amp;"."&amp;B24),"")</f>
        <v/>
      </c>
      <c r="D24" s="4"/>
      <c r="E24" s="22"/>
      <c r="F24" s="22"/>
      <c r="G24" s="22"/>
      <c r="H24" s="4"/>
      <c r="I24" s="4"/>
      <c r="J24" s="23" t="str">
        <f aca="false">IF(OR(G24="",H24=""),"","%"&amp;G24&amp;H24)</f>
        <v/>
      </c>
      <c r="K24" s="4"/>
      <c r="L24" s="4"/>
      <c r="M24" s="4"/>
      <c r="N24" s="4"/>
      <c r="O24" s="23" t="str">
        <f aca="false">IF(H24="","",IF(I24="","mot entier","bit "&amp;I24))</f>
        <v/>
      </c>
      <c r="P24" s="4"/>
    </row>
    <row r="25" customFormat="false" ht="15" hidden="false" customHeight="true" outlineLevel="0" collapsed="false">
      <c r="A25" s="22"/>
      <c r="B25" s="22"/>
      <c r="C25" s="23" t="str">
        <f aca="false">IFERROR(IF(OR(A25="",B25=""),"",INDEX(Equipements!$H:$H,MATCH(A25,Equipements!$A:$A,0))&amp;"."&amp;B25),"")</f>
        <v/>
      </c>
      <c r="D25" s="4"/>
      <c r="E25" s="22"/>
      <c r="F25" s="22"/>
      <c r="G25" s="22"/>
      <c r="H25" s="4"/>
      <c r="I25" s="4"/>
      <c r="J25" s="23" t="str">
        <f aca="false">IF(OR(G25="",H25=""),"","%"&amp;G25&amp;H25)</f>
        <v/>
      </c>
      <c r="K25" s="4"/>
      <c r="L25" s="4"/>
      <c r="M25" s="4"/>
      <c r="N25" s="4"/>
      <c r="O25" s="23" t="str">
        <f aca="false">IF(H25="","",IF(I25="","mot entier","bit "&amp;I25))</f>
        <v/>
      </c>
      <c r="P25" s="4"/>
    </row>
    <row r="26" customFormat="false" ht="15" hidden="false" customHeight="true" outlineLevel="0" collapsed="false">
      <c r="A26" s="22"/>
      <c r="B26" s="22"/>
      <c r="C26" s="23" t="str">
        <f aca="false">IFERROR(IF(OR(A26="",B26=""),"",INDEX(Equipements!$H:$H,MATCH(A26,Equipements!$A:$A,0))&amp;"."&amp;B26),"")</f>
        <v/>
      </c>
      <c r="D26" s="4"/>
      <c r="E26" s="22"/>
      <c r="F26" s="22"/>
      <c r="G26" s="22"/>
      <c r="H26" s="4"/>
      <c r="I26" s="4"/>
      <c r="J26" s="23" t="str">
        <f aca="false">IF(OR(G26="",H26=""),"","%"&amp;G26&amp;H26)</f>
        <v/>
      </c>
      <c r="K26" s="4"/>
      <c r="L26" s="4"/>
      <c r="M26" s="4"/>
      <c r="N26" s="4"/>
      <c r="O26" s="23" t="str">
        <f aca="false">IF(H26="","",IF(I26="","mot entier","bit "&amp;I26))</f>
        <v/>
      </c>
      <c r="P26" s="4"/>
    </row>
    <row r="27" customFormat="false" ht="15" hidden="false" customHeight="true" outlineLevel="0" collapsed="false">
      <c r="A27" s="22"/>
      <c r="B27" s="22"/>
      <c r="C27" s="23" t="str">
        <f aca="false">IFERROR(IF(OR(A27="",B27=""),"",INDEX(Equipements!$H:$H,MATCH(A27,Equipements!$A:$A,0))&amp;"."&amp;B27),"")</f>
        <v/>
      </c>
      <c r="D27" s="4"/>
      <c r="E27" s="22"/>
      <c r="F27" s="22"/>
      <c r="G27" s="22"/>
      <c r="H27" s="4"/>
      <c r="I27" s="4"/>
      <c r="J27" s="23" t="str">
        <f aca="false">IF(OR(G27="",H27=""),"","%"&amp;G27&amp;H27)</f>
        <v/>
      </c>
      <c r="K27" s="4"/>
      <c r="L27" s="4"/>
      <c r="M27" s="4"/>
      <c r="N27" s="4"/>
      <c r="O27" s="23" t="str">
        <f aca="false">IF(H27="","",IF(I27="","mot entier","bit "&amp;I27))</f>
        <v/>
      </c>
      <c r="P27" s="4"/>
    </row>
    <row r="28" customFormat="false" ht="15" hidden="false" customHeight="true" outlineLevel="0" collapsed="false">
      <c r="A28" s="22"/>
      <c r="B28" s="22"/>
      <c r="C28" s="23" t="str">
        <f aca="false">IFERROR(IF(OR(A28="",B28=""),"",INDEX(Equipements!$H:$H,MATCH(A28,Equipements!$A:$A,0))&amp;"."&amp;B28),"")</f>
        <v/>
      </c>
      <c r="D28" s="4"/>
      <c r="E28" s="22"/>
      <c r="F28" s="22"/>
      <c r="G28" s="22"/>
      <c r="H28" s="4"/>
      <c r="I28" s="4"/>
      <c r="J28" s="23" t="str">
        <f aca="false">IF(OR(G28="",H28=""),"","%"&amp;G28&amp;H28)</f>
        <v/>
      </c>
      <c r="K28" s="4"/>
      <c r="L28" s="4"/>
      <c r="M28" s="4"/>
      <c r="N28" s="4"/>
      <c r="O28" s="23" t="str">
        <f aca="false">IF(H28="","",IF(I28="","mot entier","bit "&amp;I28))</f>
        <v/>
      </c>
      <c r="P28" s="4"/>
    </row>
    <row r="29" customFormat="false" ht="15" hidden="false" customHeight="true" outlineLevel="0" collapsed="false">
      <c r="A29" s="22"/>
      <c r="B29" s="22"/>
      <c r="C29" s="23" t="str">
        <f aca="false">IFERROR(IF(OR(A29="",B29=""),"",INDEX(Equipements!$H:$H,MATCH(A29,Equipements!$A:$A,0))&amp;"."&amp;B29),"")</f>
        <v/>
      </c>
      <c r="D29" s="4"/>
      <c r="E29" s="22"/>
      <c r="F29" s="22"/>
      <c r="G29" s="22"/>
      <c r="H29" s="4"/>
      <c r="I29" s="4"/>
      <c r="J29" s="23" t="str">
        <f aca="false">IF(OR(G29="",H29=""),"","%"&amp;G29&amp;H29)</f>
        <v/>
      </c>
      <c r="K29" s="4"/>
      <c r="L29" s="4"/>
      <c r="M29" s="4"/>
      <c r="N29" s="4"/>
      <c r="O29" s="23" t="str">
        <f aca="false">IF(H29="","",IF(I29="","mot entier","bit "&amp;I29))</f>
        <v/>
      </c>
      <c r="P29" s="4"/>
    </row>
    <row r="30" customFormat="false" ht="15" hidden="false" customHeight="true" outlineLevel="0" collapsed="false">
      <c r="A30" s="22"/>
      <c r="B30" s="22"/>
      <c r="C30" s="23" t="str">
        <f aca="false">IFERROR(IF(OR(A30="",B30=""),"",INDEX(Equipements!$H:$H,MATCH(A30,Equipements!$A:$A,0))&amp;"."&amp;B30),"")</f>
        <v/>
      </c>
      <c r="D30" s="4"/>
      <c r="E30" s="22"/>
      <c r="F30" s="22"/>
      <c r="G30" s="22"/>
      <c r="H30" s="4"/>
      <c r="I30" s="4"/>
      <c r="J30" s="23" t="str">
        <f aca="false">IF(OR(G30="",H30=""),"","%"&amp;G30&amp;H30)</f>
        <v/>
      </c>
      <c r="K30" s="4"/>
      <c r="L30" s="4"/>
      <c r="M30" s="4"/>
      <c r="N30" s="4"/>
      <c r="O30" s="23" t="str">
        <f aca="false">IF(H30="","",IF(I30="","mot entier","bit "&amp;I30))</f>
        <v/>
      </c>
      <c r="P30" s="4"/>
    </row>
    <row r="31" customFormat="false" ht="15" hidden="false" customHeight="true" outlineLevel="0" collapsed="false">
      <c r="A31" s="22"/>
      <c r="B31" s="22"/>
      <c r="C31" s="23" t="str">
        <f aca="false">IFERROR(IF(OR(A31="",B31=""),"",INDEX(Equipements!$H:$H,MATCH(A31,Equipements!$A:$A,0))&amp;"."&amp;B31),"")</f>
        <v/>
      </c>
      <c r="D31" s="4"/>
      <c r="E31" s="22"/>
      <c r="F31" s="22"/>
      <c r="G31" s="22"/>
      <c r="H31" s="4"/>
      <c r="I31" s="4"/>
      <c r="J31" s="23" t="str">
        <f aca="false">IF(OR(G31="",H31=""),"","%"&amp;G31&amp;H31)</f>
        <v/>
      </c>
      <c r="K31" s="4"/>
      <c r="L31" s="4"/>
      <c r="M31" s="4"/>
      <c r="N31" s="4"/>
      <c r="O31" s="23" t="str">
        <f aca="false">IF(H31="","",IF(I31="","mot entier","bit "&amp;I31))</f>
        <v/>
      </c>
      <c r="P31" s="4"/>
    </row>
    <row r="32" customFormat="false" ht="15" hidden="false" customHeight="true" outlineLevel="0" collapsed="false">
      <c r="A32" s="22"/>
      <c r="B32" s="22"/>
      <c r="C32" s="23" t="str">
        <f aca="false">IFERROR(IF(OR(A32="",B32=""),"",INDEX(Equipements!$H:$H,MATCH(A32,Equipements!$A:$A,0))&amp;"."&amp;B32),"")</f>
        <v/>
      </c>
      <c r="D32" s="4"/>
      <c r="E32" s="22"/>
      <c r="F32" s="22"/>
      <c r="G32" s="22"/>
      <c r="H32" s="4"/>
      <c r="I32" s="4"/>
      <c r="J32" s="23" t="str">
        <f aca="false">IF(OR(G32="",H32=""),"","%"&amp;G32&amp;H32)</f>
        <v/>
      </c>
      <c r="K32" s="4"/>
      <c r="L32" s="4"/>
      <c r="M32" s="4"/>
      <c r="N32" s="4"/>
      <c r="O32" s="23" t="str">
        <f aca="false">IF(H32="","",IF(I32="","mot entier","bit "&amp;I32))</f>
        <v/>
      </c>
      <c r="P32" s="4"/>
    </row>
    <row r="33" customFormat="false" ht="15" hidden="false" customHeight="true" outlineLevel="0" collapsed="false">
      <c r="A33" s="22"/>
      <c r="B33" s="22"/>
      <c r="C33" s="23" t="str">
        <f aca="false">IFERROR(IF(OR(A33="",B33=""),"",INDEX(Equipements!$H:$H,MATCH(A33,Equipements!$A:$A,0))&amp;"."&amp;B33),"")</f>
        <v/>
      </c>
      <c r="D33" s="4"/>
      <c r="E33" s="22"/>
      <c r="F33" s="22"/>
      <c r="G33" s="22"/>
      <c r="H33" s="4"/>
      <c r="I33" s="4"/>
      <c r="J33" s="23" t="str">
        <f aca="false">IF(OR(G33="",H33=""),"","%"&amp;G33&amp;H33)</f>
        <v/>
      </c>
      <c r="K33" s="4"/>
      <c r="L33" s="4"/>
      <c r="M33" s="4"/>
      <c r="N33" s="4"/>
      <c r="O33" s="23" t="str">
        <f aca="false">IF(H33="","",IF(I33="","mot entier","bit "&amp;I33))</f>
        <v/>
      </c>
      <c r="P33" s="4"/>
    </row>
    <row r="34" customFormat="false" ht="15" hidden="false" customHeight="true" outlineLevel="0" collapsed="false">
      <c r="A34" s="22"/>
      <c r="B34" s="22"/>
      <c r="C34" s="23" t="str">
        <f aca="false">IFERROR(IF(OR(A34="",B34=""),"",INDEX(Equipements!$H:$H,MATCH(A34,Equipements!$A:$A,0))&amp;"."&amp;B34),"")</f>
        <v/>
      </c>
      <c r="D34" s="4"/>
      <c r="E34" s="22"/>
      <c r="F34" s="22"/>
      <c r="G34" s="22"/>
      <c r="H34" s="4"/>
      <c r="I34" s="4"/>
      <c r="J34" s="23" t="str">
        <f aca="false">IF(OR(G34="",H34=""),"","%"&amp;G34&amp;H34)</f>
        <v/>
      </c>
      <c r="K34" s="4"/>
      <c r="L34" s="4"/>
      <c r="M34" s="4"/>
      <c r="N34" s="4"/>
      <c r="O34" s="23" t="str">
        <f aca="false">IF(H34="","",IF(I34="","mot entier","bit "&amp;I34))</f>
        <v/>
      </c>
      <c r="P34" s="4"/>
    </row>
    <row r="35" customFormat="false" ht="15" hidden="false" customHeight="true" outlineLevel="0" collapsed="false">
      <c r="A35" s="22"/>
      <c r="B35" s="22"/>
      <c r="C35" s="23" t="str">
        <f aca="false">IFERROR(IF(OR(A35="",B35=""),"",INDEX(Equipements!$H:$H,MATCH(A35,Equipements!$A:$A,0))&amp;"."&amp;B35),"")</f>
        <v/>
      </c>
      <c r="D35" s="4"/>
      <c r="E35" s="22"/>
      <c r="F35" s="22"/>
      <c r="G35" s="22"/>
      <c r="H35" s="4"/>
      <c r="I35" s="4"/>
      <c r="J35" s="23" t="str">
        <f aca="false">IF(OR(G35="",H35=""),"","%"&amp;G35&amp;H35)</f>
        <v/>
      </c>
      <c r="K35" s="4"/>
      <c r="L35" s="4"/>
      <c r="M35" s="4"/>
      <c r="N35" s="4"/>
      <c r="O35" s="23" t="str">
        <f aca="false">IF(H35="","",IF(I35="","mot entier","bit "&amp;I35))</f>
        <v/>
      </c>
      <c r="P35" s="4"/>
    </row>
    <row r="36" customFormat="false" ht="15" hidden="false" customHeight="true" outlineLevel="0" collapsed="false">
      <c r="A36" s="22"/>
      <c r="B36" s="22"/>
      <c r="C36" s="23" t="str">
        <f aca="false">IFERROR(IF(OR(A36="",B36=""),"",INDEX(Equipements!$H:$H,MATCH(A36,Equipements!$A:$A,0))&amp;"."&amp;B36),"")</f>
        <v/>
      </c>
      <c r="D36" s="4"/>
      <c r="E36" s="22"/>
      <c r="F36" s="22"/>
      <c r="G36" s="22"/>
      <c r="H36" s="4"/>
      <c r="I36" s="4"/>
      <c r="J36" s="23" t="str">
        <f aca="false">IF(OR(G36="",H36=""),"","%"&amp;G36&amp;H36)</f>
        <v/>
      </c>
      <c r="K36" s="4"/>
      <c r="L36" s="4"/>
      <c r="M36" s="4"/>
      <c r="N36" s="4"/>
      <c r="O36" s="23" t="str">
        <f aca="false">IF(H36="","",IF(I36="","mot entier","bit "&amp;I36))</f>
        <v/>
      </c>
      <c r="P36" s="4"/>
    </row>
    <row r="37" customFormat="false" ht="15" hidden="false" customHeight="true" outlineLevel="0" collapsed="false">
      <c r="A37" s="22"/>
      <c r="B37" s="22"/>
      <c r="C37" s="23" t="str">
        <f aca="false">IFERROR(IF(OR(A37="",B37=""),"",INDEX(Equipements!$H:$H,MATCH(A37,Equipements!$A:$A,0))&amp;"."&amp;B37),"")</f>
        <v/>
      </c>
      <c r="D37" s="4"/>
      <c r="E37" s="22"/>
      <c r="F37" s="22"/>
      <c r="G37" s="22"/>
      <c r="H37" s="4"/>
      <c r="I37" s="4"/>
      <c r="J37" s="23" t="str">
        <f aca="false">IF(OR(G37="",H37=""),"","%"&amp;G37&amp;H37)</f>
        <v/>
      </c>
      <c r="K37" s="4"/>
      <c r="L37" s="4"/>
      <c r="M37" s="4"/>
      <c r="N37" s="4"/>
      <c r="O37" s="23" t="str">
        <f aca="false">IF(H37="","",IF(I37="","mot entier","bit "&amp;I37))</f>
        <v/>
      </c>
      <c r="P37" s="4"/>
    </row>
    <row r="38" customFormat="false" ht="15" hidden="false" customHeight="true" outlineLevel="0" collapsed="false">
      <c r="A38" s="22"/>
      <c r="B38" s="22"/>
      <c r="C38" s="23" t="str">
        <f aca="false">IFERROR(IF(OR(A38="",B38=""),"",INDEX(Equipements!$H:$H,MATCH(A38,Equipements!$A:$A,0))&amp;"."&amp;B38),"")</f>
        <v/>
      </c>
      <c r="D38" s="4"/>
      <c r="E38" s="22"/>
      <c r="F38" s="22"/>
      <c r="G38" s="22"/>
      <c r="H38" s="4"/>
      <c r="I38" s="4"/>
      <c r="J38" s="23" t="str">
        <f aca="false">IF(OR(G38="",H38=""),"","%"&amp;G38&amp;H38)</f>
        <v/>
      </c>
      <c r="K38" s="4"/>
      <c r="L38" s="4"/>
      <c r="M38" s="4"/>
      <c r="N38" s="4"/>
      <c r="O38" s="23" t="str">
        <f aca="false">IF(H38="","",IF(I38="","mot entier","bit "&amp;I38))</f>
        <v/>
      </c>
      <c r="P38" s="4"/>
    </row>
    <row r="39" customFormat="false" ht="15" hidden="false" customHeight="true" outlineLevel="0" collapsed="false">
      <c r="A39" s="22"/>
      <c r="B39" s="22"/>
      <c r="C39" s="23" t="str">
        <f aca="false">IFERROR(IF(OR(A39="",B39=""),"",INDEX(Equipements!$H:$H,MATCH(A39,Equipements!$A:$A,0))&amp;"."&amp;B39),"")</f>
        <v/>
      </c>
      <c r="D39" s="4"/>
      <c r="E39" s="22"/>
      <c r="F39" s="22"/>
      <c r="G39" s="22"/>
      <c r="H39" s="4"/>
      <c r="I39" s="4"/>
      <c r="J39" s="23" t="str">
        <f aca="false">IF(OR(G39="",H39=""),"","%"&amp;G39&amp;H39)</f>
        <v/>
      </c>
      <c r="K39" s="4"/>
      <c r="L39" s="4"/>
      <c r="M39" s="4"/>
      <c r="N39" s="4"/>
      <c r="O39" s="23" t="str">
        <f aca="false">IF(H39="","",IF(I39="","mot entier","bit "&amp;I39))</f>
        <v/>
      </c>
      <c r="P39" s="4"/>
    </row>
    <row r="40" customFormat="false" ht="15" hidden="false" customHeight="true" outlineLevel="0" collapsed="false">
      <c r="A40" s="22"/>
      <c r="B40" s="22"/>
      <c r="C40" s="23" t="str">
        <f aca="false">IFERROR(IF(OR(A40="",B40=""),"",INDEX(Equipements!$H:$H,MATCH(A40,Equipements!$A:$A,0))&amp;"."&amp;B40),"")</f>
        <v/>
      </c>
      <c r="D40" s="4"/>
      <c r="E40" s="22"/>
      <c r="F40" s="22"/>
      <c r="G40" s="22"/>
      <c r="H40" s="4"/>
      <c r="I40" s="4"/>
      <c r="J40" s="23" t="str">
        <f aca="false">IF(OR(G40="",H40=""),"","%"&amp;G40&amp;H40)</f>
        <v/>
      </c>
      <c r="K40" s="4"/>
      <c r="L40" s="4"/>
      <c r="M40" s="4"/>
      <c r="N40" s="4"/>
      <c r="O40" s="23" t="str">
        <f aca="false">IF(H40="","",IF(I40="","mot entier","bit "&amp;I40))</f>
        <v/>
      </c>
      <c r="P40" s="4"/>
    </row>
    <row r="41" customFormat="false" ht="15" hidden="false" customHeight="true" outlineLevel="0" collapsed="false">
      <c r="A41" s="22"/>
      <c r="B41" s="22"/>
      <c r="C41" s="23" t="str">
        <f aca="false">IFERROR(IF(OR(A41="",B41=""),"",INDEX(Equipements!$H:$H,MATCH(A41,Equipements!$A:$A,0))&amp;"."&amp;B41),"")</f>
        <v/>
      </c>
      <c r="D41" s="4"/>
      <c r="E41" s="22"/>
      <c r="F41" s="22"/>
      <c r="G41" s="22"/>
      <c r="H41" s="4"/>
      <c r="I41" s="4"/>
      <c r="J41" s="23" t="str">
        <f aca="false">IF(OR(G41="",H41=""),"","%"&amp;G41&amp;H41)</f>
        <v/>
      </c>
      <c r="K41" s="4"/>
      <c r="L41" s="4"/>
      <c r="M41" s="4"/>
      <c r="N41" s="4"/>
      <c r="O41" s="23" t="str">
        <f aca="false">IF(H41="","",IF(I41="","mot entier","bit "&amp;I41))</f>
        <v/>
      </c>
      <c r="P41" s="4"/>
    </row>
    <row r="42" customFormat="false" ht="15" hidden="false" customHeight="true" outlineLevel="0" collapsed="false">
      <c r="A42" s="22"/>
      <c r="B42" s="22"/>
      <c r="C42" s="23" t="str">
        <f aca="false">IFERROR(IF(OR(A42="",B42=""),"",INDEX(Equipements!$H:$H,MATCH(A42,Equipements!$A:$A,0))&amp;"."&amp;B42),"")</f>
        <v/>
      </c>
      <c r="D42" s="4"/>
      <c r="E42" s="22"/>
      <c r="F42" s="22"/>
      <c r="G42" s="22"/>
      <c r="H42" s="4"/>
      <c r="I42" s="4"/>
      <c r="J42" s="23" t="str">
        <f aca="false">IF(OR(G42="",H42=""),"","%"&amp;G42&amp;H42)</f>
        <v/>
      </c>
      <c r="K42" s="4"/>
      <c r="L42" s="4"/>
      <c r="M42" s="4"/>
      <c r="N42" s="4"/>
      <c r="O42" s="23" t="str">
        <f aca="false">IF(H42="","",IF(I42="","mot entier","bit "&amp;I42))</f>
        <v/>
      </c>
      <c r="P42" s="4"/>
    </row>
    <row r="43" customFormat="false" ht="15" hidden="false" customHeight="true" outlineLevel="0" collapsed="false">
      <c r="A43" s="22"/>
      <c r="B43" s="22"/>
      <c r="C43" s="23" t="str">
        <f aca="false">IFERROR(IF(OR(A43="",B43=""),"",INDEX(Equipements!$H:$H,MATCH(A43,Equipements!$A:$A,0))&amp;"."&amp;B43),"")</f>
        <v/>
      </c>
      <c r="D43" s="4"/>
      <c r="E43" s="22"/>
      <c r="F43" s="22"/>
      <c r="G43" s="22"/>
      <c r="H43" s="4"/>
      <c r="I43" s="4"/>
      <c r="J43" s="23" t="str">
        <f aca="false">IF(OR(G43="",H43=""),"","%"&amp;G43&amp;H43)</f>
        <v/>
      </c>
      <c r="K43" s="4"/>
      <c r="L43" s="4"/>
      <c r="M43" s="4"/>
      <c r="N43" s="4"/>
      <c r="O43" s="23" t="str">
        <f aca="false">IF(H43="","",IF(I43="","mot entier","bit "&amp;I43))</f>
        <v/>
      </c>
      <c r="P43" s="4"/>
    </row>
    <row r="44" customFormat="false" ht="15" hidden="false" customHeight="true" outlineLevel="0" collapsed="false">
      <c r="A44" s="22"/>
      <c r="B44" s="22"/>
      <c r="C44" s="23" t="str">
        <f aca="false">IFERROR(IF(OR(A44="",B44=""),"",INDEX(Equipements!$H:$H,MATCH(A44,Equipements!$A:$A,0))&amp;"."&amp;B44),"")</f>
        <v/>
      </c>
      <c r="D44" s="4"/>
      <c r="E44" s="22"/>
      <c r="F44" s="22"/>
      <c r="G44" s="22"/>
      <c r="H44" s="4"/>
      <c r="I44" s="4"/>
      <c r="J44" s="23" t="str">
        <f aca="false">IF(OR(G44="",H44=""),"","%"&amp;G44&amp;H44)</f>
        <v/>
      </c>
      <c r="K44" s="4"/>
      <c r="L44" s="4"/>
      <c r="M44" s="4"/>
      <c r="N44" s="4"/>
      <c r="O44" s="23" t="str">
        <f aca="false">IF(H44="","",IF(I44="","mot entier","bit "&amp;I44))</f>
        <v/>
      </c>
      <c r="P44" s="4"/>
    </row>
    <row r="45" customFormat="false" ht="15" hidden="false" customHeight="true" outlineLevel="0" collapsed="false">
      <c r="A45" s="22"/>
      <c r="B45" s="22"/>
      <c r="C45" s="23" t="str">
        <f aca="false">IFERROR(IF(OR(A45="",B45=""),"",INDEX(Equipements!$H:$H,MATCH(A45,Equipements!$A:$A,0))&amp;"."&amp;B45),"")</f>
        <v/>
      </c>
      <c r="D45" s="4"/>
      <c r="E45" s="22"/>
      <c r="F45" s="22"/>
      <c r="G45" s="22"/>
      <c r="H45" s="4"/>
      <c r="I45" s="4"/>
      <c r="J45" s="23" t="str">
        <f aca="false">IF(OR(G45="",H45=""),"","%"&amp;G45&amp;H45)</f>
        <v/>
      </c>
      <c r="K45" s="4"/>
      <c r="L45" s="4"/>
      <c r="M45" s="4"/>
      <c r="N45" s="4"/>
      <c r="O45" s="23" t="str">
        <f aca="false">IF(H45="","",IF(I45="","mot entier","bit "&amp;I45))</f>
        <v/>
      </c>
      <c r="P45" s="4"/>
    </row>
    <row r="46" customFormat="false" ht="15" hidden="false" customHeight="true" outlineLevel="0" collapsed="false">
      <c r="A46" s="22"/>
      <c r="B46" s="22"/>
      <c r="C46" s="23" t="str">
        <f aca="false">IFERROR(IF(OR(A46="",B46=""),"",INDEX(Equipements!$H:$H,MATCH(A46,Equipements!$A:$A,0))&amp;"."&amp;B46),"")</f>
        <v/>
      </c>
      <c r="D46" s="4"/>
      <c r="E46" s="22"/>
      <c r="F46" s="22"/>
      <c r="G46" s="22"/>
      <c r="H46" s="4"/>
      <c r="I46" s="4"/>
      <c r="J46" s="23" t="str">
        <f aca="false">IF(OR(G46="",H46=""),"","%"&amp;G46&amp;H46)</f>
        <v/>
      </c>
      <c r="K46" s="4"/>
      <c r="L46" s="4"/>
      <c r="M46" s="4"/>
      <c r="N46" s="4"/>
      <c r="O46" s="23" t="str">
        <f aca="false">IF(H46="","",IF(I46="","mot entier","bit "&amp;I46))</f>
        <v/>
      </c>
      <c r="P46" s="4"/>
    </row>
    <row r="47" customFormat="false" ht="15" hidden="false" customHeight="true" outlineLevel="0" collapsed="false">
      <c r="A47" s="22"/>
      <c r="B47" s="22"/>
      <c r="C47" s="23" t="str">
        <f aca="false">IFERROR(IF(OR(A47="",B47=""),"",INDEX(Equipements!$H:$H,MATCH(A47,Equipements!$A:$A,0))&amp;"."&amp;B47),"")</f>
        <v/>
      </c>
      <c r="D47" s="4"/>
      <c r="E47" s="22"/>
      <c r="F47" s="22"/>
      <c r="G47" s="22"/>
      <c r="H47" s="4"/>
      <c r="I47" s="4"/>
      <c r="J47" s="23" t="str">
        <f aca="false">IF(OR(G47="",H47=""),"","%"&amp;G47&amp;H47)</f>
        <v/>
      </c>
      <c r="K47" s="4"/>
      <c r="L47" s="4"/>
      <c r="M47" s="4"/>
      <c r="N47" s="4"/>
      <c r="O47" s="23" t="str">
        <f aca="false">IF(H47="","",IF(I47="","mot entier","bit "&amp;I47))</f>
        <v/>
      </c>
      <c r="P47" s="4"/>
    </row>
    <row r="48" customFormat="false" ht="15" hidden="false" customHeight="true" outlineLevel="0" collapsed="false">
      <c r="A48" s="22"/>
      <c r="B48" s="22"/>
      <c r="C48" s="23" t="str">
        <f aca="false">IFERROR(IF(OR(A48="",B48=""),"",INDEX(Equipements!$H:$H,MATCH(A48,Equipements!$A:$A,0))&amp;"."&amp;B48),"")</f>
        <v/>
      </c>
      <c r="D48" s="4"/>
      <c r="E48" s="22"/>
      <c r="F48" s="22"/>
      <c r="G48" s="22"/>
      <c r="H48" s="4"/>
      <c r="I48" s="4"/>
      <c r="J48" s="23" t="str">
        <f aca="false">IF(OR(G48="",H48=""),"","%"&amp;G48&amp;H48)</f>
        <v/>
      </c>
      <c r="K48" s="4"/>
      <c r="L48" s="4"/>
      <c r="M48" s="4"/>
      <c r="N48" s="4"/>
      <c r="O48" s="23" t="str">
        <f aca="false">IF(H48="","",IF(I48="","mot entier","bit "&amp;I48))</f>
        <v/>
      </c>
      <c r="P48" s="4"/>
    </row>
    <row r="49" customFormat="false" ht="15" hidden="false" customHeight="true" outlineLevel="0" collapsed="false">
      <c r="A49" s="22"/>
      <c r="B49" s="22"/>
      <c r="C49" s="23" t="str">
        <f aca="false">IFERROR(IF(OR(A49="",B49=""),"",INDEX(Equipements!$H:$H,MATCH(A49,Equipements!$A:$A,0))&amp;"."&amp;B49),"")</f>
        <v/>
      </c>
      <c r="D49" s="4"/>
      <c r="E49" s="22"/>
      <c r="F49" s="22"/>
      <c r="G49" s="22"/>
      <c r="H49" s="4"/>
      <c r="I49" s="4"/>
      <c r="J49" s="23" t="str">
        <f aca="false">IF(OR(G49="",H49=""),"","%"&amp;G49&amp;H49)</f>
        <v/>
      </c>
      <c r="K49" s="4"/>
      <c r="L49" s="4"/>
      <c r="M49" s="4"/>
      <c r="N49" s="4"/>
      <c r="O49" s="23" t="str">
        <f aca="false">IF(H49="","",IF(I49="","mot entier","bit "&amp;I49))</f>
        <v/>
      </c>
      <c r="P49" s="4"/>
    </row>
    <row r="50" customFormat="false" ht="15" hidden="false" customHeight="true" outlineLevel="0" collapsed="false">
      <c r="A50" s="22"/>
      <c r="B50" s="22"/>
      <c r="C50" s="23" t="str">
        <f aca="false">IFERROR(IF(OR(A50="",B50=""),"",INDEX(Equipements!$H:$H,MATCH(A50,Equipements!$A:$A,0))&amp;"."&amp;B50),"")</f>
        <v/>
      </c>
      <c r="D50" s="4"/>
      <c r="E50" s="22"/>
      <c r="F50" s="22"/>
      <c r="G50" s="22"/>
      <c r="H50" s="4"/>
      <c r="I50" s="4"/>
      <c r="J50" s="23" t="str">
        <f aca="false">IF(OR(G50="",H50=""),"","%"&amp;G50&amp;H50)</f>
        <v/>
      </c>
      <c r="K50" s="4"/>
      <c r="L50" s="4"/>
      <c r="M50" s="4"/>
      <c r="N50" s="4"/>
      <c r="O50" s="23" t="str">
        <f aca="false">IF(H50="","",IF(I50="","mot entier","bit "&amp;I50))</f>
        <v/>
      </c>
      <c r="P50" s="4"/>
    </row>
    <row r="51" customFormat="false" ht="15" hidden="false" customHeight="true" outlineLevel="0" collapsed="false">
      <c r="A51" s="22"/>
      <c r="B51" s="22"/>
      <c r="C51" s="23" t="str">
        <f aca="false">IFERROR(IF(OR(A51="",B51=""),"",INDEX(Equipements!$H:$H,MATCH(A51,Equipements!$A:$A,0))&amp;"."&amp;B51),"")</f>
        <v/>
      </c>
      <c r="D51" s="4"/>
      <c r="E51" s="22"/>
      <c r="F51" s="22"/>
      <c r="G51" s="22"/>
      <c r="H51" s="4"/>
      <c r="I51" s="4"/>
      <c r="J51" s="23" t="str">
        <f aca="false">IF(OR(G51="",H51=""),"","%"&amp;G51&amp;H51)</f>
        <v/>
      </c>
      <c r="K51" s="4"/>
      <c r="L51" s="4"/>
      <c r="M51" s="4"/>
      <c r="N51" s="4"/>
      <c r="O51" s="23" t="str">
        <f aca="false">IF(H51="","",IF(I51="","mot entier","bit "&amp;I51))</f>
        <v/>
      </c>
      <c r="P51" s="4"/>
    </row>
    <row r="52" customFormat="false" ht="15" hidden="false" customHeight="true" outlineLevel="0" collapsed="false">
      <c r="A52" s="22"/>
      <c r="B52" s="22"/>
      <c r="C52" s="23" t="str">
        <f aca="false">IFERROR(IF(OR(A52="",B52=""),"",INDEX(Equipements!$H:$H,MATCH(A52,Equipements!$A:$A,0))&amp;"."&amp;B52),"")</f>
        <v/>
      </c>
      <c r="D52" s="4"/>
      <c r="E52" s="22"/>
      <c r="F52" s="22"/>
      <c r="G52" s="22"/>
      <c r="H52" s="4"/>
      <c r="I52" s="4"/>
      <c r="J52" s="23" t="str">
        <f aca="false">IF(OR(G52="",H52=""),"","%"&amp;G52&amp;H52)</f>
        <v/>
      </c>
      <c r="K52" s="4"/>
      <c r="L52" s="4"/>
      <c r="M52" s="4"/>
      <c r="N52" s="4"/>
      <c r="O52" s="23" t="str">
        <f aca="false">IF(H52="","",IF(I52="","mot entier","bit "&amp;I52))</f>
        <v/>
      </c>
      <c r="P52" s="4"/>
    </row>
    <row r="53" customFormat="false" ht="15" hidden="false" customHeight="true" outlineLevel="0" collapsed="false">
      <c r="A53" s="22"/>
      <c r="B53" s="22"/>
      <c r="C53" s="23" t="str">
        <f aca="false">IFERROR(IF(OR(A53="",B53=""),"",INDEX(Equipements!$H:$H,MATCH(A53,Equipements!$A:$A,0))&amp;"."&amp;B53),"")</f>
        <v/>
      </c>
      <c r="D53" s="4"/>
      <c r="E53" s="22"/>
      <c r="F53" s="22"/>
      <c r="G53" s="22"/>
      <c r="H53" s="4"/>
      <c r="I53" s="4"/>
      <c r="J53" s="23" t="str">
        <f aca="false">IF(OR(G53="",H53=""),"","%"&amp;G53&amp;H53)</f>
        <v/>
      </c>
      <c r="K53" s="4"/>
      <c r="L53" s="4"/>
      <c r="M53" s="4"/>
      <c r="N53" s="4"/>
      <c r="O53" s="23" t="str">
        <f aca="false">IF(H53="","",IF(I53="","mot entier","bit "&amp;I53))</f>
        <v/>
      </c>
      <c r="P53" s="4"/>
    </row>
    <row r="54" customFormat="false" ht="15" hidden="false" customHeight="true" outlineLevel="0" collapsed="false">
      <c r="A54" s="22"/>
      <c r="B54" s="22"/>
      <c r="C54" s="23" t="str">
        <f aca="false">IFERROR(IF(OR(A54="",B54=""),"",INDEX(Equipements!$H:$H,MATCH(A54,Equipements!$A:$A,0))&amp;"."&amp;B54),"")</f>
        <v/>
      </c>
      <c r="D54" s="4"/>
      <c r="E54" s="22"/>
      <c r="F54" s="22"/>
      <c r="G54" s="22"/>
      <c r="H54" s="4"/>
      <c r="I54" s="4"/>
      <c r="J54" s="23" t="str">
        <f aca="false">IF(OR(G54="",H54=""),"","%"&amp;G54&amp;H54)</f>
        <v/>
      </c>
      <c r="K54" s="4"/>
      <c r="L54" s="4"/>
      <c r="M54" s="4"/>
      <c r="N54" s="4"/>
      <c r="O54" s="23" t="str">
        <f aca="false">IF(H54="","",IF(I54="","mot entier","bit "&amp;I54))</f>
        <v/>
      </c>
      <c r="P54" s="4"/>
    </row>
    <row r="55" customFormat="false" ht="15" hidden="false" customHeight="true" outlineLevel="0" collapsed="false">
      <c r="A55" s="22"/>
      <c r="B55" s="22"/>
      <c r="C55" s="23" t="str">
        <f aca="false">IFERROR(IF(OR(A55="",B55=""),"",INDEX(Equipements!$H:$H,MATCH(A55,Equipements!$A:$A,0))&amp;"."&amp;B55),"")</f>
        <v/>
      </c>
      <c r="D55" s="4"/>
      <c r="E55" s="22"/>
      <c r="F55" s="22"/>
      <c r="G55" s="22"/>
      <c r="H55" s="4"/>
      <c r="I55" s="4"/>
      <c r="J55" s="23" t="str">
        <f aca="false">IF(OR(G55="",H55=""),"","%"&amp;G55&amp;H55)</f>
        <v/>
      </c>
      <c r="K55" s="4"/>
      <c r="L55" s="4"/>
      <c r="M55" s="4"/>
      <c r="N55" s="4"/>
      <c r="O55" s="23" t="str">
        <f aca="false">IF(H55="","",IF(I55="","mot entier","bit "&amp;I55))</f>
        <v/>
      </c>
      <c r="P55" s="4"/>
    </row>
    <row r="56" customFormat="false" ht="15" hidden="false" customHeight="true" outlineLevel="0" collapsed="false">
      <c r="A56" s="22"/>
      <c r="B56" s="22"/>
      <c r="C56" s="23" t="str">
        <f aca="false">IFERROR(IF(OR(A56="",B56=""),"",INDEX(Equipements!$H:$H,MATCH(A56,Equipements!$A:$A,0))&amp;"."&amp;B56),"")</f>
        <v/>
      </c>
      <c r="D56" s="4"/>
      <c r="E56" s="22"/>
      <c r="F56" s="22"/>
      <c r="G56" s="22"/>
      <c r="H56" s="4"/>
      <c r="I56" s="4"/>
      <c r="J56" s="23" t="str">
        <f aca="false">IF(OR(G56="",H56=""),"","%"&amp;G56&amp;H56)</f>
        <v/>
      </c>
      <c r="K56" s="4"/>
      <c r="L56" s="4"/>
      <c r="M56" s="4"/>
      <c r="N56" s="4"/>
      <c r="O56" s="23" t="str">
        <f aca="false">IF(H56="","",IF(I56="","mot entier","bit "&amp;I56))</f>
        <v/>
      </c>
      <c r="P56" s="4"/>
    </row>
    <row r="57" customFormat="false" ht="15" hidden="false" customHeight="true" outlineLevel="0" collapsed="false">
      <c r="A57" s="22"/>
      <c r="B57" s="22"/>
      <c r="C57" s="23" t="str">
        <f aca="false">IFERROR(IF(OR(A57="",B57=""),"",INDEX(Equipements!$H:$H,MATCH(A57,Equipements!$A:$A,0))&amp;"."&amp;B57),"")</f>
        <v/>
      </c>
      <c r="D57" s="4"/>
      <c r="E57" s="22"/>
      <c r="F57" s="22"/>
      <c r="G57" s="22"/>
      <c r="H57" s="4"/>
      <c r="I57" s="4"/>
      <c r="J57" s="23" t="str">
        <f aca="false">IF(OR(G57="",H57=""),"","%"&amp;G57&amp;H57)</f>
        <v/>
      </c>
      <c r="K57" s="4"/>
      <c r="L57" s="4"/>
      <c r="M57" s="4"/>
      <c r="N57" s="4"/>
      <c r="O57" s="23" t="str">
        <f aca="false">IF(H57="","",IF(I57="","mot entier","bit "&amp;I57))</f>
        <v/>
      </c>
      <c r="P57" s="4"/>
    </row>
    <row r="58" customFormat="false" ht="15" hidden="false" customHeight="true" outlineLevel="0" collapsed="false">
      <c r="A58" s="22"/>
      <c r="B58" s="22"/>
      <c r="C58" s="23" t="str">
        <f aca="false">IFERROR(IF(OR(A58="",B58=""),"",INDEX(Equipements!$H:$H,MATCH(A58,Equipements!$A:$A,0))&amp;"."&amp;B58),"")</f>
        <v/>
      </c>
      <c r="D58" s="4"/>
      <c r="E58" s="22"/>
      <c r="F58" s="22"/>
      <c r="G58" s="22"/>
      <c r="H58" s="4"/>
      <c r="I58" s="4"/>
      <c r="J58" s="23" t="str">
        <f aca="false">IF(OR(G58="",H58=""),"","%"&amp;G58&amp;H58)</f>
        <v/>
      </c>
      <c r="K58" s="4"/>
      <c r="L58" s="4"/>
      <c r="M58" s="4"/>
      <c r="N58" s="4"/>
      <c r="O58" s="23" t="str">
        <f aca="false">IF(H58="","",IF(I58="","mot entier","bit "&amp;I58))</f>
        <v/>
      </c>
      <c r="P58" s="4"/>
    </row>
    <row r="59" customFormat="false" ht="15" hidden="false" customHeight="true" outlineLevel="0" collapsed="false">
      <c r="A59" s="22"/>
      <c r="B59" s="22"/>
      <c r="C59" s="23" t="str">
        <f aca="false">IFERROR(IF(OR(A59="",B59=""),"",INDEX(Equipements!$H:$H,MATCH(A59,Equipements!$A:$A,0))&amp;"."&amp;B59),"")</f>
        <v/>
      </c>
      <c r="D59" s="4"/>
      <c r="E59" s="22"/>
      <c r="F59" s="22"/>
      <c r="G59" s="22"/>
      <c r="H59" s="4"/>
      <c r="I59" s="4"/>
      <c r="J59" s="23" t="str">
        <f aca="false">IF(OR(G59="",H59=""),"","%"&amp;G59&amp;H59)</f>
        <v/>
      </c>
      <c r="K59" s="4"/>
      <c r="L59" s="4"/>
      <c r="M59" s="4"/>
      <c r="N59" s="4"/>
      <c r="O59" s="23" t="str">
        <f aca="false">IF(H59="","",IF(I59="","mot entier","bit "&amp;I59))</f>
        <v/>
      </c>
      <c r="P59" s="4"/>
    </row>
    <row r="60" customFormat="false" ht="15" hidden="false" customHeight="true" outlineLevel="0" collapsed="false">
      <c r="A60" s="22"/>
      <c r="B60" s="22"/>
      <c r="C60" s="23" t="str">
        <f aca="false">IFERROR(IF(OR(A60="",B60=""),"",INDEX(Equipements!$H:$H,MATCH(A60,Equipements!$A:$A,0))&amp;"."&amp;B60),"")</f>
        <v/>
      </c>
      <c r="D60" s="4"/>
      <c r="E60" s="22"/>
      <c r="F60" s="22"/>
      <c r="G60" s="22"/>
      <c r="H60" s="4"/>
      <c r="I60" s="4"/>
      <c r="J60" s="23" t="str">
        <f aca="false">IF(OR(G60="",H60=""),"","%"&amp;G60&amp;H60)</f>
        <v/>
      </c>
      <c r="K60" s="4"/>
      <c r="L60" s="4"/>
      <c r="M60" s="4"/>
      <c r="N60" s="4"/>
      <c r="O60" s="23" t="str">
        <f aca="false">IF(H60="","",IF(I60="","mot entier","bit "&amp;I60))</f>
        <v/>
      </c>
      <c r="P60" s="4"/>
    </row>
    <row r="61" customFormat="false" ht="15" hidden="false" customHeight="true" outlineLevel="0" collapsed="false">
      <c r="A61" s="22"/>
      <c r="B61" s="22"/>
      <c r="C61" s="23" t="str">
        <f aca="false">IFERROR(IF(OR(A61="",B61=""),"",INDEX(Equipements!$H:$H,MATCH(A61,Equipements!$A:$A,0))&amp;"."&amp;B61),"")</f>
        <v/>
      </c>
      <c r="D61" s="4"/>
      <c r="E61" s="22"/>
      <c r="F61" s="22"/>
      <c r="G61" s="22"/>
      <c r="H61" s="4"/>
      <c r="I61" s="4"/>
      <c r="J61" s="23" t="str">
        <f aca="false">IF(OR(G61="",H61=""),"","%"&amp;G61&amp;H61)</f>
        <v/>
      </c>
      <c r="K61" s="4"/>
      <c r="L61" s="4"/>
      <c r="M61" s="4"/>
      <c r="N61" s="4"/>
      <c r="O61" s="23" t="str">
        <f aca="false">IF(H61="","",IF(I61="","mot entier","bit "&amp;I61))</f>
        <v/>
      </c>
      <c r="P61" s="4"/>
    </row>
    <row r="62" customFormat="false" ht="15" hidden="false" customHeight="true" outlineLevel="0" collapsed="false">
      <c r="A62" s="22"/>
      <c r="B62" s="22"/>
      <c r="C62" s="23" t="str">
        <f aca="false">IFERROR(IF(OR(A62="",B62=""),"",INDEX(Equipements!$H:$H,MATCH(A62,Equipements!$A:$A,0))&amp;"."&amp;B62),"")</f>
        <v/>
      </c>
      <c r="D62" s="4"/>
      <c r="E62" s="22"/>
      <c r="F62" s="22"/>
      <c r="G62" s="22"/>
      <c r="H62" s="4"/>
      <c r="I62" s="4"/>
      <c r="J62" s="23" t="str">
        <f aca="false">IF(OR(G62="",H62=""),"","%"&amp;G62&amp;H62)</f>
        <v/>
      </c>
      <c r="K62" s="4"/>
      <c r="L62" s="4"/>
      <c r="M62" s="4"/>
      <c r="N62" s="4"/>
      <c r="O62" s="23" t="str">
        <f aca="false">IF(H62="","",IF(I62="","mot entier","bit "&amp;I62))</f>
        <v/>
      </c>
      <c r="P62" s="4"/>
    </row>
    <row r="63" customFormat="false" ht="15" hidden="false" customHeight="true" outlineLevel="0" collapsed="false">
      <c r="A63" s="22"/>
      <c r="B63" s="22"/>
      <c r="C63" s="23" t="str">
        <f aca="false">IFERROR(IF(OR(A63="",B63=""),"",INDEX(Equipements!$H:$H,MATCH(A63,Equipements!$A:$A,0))&amp;"."&amp;B63),"")</f>
        <v/>
      </c>
      <c r="D63" s="4"/>
      <c r="E63" s="22"/>
      <c r="F63" s="22"/>
      <c r="G63" s="22"/>
      <c r="H63" s="4"/>
      <c r="I63" s="4"/>
      <c r="J63" s="23" t="str">
        <f aca="false">IF(OR(G63="",H63=""),"","%"&amp;G63&amp;H63)</f>
        <v/>
      </c>
      <c r="K63" s="4"/>
      <c r="L63" s="4"/>
      <c r="M63" s="4"/>
      <c r="N63" s="4"/>
      <c r="O63" s="23" t="str">
        <f aca="false">IF(H63="","",IF(I63="","mot entier","bit "&amp;I63))</f>
        <v/>
      </c>
      <c r="P63" s="4"/>
    </row>
    <row r="64" customFormat="false" ht="15" hidden="false" customHeight="true" outlineLevel="0" collapsed="false">
      <c r="A64" s="22"/>
      <c r="B64" s="22"/>
      <c r="C64" s="23" t="str">
        <f aca="false">IFERROR(IF(OR(A64="",B64=""),"",INDEX(Equipements!$H:$H,MATCH(A64,Equipements!$A:$A,0))&amp;"."&amp;B64),"")</f>
        <v/>
      </c>
      <c r="D64" s="4"/>
      <c r="E64" s="22"/>
      <c r="F64" s="22"/>
      <c r="G64" s="22"/>
      <c r="H64" s="4"/>
      <c r="I64" s="4"/>
      <c r="J64" s="23" t="str">
        <f aca="false">IF(OR(G64="",H64=""),"","%"&amp;G64&amp;H64)</f>
        <v/>
      </c>
      <c r="K64" s="4"/>
      <c r="L64" s="4"/>
      <c r="M64" s="4"/>
      <c r="N64" s="4"/>
      <c r="O64" s="23" t="str">
        <f aca="false">IF(H64="","",IF(I64="","mot entier","bit "&amp;I64))</f>
        <v/>
      </c>
      <c r="P64" s="4"/>
    </row>
    <row r="65" customFormat="false" ht="15" hidden="false" customHeight="true" outlineLevel="0" collapsed="false">
      <c r="A65" s="22"/>
      <c r="B65" s="22"/>
      <c r="C65" s="23" t="str">
        <f aca="false">IFERROR(IF(OR(A65="",B65=""),"",INDEX(Equipements!$H:$H,MATCH(A65,Equipements!$A:$A,0))&amp;"."&amp;B65),"")</f>
        <v/>
      </c>
      <c r="D65" s="4"/>
      <c r="E65" s="22"/>
      <c r="F65" s="22"/>
      <c r="G65" s="22"/>
      <c r="H65" s="4"/>
      <c r="I65" s="4"/>
      <c r="J65" s="23" t="str">
        <f aca="false">IF(OR(G65="",H65=""),"","%"&amp;G65&amp;H65)</f>
        <v/>
      </c>
      <c r="K65" s="4"/>
      <c r="L65" s="4"/>
      <c r="M65" s="4"/>
      <c r="N65" s="4"/>
      <c r="O65" s="23" t="str">
        <f aca="false">IF(H65="","",IF(I65="","mot entier","bit "&amp;I65))</f>
        <v/>
      </c>
      <c r="P65" s="4"/>
    </row>
    <row r="66" customFormat="false" ht="15" hidden="false" customHeight="true" outlineLevel="0" collapsed="false">
      <c r="A66" s="22"/>
      <c r="B66" s="22"/>
      <c r="C66" s="23" t="str">
        <f aca="false">IFERROR(IF(OR(A66="",B66=""),"",INDEX(Equipements!$H:$H,MATCH(A66,Equipements!$A:$A,0))&amp;"."&amp;B66),"")</f>
        <v/>
      </c>
      <c r="D66" s="4"/>
      <c r="E66" s="22"/>
      <c r="F66" s="22"/>
      <c r="G66" s="22"/>
      <c r="H66" s="4"/>
      <c r="I66" s="4"/>
      <c r="J66" s="23" t="str">
        <f aca="false">IF(OR(G66="",H66=""),"","%"&amp;G66&amp;H66)</f>
        <v/>
      </c>
      <c r="K66" s="4"/>
      <c r="L66" s="4"/>
      <c r="M66" s="4"/>
      <c r="N66" s="4"/>
      <c r="O66" s="23" t="str">
        <f aca="false">IF(H66="","",IF(I66="","mot entier","bit "&amp;I66))</f>
        <v/>
      </c>
      <c r="P66" s="4"/>
    </row>
    <row r="67" customFormat="false" ht="15" hidden="false" customHeight="true" outlineLevel="0" collapsed="false">
      <c r="A67" s="22"/>
      <c r="B67" s="22"/>
      <c r="C67" s="23" t="str">
        <f aca="false">IFERROR(IF(OR(A67="",B67=""),"",INDEX(Equipements!$H:$H,MATCH(A67,Equipements!$A:$A,0))&amp;"."&amp;B67),"")</f>
        <v/>
      </c>
      <c r="D67" s="4"/>
      <c r="E67" s="22"/>
      <c r="F67" s="22"/>
      <c r="G67" s="22"/>
      <c r="H67" s="4"/>
      <c r="I67" s="4"/>
      <c r="J67" s="23" t="str">
        <f aca="false">IF(OR(G67="",H67=""),"","%"&amp;G67&amp;H67)</f>
        <v/>
      </c>
      <c r="K67" s="4"/>
      <c r="L67" s="4"/>
      <c r="M67" s="4"/>
      <c r="N67" s="4"/>
      <c r="O67" s="23" t="str">
        <f aca="false">IF(H67="","",IF(I67="","mot entier","bit "&amp;I67))</f>
        <v/>
      </c>
      <c r="P67" s="4"/>
    </row>
    <row r="68" customFormat="false" ht="15" hidden="false" customHeight="true" outlineLevel="0" collapsed="false">
      <c r="A68" s="22"/>
      <c r="B68" s="22"/>
      <c r="C68" s="23" t="str">
        <f aca="false">IFERROR(IF(OR(A68="",B68=""),"",INDEX(Equipements!$H:$H,MATCH(A68,Equipements!$A:$A,0))&amp;"."&amp;B68),"")</f>
        <v/>
      </c>
      <c r="D68" s="4"/>
      <c r="E68" s="22"/>
      <c r="F68" s="22"/>
      <c r="G68" s="22"/>
      <c r="H68" s="4"/>
      <c r="I68" s="4"/>
      <c r="J68" s="23" t="str">
        <f aca="false">IF(OR(G68="",H68=""),"","%"&amp;G68&amp;H68)</f>
        <v/>
      </c>
      <c r="K68" s="4"/>
      <c r="L68" s="4"/>
      <c r="M68" s="4"/>
      <c r="N68" s="4"/>
      <c r="O68" s="23" t="str">
        <f aca="false">IF(H68="","",IF(I68="","mot entier","bit "&amp;I68))</f>
        <v/>
      </c>
      <c r="P68" s="4"/>
    </row>
    <row r="69" customFormat="false" ht="15" hidden="false" customHeight="true" outlineLevel="0" collapsed="false">
      <c r="A69" s="22"/>
      <c r="B69" s="22"/>
      <c r="C69" s="23" t="str">
        <f aca="false">IFERROR(IF(OR(A69="",B69=""),"",INDEX(Equipements!$H:$H,MATCH(A69,Equipements!$A:$A,0))&amp;"."&amp;B69),"")</f>
        <v/>
      </c>
      <c r="D69" s="4"/>
      <c r="E69" s="22"/>
      <c r="F69" s="22"/>
      <c r="G69" s="22"/>
      <c r="H69" s="4"/>
      <c r="I69" s="4"/>
      <c r="J69" s="23" t="str">
        <f aca="false">IF(OR(G69="",H69=""),"","%"&amp;G69&amp;H69)</f>
        <v/>
      </c>
      <c r="K69" s="4"/>
      <c r="L69" s="4"/>
      <c r="M69" s="4"/>
      <c r="N69" s="4"/>
      <c r="O69" s="23" t="str">
        <f aca="false">IF(H69="","",IF(I69="","mot entier","bit "&amp;I69))</f>
        <v/>
      </c>
      <c r="P69" s="4"/>
    </row>
    <row r="70" customFormat="false" ht="15" hidden="false" customHeight="true" outlineLevel="0" collapsed="false">
      <c r="A70" s="22"/>
      <c r="B70" s="22"/>
      <c r="C70" s="23" t="str">
        <f aca="false">IFERROR(IF(OR(A70="",B70=""),"",INDEX(Equipements!$H:$H,MATCH(A70,Equipements!$A:$A,0))&amp;"."&amp;B70),"")</f>
        <v/>
      </c>
      <c r="D70" s="4"/>
      <c r="E70" s="22"/>
      <c r="F70" s="22"/>
      <c r="G70" s="22"/>
      <c r="H70" s="4"/>
      <c r="I70" s="4"/>
      <c r="J70" s="23" t="str">
        <f aca="false">IF(OR(G70="",H70=""),"","%"&amp;G70&amp;H70)</f>
        <v/>
      </c>
      <c r="K70" s="4"/>
      <c r="L70" s="4"/>
      <c r="M70" s="4"/>
      <c r="N70" s="4"/>
      <c r="O70" s="23" t="str">
        <f aca="false">IF(H70="","",IF(I70="","mot entier","bit "&amp;I70))</f>
        <v/>
      </c>
      <c r="P70" s="4"/>
    </row>
    <row r="71" customFormat="false" ht="15" hidden="false" customHeight="true" outlineLevel="0" collapsed="false">
      <c r="A71" s="22"/>
      <c r="B71" s="22"/>
      <c r="C71" s="23" t="str">
        <f aca="false">IFERROR(IF(OR(A71="",B71=""),"",INDEX(Equipements!$H:$H,MATCH(A71,Equipements!$A:$A,0))&amp;"."&amp;B71),"")</f>
        <v/>
      </c>
      <c r="D71" s="4"/>
      <c r="E71" s="22"/>
      <c r="F71" s="22"/>
      <c r="G71" s="22"/>
      <c r="H71" s="4"/>
      <c r="I71" s="4"/>
      <c r="J71" s="23" t="str">
        <f aca="false">IF(OR(G71="",H71=""),"","%"&amp;G71&amp;H71)</f>
        <v/>
      </c>
      <c r="K71" s="4"/>
      <c r="L71" s="4"/>
      <c r="M71" s="4"/>
      <c r="N71" s="4"/>
      <c r="O71" s="23" t="str">
        <f aca="false">IF(H71="","",IF(I71="","mot entier","bit "&amp;I71))</f>
        <v/>
      </c>
      <c r="P71" s="4"/>
    </row>
    <row r="72" customFormat="false" ht="15" hidden="false" customHeight="true" outlineLevel="0" collapsed="false">
      <c r="A72" s="22"/>
      <c r="B72" s="22"/>
      <c r="C72" s="23" t="str">
        <f aca="false">IFERROR(IF(OR(A72="",B72=""),"",INDEX(Equipements!$H:$H,MATCH(A72,Equipements!$A:$A,0))&amp;"."&amp;B72),"")</f>
        <v/>
      </c>
      <c r="D72" s="4"/>
      <c r="E72" s="22"/>
      <c r="F72" s="22"/>
      <c r="G72" s="22"/>
      <c r="H72" s="4"/>
      <c r="I72" s="4"/>
      <c r="J72" s="23" t="str">
        <f aca="false">IF(OR(G72="",H72=""),"","%"&amp;G72&amp;H72)</f>
        <v/>
      </c>
      <c r="K72" s="4"/>
      <c r="L72" s="4"/>
      <c r="M72" s="4"/>
      <c r="N72" s="4"/>
      <c r="O72" s="23" t="str">
        <f aca="false">IF(H72="","",IF(I72="","mot entier","bit "&amp;I72))</f>
        <v/>
      </c>
      <c r="P72" s="4"/>
    </row>
    <row r="73" customFormat="false" ht="15" hidden="false" customHeight="true" outlineLevel="0" collapsed="false">
      <c r="A73" s="22"/>
      <c r="B73" s="22"/>
      <c r="C73" s="23" t="str">
        <f aca="false">IFERROR(IF(OR(A73="",B73=""),"",INDEX(Equipements!$H:$H,MATCH(A73,Equipements!$A:$A,0))&amp;"."&amp;B73),"")</f>
        <v/>
      </c>
      <c r="D73" s="4"/>
      <c r="E73" s="22"/>
      <c r="F73" s="22"/>
      <c r="G73" s="22"/>
      <c r="H73" s="4"/>
      <c r="I73" s="4"/>
      <c r="J73" s="23" t="str">
        <f aca="false">IF(OR(G73="",H73=""),"","%"&amp;G73&amp;H73)</f>
        <v/>
      </c>
      <c r="K73" s="4"/>
      <c r="L73" s="4"/>
      <c r="M73" s="4"/>
      <c r="N73" s="4"/>
      <c r="O73" s="23" t="str">
        <f aca="false">IF(H73="","",IF(I73="","mot entier","bit "&amp;I73))</f>
        <v/>
      </c>
      <c r="P73" s="4"/>
    </row>
    <row r="74" customFormat="false" ht="15" hidden="false" customHeight="true" outlineLevel="0" collapsed="false">
      <c r="A74" s="22"/>
      <c r="B74" s="22"/>
      <c r="C74" s="23" t="str">
        <f aca="false">IFERROR(IF(OR(A74="",B74=""),"",INDEX(Equipements!$H:$H,MATCH(A74,Equipements!$A:$A,0))&amp;"."&amp;B74),"")</f>
        <v/>
      </c>
      <c r="D74" s="4"/>
      <c r="E74" s="22"/>
      <c r="F74" s="22"/>
      <c r="G74" s="22"/>
      <c r="H74" s="4"/>
      <c r="I74" s="4"/>
      <c r="J74" s="23" t="str">
        <f aca="false">IF(OR(G74="",H74=""),"","%"&amp;G74&amp;H74)</f>
        <v/>
      </c>
      <c r="K74" s="4"/>
      <c r="L74" s="4"/>
      <c r="M74" s="4"/>
      <c r="N74" s="4"/>
      <c r="O74" s="23" t="str">
        <f aca="false">IF(H74="","",IF(I74="","mot entier","bit "&amp;I74))</f>
        <v/>
      </c>
      <c r="P74" s="4"/>
    </row>
    <row r="75" customFormat="false" ht="15" hidden="false" customHeight="true" outlineLevel="0" collapsed="false">
      <c r="A75" s="22"/>
      <c r="B75" s="22"/>
      <c r="C75" s="23" t="str">
        <f aca="false">IFERROR(IF(OR(A75="",B75=""),"",INDEX(Equipements!$H:$H,MATCH(A75,Equipements!$A:$A,0))&amp;"."&amp;B75),"")</f>
        <v/>
      </c>
      <c r="D75" s="4"/>
      <c r="E75" s="22"/>
      <c r="F75" s="22"/>
      <c r="G75" s="22"/>
      <c r="H75" s="4"/>
      <c r="I75" s="4"/>
      <c r="J75" s="23" t="str">
        <f aca="false">IF(OR(G75="",H75=""),"","%"&amp;G75&amp;H75)</f>
        <v/>
      </c>
      <c r="K75" s="4"/>
      <c r="L75" s="4"/>
      <c r="M75" s="4"/>
      <c r="N75" s="4"/>
      <c r="O75" s="23" t="str">
        <f aca="false">IF(H75="","",IF(I75="","mot entier","bit "&amp;I75))</f>
        <v/>
      </c>
      <c r="P75" s="4"/>
    </row>
    <row r="76" customFormat="false" ht="15" hidden="false" customHeight="true" outlineLevel="0" collapsed="false">
      <c r="A76" s="22"/>
      <c r="B76" s="22"/>
      <c r="C76" s="23" t="str">
        <f aca="false">IFERROR(IF(OR(A76="",B76=""),"",INDEX(Equipements!$H:$H,MATCH(A76,Equipements!$A:$A,0))&amp;"."&amp;B76),"")</f>
        <v/>
      </c>
      <c r="D76" s="4"/>
      <c r="E76" s="22"/>
      <c r="F76" s="22"/>
      <c r="G76" s="22"/>
      <c r="H76" s="4"/>
      <c r="I76" s="4"/>
      <c r="J76" s="23" t="str">
        <f aca="false">IF(OR(G76="",H76=""),"","%"&amp;G76&amp;H76)</f>
        <v/>
      </c>
      <c r="K76" s="4"/>
      <c r="L76" s="4"/>
      <c r="M76" s="4"/>
      <c r="N76" s="4"/>
      <c r="O76" s="23" t="str">
        <f aca="false">IF(H76="","",IF(I76="","mot entier","bit "&amp;I76))</f>
        <v/>
      </c>
      <c r="P76" s="4"/>
    </row>
    <row r="77" customFormat="false" ht="15" hidden="false" customHeight="true" outlineLevel="0" collapsed="false">
      <c r="A77" s="22"/>
      <c r="B77" s="22"/>
      <c r="C77" s="23" t="str">
        <f aca="false">IFERROR(IF(OR(A77="",B77=""),"",INDEX(Equipements!$H:$H,MATCH(A77,Equipements!$A:$A,0))&amp;"."&amp;B77),"")</f>
        <v/>
      </c>
      <c r="D77" s="4"/>
      <c r="E77" s="22"/>
      <c r="F77" s="22"/>
      <c r="G77" s="22"/>
      <c r="H77" s="4"/>
      <c r="I77" s="4"/>
      <c r="J77" s="23" t="str">
        <f aca="false">IF(OR(G77="",H77=""),"","%"&amp;G77&amp;H77)</f>
        <v/>
      </c>
      <c r="K77" s="4"/>
      <c r="L77" s="4"/>
      <c r="M77" s="4"/>
      <c r="N77" s="4"/>
      <c r="O77" s="23" t="str">
        <f aca="false">IF(H77="","",IF(I77="","mot entier","bit "&amp;I77))</f>
        <v/>
      </c>
      <c r="P77" s="4"/>
    </row>
    <row r="78" customFormat="false" ht="15" hidden="false" customHeight="true" outlineLevel="0" collapsed="false">
      <c r="A78" s="22"/>
      <c r="B78" s="22"/>
      <c r="C78" s="23" t="str">
        <f aca="false">IFERROR(IF(OR(A78="",B78=""),"",INDEX(Equipements!$H:$H,MATCH(A78,Equipements!$A:$A,0))&amp;"."&amp;B78),"")</f>
        <v/>
      </c>
      <c r="D78" s="4"/>
      <c r="E78" s="22"/>
      <c r="F78" s="22"/>
      <c r="G78" s="22"/>
      <c r="H78" s="4"/>
      <c r="I78" s="4"/>
      <c r="J78" s="23" t="str">
        <f aca="false">IF(OR(G78="",H78=""),"","%"&amp;G78&amp;H78)</f>
        <v/>
      </c>
      <c r="K78" s="4"/>
      <c r="L78" s="4"/>
      <c r="M78" s="4"/>
      <c r="N78" s="4"/>
      <c r="O78" s="23" t="str">
        <f aca="false">IF(H78="","",IF(I78="","mot entier","bit "&amp;I78))</f>
        <v/>
      </c>
      <c r="P78" s="4"/>
    </row>
    <row r="79" customFormat="false" ht="15" hidden="false" customHeight="true" outlineLevel="0" collapsed="false">
      <c r="A79" s="22"/>
      <c r="B79" s="22"/>
      <c r="C79" s="23" t="str">
        <f aca="false">IFERROR(IF(OR(A79="",B79=""),"",INDEX(Equipements!$H:$H,MATCH(A79,Equipements!$A:$A,0))&amp;"."&amp;B79),"")</f>
        <v/>
      </c>
      <c r="D79" s="4"/>
      <c r="E79" s="22"/>
      <c r="F79" s="22"/>
      <c r="G79" s="22"/>
      <c r="H79" s="4"/>
      <c r="I79" s="4"/>
      <c r="J79" s="23" t="str">
        <f aca="false">IF(OR(G79="",H79=""),"","%"&amp;G79&amp;H79)</f>
        <v/>
      </c>
      <c r="K79" s="4"/>
      <c r="L79" s="4"/>
      <c r="M79" s="4"/>
      <c r="N79" s="4"/>
      <c r="O79" s="23" t="str">
        <f aca="false">IF(H79="","",IF(I79="","mot entier","bit "&amp;I79))</f>
        <v/>
      </c>
      <c r="P79" s="4"/>
    </row>
    <row r="80" customFormat="false" ht="15" hidden="false" customHeight="true" outlineLevel="0" collapsed="false">
      <c r="A80" s="22"/>
      <c r="B80" s="22"/>
      <c r="C80" s="23" t="str">
        <f aca="false">IFERROR(IF(OR(A80="",B80=""),"",INDEX(Equipements!$H:$H,MATCH(A80,Equipements!$A:$A,0))&amp;"."&amp;B80),"")</f>
        <v/>
      </c>
      <c r="D80" s="4"/>
      <c r="E80" s="22"/>
      <c r="F80" s="22"/>
      <c r="G80" s="22"/>
      <c r="H80" s="4"/>
      <c r="I80" s="4"/>
      <c r="J80" s="23" t="str">
        <f aca="false">IF(OR(G80="",H80=""),"","%"&amp;G80&amp;H80)</f>
        <v/>
      </c>
      <c r="K80" s="4"/>
      <c r="L80" s="4"/>
      <c r="M80" s="4"/>
      <c r="N80" s="4"/>
      <c r="O80" s="23" t="str">
        <f aca="false">IF(H80="","",IF(I80="","mot entier","bit "&amp;I80))</f>
        <v/>
      </c>
      <c r="P80" s="4"/>
    </row>
    <row r="81" customFormat="false" ht="15" hidden="false" customHeight="true" outlineLevel="0" collapsed="false">
      <c r="A81" s="22"/>
      <c r="B81" s="22"/>
      <c r="C81" s="23" t="str">
        <f aca="false">IFERROR(IF(OR(A81="",B81=""),"",INDEX(Equipements!$H:$H,MATCH(A81,Equipements!$A:$A,0))&amp;"."&amp;B81),"")</f>
        <v/>
      </c>
      <c r="D81" s="4"/>
      <c r="E81" s="22"/>
      <c r="F81" s="22"/>
      <c r="G81" s="22"/>
      <c r="H81" s="4"/>
      <c r="I81" s="4"/>
      <c r="J81" s="23" t="str">
        <f aca="false">IF(OR(G81="",H81=""),"","%"&amp;G81&amp;H81)</f>
        <v/>
      </c>
      <c r="K81" s="4"/>
      <c r="L81" s="4"/>
      <c r="M81" s="4"/>
      <c r="N81" s="4"/>
      <c r="O81" s="23" t="str">
        <f aca="false">IF(H81="","",IF(I81="","mot entier","bit "&amp;I81))</f>
        <v/>
      </c>
      <c r="P81" s="4"/>
    </row>
    <row r="82" customFormat="false" ht="15" hidden="false" customHeight="true" outlineLevel="0" collapsed="false">
      <c r="A82" s="22"/>
      <c r="B82" s="22"/>
      <c r="C82" s="23" t="str">
        <f aca="false">IFERROR(IF(OR(A82="",B82=""),"",INDEX(Equipements!$H:$H,MATCH(A82,Equipements!$A:$A,0))&amp;"."&amp;B82),"")</f>
        <v/>
      </c>
      <c r="D82" s="4"/>
      <c r="E82" s="22"/>
      <c r="F82" s="22"/>
      <c r="G82" s="22"/>
      <c r="H82" s="4"/>
      <c r="I82" s="4"/>
      <c r="J82" s="23" t="str">
        <f aca="false">IF(OR(G82="",H82=""),"","%"&amp;G82&amp;H82)</f>
        <v/>
      </c>
      <c r="K82" s="4"/>
      <c r="L82" s="4"/>
      <c r="M82" s="4"/>
      <c r="N82" s="4"/>
      <c r="O82" s="23" t="str">
        <f aca="false">IF(H82="","",IF(I82="","mot entier","bit "&amp;I82))</f>
        <v/>
      </c>
      <c r="P82" s="4"/>
    </row>
    <row r="83" customFormat="false" ht="15" hidden="false" customHeight="true" outlineLevel="0" collapsed="false">
      <c r="A83" s="22"/>
      <c r="B83" s="22"/>
      <c r="C83" s="23" t="str">
        <f aca="false">IFERROR(IF(OR(A83="",B83=""),"",INDEX(Equipements!$H:$H,MATCH(A83,Equipements!$A:$A,0))&amp;"."&amp;B83),"")</f>
        <v/>
      </c>
      <c r="D83" s="4"/>
      <c r="E83" s="22"/>
      <c r="F83" s="22"/>
      <c r="G83" s="22"/>
      <c r="H83" s="4"/>
      <c r="I83" s="4"/>
      <c r="J83" s="23" t="str">
        <f aca="false">IF(OR(G83="",H83=""),"","%"&amp;G83&amp;H83)</f>
        <v/>
      </c>
      <c r="K83" s="4"/>
      <c r="L83" s="4"/>
      <c r="M83" s="4"/>
      <c r="N83" s="4"/>
      <c r="O83" s="23" t="str">
        <f aca="false">IF(H83="","",IF(I83="","mot entier","bit "&amp;I83))</f>
        <v/>
      </c>
      <c r="P83" s="4"/>
    </row>
    <row r="84" customFormat="false" ht="15" hidden="false" customHeight="true" outlineLevel="0" collapsed="false">
      <c r="A84" s="22"/>
      <c r="B84" s="22"/>
      <c r="C84" s="23" t="str">
        <f aca="false">IFERROR(IF(OR(A84="",B84=""),"",INDEX(Equipements!$H:$H,MATCH(A84,Equipements!$A:$A,0))&amp;"."&amp;B84),"")</f>
        <v/>
      </c>
      <c r="D84" s="4"/>
      <c r="E84" s="22"/>
      <c r="F84" s="22"/>
      <c r="G84" s="22"/>
      <c r="H84" s="4"/>
      <c r="I84" s="4"/>
      <c r="J84" s="23" t="str">
        <f aca="false">IF(OR(G84="",H84=""),"","%"&amp;G84&amp;H84)</f>
        <v/>
      </c>
      <c r="K84" s="4"/>
      <c r="L84" s="4"/>
      <c r="M84" s="4"/>
      <c r="N84" s="4"/>
      <c r="O84" s="23" t="str">
        <f aca="false">IF(H84="","",IF(I84="","mot entier","bit "&amp;I84))</f>
        <v/>
      </c>
      <c r="P84" s="4"/>
    </row>
    <row r="85" customFormat="false" ht="15" hidden="false" customHeight="true" outlineLevel="0" collapsed="false">
      <c r="A85" s="22"/>
      <c r="B85" s="22"/>
      <c r="C85" s="23" t="str">
        <f aca="false">IFERROR(IF(OR(A85="",B85=""),"",INDEX(Equipements!$H:$H,MATCH(A85,Equipements!$A:$A,0))&amp;"."&amp;B85),"")</f>
        <v/>
      </c>
      <c r="D85" s="4"/>
      <c r="E85" s="22"/>
      <c r="F85" s="22"/>
      <c r="G85" s="22"/>
      <c r="H85" s="4"/>
      <c r="I85" s="4"/>
      <c r="J85" s="23" t="str">
        <f aca="false">IF(OR(G85="",H85=""),"","%"&amp;G85&amp;H85)</f>
        <v/>
      </c>
      <c r="K85" s="4"/>
      <c r="L85" s="4"/>
      <c r="M85" s="4"/>
      <c r="N85" s="4"/>
      <c r="O85" s="23" t="str">
        <f aca="false">IF(H85="","",IF(I85="","mot entier","bit "&amp;I85))</f>
        <v/>
      </c>
      <c r="P85" s="4"/>
    </row>
    <row r="86" customFormat="false" ht="15" hidden="false" customHeight="true" outlineLevel="0" collapsed="false">
      <c r="A86" s="22"/>
      <c r="B86" s="22"/>
      <c r="C86" s="23" t="str">
        <f aca="false">IFERROR(IF(OR(A86="",B86=""),"",INDEX(Equipements!$H:$H,MATCH(A86,Equipements!$A:$A,0))&amp;"."&amp;B86),"")</f>
        <v/>
      </c>
      <c r="D86" s="4"/>
      <c r="E86" s="22"/>
      <c r="F86" s="22"/>
      <c r="G86" s="22"/>
      <c r="H86" s="4"/>
      <c r="I86" s="4"/>
      <c r="J86" s="23" t="str">
        <f aca="false">IF(OR(G86="",H86=""),"","%"&amp;G86&amp;H86)</f>
        <v/>
      </c>
      <c r="K86" s="4"/>
      <c r="L86" s="4"/>
      <c r="M86" s="4"/>
      <c r="N86" s="4"/>
      <c r="O86" s="23" t="str">
        <f aca="false">IF(H86="","",IF(I86="","mot entier","bit "&amp;I86))</f>
        <v/>
      </c>
      <c r="P86" s="4"/>
    </row>
    <row r="87" customFormat="false" ht="15" hidden="false" customHeight="true" outlineLevel="0" collapsed="false">
      <c r="A87" s="22"/>
      <c r="B87" s="22"/>
      <c r="C87" s="23" t="str">
        <f aca="false">IFERROR(IF(OR(A87="",B87=""),"",INDEX(Equipements!$H:$H,MATCH(A87,Equipements!$A:$A,0))&amp;"."&amp;B87),"")</f>
        <v/>
      </c>
      <c r="D87" s="4"/>
      <c r="E87" s="22"/>
      <c r="F87" s="22"/>
      <c r="G87" s="22"/>
      <c r="H87" s="4"/>
      <c r="I87" s="4"/>
      <c r="J87" s="23" t="str">
        <f aca="false">IF(OR(G87="",H87=""),"","%"&amp;G87&amp;H87)</f>
        <v/>
      </c>
      <c r="K87" s="4"/>
      <c r="L87" s="4"/>
      <c r="M87" s="4"/>
      <c r="N87" s="4"/>
      <c r="O87" s="23" t="str">
        <f aca="false">IF(H87="","",IF(I87="","mot entier","bit "&amp;I87))</f>
        <v/>
      </c>
      <c r="P87" s="4"/>
    </row>
    <row r="88" customFormat="false" ht="15" hidden="false" customHeight="true" outlineLevel="0" collapsed="false">
      <c r="A88" s="22"/>
      <c r="B88" s="22"/>
      <c r="C88" s="23" t="str">
        <f aca="false">IFERROR(IF(OR(A88="",B88=""),"",INDEX(Equipements!$H:$H,MATCH(A88,Equipements!$A:$A,0))&amp;"."&amp;B88),"")</f>
        <v/>
      </c>
      <c r="D88" s="4"/>
      <c r="E88" s="22"/>
      <c r="F88" s="22"/>
      <c r="G88" s="22"/>
      <c r="H88" s="4"/>
      <c r="I88" s="4"/>
      <c r="J88" s="23" t="str">
        <f aca="false">IF(OR(G88="",H88=""),"","%"&amp;G88&amp;H88)</f>
        <v/>
      </c>
      <c r="K88" s="4"/>
      <c r="L88" s="4"/>
      <c r="M88" s="4"/>
      <c r="N88" s="4"/>
      <c r="O88" s="23" t="str">
        <f aca="false">IF(H88="","",IF(I88="","mot entier","bit "&amp;I88))</f>
        <v/>
      </c>
      <c r="P88" s="4"/>
    </row>
    <row r="89" customFormat="false" ht="15" hidden="false" customHeight="true" outlineLevel="0" collapsed="false">
      <c r="A89" s="22"/>
      <c r="B89" s="22"/>
      <c r="C89" s="23" t="str">
        <f aca="false">IFERROR(IF(OR(A89="",B89=""),"",INDEX(Equipements!$H:$H,MATCH(A89,Equipements!$A:$A,0))&amp;"."&amp;B89),"")</f>
        <v/>
      </c>
      <c r="D89" s="4"/>
      <c r="E89" s="22"/>
      <c r="F89" s="22"/>
      <c r="G89" s="22"/>
      <c r="H89" s="4"/>
      <c r="I89" s="4"/>
      <c r="J89" s="23" t="str">
        <f aca="false">IF(OR(G89="",H89=""),"","%"&amp;G89&amp;H89)</f>
        <v/>
      </c>
      <c r="K89" s="4"/>
      <c r="L89" s="4"/>
      <c r="M89" s="4"/>
      <c r="N89" s="4"/>
      <c r="O89" s="23" t="str">
        <f aca="false">IF(H89="","",IF(I89="","mot entier","bit "&amp;I89))</f>
        <v/>
      </c>
      <c r="P89" s="4"/>
    </row>
    <row r="90" customFormat="false" ht="15" hidden="false" customHeight="true" outlineLevel="0" collapsed="false">
      <c r="A90" s="22"/>
      <c r="B90" s="22"/>
      <c r="C90" s="23" t="str">
        <f aca="false">IFERROR(IF(OR(A90="",B90=""),"",INDEX(Equipements!$H:$H,MATCH(A90,Equipements!$A:$A,0))&amp;"."&amp;B90),"")</f>
        <v/>
      </c>
      <c r="D90" s="4"/>
      <c r="E90" s="22"/>
      <c r="F90" s="22"/>
      <c r="G90" s="22"/>
      <c r="H90" s="4"/>
      <c r="I90" s="4"/>
      <c r="J90" s="23" t="str">
        <f aca="false">IF(OR(G90="",H90=""),"","%"&amp;G90&amp;H90)</f>
        <v/>
      </c>
      <c r="K90" s="4"/>
      <c r="L90" s="4"/>
      <c r="M90" s="4"/>
      <c r="N90" s="4"/>
      <c r="O90" s="23" t="str">
        <f aca="false">IF(H90="","",IF(I90="","mot entier","bit "&amp;I90))</f>
        <v/>
      </c>
      <c r="P90" s="4"/>
    </row>
    <row r="91" customFormat="false" ht="15" hidden="false" customHeight="true" outlineLevel="0" collapsed="false">
      <c r="A91" s="22"/>
      <c r="B91" s="22"/>
      <c r="C91" s="23" t="str">
        <f aca="false">IFERROR(IF(OR(A91="",B91=""),"",INDEX(Equipements!$H:$H,MATCH(A91,Equipements!$A:$A,0))&amp;"."&amp;B91),"")</f>
        <v/>
      </c>
      <c r="D91" s="4"/>
      <c r="E91" s="22"/>
      <c r="F91" s="22"/>
      <c r="G91" s="22"/>
      <c r="H91" s="4"/>
      <c r="I91" s="4"/>
      <c r="J91" s="23" t="str">
        <f aca="false">IF(OR(G91="",H91=""),"","%"&amp;G91&amp;H91)</f>
        <v/>
      </c>
      <c r="K91" s="4"/>
      <c r="L91" s="4"/>
      <c r="M91" s="4"/>
      <c r="N91" s="4"/>
      <c r="O91" s="23" t="str">
        <f aca="false">IF(H91="","",IF(I91="","mot entier","bit "&amp;I91))</f>
        <v/>
      </c>
      <c r="P91" s="4"/>
    </row>
    <row r="92" customFormat="false" ht="15" hidden="false" customHeight="true" outlineLevel="0" collapsed="false">
      <c r="A92" s="22"/>
      <c r="B92" s="22"/>
      <c r="C92" s="23" t="str">
        <f aca="false">IFERROR(IF(OR(A92="",B92=""),"",INDEX(Equipements!$H:$H,MATCH(A92,Equipements!$A:$A,0))&amp;"."&amp;B92),"")</f>
        <v/>
      </c>
      <c r="D92" s="4"/>
      <c r="E92" s="22"/>
      <c r="F92" s="22"/>
      <c r="G92" s="22"/>
      <c r="H92" s="4"/>
      <c r="I92" s="4"/>
      <c r="J92" s="23" t="str">
        <f aca="false">IF(OR(G92="",H92=""),"","%"&amp;G92&amp;H92)</f>
        <v/>
      </c>
      <c r="K92" s="4"/>
      <c r="L92" s="4"/>
      <c r="M92" s="4"/>
      <c r="N92" s="4"/>
      <c r="O92" s="23" t="str">
        <f aca="false">IF(H92="","",IF(I92="","mot entier","bit "&amp;I92))</f>
        <v/>
      </c>
      <c r="P92" s="4"/>
    </row>
    <row r="93" customFormat="false" ht="15" hidden="false" customHeight="true" outlineLevel="0" collapsed="false">
      <c r="A93" s="22"/>
      <c r="B93" s="22"/>
      <c r="C93" s="23" t="str">
        <f aca="false">IFERROR(IF(OR(A93="",B93=""),"",INDEX(Equipements!$H:$H,MATCH(A93,Equipements!$A:$A,0))&amp;"."&amp;B93),"")</f>
        <v/>
      </c>
      <c r="D93" s="4"/>
      <c r="E93" s="22"/>
      <c r="F93" s="22"/>
      <c r="G93" s="22"/>
      <c r="H93" s="4"/>
      <c r="I93" s="4"/>
      <c r="J93" s="23" t="str">
        <f aca="false">IF(OR(G93="",H93=""),"","%"&amp;G93&amp;H93)</f>
        <v/>
      </c>
      <c r="K93" s="4"/>
      <c r="L93" s="4"/>
      <c r="M93" s="4"/>
      <c r="N93" s="4"/>
      <c r="O93" s="23" t="str">
        <f aca="false">IF(H93="","",IF(I93="","mot entier","bit "&amp;I93))</f>
        <v/>
      </c>
      <c r="P93" s="4"/>
    </row>
    <row r="94" customFormat="false" ht="15" hidden="false" customHeight="true" outlineLevel="0" collapsed="false">
      <c r="A94" s="22"/>
      <c r="B94" s="22"/>
      <c r="C94" s="23" t="str">
        <f aca="false">IFERROR(IF(OR(A94="",B94=""),"",INDEX(Equipements!$H:$H,MATCH(A94,Equipements!$A:$A,0))&amp;"."&amp;B94),"")</f>
        <v/>
      </c>
      <c r="D94" s="4"/>
      <c r="E94" s="22"/>
      <c r="F94" s="22"/>
      <c r="G94" s="22"/>
      <c r="H94" s="4"/>
      <c r="I94" s="4"/>
      <c r="J94" s="23" t="str">
        <f aca="false">IF(OR(G94="",H94=""),"","%"&amp;G94&amp;H94)</f>
        <v/>
      </c>
      <c r="K94" s="4"/>
      <c r="L94" s="4"/>
      <c r="M94" s="4"/>
      <c r="N94" s="4"/>
      <c r="O94" s="23" t="str">
        <f aca="false">IF(H94="","",IF(I94="","mot entier","bit "&amp;I94))</f>
        <v/>
      </c>
      <c r="P94" s="4"/>
    </row>
    <row r="95" customFormat="false" ht="15" hidden="false" customHeight="true" outlineLevel="0" collapsed="false">
      <c r="A95" s="22"/>
      <c r="B95" s="22"/>
      <c r="C95" s="23" t="str">
        <f aca="false">IFERROR(IF(OR(A95="",B95=""),"",INDEX(Equipements!$H:$H,MATCH(A95,Equipements!$A:$A,0))&amp;"."&amp;B95),"")</f>
        <v/>
      </c>
      <c r="D95" s="4"/>
      <c r="E95" s="22"/>
      <c r="F95" s="22"/>
      <c r="G95" s="22"/>
      <c r="H95" s="4"/>
      <c r="I95" s="4"/>
      <c r="J95" s="23" t="str">
        <f aca="false">IF(OR(G95="",H95=""),"","%"&amp;G95&amp;H95)</f>
        <v/>
      </c>
      <c r="K95" s="4"/>
      <c r="L95" s="4"/>
      <c r="M95" s="4"/>
      <c r="N95" s="4"/>
      <c r="O95" s="23" t="str">
        <f aca="false">IF(H95="","",IF(I95="","mot entier","bit "&amp;I95))</f>
        <v/>
      </c>
      <c r="P95" s="4"/>
    </row>
    <row r="96" customFormat="false" ht="15" hidden="false" customHeight="true" outlineLevel="0" collapsed="false">
      <c r="A96" s="22"/>
      <c r="B96" s="22"/>
      <c r="C96" s="23" t="str">
        <f aca="false">IFERROR(IF(OR(A96="",B96=""),"",INDEX(Equipements!$H:$H,MATCH(A96,Equipements!$A:$A,0))&amp;"."&amp;B96),"")</f>
        <v/>
      </c>
      <c r="D96" s="4"/>
      <c r="E96" s="22"/>
      <c r="F96" s="22"/>
      <c r="G96" s="22"/>
      <c r="H96" s="4"/>
      <c r="I96" s="4"/>
      <c r="J96" s="23" t="str">
        <f aca="false">IF(OR(G96="",H96=""),"","%"&amp;G96&amp;H96)</f>
        <v/>
      </c>
      <c r="K96" s="4"/>
      <c r="L96" s="4"/>
      <c r="M96" s="4"/>
      <c r="N96" s="4"/>
      <c r="O96" s="23" t="str">
        <f aca="false">IF(H96="","",IF(I96="","mot entier","bit "&amp;I96))</f>
        <v/>
      </c>
      <c r="P96" s="4"/>
    </row>
    <row r="97" customFormat="false" ht="15" hidden="false" customHeight="true" outlineLevel="0" collapsed="false">
      <c r="A97" s="22"/>
      <c r="B97" s="22"/>
      <c r="C97" s="23" t="str">
        <f aca="false">IFERROR(IF(OR(A97="",B97=""),"",INDEX(Equipements!$H:$H,MATCH(A97,Equipements!$A:$A,0))&amp;"."&amp;B97),"")</f>
        <v/>
      </c>
      <c r="D97" s="4"/>
      <c r="E97" s="22"/>
      <c r="F97" s="22"/>
      <c r="G97" s="22"/>
      <c r="H97" s="4"/>
      <c r="I97" s="4"/>
      <c r="J97" s="23" t="str">
        <f aca="false">IF(OR(G97="",H97=""),"","%"&amp;G97&amp;H97)</f>
        <v/>
      </c>
      <c r="K97" s="4"/>
      <c r="L97" s="4"/>
      <c r="M97" s="4"/>
      <c r="N97" s="4"/>
      <c r="O97" s="23" t="str">
        <f aca="false">IF(H97="","",IF(I97="","mot entier","bit "&amp;I97))</f>
        <v/>
      </c>
      <c r="P97" s="4"/>
    </row>
    <row r="98" customFormat="false" ht="15" hidden="false" customHeight="true" outlineLevel="0" collapsed="false">
      <c r="A98" s="22"/>
      <c r="B98" s="22"/>
      <c r="C98" s="23" t="str">
        <f aca="false">IFERROR(IF(OR(A98="",B98=""),"",INDEX(Equipements!$H:$H,MATCH(A98,Equipements!$A:$A,0))&amp;"."&amp;B98),"")</f>
        <v/>
      </c>
      <c r="D98" s="4"/>
      <c r="E98" s="22"/>
      <c r="F98" s="22"/>
      <c r="G98" s="22"/>
      <c r="H98" s="4"/>
      <c r="I98" s="4"/>
      <c r="J98" s="23" t="str">
        <f aca="false">IF(OR(G98="",H98=""),"","%"&amp;G98&amp;H98)</f>
        <v/>
      </c>
      <c r="K98" s="4"/>
      <c r="L98" s="4"/>
      <c r="M98" s="4"/>
      <c r="N98" s="4"/>
      <c r="O98" s="23" t="str">
        <f aca="false">IF(H98="","",IF(I98="","mot entier","bit "&amp;I98))</f>
        <v/>
      </c>
      <c r="P98" s="4"/>
    </row>
    <row r="99" customFormat="false" ht="15" hidden="false" customHeight="true" outlineLevel="0" collapsed="false">
      <c r="A99" s="22"/>
      <c r="B99" s="22"/>
      <c r="C99" s="23" t="str">
        <f aca="false">IFERROR(IF(OR(A99="",B99=""),"",INDEX(Equipements!$H:$H,MATCH(A99,Equipements!$A:$A,0))&amp;"."&amp;B99),"")</f>
        <v/>
      </c>
      <c r="D99" s="4"/>
      <c r="E99" s="22"/>
      <c r="F99" s="22"/>
      <c r="G99" s="22"/>
      <c r="H99" s="4"/>
      <c r="I99" s="4"/>
      <c r="J99" s="23" t="str">
        <f aca="false">IF(OR(G99="",H99=""),"","%"&amp;G99&amp;H99)</f>
        <v/>
      </c>
      <c r="K99" s="4"/>
      <c r="L99" s="4"/>
      <c r="M99" s="4"/>
      <c r="N99" s="4"/>
      <c r="O99" s="23" t="str">
        <f aca="false">IF(H99="","",IF(I99="","mot entier","bit "&amp;I99))</f>
        <v/>
      </c>
      <c r="P99" s="4"/>
    </row>
    <row r="100" customFormat="false" ht="15" hidden="false" customHeight="true" outlineLevel="0" collapsed="false">
      <c r="A100" s="22"/>
      <c r="B100" s="22"/>
      <c r="C100" s="23" t="str">
        <f aca="false">IFERROR(IF(OR(A100="",B100=""),"",INDEX(Equipements!$H:$H,MATCH(A100,Equipements!$A:$A,0))&amp;"."&amp;B100),"")</f>
        <v/>
      </c>
      <c r="D100" s="4"/>
      <c r="E100" s="22"/>
      <c r="F100" s="22"/>
      <c r="G100" s="22"/>
      <c r="H100" s="4"/>
      <c r="I100" s="4"/>
      <c r="J100" s="23" t="str">
        <f aca="false">IF(OR(G100="",H100=""),"","%"&amp;G100&amp;H100)</f>
        <v/>
      </c>
      <c r="K100" s="4"/>
      <c r="L100" s="4"/>
      <c r="M100" s="4"/>
      <c r="N100" s="4"/>
      <c r="O100" s="23" t="str">
        <f aca="false">IF(H100="","",IF(I100="","mot entier","bit "&amp;I100))</f>
        <v/>
      </c>
      <c r="P100" s="4"/>
    </row>
    <row r="101" customFormat="false" ht="15" hidden="false" customHeight="true" outlineLevel="0" collapsed="false">
      <c r="A101" s="22"/>
      <c r="B101" s="22"/>
      <c r="C101" s="23" t="str">
        <f aca="false">IFERROR(IF(OR(A101="",B101=""),"",INDEX(Equipements!$H:$H,MATCH(A101,Equipements!$A:$A,0))&amp;"."&amp;B101),"")</f>
        <v/>
      </c>
      <c r="D101" s="4"/>
      <c r="E101" s="22"/>
      <c r="F101" s="22"/>
      <c r="G101" s="22"/>
      <c r="H101" s="4"/>
      <c r="I101" s="4"/>
      <c r="J101" s="23" t="str">
        <f aca="false">IF(OR(G101="",H101=""),"","%"&amp;G101&amp;H101)</f>
        <v/>
      </c>
      <c r="K101" s="4"/>
      <c r="L101" s="4"/>
      <c r="M101" s="4"/>
      <c r="N101" s="4"/>
      <c r="O101" s="23" t="str">
        <f aca="false">IF(H101="","",IF(I101="","mot entier","bit "&amp;I101))</f>
        <v/>
      </c>
      <c r="P101" s="4"/>
    </row>
    <row r="102" customFormat="false" ht="15" hidden="false" customHeight="true" outlineLevel="0" collapsed="false">
      <c r="A102" s="22"/>
      <c r="B102" s="22"/>
      <c r="C102" s="23" t="str">
        <f aca="false">IFERROR(IF(OR(A102="",B102=""),"",INDEX(Equipements!$H:$H,MATCH(A102,Equipements!$A:$A,0))&amp;"."&amp;B102),"")</f>
        <v/>
      </c>
      <c r="D102" s="4"/>
      <c r="E102" s="22"/>
      <c r="F102" s="22"/>
      <c r="G102" s="22"/>
      <c r="H102" s="4"/>
      <c r="I102" s="4"/>
      <c r="J102" s="23" t="str">
        <f aca="false">IF(OR(G102="",H102=""),"","%"&amp;G102&amp;H102)</f>
        <v/>
      </c>
      <c r="K102" s="4"/>
      <c r="L102" s="4"/>
      <c r="M102" s="4"/>
      <c r="N102" s="4"/>
      <c r="O102" s="23" t="str">
        <f aca="false">IF(H102="","",IF(I102="","mot entier","bit "&amp;I102))</f>
        <v/>
      </c>
      <c r="P102" s="4"/>
    </row>
    <row r="103" customFormat="false" ht="15" hidden="false" customHeight="true" outlineLevel="0" collapsed="false">
      <c r="A103" s="22"/>
      <c r="B103" s="22"/>
      <c r="C103" s="23" t="str">
        <f aca="false">IFERROR(IF(OR(A103="",B103=""),"",INDEX(Equipements!$H:$H,MATCH(A103,Equipements!$A:$A,0))&amp;"."&amp;B103),"")</f>
        <v/>
      </c>
      <c r="D103" s="4"/>
      <c r="E103" s="22"/>
      <c r="F103" s="22"/>
      <c r="G103" s="22"/>
      <c r="H103" s="4"/>
      <c r="I103" s="4"/>
      <c r="J103" s="23" t="str">
        <f aca="false">IF(OR(G103="",H103=""),"","%"&amp;G103&amp;H103)</f>
        <v/>
      </c>
      <c r="K103" s="4"/>
      <c r="L103" s="4"/>
      <c r="M103" s="4"/>
      <c r="N103" s="4"/>
      <c r="O103" s="23" t="str">
        <f aca="false">IF(H103="","",IF(I103="","mot entier","bit "&amp;I103))</f>
        <v/>
      </c>
      <c r="P103" s="4"/>
    </row>
    <row r="104" customFormat="false" ht="15" hidden="false" customHeight="true" outlineLevel="0" collapsed="false">
      <c r="A104" s="22"/>
      <c r="B104" s="22"/>
      <c r="C104" s="23" t="str">
        <f aca="false">IFERROR(IF(OR(A104="",B104=""),"",INDEX(Equipements!$H:$H,MATCH(A104,Equipements!$A:$A,0))&amp;"."&amp;B104),"")</f>
        <v/>
      </c>
      <c r="D104" s="4"/>
      <c r="E104" s="22"/>
      <c r="F104" s="22"/>
      <c r="G104" s="22"/>
      <c r="H104" s="4"/>
      <c r="I104" s="4"/>
      <c r="J104" s="23" t="str">
        <f aca="false">IF(OR(G104="",H104=""),"","%"&amp;G104&amp;H104)</f>
        <v/>
      </c>
      <c r="K104" s="4"/>
      <c r="L104" s="4"/>
      <c r="M104" s="4"/>
      <c r="N104" s="4"/>
      <c r="O104" s="23" t="str">
        <f aca="false">IF(H104="","",IF(I104="","mot entier","bit "&amp;I104))</f>
        <v/>
      </c>
      <c r="P104" s="4"/>
    </row>
    <row r="105" customFormat="false" ht="15" hidden="false" customHeight="true" outlineLevel="0" collapsed="false">
      <c r="A105" s="22"/>
      <c r="B105" s="22"/>
      <c r="C105" s="23" t="str">
        <f aca="false">IFERROR(IF(OR(A105="",B105=""),"",INDEX(Equipements!$H:$H,MATCH(A105,Equipements!$A:$A,0))&amp;"."&amp;B105),"")</f>
        <v/>
      </c>
      <c r="D105" s="4"/>
      <c r="E105" s="22"/>
      <c r="F105" s="22"/>
      <c r="G105" s="22"/>
      <c r="H105" s="4"/>
      <c r="I105" s="4"/>
      <c r="J105" s="23" t="str">
        <f aca="false">IF(OR(G105="",H105=""),"","%"&amp;G105&amp;H105)</f>
        <v/>
      </c>
      <c r="K105" s="4"/>
      <c r="L105" s="4"/>
      <c r="M105" s="4"/>
      <c r="N105" s="4"/>
      <c r="O105" s="23" t="str">
        <f aca="false">IF(H105="","",IF(I105="","mot entier","bit "&amp;I105))</f>
        <v/>
      </c>
      <c r="P105" s="4"/>
    </row>
    <row r="106" customFormat="false" ht="15" hidden="false" customHeight="true" outlineLevel="0" collapsed="false">
      <c r="A106" s="22"/>
      <c r="B106" s="22"/>
      <c r="C106" s="23" t="str">
        <f aca="false">IFERROR(IF(OR(A106="",B106=""),"",INDEX(Equipements!$H:$H,MATCH(A106,Equipements!$A:$A,0))&amp;"."&amp;B106),"")</f>
        <v/>
      </c>
      <c r="D106" s="4"/>
      <c r="E106" s="22"/>
      <c r="F106" s="22"/>
      <c r="G106" s="22"/>
      <c r="H106" s="4"/>
      <c r="I106" s="4"/>
      <c r="J106" s="23" t="str">
        <f aca="false">IF(OR(G106="",H106=""),"","%"&amp;G106&amp;H106)</f>
        <v/>
      </c>
      <c r="K106" s="4"/>
      <c r="L106" s="4"/>
      <c r="M106" s="4"/>
      <c r="N106" s="4"/>
      <c r="O106" s="23" t="str">
        <f aca="false">IF(H106="","",IF(I106="","mot entier","bit "&amp;I106))</f>
        <v/>
      </c>
      <c r="P106" s="4"/>
    </row>
    <row r="107" customFormat="false" ht="15" hidden="false" customHeight="true" outlineLevel="0" collapsed="false">
      <c r="A107" s="22"/>
      <c r="B107" s="22"/>
      <c r="C107" s="23" t="str">
        <f aca="false">IFERROR(IF(OR(A107="",B107=""),"",INDEX(Equipements!$H:$H,MATCH(A107,Equipements!$A:$A,0))&amp;"."&amp;B107),"")</f>
        <v/>
      </c>
      <c r="D107" s="4"/>
      <c r="E107" s="22"/>
      <c r="F107" s="22"/>
      <c r="G107" s="22"/>
      <c r="H107" s="4"/>
      <c r="I107" s="4"/>
      <c r="J107" s="23" t="str">
        <f aca="false">IF(OR(G107="",H107=""),"","%"&amp;G107&amp;H107)</f>
        <v/>
      </c>
      <c r="K107" s="4"/>
      <c r="L107" s="4"/>
      <c r="M107" s="4"/>
      <c r="N107" s="4"/>
      <c r="O107" s="23" t="str">
        <f aca="false">IF(H107="","",IF(I107="","mot entier","bit "&amp;I107))</f>
        <v/>
      </c>
      <c r="P107" s="4"/>
    </row>
    <row r="108" customFormat="false" ht="15" hidden="false" customHeight="true" outlineLevel="0" collapsed="false">
      <c r="A108" s="22"/>
      <c r="B108" s="22"/>
      <c r="C108" s="23" t="str">
        <f aca="false">IFERROR(IF(OR(A108="",B108=""),"",INDEX(Equipements!$H:$H,MATCH(A108,Equipements!$A:$A,0))&amp;"."&amp;B108),"")</f>
        <v/>
      </c>
      <c r="D108" s="4"/>
      <c r="E108" s="22"/>
      <c r="F108" s="22"/>
      <c r="G108" s="22"/>
      <c r="H108" s="4"/>
      <c r="I108" s="4"/>
      <c r="J108" s="23" t="str">
        <f aca="false">IF(OR(G108="",H108=""),"","%"&amp;G108&amp;H108)</f>
        <v/>
      </c>
      <c r="K108" s="4"/>
      <c r="L108" s="4"/>
      <c r="M108" s="4"/>
      <c r="N108" s="4"/>
      <c r="O108" s="23" t="str">
        <f aca="false">IF(H108="","",IF(I108="","mot entier","bit "&amp;I108))</f>
        <v/>
      </c>
      <c r="P108" s="4"/>
    </row>
    <row r="109" customFormat="false" ht="15" hidden="false" customHeight="true" outlineLevel="0" collapsed="false">
      <c r="A109" s="22"/>
      <c r="B109" s="22"/>
      <c r="C109" s="23" t="str">
        <f aca="false">IFERROR(IF(OR(A109="",B109=""),"",INDEX(Equipements!$H:$H,MATCH(A109,Equipements!$A:$A,0))&amp;"."&amp;B109),"")</f>
        <v/>
      </c>
      <c r="D109" s="4"/>
      <c r="E109" s="22"/>
      <c r="F109" s="22"/>
      <c r="G109" s="22"/>
      <c r="H109" s="4"/>
      <c r="I109" s="4"/>
      <c r="J109" s="23" t="str">
        <f aca="false">IF(OR(G109="",H109=""),"","%"&amp;G109&amp;H109)</f>
        <v/>
      </c>
      <c r="K109" s="4"/>
      <c r="L109" s="4"/>
      <c r="M109" s="4"/>
      <c r="N109" s="4"/>
      <c r="O109" s="23" t="str">
        <f aca="false">IF(H109="","",IF(I109="","mot entier","bit "&amp;I109))</f>
        <v/>
      </c>
      <c r="P109" s="4"/>
    </row>
    <row r="110" customFormat="false" ht="15" hidden="false" customHeight="true" outlineLevel="0" collapsed="false">
      <c r="A110" s="22"/>
      <c r="B110" s="22"/>
      <c r="C110" s="23" t="str">
        <f aca="false">IFERROR(IF(OR(A110="",B110=""),"",INDEX(Equipements!$H:$H,MATCH(A110,Equipements!$A:$A,0))&amp;"."&amp;B110),"")</f>
        <v/>
      </c>
      <c r="D110" s="4"/>
      <c r="E110" s="22"/>
      <c r="F110" s="22"/>
      <c r="G110" s="22"/>
      <c r="H110" s="4"/>
      <c r="I110" s="4"/>
      <c r="J110" s="23" t="str">
        <f aca="false">IF(OR(G110="",H110=""),"","%"&amp;G110&amp;H110)</f>
        <v/>
      </c>
      <c r="K110" s="4"/>
      <c r="L110" s="4"/>
      <c r="M110" s="4"/>
      <c r="N110" s="4"/>
      <c r="O110" s="23" t="str">
        <f aca="false">IF(H110="","",IF(I110="","mot entier","bit "&amp;I110))</f>
        <v/>
      </c>
      <c r="P110" s="4"/>
    </row>
    <row r="111" customFormat="false" ht="15" hidden="false" customHeight="true" outlineLevel="0" collapsed="false">
      <c r="A111" s="22"/>
      <c r="B111" s="22"/>
      <c r="C111" s="23" t="str">
        <f aca="false">IFERROR(IF(OR(A111="",B111=""),"",INDEX(Equipements!$H:$H,MATCH(A111,Equipements!$A:$A,0))&amp;"."&amp;B111),"")</f>
        <v/>
      </c>
      <c r="D111" s="4"/>
      <c r="E111" s="22"/>
      <c r="F111" s="22"/>
      <c r="G111" s="22"/>
      <c r="H111" s="4"/>
      <c r="I111" s="4"/>
      <c r="J111" s="23" t="str">
        <f aca="false">IF(OR(G111="",H111=""),"","%"&amp;G111&amp;H111)</f>
        <v/>
      </c>
      <c r="K111" s="4"/>
      <c r="L111" s="4"/>
      <c r="M111" s="4"/>
      <c r="N111" s="4"/>
      <c r="O111" s="23" t="str">
        <f aca="false">IF(H111="","",IF(I111="","mot entier","bit "&amp;I111))</f>
        <v/>
      </c>
      <c r="P111" s="4"/>
    </row>
    <row r="112" customFormat="false" ht="15" hidden="false" customHeight="true" outlineLevel="0" collapsed="false">
      <c r="A112" s="22"/>
      <c r="B112" s="22"/>
      <c r="C112" s="23" t="str">
        <f aca="false">IFERROR(IF(OR(A112="",B112=""),"",INDEX(Equipements!$H:$H,MATCH(A112,Equipements!$A:$A,0))&amp;"."&amp;B112),"")</f>
        <v/>
      </c>
      <c r="D112" s="4"/>
      <c r="E112" s="22"/>
      <c r="F112" s="22"/>
      <c r="G112" s="22"/>
      <c r="H112" s="4"/>
      <c r="I112" s="4"/>
      <c r="J112" s="23" t="str">
        <f aca="false">IF(OR(G112="",H112=""),"","%"&amp;G112&amp;H112)</f>
        <v/>
      </c>
      <c r="K112" s="4"/>
      <c r="L112" s="4"/>
      <c r="M112" s="4"/>
      <c r="N112" s="4"/>
      <c r="O112" s="23" t="str">
        <f aca="false">IF(H112="","",IF(I112="","mot entier","bit "&amp;I112))</f>
        <v/>
      </c>
      <c r="P112" s="4"/>
    </row>
    <row r="113" customFormat="false" ht="15" hidden="false" customHeight="true" outlineLevel="0" collapsed="false">
      <c r="A113" s="22"/>
      <c r="B113" s="22"/>
      <c r="C113" s="23" t="str">
        <f aca="false">IFERROR(IF(OR(A113="",B113=""),"",INDEX(Equipements!$H:$H,MATCH(A113,Equipements!$A:$A,0))&amp;"."&amp;B113),"")</f>
        <v/>
      </c>
      <c r="D113" s="4"/>
      <c r="E113" s="22"/>
      <c r="F113" s="22"/>
      <c r="G113" s="22"/>
      <c r="H113" s="4"/>
      <c r="I113" s="4"/>
      <c r="J113" s="23" t="str">
        <f aca="false">IF(OR(G113="",H113=""),"","%"&amp;G113&amp;H113)</f>
        <v/>
      </c>
      <c r="K113" s="4"/>
      <c r="L113" s="4"/>
      <c r="M113" s="4"/>
      <c r="N113" s="4"/>
      <c r="O113" s="23" t="str">
        <f aca="false">IF(H113="","",IF(I113="","mot entier","bit "&amp;I113))</f>
        <v/>
      </c>
      <c r="P113" s="4"/>
    </row>
    <row r="114" customFormat="false" ht="15" hidden="false" customHeight="true" outlineLevel="0" collapsed="false">
      <c r="A114" s="22"/>
      <c r="B114" s="22"/>
      <c r="C114" s="23" t="str">
        <f aca="false">IFERROR(IF(OR(A114="",B114=""),"",INDEX(Equipements!$H:$H,MATCH(A114,Equipements!$A:$A,0))&amp;"."&amp;B114),"")</f>
        <v/>
      </c>
      <c r="D114" s="4"/>
      <c r="E114" s="22"/>
      <c r="F114" s="22"/>
      <c r="G114" s="22"/>
      <c r="H114" s="4"/>
      <c r="I114" s="4"/>
      <c r="J114" s="23" t="str">
        <f aca="false">IF(OR(G114="",H114=""),"","%"&amp;G114&amp;H114)</f>
        <v/>
      </c>
      <c r="K114" s="4"/>
      <c r="L114" s="4"/>
      <c r="M114" s="4"/>
      <c r="N114" s="4"/>
      <c r="O114" s="23" t="str">
        <f aca="false">IF(H114="","",IF(I114="","mot entier","bit "&amp;I114))</f>
        <v/>
      </c>
      <c r="P114" s="4"/>
    </row>
    <row r="115" customFormat="false" ht="15" hidden="false" customHeight="true" outlineLevel="0" collapsed="false">
      <c r="A115" s="22"/>
      <c r="B115" s="22"/>
      <c r="C115" s="23" t="str">
        <f aca="false">IFERROR(IF(OR(A115="",B115=""),"",INDEX(Equipements!$H:$H,MATCH(A115,Equipements!$A:$A,0))&amp;"."&amp;B115),"")</f>
        <v/>
      </c>
      <c r="D115" s="4"/>
      <c r="E115" s="22"/>
      <c r="F115" s="22"/>
      <c r="G115" s="22"/>
      <c r="H115" s="4"/>
      <c r="I115" s="4"/>
      <c r="J115" s="23" t="str">
        <f aca="false">IF(OR(G115="",H115=""),"","%"&amp;G115&amp;H115)</f>
        <v/>
      </c>
      <c r="K115" s="4"/>
      <c r="L115" s="4"/>
      <c r="M115" s="4"/>
      <c r="N115" s="4"/>
      <c r="O115" s="23" t="str">
        <f aca="false">IF(H115="","",IF(I115="","mot entier","bit "&amp;I115))</f>
        <v/>
      </c>
      <c r="P115" s="4"/>
    </row>
    <row r="116" customFormat="false" ht="15" hidden="false" customHeight="true" outlineLevel="0" collapsed="false">
      <c r="A116" s="22"/>
      <c r="B116" s="22"/>
      <c r="C116" s="23" t="str">
        <f aca="false">IFERROR(IF(OR(A116="",B116=""),"",INDEX(Equipements!$H:$H,MATCH(A116,Equipements!$A:$A,0))&amp;"."&amp;B116),"")</f>
        <v/>
      </c>
      <c r="D116" s="4"/>
      <c r="E116" s="22"/>
      <c r="F116" s="22"/>
      <c r="G116" s="22"/>
      <c r="H116" s="4"/>
      <c r="I116" s="4"/>
      <c r="J116" s="23" t="str">
        <f aca="false">IF(OR(G116="",H116=""),"","%"&amp;G116&amp;H116)</f>
        <v/>
      </c>
      <c r="K116" s="4"/>
      <c r="L116" s="4"/>
      <c r="M116" s="4"/>
      <c r="N116" s="4"/>
      <c r="O116" s="23" t="str">
        <f aca="false">IF(H116="","",IF(I116="","mot entier","bit "&amp;I116))</f>
        <v/>
      </c>
      <c r="P116" s="4"/>
    </row>
    <row r="117" customFormat="false" ht="15" hidden="false" customHeight="true" outlineLevel="0" collapsed="false">
      <c r="A117" s="22"/>
      <c r="B117" s="22"/>
      <c r="C117" s="23" t="str">
        <f aca="false">IFERROR(IF(OR(A117="",B117=""),"",INDEX(Equipements!$H:$H,MATCH(A117,Equipements!$A:$A,0))&amp;"."&amp;B117),"")</f>
        <v/>
      </c>
      <c r="D117" s="4"/>
      <c r="E117" s="22"/>
      <c r="F117" s="22"/>
      <c r="G117" s="22"/>
      <c r="H117" s="4"/>
      <c r="I117" s="4"/>
      <c r="J117" s="23" t="str">
        <f aca="false">IF(OR(G117="",H117=""),"","%"&amp;G117&amp;H117)</f>
        <v/>
      </c>
      <c r="K117" s="4"/>
      <c r="L117" s="4"/>
      <c r="M117" s="4"/>
      <c r="N117" s="4"/>
      <c r="O117" s="23" t="str">
        <f aca="false">IF(H117="","",IF(I117="","mot entier","bit "&amp;I117))</f>
        <v/>
      </c>
      <c r="P117" s="4"/>
    </row>
    <row r="118" customFormat="false" ht="15" hidden="false" customHeight="true" outlineLevel="0" collapsed="false">
      <c r="A118" s="22"/>
      <c r="B118" s="22"/>
      <c r="C118" s="23" t="str">
        <f aca="false">IFERROR(IF(OR(A118="",B118=""),"",INDEX(Equipements!$H:$H,MATCH(A118,Equipements!$A:$A,0))&amp;"."&amp;B118),"")</f>
        <v/>
      </c>
      <c r="D118" s="4"/>
      <c r="E118" s="22"/>
      <c r="F118" s="22"/>
      <c r="G118" s="22"/>
      <c r="H118" s="4"/>
      <c r="I118" s="4"/>
      <c r="J118" s="23" t="str">
        <f aca="false">IF(OR(G118="",H118=""),"","%"&amp;G118&amp;H118)</f>
        <v/>
      </c>
      <c r="K118" s="4"/>
      <c r="L118" s="4"/>
      <c r="M118" s="4"/>
      <c r="N118" s="4"/>
      <c r="O118" s="23" t="str">
        <f aca="false">IF(H118="","",IF(I118="","mot entier","bit "&amp;I118))</f>
        <v/>
      </c>
      <c r="P118" s="4"/>
    </row>
    <row r="119" customFormat="false" ht="15" hidden="false" customHeight="true" outlineLevel="0" collapsed="false">
      <c r="A119" s="22"/>
      <c r="B119" s="22"/>
      <c r="C119" s="23" t="str">
        <f aca="false">IFERROR(IF(OR(A119="",B119=""),"",INDEX(Equipements!$H:$H,MATCH(A119,Equipements!$A:$A,0))&amp;"."&amp;B119),"")</f>
        <v/>
      </c>
      <c r="D119" s="4"/>
      <c r="E119" s="22"/>
      <c r="F119" s="22"/>
      <c r="G119" s="22"/>
      <c r="H119" s="4"/>
      <c r="I119" s="4"/>
      <c r="J119" s="23" t="str">
        <f aca="false">IF(OR(G119="",H119=""),"","%"&amp;G119&amp;H119)</f>
        <v/>
      </c>
      <c r="K119" s="4"/>
      <c r="L119" s="4"/>
      <c r="M119" s="4"/>
      <c r="N119" s="4"/>
      <c r="O119" s="23" t="str">
        <f aca="false">IF(H119="","",IF(I119="","mot entier","bit "&amp;I119))</f>
        <v/>
      </c>
      <c r="P119" s="4"/>
    </row>
    <row r="120" customFormat="false" ht="15" hidden="false" customHeight="true" outlineLevel="0" collapsed="false">
      <c r="A120" s="22"/>
      <c r="B120" s="22"/>
      <c r="C120" s="23" t="str">
        <f aca="false">IFERROR(IF(OR(A120="",B120=""),"",INDEX(Equipements!$H:$H,MATCH(A120,Equipements!$A:$A,0))&amp;"."&amp;B120),"")</f>
        <v/>
      </c>
      <c r="D120" s="4"/>
      <c r="E120" s="22"/>
      <c r="F120" s="22"/>
      <c r="G120" s="22"/>
      <c r="H120" s="4"/>
      <c r="I120" s="4"/>
      <c r="J120" s="23" t="str">
        <f aca="false">IF(OR(G120="",H120=""),"","%"&amp;G120&amp;H120)</f>
        <v/>
      </c>
      <c r="K120" s="4"/>
      <c r="L120" s="4"/>
      <c r="M120" s="4"/>
      <c r="N120" s="4"/>
      <c r="O120" s="23" t="str">
        <f aca="false">IF(H120="","",IF(I120="","mot entier","bit "&amp;I120))</f>
        <v/>
      </c>
      <c r="P120" s="4"/>
    </row>
    <row r="121" customFormat="false" ht="15" hidden="false" customHeight="true" outlineLevel="0" collapsed="false">
      <c r="A121" s="22"/>
      <c r="B121" s="22"/>
      <c r="C121" s="23" t="str">
        <f aca="false">IFERROR(IF(OR(A121="",B121=""),"",INDEX(Equipements!$H:$H,MATCH(A121,Equipements!$A:$A,0))&amp;"."&amp;B121),"")</f>
        <v/>
      </c>
      <c r="D121" s="4"/>
      <c r="E121" s="22"/>
      <c r="F121" s="22"/>
      <c r="G121" s="22"/>
      <c r="H121" s="4"/>
      <c r="I121" s="4"/>
      <c r="J121" s="23" t="str">
        <f aca="false">IF(OR(G121="",H121=""),"","%"&amp;G121&amp;H121)</f>
        <v/>
      </c>
      <c r="K121" s="4"/>
      <c r="L121" s="4"/>
      <c r="M121" s="4"/>
      <c r="N121" s="4"/>
      <c r="O121" s="23" t="str">
        <f aca="false">IF(H121="","",IF(I121="","mot entier","bit "&amp;I121))</f>
        <v/>
      </c>
      <c r="P121" s="4"/>
    </row>
    <row r="122" customFormat="false" ht="15" hidden="false" customHeight="true" outlineLevel="0" collapsed="false">
      <c r="A122" s="22"/>
      <c r="B122" s="22"/>
      <c r="C122" s="23" t="str">
        <f aca="false">IFERROR(IF(OR(A122="",B122=""),"",INDEX(Equipements!$H:$H,MATCH(A122,Equipements!$A:$A,0))&amp;"."&amp;B122),"")</f>
        <v/>
      </c>
      <c r="D122" s="4"/>
      <c r="E122" s="22"/>
      <c r="F122" s="22"/>
      <c r="G122" s="22"/>
      <c r="H122" s="4"/>
      <c r="I122" s="4"/>
      <c r="J122" s="23" t="str">
        <f aca="false">IF(OR(G122="",H122=""),"","%"&amp;G122&amp;H122)</f>
        <v/>
      </c>
      <c r="K122" s="4"/>
      <c r="L122" s="4"/>
      <c r="M122" s="4"/>
      <c r="N122" s="4"/>
      <c r="O122" s="23" t="str">
        <f aca="false">IF(H122="","",IF(I122="","mot entier","bit "&amp;I122))</f>
        <v/>
      </c>
      <c r="P122" s="4"/>
    </row>
    <row r="123" customFormat="false" ht="15" hidden="false" customHeight="true" outlineLevel="0" collapsed="false">
      <c r="A123" s="22"/>
      <c r="B123" s="22"/>
      <c r="C123" s="23" t="str">
        <f aca="false">IFERROR(IF(OR(A123="",B123=""),"",INDEX(Equipements!$H:$H,MATCH(A123,Equipements!$A:$A,0))&amp;"."&amp;B123),"")</f>
        <v/>
      </c>
      <c r="D123" s="4"/>
      <c r="E123" s="22"/>
      <c r="F123" s="22"/>
      <c r="G123" s="22"/>
      <c r="H123" s="4"/>
      <c r="I123" s="4"/>
      <c r="J123" s="23" t="str">
        <f aca="false">IF(OR(G123="",H123=""),"","%"&amp;G123&amp;H123)</f>
        <v/>
      </c>
      <c r="K123" s="4"/>
      <c r="L123" s="4"/>
      <c r="M123" s="4"/>
      <c r="N123" s="4"/>
      <c r="O123" s="23" t="str">
        <f aca="false">IF(H123="","",IF(I123="","mot entier","bit "&amp;I123))</f>
        <v/>
      </c>
      <c r="P123" s="4"/>
    </row>
    <row r="124" customFormat="false" ht="15" hidden="false" customHeight="true" outlineLevel="0" collapsed="false">
      <c r="A124" s="22"/>
      <c r="B124" s="22"/>
      <c r="C124" s="23" t="str">
        <f aca="false">IFERROR(IF(OR(A124="",B124=""),"",INDEX(Equipements!$H:$H,MATCH(A124,Equipements!$A:$A,0))&amp;"."&amp;B124),"")</f>
        <v/>
      </c>
      <c r="D124" s="4"/>
      <c r="E124" s="22"/>
      <c r="F124" s="22"/>
      <c r="G124" s="22"/>
      <c r="H124" s="4"/>
      <c r="I124" s="4"/>
      <c r="J124" s="23" t="str">
        <f aca="false">IF(OR(G124="",H124=""),"","%"&amp;G124&amp;H124)</f>
        <v/>
      </c>
      <c r="K124" s="4"/>
      <c r="L124" s="4"/>
      <c r="M124" s="4"/>
      <c r="N124" s="4"/>
      <c r="O124" s="23" t="str">
        <f aca="false">IF(H124="","",IF(I124="","mot entier","bit "&amp;I124))</f>
        <v/>
      </c>
      <c r="P124" s="4"/>
    </row>
    <row r="125" customFormat="false" ht="15" hidden="false" customHeight="true" outlineLevel="0" collapsed="false">
      <c r="A125" s="22"/>
      <c r="B125" s="22"/>
      <c r="C125" s="23" t="str">
        <f aca="false">IFERROR(IF(OR(A125="",B125=""),"",INDEX(Equipements!$H:$H,MATCH(A125,Equipements!$A:$A,0))&amp;"."&amp;B125),"")</f>
        <v/>
      </c>
      <c r="D125" s="4"/>
      <c r="E125" s="22"/>
      <c r="F125" s="22"/>
      <c r="G125" s="22"/>
      <c r="H125" s="4"/>
      <c r="I125" s="4"/>
      <c r="J125" s="23" t="str">
        <f aca="false">IF(OR(G125="",H125=""),"","%"&amp;G125&amp;H125)</f>
        <v/>
      </c>
      <c r="K125" s="4"/>
      <c r="L125" s="4"/>
      <c r="M125" s="4"/>
      <c r="N125" s="4"/>
      <c r="O125" s="23" t="str">
        <f aca="false">IF(H125="","",IF(I125="","mot entier","bit "&amp;I125))</f>
        <v/>
      </c>
      <c r="P125" s="4"/>
    </row>
    <row r="126" customFormat="false" ht="15" hidden="false" customHeight="true" outlineLevel="0" collapsed="false">
      <c r="A126" s="22"/>
      <c r="B126" s="22"/>
      <c r="C126" s="23" t="str">
        <f aca="false">IFERROR(IF(OR(A126="",B126=""),"",INDEX(Equipements!$H:$H,MATCH(A126,Equipements!$A:$A,0))&amp;"."&amp;B126),"")</f>
        <v/>
      </c>
      <c r="D126" s="4"/>
      <c r="E126" s="22"/>
      <c r="F126" s="22"/>
      <c r="G126" s="22"/>
      <c r="H126" s="4"/>
      <c r="I126" s="4"/>
      <c r="J126" s="23" t="str">
        <f aca="false">IF(OR(G126="",H126=""),"","%"&amp;G126&amp;H126)</f>
        <v/>
      </c>
      <c r="K126" s="4"/>
      <c r="L126" s="4"/>
      <c r="M126" s="4"/>
      <c r="N126" s="4"/>
      <c r="O126" s="23" t="str">
        <f aca="false">IF(H126="","",IF(I126="","mot entier","bit "&amp;I126))</f>
        <v/>
      </c>
      <c r="P126" s="4"/>
    </row>
    <row r="127" customFormat="false" ht="15" hidden="false" customHeight="true" outlineLevel="0" collapsed="false">
      <c r="A127" s="22"/>
      <c r="B127" s="22"/>
      <c r="C127" s="23" t="str">
        <f aca="false">IFERROR(IF(OR(A127="",B127=""),"",INDEX(Equipements!$H:$H,MATCH(A127,Equipements!$A:$A,0))&amp;"."&amp;B127),"")</f>
        <v/>
      </c>
      <c r="D127" s="4"/>
      <c r="E127" s="22"/>
      <c r="F127" s="22"/>
      <c r="G127" s="22"/>
      <c r="H127" s="4"/>
      <c r="I127" s="4"/>
      <c r="J127" s="23" t="str">
        <f aca="false">IF(OR(G127="",H127=""),"","%"&amp;G127&amp;H127)</f>
        <v/>
      </c>
      <c r="K127" s="4"/>
      <c r="L127" s="4"/>
      <c r="M127" s="4"/>
      <c r="N127" s="4"/>
      <c r="O127" s="23" t="str">
        <f aca="false">IF(H127="","",IF(I127="","mot entier","bit "&amp;I127))</f>
        <v/>
      </c>
      <c r="P127" s="4"/>
    </row>
    <row r="128" customFormat="false" ht="15" hidden="false" customHeight="true" outlineLevel="0" collapsed="false">
      <c r="A128" s="22"/>
      <c r="B128" s="22"/>
      <c r="C128" s="23" t="str">
        <f aca="false">IFERROR(IF(OR(A128="",B128=""),"",INDEX(Equipements!$H:$H,MATCH(A128,Equipements!$A:$A,0))&amp;"."&amp;B128),"")</f>
        <v/>
      </c>
      <c r="D128" s="4"/>
      <c r="E128" s="22"/>
      <c r="F128" s="22"/>
      <c r="G128" s="22"/>
      <c r="H128" s="4"/>
      <c r="I128" s="4"/>
      <c r="J128" s="23" t="str">
        <f aca="false">IF(OR(G128="",H128=""),"","%"&amp;G128&amp;H128)</f>
        <v/>
      </c>
      <c r="K128" s="4"/>
      <c r="L128" s="4"/>
      <c r="M128" s="4"/>
      <c r="N128" s="4"/>
      <c r="O128" s="23" t="str">
        <f aca="false">IF(H128="","",IF(I128="","mot entier","bit "&amp;I128))</f>
        <v/>
      </c>
      <c r="P128" s="4"/>
    </row>
    <row r="129" customFormat="false" ht="15" hidden="false" customHeight="true" outlineLevel="0" collapsed="false">
      <c r="A129" s="22"/>
      <c r="B129" s="22"/>
      <c r="C129" s="23" t="str">
        <f aca="false">IFERROR(IF(OR(A129="",B129=""),"",INDEX(Equipements!$H:$H,MATCH(A129,Equipements!$A:$A,0))&amp;"."&amp;B129),"")</f>
        <v/>
      </c>
      <c r="D129" s="4"/>
      <c r="E129" s="22"/>
      <c r="F129" s="22"/>
      <c r="G129" s="22"/>
      <c r="H129" s="4"/>
      <c r="I129" s="4"/>
      <c r="J129" s="23" t="str">
        <f aca="false">IF(OR(G129="",H129=""),"","%"&amp;G129&amp;H129)</f>
        <v/>
      </c>
      <c r="K129" s="4"/>
      <c r="L129" s="4"/>
      <c r="M129" s="4"/>
      <c r="N129" s="4"/>
      <c r="O129" s="23" t="str">
        <f aca="false">IF(H129="","",IF(I129="","mot entier","bit "&amp;I129))</f>
        <v/>
      </c>
      <c r="P129" s="4"/>
    </row>
    <row r="130" customFormat="false" ht="15" hidden="false" customHeight="true" outlineLevel="0" collapsed="false">
      <c r="A130" s="22"/>
      <c r="B130" s="22"/>
      <c r="C130" s="23" t="str">
        <f aca="false">IFERROR(IF(OR(A130="",B130=""),"",INDEX(Equipements!$H:$H,MATCH(A130,Equipements!$A:$A,0))&amp;"."&amp;B130),"")</f>
        <v/>
      </c>
      <c r="D130" s="4"/>
      <c r="E130" s="22"/>
      <c r="F130" s="22"/>
      <c r="G130" s="22"/>
      <c r="H130" s="4"/>
      <c r="I130" s="4"/>
      <c r="J130" s="23" t="str">
        <f aca="false">IF(OR(G130="",H130=""),"","%"&amp;G130&amp;H130)</f>
        <v/>
      </c>
      <c r="K130" s="4"/>
      <c r="L130" s="4"/>
      <c r="M130" s="4"/>
      <c r="N130" s="4"/>
      <c r="O130" s="23" t="str">
        <f aca="false">IF(H130="","",IF(I130="","mot entier","bit "&amp;I130))</f>
        <v/>
      </c>
      <c r="P130" s="4"/>
    </row>
    <row r="131" customFormat="false" ht="15" hidden="false" customHeight="true" outlineLevel="0" collapsed="false">
      <c r="A131" s="22"/>
      <c r="B131" s="22"/>
      <c r="C131" s="23" t="str">
        <f aca="false">IFERROR(IF(OR(A131="",B131=""),"",INDEX(Equipements!$H:$H,MATCH(A131,Equipements!$A:$A,0))&amp;"."&amp;B131),"")</f>
        <v/>
      </c>
      <c r="D131" s="4"/>
      <c r="E131" s="22"/>
      <c r="F131" s="22"/>
      <c r="G131" s="22"/>
      <c r="H131" s="4"/>
      <c r="I131" s="4"/>
      <c r="J131" s="23" t="str">
        <f aca="false">IF(OR(G131="",H131=""),"","%"&amp;G131&amp;H131)</f>
        <v/>
      </c>
      <c r="K131" s="4"/>
      <c r="L131" s="4"/>
      <c r="M131" s="4"/>
      <c r="N131" s="4"/>
      <c r="O131" s="23" t="str">
        <f aca="false">IF(H131="","",IF(I131="","mot entier","bit "&amp;I131))</f>
        <v/>
      </c>
      <c r="P131" s="4"/>
    </row>
    <row r="132" customFormat="false" ht="15" hidden="false" customHeight="true" outlineLevel="0" collapsed="false">
      <c r="A132" s="22"/>
      <c r="B132" s="22"/>
      <c r="C132" s="23" t="str">
        <f aca="false">IFERROR(IF(OR(A132="",B132=""),"",INDEX(Equipements!$H:$H,MATCH(A132,Equipements!$A:$A,0))&amp;"."&amp;B132),"")</f>
        <v/>
      </c>
      <c r="D132" s="4"/>
      <c r="E132" s="22"/>
      <c r="F132" s="22"/>
      <c r="G132" s="22"/>
      <c r="H132" s="4"/>
      <c r="I132" s="4"/>
      <c r="J132" s="23" t="str">
        <f aca="false">IF(OR(G132="",H132=""),"","%"&amp;G132&amp;H132)</f>
        <v/>
      </c>
      <c r="K132" s="4"/>
      <c r="L132" s="4"/>
      <c r="M132" s="4"/>
      <c r="N132" s="4"/>
      <c r="O132" s="23" t="str">
        <f aca="false">IF(H132="","",IF(I132="","mot entier","bit "&amp;I132))</f>
        <v/>
      </c>
      <c r="P132" s="4"/>
    </row>
    <row r="133" customFormat="false" ht="15" hidden="false" customHeight="true" outlineLevel="0" collapsed="false">
      <c r="A133" s="22"/>
      <c r="B133" s="22"/>
      <c r="C133" s="23" t="str">
        <f aca="false">IFERROR(IF(OR(A133="",B133=""),"",INDEX(Equipements!$H:$H,MATCH(A133,Equipements!$A:$A,0))&amp;"."&amp;B133),"")</f>
        <v/>
      </c>
      <c r="D133" s="4"/>
      <c r="E133" s="22"/>
      <c r="F133" s="22"/>
      <c r="G133" s="22"/>
      <c r="H133" s="4"/>
      <c r="I133" s="4"/>
      <c r="J133" s="23" t="str">
        <f aca="false">IF(OR(G133="",H133=""),"","%"&amp;G133&amp;H133)</f>
        <v/>
      </c>
      <c r="K133" s="4"/>
      <c r="L133" s="4"/>
      <c r="M133" s="4"/>
      <c r="N133" s="4"/>
      <c r="O133" s="23" t="str">
        <f aca="false">IF(H133="","",IF(I133="","mot entier","bit "&amp;I133))</f>
        <v/>
      </c>
      <c r="P133" s="4"/>
    </row>
    <row r="134" customFormat="false" ht="15" hidden="false" customHeight="true" outlineLevel="0" collapsed="false">
      <c r="A134" s="22"/>
      <c r="B134" s="22"/>
      <c r="C134" s="23" t="str">
        <f aca="false">IFERROR(IF(OR(A134="",B134=""),"",INDEX(Equipements!$H:$H,MATCH(A134,Equipements!$A:$A,0))&amp;"."&amp;B134),"")</f>
        <v/>
      </c>
      <c r="D134" s="4"/>
      <c r="E134" s="22"/>
      <c r="F134" s="22"/>
      <c r="G134" s="22"/>
      <c r="H134" s="4"/>
      <c r="I134" s="4"/>
      <c r="J134" s="23" t="str">
        <f aca="false">IF(OR(G134="",H134=""),"","%"&amp;G134&amp;H134)</f>
        <v/>
      </c>
      <c r="K134" s="4"/>
      <c r="L134" s="4"/>
      <c r="M134" s="4"/>
      <c r="N134" s="4"/>
      <c r="O134" s="23" t="str">
        <f aca="false">IF(H134="","",IF(I134="","mot entier","bit "&amp;I134))</f>
        <v/>
      </c>
      <c r="P134" s="4"/>
    </row>
    <row r="135" customFormat="false" ht="15" hidden="false" customHeight="true" outlineLevel="0" collapsed="false">
      <c r="A135" s="22"/>
      <c r="B135" s="22"/>
      <c r="C135" s="23" t="str">
        <f aca="false">IFERROR(IF(OR(A135="",B135=""),"",INDEX(Equipements!$H:$H,MATCH(A135,Equipements!$A:$A,0))&amp;"."&amp;B135),"")</f>
        <v/>
      </c>
      <c r="D135" s="4"/>
      <c r="E135" s="22"/>
      <c r="F135" s="22"/>
      <c r="G135" s="22"/>
      <c r="H135" s="4"/>
      <c r="I135" s="4"/>
      <c r="J135" s="23" t="str">
        <f aca="false">IF(OR(G135="",H135=""),"","%"&amp;G135&amp;H135)</f>
        <v/>
      </c>
      <c r="K135" s="4"/>
      <c r="L135" s="4"/>
      <c r="M135" s="4"/>
      <c r="N135" s="4"/>
      <c r="O135" s="23" t="str">
        <f aca="false">IF(H135="","",IF(I135="","mot entier","bit "&amp;I135))</f>
        <v/>
      </c>
      <c r="P135" s="4"/>
    </row>
    <row r="136" customFormat="false" ht="15" hidden="false" customHeight="true" outlineLevel="0" collapsed="false">
      <c r="A136" s="22"/>
      <c r="B136" s="22"/>
      <c r="C136" s="23" t="str">
        <f aca="false">IFERROR(IF(OR(A136="",B136=""),"",INDEX(Equipements!$H:$H,MATCH(A136,Equipements!$A:$A,0))&amp;"."&amp;B136),"")</f>
        <v/>
      </c>
      <c r="D136" s="4"/>
      <c r="E136" s="22"/>
      <c r="F136" s="22"/>
      <c r="G136" s="22"/>
      <c r="H136" s="4"/>
      <c r="I136" s="4"/>
      <c r="J136" s="23" t="str">
        <f aca="false">IF(OR(G136="",H136=""),"","%"&amp;G136&amp;H136)</f>
        <v/>
      </c>
      <c r="K136" s="4"/>
      <c r="L136" s="4"/>
      <c r="M136" s="4"/>
      <c r="N136" s="4"/>
      <c r="O136" s="23" t="str">
        <f aca="false">IF(H136="","",IF(I136="","mot entier","bit "&amp;I136))</f>
        <v/>
      </c>
      <c r="P136" s="4"/>
    </row>
    <row r="137" customFormat="false" ht="15" hidden="false" customHeight="true" outlineLevel="0" collapsed="false">
      <c r="A137" s="22"/>
      <c r="B137" s="22"/>
      <c r="C137" s="23" t="str">
        <f aca="false">IFERROR(IF(OR(A137="",B137=""),"",INDEX(Equipements!$H:$H,MATCH(A137,Equipements!$A:$A,0))&amp;"."&amp;B137),"")</f>
        <v/>
      </c>
      <c r="D137" s="4"/>
      <c r="E137" s="22"/>
      <c r="F137" s="22"/>
      <c r="G137" s="22"/>
      <c r="H137" s="4"/>
      <c r="I137" s="4"/>
      <c r="J137" s="23" t="str">
        <f aca="false">IF(OR(G137="",H137=""),"","%"&amp;G137&amp;H137)</f>
        <v/>
      </c>
      <c r="K137" s="4"/>
      <c r="L137" s="4"/>
      <c r="M137" s="4"/>
      <c r="N137" s="4"/>
      <c r="O137" s="23" t="str">
        <f aca="false">IF(H137="","",IF(I137="","mot entier","bit "&amp;I137))</f>
        <v/>
      </c>
      <c r="P137" s="4"/>
    </row>
    <row r="138" customFormat="false" ht="15" hidden="false" customHeight="true" outlineLevel="0" collapsed="false">
      <c r="A138" s="22"/>
      <c r="B138" s="22"/>
      <c r="C138" s="23" t="str">
        <f aca="false">IFERROR(IF(OR(A138="",B138=""),"",INDEX(Equipements!$H:$H,MATCH(A138,Equipements!$A:$A,0))&amp;"."&amp;B138),"")</f>
        <v/>
      </c>
      <c r="D138" s="4"/>
      <c r="E138" s="22"/>
      <c r="F138" s="22"/>
      <c r="G138" s="22"/>
      <c r="H138" s="4"/>
      <c r="I138" s="4"/>
      <c r="J138" s="23" t="str">
        <f aca="false">IF(OR(G138="",H138=""),"","%"&amp;G138&amp;H138)</f>
        <v/>
      </c>
      <c r="K138" s="4"/>
      <c r="L138" s="4"/>
      <c r="M138" s="4"/>
      <c r="N138" s="4"/>
      <c r="O138" s="23" t="str">
        <f aca="false">IF(H138="","",IF(I138="","mot entier","bit "&amp;I138))</f>
        <v/>
      </c>
      <c r="P138" s="4"/>
    </row>
    <row r="139" customFormat="false" ht="15" hidden="false" customHeight="true" outlineLevel="0" collapsed="false">
      <c r="A139" s="22"/>
      <c r="B139" s="22"/>
      <c r="C139" s="23" t="str">
        <f aca="false">IFERROR(IF(OR(A139="",B139=""),"",INDEX(Equipements!$H:$H,MATCH(A139,Equipements!$A:$A,0))&amp;"."&amp;B139),"")</f>
        <v/>
      </c>
      <c r="D139" s="4"/>
      <c r="E139" s="22"/>
      <c r="F139" s="22"/>
      <c r="G139" s="22"/>
      <c r="H139" s="4"/>
      <c r="I139" s="4"/>
      <c r="J139" s="23" t="str">
        <f aca="false">IF(OR(G139="",H139=""),"","%"&amp;G139&amp;H139)</f>
        <v/>
      </c>
      <c r="K139" s="4"/>
      <c r="L139" s="4"/>
      <c r="M139" s="4"/>
      <c r="N139" s="4"/>
      <c r="O139" s="23" t="str">
        <f aca="false">IF(H139="","",IF(I139="","mot entier","bit "&amp;I139))</f>
        <v/>
      </c>
      <c r="P139" s="4"/>
    </row>
    <row r="140" customFormat="false" ht="15" hidden="false" customHeight="true" outlineLevel="0" collapsed="false">
      <c r="A140" s="22"/>
      <c r="B140" s="22"/>
      <c r="C140" s="23" t="str">
        <f aca="false">IFERROR(IF(OR(A140="",B140=""),"",INDEX(Equipements!$H:$H,MATCH(A140,Equipements!$A:$A,0))&amp;"."&amp;B140),"")</f>
        <v/>
      </c>
      <c r="D140" s="4"/>
      <c r="E140" s="22"/>
      <c r="F140" s="22"/>
      <c r="G140" s="22"/>
      <c r="H140" s="4"/>
      <c r="I140" s="4"/>
      <c r="J140" s="23" t="str">
        <f aca="false">IF(OR(G140="",H140=""),"","%"&amp;G140&amp;H140)</f>
        <v/>
      </c>
      <c r="K140" s="4"/>
      <c r="L140" s="4"/>
      <c r="M140" s="4"/>
      <c r="N140" s="4"/>
      <c r="O140" s="23" t="str">
        <f aca="false">IF(H140="","",IF(I140="","mot entier","bit "&amp;I140))</f>
        <v/>
      </c>
      <c r="P140" s="4"/>
    </row>
    <row r="141" customFormat="false" ht="15" hidden="false" customHeight="true" outlineLevel="0" collapsed="false">
      <c r="A141" s="22"/>
      <c r="B141" s="22"/>
      <c r="C141" s="23" t="str">
        <f aca="false">IFERROR(IF(OR(A141="",B141=""),"",INDEX(Equipements!$H:$H,MATCH(A141,Equipements!$A:$A,0))&amp;"."&amp;B141),"")</f>
        <v/>
      </c>
      <c r="D141" s="4"/>
      <c r="E141" s="22"/>
      <c r="F141" s="22"/>
      <c r="G141" s="22"/>
      <c r="H141" s="4"/>
      <c r="I141" s="4"/>
      <c r="J141" s="23" t="str">
        <f aca="false">IF(OR(G141="",H141=""),"","%"&amp;G141&amp;H141)</f>
        <v/>
      </c>
      <c r="K141" s="4"/>
      <c r="L141" s="4"/>
      <c r="M141" s="4"/>
      <c r="N141" s="4"/>
      <c r="O141" s="23" t="str">
        <f aca="false">IF(H141="","",IF(I141="","mot entier","bit "&amp;I141))</f>
        <v/>
      </c>
      <c r="P141" s="4"/>
    </row>
    <row r="142" customFormat="false" ht="15" hidden="false" customHeight="true" outlineLevel="0" collapsed="false">
      <c r="A142" s="22"/>
      <c r="B142" s="22"/>
      <c r="C142" s="23" t="str">
        <f aca="false">IFERROR(IF(OR(A142="",B142=""),"",INDEX(Equipements!$H:$H,MATCH(A142,Equipements!$A:$A,0))&amp;"."&amp;B142),"")</f>
        <v/>
      </c>
      <c r="D142" s="4"/>
      <c r="E142" s="22"/>
      <c r="F142" s="22"/>
      <c r="G142" s="22"/>
      <c r="H142" s="4"/>
      <c r="I142" s="4"/>
      <c r="J142" s="23" t="str">
        <f aca="false">IF(OR(G142="",H142=""),"","%"&amp;G142&amp;H142)</f>
        <v/>
      </c>
      <c r="K142" s="4"/>
      <c r="L142" s="4"/>
      <c r="M142" s="4"/>
      <c r="N142" s="4"/>
      <c r="O142" s="23" t="str">
        <f aca="false">IF(H142="","",IF(I142="","mot entier","bit "&amp;I142))</f>
        <v/>
      </c>
      <c r="P142" s="4"/>
    </row>
    <row r="143" customFormat="false" ht="15" hidden="false" customHeight="true" outlineLevel="0" collapsed="false">
      <c r="A143" s="22"/>
      <c r="B143" s="22"/>
      <c r="C143" s="23" t="str">
        <f aca="false">IFERROR(IF(OR(A143="",B143=""),"",INDEX(Equipements!$H:$H,MATCH(A143,Equipements!$A:$A,0))&amp;"."&amp;B143),"")</f>
        <v/>
      </c>
      <c r="D143" s="4"/>
      <c r="E143" s="22"/>
      <c r="F143" s="22"/>
      <c r="G143" s="22"/>
      <c r="H143" s="4"/>
      <c r="I143" s="4"/>
      <c r="J143" s="23" t="str">
        <f aca="false">IF(OR(G143="",H143=""),"","%"&amp;G143&amp;H143)</f>
        <v/>
      </c>
      <c r="K143" s="4"/>
      <c r="L143" s="4"/>
      <c r="M143" s="4"/>
      <c r="N143" s="4"/>
      <c r="O143" s="23" t="str">
        <f aca="false">IF(H143="","",IF(I143="","mot entier","bit "&amp;I143))</f>
        <v/>
      </c>
      <c r="P143" s="4"/>
    </row>
    <row r="144" customFormat="false" ht="15" hidden="false" customHeight="true" outlineLevel="0" collapsed="false">
      <c r="A144" s="22"/>
      <c r="B144" s="22"/>
      <c r="C144" s="23" t="str">
        <f aca="false">IFERROR(IF(OR(A144="",B144=""),"",INDEX(Equipements!$H:$H,MATCH(A144,Equipements!$A:$A,0))&amp;"."&amp;B144),"")</f>
        <v/>
      </c>
      <c r="D144" s="4"/>
      <c r="E144" s="22"/>
      <c r="F144" s="22"/>
      <c r="G144" s="22"/>
      <c r="H144" s="4"/>
      <c r="I144" s="4"/>
      <c r="J144" s="23" t="str">
        <f aca="false">IF(OR(G144="",H144=""),"","%"&amp;G144&amp;H144)</f>
        <v/>
      </c>
      <c r="K144" s="4"/>
      <c r="L144" s="4"/>
      <c r="M144" s="4"/>
      <c r="N144" s="4"/>
      <c r="O144" s="23" t="str">
        <f aca="false">IF(H144="","",IF(I144="","mot entier","bit "&amp;I144))</f>
        <v/>
      </c>
      <c r="P144" s="4"/>
    </row>
    <row r="145" customFormat="false" ht="15" hidden="false" customHeight="true" outlineLevel="0" collapsed="false">
      <c r="A145" s="22"/>
      <c r="B145" s="22"/>
      <c r="C145" s="23" t="str">
        <f aca="false">IFERROR(IF(OR(A145="",B145=""),"",INDEX(Equipements!$H:$H,MATCH(A145,Equipements!$A:$A,0))&amp;"."&amp;B145),"")</f>
        <v/>
      </c>
      <c r="D145" s="4"/>
      <c r="E145" s="22"/>
      <c r="F145" s="22"/>
      <c r="G145" s="22"/>
      <c r="H145" s="4"/>
      <c r="I145" s="4"/>
      <c r="J145" s="23" t="str">
        <f aca="false">IF(OR(G145="",H145=""),"","%"&amp;G145&amp;H145)</f>
        <v/>
      </c>
      <c r="K145" s="4"/>
      <c r="L145" s="4"/>
      <c r="M145" s="4"/>
      <c r="N145" s="4"/>
      <c r="O145" s="23" t="str">
        <f aca="false">IF(H145="","",IF(I145="","mot entier","bit "&amp;I145))</f>
        <v/>
      </c>
      <c r="P145" s="4"/>
    </row>
    <row r="146" customFormat="false" ht="15" hidden="false" customHeight="true" outlineLevel="0" collapsed="false">
      <c r="A146" s="22"/>
      <c r="B146" s="22"/>
      <c r="C146" s="23" t="str">
        <f aca="false">IFERROR(IF(OR(A146="",B146=""),"",INDEX(Equipements!$H:$H,MATCH(A146,Equipements!$A:$A,0))&amp;"."&amp;B146),"")</f>
        <v/>
      </c>
      <c r="D146" s="4"/>
      <c r="E146" s="22"/>
      <c r="F146" s="22"/>
      <c r="G146" s="22"/>
      <c r="H146" s="4"/>
      <c r="I146" s="4"/>
      <c r="J146" s="23" t="str">
        <f aca="false">IF(OR(G146="",H146=""),"","%"&amp;G146&amp;H146)</f>
        <v/>
      </c>
      <c r="K146" s="4"/>
      <c r="L146" s="4"/>
      <c r="M146" s="4"/>
      <c r="N146" s="4"/>
      <c r="O146" s="23" t="str">
        <f aca="false">IF(H146="","",IF(I146="","mot entier","bit "&amp;I146))</f>
        <v/>
      </c>
      <c r="P146" s="4"/>
    </row>
    <row r="147" customFormat="false" ht="15" hidden="false" customHeight="true" outlineLevel="0" collapsed="false">
      <c r="A147" s="22"/>
      <c r="B147" s="22"/>
      <c r="C147" s="23" t="str">
        <f aca="false">IFERROR(IF(OR(A147="",B147=""),"",INDEX(Equipements!$H:$H,MATCH(A147,Equipements!$A:$A,0))&amp;"."&amp;B147),"")</f>
        <v/>
      </c>
      <c r="D147" s="4"/>
      <c r="E147" s="22"/>
      <c r="F147" s="22"/>
      <c r="G147" s="22"/>
      <c r="H147" s="4"/>
      <c r="I147" s="4"/>
      <c r="J147" s="23" t="str">
        <f aca="false">IF(OR(G147="",H147=""),"","%"&amp;G147&amp;H147)</f>
        <v/>
      </c>
      <c r="K147" s="4"/>
      <c r="L147" s="4"/>
      <c r="M147" s="4"/>
      <c r="N147" s="4"/>
      <c r="O147" s="23" t="str">
        <f aca="false">IF(H147="","",IF(I147="","mot entier","bit "&amp;I147))</f>
        <v/>
      </c>
      <c r="P147" s="4"/>
    </row>
    <row r="148" customFormat="false" ht="15" hidden="false" customHeight="true" outlineLevel="0" collapsed="false">
      <c r="A148" s="22"/>
      <c r="B148" s="22"/>
      <c r="C148" s="23" t="str">
        <f aca="false">IFERROR(IF(OR(A148="",B148=""),"",INDEX(Equipements!$H:$H,MATCH(A148,Equipements!$A:$A,0))&amp;"."&amp;B148),"")</f>
        <v/>
      </c>
      <c r="D148" s="4"/>
      <c r="E148" s="22"/>
      <c r="F148" s="22"/>
      <c r="G148" s="22"/>
      <c r="H148" s="4"/>
      <c r="I148" s="4"/>
      <c r="J148" s="23" t="str">
        <f aca="false">IF(OR(G148="",H148=""),"","%"&amp;G148&amp;H148)</f>
        <v/>
      </c>
      <c r="K148" s="4"/>
      <c r="L148" s="4"/>
      <c r="M148" s="4"/>
      <c r="N148" s="4"/>
      <c r="O148" s="23" t="str">
        <f aca="false">IF(H148="","",IF(I148="","mot entier","bit "&amp;I148))</f>
        <v/>
      </c>
      <c r="P148" s="4"/>
    </row>
    <row r="149" customFormat="false" ht="15" hidden="false" customHeight="true" outlineLevel="0" collapsed="false">
      <c r="A149" s="22"/>
      <c r="B149" s="22"/>
      <c r="C149" s="23" t="str">
        <f aca="false">IFERROR(IF(OR(A149="",B149=""),"",INDEX(Equipements!$H:$H,MATCH(A149,Equipements!$A:$A,0))&amp;"."&amp;B149),"")</f>
        <v/>
      </c>
      <c r="D149" s="4"/>
      <c r="E149" s="22"/>
      <c r="F149" s="22"/>
      <c r="G149" s="22"/>
      <c r="H149" s="4"/>
      <c r="I149" s="4"/>
      <c r="J149" s="23" t="str">
        <f aca="false">IF(OR(G149="",H149=""),"","%"&amp;G149&amp;H149)</f>
        <v/>
      </c>
      <c r="K149" s="4"/>
      <c r="L149" s="4"/>
      <c r="M149" s="4"/>
      <c r="N149" s="4"/>
      <c r="O149" s="23" t="str">
        <f aca="false">IF(H149="","",IF(I149="","mot entier","bit "&amp;I149))</f>
        <v/>
      </c>
      <c r="P149" s="4"/>
    </row>
    <row r="150" customFormat="false" ht="15" hidden="false" customHeight="true" outlineLevel="0" collapsed="false">
      <c r="A150" s="22"/>
      <c r="B150" s="22"/>
      <c r="C150" s="23" t="str">
        <f aca="false">IFERROR(IF(OR(A150="",B150=""),"",INDEX(Equipements!$H:$H,MATCH(A150,Equipements!$A:$A,0))&amp;"."&amp;B150),"")</f>
        <v/>
      </c>
      <c r="D150" s="4"/>
      <c r="E150" s="22"/>
      <c r="F150" s="22"/>
      <c r="G150" s="22"/>
      <c r="H150" s="4"/>
      <c r="I150" s="4"/>
      <c r="J150" s="23" t="str">
        <f aca="false">IF(OR(G150="",H150=""),"","%"&amp;G150&amp;H150)</f>
        <v/>
      </c>
      <c r="K150" s="4"/>
      <c r="L150" s="4"/>
      <c r="M150" s="4"/>
      <c r="N150" s="4"/>
      <c r="O150" s="23" t="str">
        <f aca="false">IF(H150="","",IF(I150="","mot entier","bit "&amp;I150))</f>
        <v/>
      </c>
      <c r="P150" s="4"/>
    </row>
    <row r="151" customFormat="false" ht="15" hidden="false" customHeight="true" outlineLevel="0" collapsed="false">
      <c r="A151" s="22"/>
      <c r="B151" s="22"/>
      <c r="C151" s="23" t="str">
        <f aca="false">IFERROR(IF(OR(A151="",B151=""),"",INDEX(Equipements!$H:$H,MATCH(A151,Equipements!$A:$A,0))&amp;"."&amp;B151),"")</f>
        <v/>
      </c>
      <c r="D151" s="4"/>
      <c r="E151" s="22"/>
      <c r="F151" s="22"/>
      <c r="G151" s="22"/>
      <c r="H151" s="4"/>
      <c r="I151" s="4"/>
      <c r="J151" s="23" t="str">
        <f aca="false">IF(OR(G151="",H151=""),"","%"&amp;G151&amp;H151)</f>
        <v/>
      </c>
      <c r="K151" s="4"/>
      <c r="L151" s="4"/>
      <c r="M151" s="4"/>
      <c r="N151" s="4"/>
      <c r="O151" s="23" t="str">
        <f aca="false">IF(H151="","",IF(I151="","mot entier","bit "&amp;I151))</f>
        <v/>
      </c>
      <c r="P151" s="4"/>
    </row>
    <row r="152" customFormat="false" ht="15" hidden="false" customHeight="true" outlineLevel="0" collapsed="false">
      <c r="A152" s="22"/>
      <c r="B152" s="22"/>
      <c r="C152" s="23" t="str">
        <f aca="false">IFERROR(IF(OR(A152="",B152=""),"",INDEX(Equipements!$H:$H,MATCH(A152,Equipements!$A:$A,0))&amp;"."&amp;B152),"")</f>
        <v/>
      </c>
      <c r="D152" s="4"/>
      <c r="E152" s="22"/>
      <c r="F152" s="22"/>
      <c r="G152" s="22"/>
      <c r="H152" s="4"/>
      <c r="I152" s="4"/>
      <c r="J152" s="23" t="str">
        <f aca="false">IF(OR(G152="",H152=""),"","%"&amp;G152&amp;H152)</f>
        <v/>
      </c>
      <c r="K152" s="4"/>
      <c r="L152" s="4"/>
      <c r="M152" s="4"/>
      <c r="N152" s="4"/>
      <c r="O152" s="23" t="str">
        <f aca="false">IF(H152="","",IF(I152="","mot entier","bit "&amp;I152))</f>
        <v/>
      </c>
      <c r="P152" s="4"/>
    </row>
    <row r="153" customFormat="false" ht="15" hidden="false" customHeight="true" outlineLevel="0" collapsed="false">
      <c r="A153" s="22"/>
      <c r="B153" s="22"/>
      <c r="C153" s="23" t="str">
        <f aca="false">IFERROR(IF(OR(A153="",B153=""),"",INDEX(Equipements!$H:$H,MATCH(A153,Equipements!$A:$A,0))&amp;"."&amp;B153),"")</f>
        <v/>
      </c>
      <c r="D153" s="4"/>
      <c r="E153" s="22"/>
      <c r="F153" s="22"/>
      <c r="G153" s="22"/>
      <c r="H153" s="4"/>
      <c r="I153" s="4"/>
      <c r="J153" s="23" t="str">
        <f aca="false">IF(OR(G153="",H153=""),"","%"&amp;G153&amp;H153)</f>
        <v/>
      </c>
      <c r="K153" s="4"/>
      <c r="L153" s="4"/>
      <c r="M153" s="4"/>
      <c r="N153" s="4"/>
      <c r="O153" s="23" t="str">
        <f aca="false">IF(H153="","",IF(I153="","mot entier","bit "&amp;I153))</f>
        <v/>
      </c>
      <c r="P153" s="4"/>
    </row>
    <row r="154" customFormat="false" ht="15" hidden="false" customHeight="true" outlineLevel="0" collapsed="false">
      <c r="A154" s="22"/>
      <c r="B154" s="22"/>
      <c r="C154" s="23" t="str">
        <f aca="false">IFERROR(IF(OR(A154="",B154=""),"",INDEX(Equipements!$H:$H,MATCH(A154,Equipements!$A:$A,0))&amp;"."&amp;B154),"")</f>
        <v/>
      </c>
      <c r="D154" s="4"/>
      <c r="E154" s="22"/>
      <c r="F154" s="22"/>
      <c r="G154" s="22"/>
      <c r="H154" s="4"/>
      <c r="I154" s="4"/>
      <c r="J154" s="23" t="str">
        <f aca="false">IF(OR(G154="",H154=""),"","%"&amp;G154&amp;H154)</f>
        <v/>
      </c>
      <c r="K154" s="4"/>
      <c r="L154" s="4"/>
      <c r="M154" s="4"/>
      <c r="N154" s="4"/>
      <c r="O154" s="23" t="str">
        <f aca="false">IF(H154="","",IF(I154="","mot entier","bit "&amp;I154))</f>
        <v/>
      </c>
      <c r="P154" s="4"/>
    </row>
    <row r="155" customFormat="false" ht="15" hidden="false" customHeight="true" outlineLevel="0" collapsed="false">
      <c r="A155" s="22"/>
      <c r="B155" s="22"/>
      <c r="C155" s="23" t="str">
        <f aca="false">IFERROR(IF(OR(A155="",B155=""),"",INDEX(Equipements!$H:$H,MATCH(A155,Equipements!$A:$A,0))&amp;"."&amp;B155),"")</f>
        <v/>
      </c>
      <c r="D155" s="4"/>
      <c r="E155" s="22"/>
      <c r="F155" s="22"/>
      <c r="G155" s="22"/>
      <c r="H155" s="4"/>
      <c r="I155" s="4"/>
      <c r="J155" s="23" t="str">
        <f aca="false">IF(OR(G155="",H155=""),"","%"&amp;G155&amp;H155)</f>
        <v/>
      </c>
      <c r="K155" s="4"/>
      <c r="L155" s="4"/>
      <c r="M155" s="4"/>
      <c r="N155" s="4"/>
      <c r="O155" s="23" t="str">
        <f aca="false">IF(H155="","",IF(I155="","mot entier","bit "&amp;I155))</f>
        <v/>
      </c>
      <c r="P155" s="4"/>
    </row>
    <row r="156" customFormat="false" ht="15" hidden="false" customHeight="true" outlineLevel="0" collapsed="false">
      <c r="A156" s="22"/>
      <c r="B156" s="22"/>
      <c r="C156" s="23" t="str">
        <f aca="false">IFERROR(IF(OR(A156="",B156=""),"",INDEX(Equipements!$H:$H,MATCH(A156,Equipements!$A:$A,0))&amp;"."&amp;B156),"")</f>
        <v/>
      </c>
      <c r="D156" s="4"/>
      <c r="E156" s="22"/>
      <c r="F156" s="22"/>
      <c r="G156" s="22"/>
      <c r="H156" s="4"/>
      <c r="I156" s="4"/>
      <c r="J156" s="23" t="str">
        <f aca="false">IF(OR(G156="",H156=""),"","%"&amp;G156&amp;H156)</f>
        <v/>
      </c>
      <c r="K156" s="4"/>
      <c r="L156" s="4"/>
      <c r="M156" s="4"/>
      <c r="N156" s="4"/>
      <c r="O156" s="23" t="str">
        <f aca="false">IF(H156="","",IF(I156="","mot entier","bit "&amp;I156))</f>
        <v/>
      </c>
      <c r="P156" s="4"/>
    </row>
    <row r="157" customFormat="false" ht="15" hidden="false" customHeight="true" outlineLevel="0" collapsed="false">
      <c r="A157" s="22"/>
      <c r="B157" s="22"/>
      <c r="C157" s="23" t="str">
        <f aca="false">IFERROR(IF(OR(A157="",B157=""),"",INDEX(Equipements!$H:$H,MATCH(A157,Equipements!$A:$A,0))&amp;"."&amp;B157),"")</f>
        <v/>
      </c>
      <c r="D157" s="4"/>
      <c r="E157" s="22"/>
      <c r="F157" s="22"/>
      <c r="G157" s="22"/>
      <c r="H157" s="4"/>
      <c r="I157" s="4"/>
      <c r="J157" s="23" t="str">
        <f aca="false">IF(OR(G157="",H157=""),"","%"&amp;G157&amp;H157)</f>
        <v/>
      </c>
      <c r="K157" s="4"/>
      <c r="L157" s="4"/>
      <c r="M157" s="4"/>
      <c r="N157" s="4"/>
      <c r="O157" s="23" t="str">
        <f aca="false">IF(H157="","",IF(I157="","mot entier","bit "&amp;I157))</f>
        <v/>
      </c>
      <c r="P157" s="4"/>
    </row>
    <row r="158" customFormat="false" ht="15" hidden="false" customHeight="true" outlineLevel="0" collapsed="false">
      <c r="A158" s="22"/>
      <c r="B158" s="22"/>
      <c r="C158" s="23" t="str">
        <f aca="false">IFERROR(IF(OR(A158="",B158=""),"",INDEX(Equipements!$H:$H,MATCH(A158,Equipements!$A:$A,0))&amp;"."&amp;B158),"")</f>
        <v/>
      </c>
      <c r="D158" s="4"/>
      <c r="E158" s="22"/>
      <c r="F158" s="22"/>
      <c r="G158" s="22"/>
      <c r="H158" s="4"/>
      <c r="I158" s="4"/>
      <c r="J158" s="23" t="str">
        <f aca="false">IF(OR(G158="",H158=""),"","%"&amp;G158&amp;H158)</f>
        <v/>
      </c>
      <c r="K158" s="4"/>
      <c r="L158" s="4"/>
      <c r="M158" s="4"/>
      <c r="N158" s="4"/>
      <c r="O158" s="23" t="str">
        <f aca="false">IF(H158="","",IF(I158="","mot entier","bit "&amp;I158))</f>
        <v/>
      </c>
      <c r="P158" s="4"/>
    </row>
    <row r="159" customFormat="false" ht="15" hidden="false" customHeight="true" outlineLevel="0" collapsed="false">
      <c r="A159" s="22"/>
      <c r="B159" s="22"/>
      <c r="C159" s="23" t="str">
        <f aca="false">IFERROR(IF(OR(A159="",B159=""),"",INDEX(Equipements!$H:$H,MATCH(A159,Equipements!$A:$A,0))&amp;"."&amp;B159),"")</f>
        <v/>
      </c>
      <c r="D159" s="4"/>
      <c r="E159" s="22"/>
      <c r="F159" s="22"/>
      <c r="G159" s="22"/>
      <c r="H159" s="4"/>
      <c r="I159" s="4"/>
      <c r="J159" s="23" t="str">
        <f aca="false">IF(OR(G159="",H159=""),"","%"&amp;G159&amp;H159)</f>
        <v/>
      </c>
      <c r="K159" s="4"/>
      <c r="L159" s="4"/>
      <c r="M159" s="4"/>
      <c r="N159" s="4"/>
      <c r="O159" s="23" t="str">
        <f aca="false">IF(H159="","",IF(I159="","mot entier","bit "&amp;I159))</f>
        <v/>
      </c>
      <c r="P159" s="4"/>
    </row>
    <row r="160" customFormat="false" ht="15" hidden="false" customHeight="true" outlineLevel="0" collapsed="false">
      <c r="A160" s="22"/>
      <c r="B160" s="22"/>
      <c r="C160" s="23" t="str">
        <f aca="false">IFERROR(IF(OR(A160="",B160=""),"",INDEX(Equipements!$H:$H,MATCH(A160,Equipements!$A:$A,0))&amp;"."&amp;B160),"")</f>
        <v/>
      </c>
      <c r="D160" s="4"/>
      <c r="E160" s="22"/>
      <c r="F160" s="22"/>
      <c r="G160" s="22"/>
      <c r="H160" s="4"/>
      <c r="I160" s="4"/>
      <c r="J160" s="23" t="str">
        <f aca="false">IF(OR(G160="",H160=""),"","%"&amp;G160&amp;H160)</f>
        <v/>
      </c>
      <c r="K160" s="4"/>
      <c r="L160" s="4"/>
      <c r="M160" s="4"/>
      <c r="N160" s="4"/>
      <c r="O160" s="23" t="str">
        <f aca="false">IF(H160="","",IF(I160="","mot entier","bit "&amp;I160))</f>
        <v/>
      </c>
      <c r="P160" s="4"/>
    </row>
    <row r="161" customFormat="false" ht="15" hidden="false" customHeight="true" outlineLevel="0" collapsed="false">
      <c r="A161" s="22"/>
      <c r="B161" s="22"/>
      <c r="C161" s="23" t="str">
        <f aca="false">IFERROR(IF(OR(A161="",B161=""),"",INDEX(Equipements!$H:$H,MATCH(A161,Equipements!$A:$A,0))&amp;"."&amp;B161),"")</f>
        <v/>
      </c>
      <c r="D161" s="4"/>
      <c r="E161" s="22"/>
      <c r="F161" s="22"/>
      <c r="G161" s="22"/>
      <c r="H161" s="4"/>
      <c r="I161" s="4"/>
      <c r="J161" s="23" t="str">
        <f aca="false">IF(OR(G161="",H161=""),"","%"&amp;G161&amp;H161)</f>
        <v/>
      </c>
      <c r="K161" s="4"/>
      <c r="L161" s="4"/>
      <c r="M161" s="4"/>
      <c r="N161" s="4"/>
      <c r="O161" s="23" t="str">
        <f aca="false">IF(H161="","",IF(I161="","mot entier","bit "&amp;I161))</f>
        <v/>
      </c>
      <c r="P161" s="4"/>
    </row>
    <row r="162" customFormat="false" ht="15" hidden="false" customHeight="true" outlineLevel="0" collapsed="false">
      <c r="A162" s="22"/>
      <c r="B162" s="22"/>
      <c r="C162" s="23" t="str">
        <f aca="false">IFERROR(IF(OR(A162="",B162=""),"",INDEX(Equipements!$H:$H,MATCH(A162,Equipements!$A:$A,0))&amp;"."&amp;B162),"")</f>
        <v/>
      </c>
      <c r="D162" s="4"/>
      <c r="E162" s="22"/>
      <c r="F162" s="22"/>
      <c r="G162" s="22"/>
      <c r="H162" s="4"/>
      <c r="I162" s="4"/>
      <c r="J162" s="23" t="str">
        <f aca="false">IF(OR(G162="",H162=""),"","%"&amp;G162&amp;H162)</f>
        <v/>
      </c>
      <c r="K162" s="4"/>
      <c r="L162" s="4"/>
      <c r="M162" s="4"/>
      <c r="N162" s="4"/>
      <c r="O162" s="23" t="str">
        <f aca="false">IF(H162="","",IF(I162="","mot entier","bit "&amp;I162))</f>
        <v/>
      </c>
      <c r="P162" s="4"/>
    </row>
    <row r="163" customFormat="false" ht="15" hidden="false" customHeight="true" outlineLevel="0" collapsed="false">
      <c r="A163" s="22"/>
      <c r="B163" s="22"/>
      <c r="C163" s="23" t="str">
        <f aca="false">IFERROR(IF(OR(A163="",B163=""),"",INDEX(Equipements!$H:$H,MATCH(A163,Equipements!$A:$A,0))&amp;"."&amp;B163),"")</f>
        <v/>
      </c>
      <c r="D163" s="4"/>
      <c r="E163" s="22"/>
      <c r="F163" s="22"/>
      <c r="G163" s="22"/>
      <c r="H163" s="4"/>
      <c r="I163" s="4"/>
      <c r="J163" s="23" t="str">
        <f aca="false">IF(OR(G163="",H163=""),"","%"&amp;G163&amp;H163)</f>
        <v/>
      </c>
      <c r="K163" s="4"/>
      <c r="L163" s="4"/>
      <c r="M163" s="4"/>
      <c r="N163" s="4"/>
      <c r="O163" s="23" t="str">
        <f aca="false">IF(H163="","",IF(I163="","mot entier","bit "&amp;I163))</f>
        <v/>
      </c>
      <c r="P163" s="4"/>
    </row>
    <row r="164" customFormat="false" ht="15" hidden="false" customHeight="true" outlineLevel="0" collapsed="false">
      <c r="A164" s="22"/>
      <c r="B164" s="22"/>
      <c r="C164" s="23" t="str">
        <f aca="false">IFERROR(IF(OR(A164="",B164=""),"",INDEX(Equipements!$H:$H,MATCH(A164,Equipements!$A:$A,0))&amp;"."&amp;B164),"")</f>
        <v/>
      </c>
      <c r="D164" s="4"/>
      <c r="E164" s="22"/>
      <c r="F164" s="22"/>
      <c r="G164" s="22"/>
      <c r="H164" s="4"/>
      <c r="I164" s="4"/>
      <c r="J164" s="23" t="str">
        <f aca="false">IF(OR(G164="",H164=""),"","%"&amp;G164&amp;H164)</f>
        <v/>
      </c>
      <c r="K164" s="4"/>
      <c r="L164" s="4"/>
      <c r="M164" s="4"/>
      <c r="N164" s="4"/>
      <c r="O164" s="23" t="str">
        <f aca="false">IF(H164="","",IF(I164="","mot entier","bit "&amp;I164))</f>
        <v/>
      </c>
      <c r="P164" s="4"/>
    </row>
    <row r="165" customFormat="false" ht="15" hidden="false" customHeight="true" outlineLevel="0" collapsed="false">
      <c r="A165" s="22"/>
      <c r="B165" s="22"/>
      <c r="C165" s="23" t="str">
        <f aca="false">IFERROR(IF(OR(A165="",B165=""),"",INDEX(Equipements!$H:$H,MATCH(A165,Equipements!$A:$A,0))&amp;"."&amp;B165),"")</f>
        <v/>
      </c>
      <c r="D165" s="4"/>
      <c r="E165" s="22"/>
      <c r="F165" s="22"/>
      <c r="G165" s="22"/>
      <c r="H165" s="4"/>
      <c r="I165" s="4"/>
      <c r="J165" s="23" t="str">
        <f aca="false">IF(OR(G165="",H165=""),"","%"&amp;G165&amp;H165)</f>
        <v/>
      </c>
      <c r="K165" s="4"/>
      <c r="L165" s="4"/>
      <c r="M165" s="4"/>
      <c r="N165" s="4"/>
      <c r="O165" s="23" t="str">
        <f aca="false">IF(H165="","",IF(I165="","mot entier","bit "&amp;I165))</f>
        <v/>
      </c>
      <c r="P165" s="4"/>
    </row>
    <row r="166" customFormat="false" ht="15" hidden="false" customHeight="true" outlineLevel="0" collapsed="false">
      <c r="A166" s="22"/>
      <c r="B166" s="22"/>
      <c r="C166" s="23" t="str">
        <f aca="false">IFERROR(IF(OR(A166="",B166=""),"",INDEX(Equipements!$H:$H,MATCH(A166,Equipements!$A:$A,0))&amp;"."&amp;B166),"")</f>
        <v/>
      </c>
      <c r="D166" s="4"/>
      <c r="E166" s="22"/>
      <c r="F166" s="22"/>
      <c r="G166" s="22"/>
      <c r="H166" s="4"/>
      <c r="I166" s="4"/>
      <c r="J166" s="23" t="str">
        <f aca="false">IF(OR(G166="",H166=""),"","%"&amp;G166&amp;H166)</f>
        <v/>
      </c>
      <c r="K166" s="4"/>
      <c r="L166" s="4"/>
      <c r="M166" s="4"/>
      <c r="N166" s="4"/>
      <c r="O166" s="23" t="str">
        <f aca="false">IF(H166="","",IF(I166="","mot entier","bit "&amp;I166))</f>
        <v/>
      </c>
      <c r="P166" s="4"/>
    </row>
    <row r="167" customFormat="false" ht="15" hidden="false" customHeight="true" outlineLevel="0" collapsed="false">
      <c r="A167" s="22"/>
      <c r="B167" s="22"/>
      <c r="C167" s="23" t="str">
        <f aca="false">IFERROR(IF(OR(A167="",B167=""),"",INDEX(Equipements!$H:$H,MATCH(A167,Equipements!$A:$A,0))&amp;"."&amp;B167),"")</f>
        <v/>
      </c>
      <c r="D167" s="4"/>
      <c r="E167" s="22"/>
      <c r="F167" s="22"/>
      <c r="G167" s="22"/>
      <c r="H167" s="4"/>
      <c r="I167" s="4"/>
      <c r="J167" s="23" t="str">
        <f aca="false">IF(OR(G167="",H167=""),"","%"&amp;G167&amp;H167)</f>
        <v/>
      </c>
      <c r="K167" s="4"/>
      <c r="L167" s="4"/>
      <c r="M167" s="4"/>
      <c r="N167" s="4"/>
      <c r="O167" s="23" t="str">
        <f aca="false">IF(H167="","",IF(I167="","mot entier","bit "&amp;I167))</f>
        <v/>
      </c>
      <c r="P167" s="4"/>
    </row>
    <row r="168" customFormat="false" ht="15" hidden="false" customHeight="true" outlineLevel="0" collapsed="false">
      <c r="A168" s="22"/>
      <c r="B168" s="22"/>
      <c r="C168" s="23" t="str">
        <f aca="false">IFERROR(IF(OR(A168="",B168=""),"",INDEX(Equipements!$H:$H,MATCH(A168,Equipements!$A:$A,0))&amp;"."&amp;B168),"")</f>
        <v/>
      </c>
      <c r="D168" s="4"/>
      <c r="E168" s="22"/>
      <c r="F168" s="22"/>
      <c r="G168" s="22"/>
      <c r="H168" s="4"/>
      <c r="I168" s="4"/>
      <c r="J168" s="23" t="str">
        <f aca="false">IF(OR(G168="",H168=""),"","%"&amp;G168&amp;H168)</f>
        <v/>
      </c>
      <c r="K168" s="4"/>
      <c r="L168" s="4"/>
      <c r="M168" s="4"/>
      <c r="N168" s="4"/>
      <c r="O168" s="23" t="str">
        <f aca="false">IF(H168="","",IF(I168="","mot entier","bit "&amp;I168))</f>
        <v/>
      </c>
      <c r="P168" s="4"/>
    </row>
    <row r="169" customFormat="false" ht="15" hidden="false" customHeight="true" outlineLevel="0" collapsed="false">
      <c r="A169" s="22"/>
      <c r="B169" s="22"/>
      <c r="C169" s="23" t="str">
        <f aca="false">IFERROR(IF(OR(A169="",B169=""),"",INDEX(Equipements!$H:$H,MATCH(A169,Equipements!$A:$A,0))&amp;"."&amp;B169),"")</f>
        <v/>
      </c>
      <c r="D169" s="4"/>
      <c r="E169" s="22"/>
      <c r="F169" s="22"/>
      <c r="G169" s="22"/>
      <c r="H169" s="4"/>
      <c r="I169" s="4"/>
      <c r="J169" s="23" t="str">
        <f aca="false">IF(OR(G169="",H169=""),"","%"&amp;G169&amp;H169)</f>
        <v/>
      </c>
      <c r="K169" s="4"/>
      <c r="L169" s="4"/>
      <c r="M169" s="4"/>
      <c r="N169" s="4"/>
      <c r="O169" s="23" t="str">
        <f aca="false">IF(H169="","",IF(I169="","mot entier","bit "&amp;I169))</f>
        <v/>
      </c>
      <c r="P169" s="4"/>
    </row>
    <row r="170" customFormat="false" ht="15" hidden="false" customHeight="true" outlineLevel="0" collapsed="false">
      <c r="A170" s="22"/>
      <c r="B170" s="22"/>
      <c r="C170" s="23" t="str">
        <f aca="false">IFERROR(IF(OR(A170="",B170=""),"",INDEX(Equipements!$H:$H,MATCH(A170,Equipements!$A:$A,0))&amp;"."&amp;B170),"")</f>
        <v/>
      </c>
      <c r="D170" s="4"/>
      <c r="E170" s="22"/>
      <c r="F170" s="22"/>
      <c r="G170" s="22"/>
      <c r="H170" s="4"/>
      <c r="I170" s="4"/>
      <c r="J170" s="23" t="str">
        <f aca="false">IF(OR(G170="",H170=""),"","%"&amp;G170&amp;H170)</f>
        <v/>
      </c>
      <c r="K170" s="4"/>
      <c r="L170" s="4"/>
      <c r="M170" s="4"/>
      <c r="N170" s="4"/>
      <c r="O170" s="23" t="str">
        <f aca="false">IF(H170="","",IF(I170="","mot entier","bit "&amp;I170))</f>
        <v/>
      </c>
      <c r="P170" s="4"/>
    </row>
    <row r="171" customFormat="false" ht="15" hidden="false" customHeight="true" outlineLevel="0" collapsed="false">
      <c r="A171" s="22"/>
      <c r="B171" s="22"/>
      <c r="C171" s="23" t="str">
        <f aca="false">IFERROR(IF(OR(A171="",B171=""),"",INDEX(Equipements!$H:$H,MATCH(A171,Equipements!$A:$A,0))&amp;"."&amp;B171),"")</f>
        <v/>
      </c>
      <c r="D171" s="4"/>
      <c r="E171" s="22"/>
      <c r="F171" s="22"/>
      <c r="G171" s="22"/>
      <c r="H171" s="4"/>
      <c r="I171" s="4"/>
      <c r="J171" s="23" t="str">
        <f aca="false">IF(OR(G171="",H171=""),"","%"&amp;G171&amp;H171)</f>
        <v/>
      </c>
      <c r="K171" s="4"/>
      <c r="L171" s="4"/>
      <c r="M171" s="4"/>
      <c r="N171" s="4"/>
      <c r="O171" s="23" t="str">
        <f aca="false">IF(H171="","",IF(I171="","mot entier","bit "&amp;I171))</f>
        <v/>
      </c>
      <c r="P171" s="4"/>
    </row>
    <row r="172" customFormat="false" ht="15" hidden="false" customHeight="true" outlineLevel="0" collapsed="false">
      <c r="A172" s="22"/>
      <c r="B172" s="22"/>
      <c r="C172" s="23" t="str">
        <f aca="false">IFERROR(IF(OR(A172="",B172=""),"",INDEX(Equipements!$H:$H,MATCH(A172,Equipements!$A:$A,0))&amp;"."&amp;B172),"")</f>
        <v/>
      </c>
      <c r="D172" s="4"/>
      <c r="E172" s="22"/>
      <c r="F172" s="22"/>
      <c r="G172" s="22"/>
      <c r="H172" s="4"/>
      <c r="I172" s="4"/>
      <c r="J172" s="23" t="str">
        <f aca="false">IF(OR(G172="",H172=""),"","%"&amp;G172&amp;H172)</f>
        <v/>
      </c>
      <c r="K172" s="4"/>
      <c r="L172" s="4"/>
      <c r="M172" s="4"/>
      <c r="N172" s="4"/>
      <c r="O172" s="23" t="str">
        <f aca="false">IF(H172="","",IF(I172="","mot entier","bit "&amp;I172))</f>
        <v/>
      </c>
      <c r="P172" s="4"/>
    </row>
    <row r="173" customFormat="false" ht="15" hidden="false" customHeight="true" outlineLevel="0" collapsed="false">
      <c r="A173" s="22"/>
      <c r="B173" s="22"/>
      <c r="C173" s="23" t="str">
        <f aca="false">IFERROR(IF(OR(A173="",B173=""),"",INDEX(Equipements!$H:$H,MATCH(A173,Equipements!$A:$A,0))&amp;"."&amp;B173),"")</f>
        <v/>
      </c>
      <c r="D173" s="4"/>
      <c r="E173" s="22"/>
      <c r="F173" s="22"/>
      <c r="G173" s="22"/>
      <c r="H173" s="4"/>
      <c r="I173" s="4"/>
      <c r="J173" s="23" t="str">
        <f aca="false">IF(OR(G173="",H173=""),"","%"&amp;G173&amp;H173)</f>
        <v/>
      </c>
      <c r="K173" s="4"/>
      <c r="L173" s="4"/>
      <c r="M173" s="4"/>
      <c r="N173" s="4"/>
      <c r="O173" s="23" t="str">
        <f aca="false">IF(H173="","",IF(I173="","mot entier","bit "&amp;I173))</f>
        <v/>
      </c>
      <c r="P173" s="4"/>
    </row>
    <row r="174" customFormat="false" ht="15" hidden="false" customHeight="true" outlineLevel="0" collapsed="false">
      <c r="A174" s="22"/>
      <c r="B174" s="22"/>
      <c r="C174" s="23" t="str">
        <f aca="false">IFERROR(IF(OR(A174="",B174=""),"",INDEX(Equipements!$H:$H,MATCH(A174,Equipements!$A:$A,0))&amp;"."&amp;B174),"")</f>
        <v/>
      </c>
      <c r="D174" s="4"/>
      <c r="E174" s="22"/>
      <c r="F174" s="22"/>
      <c r="G174" s="22"/>
      <c r="H174" s="4"/>
      <c r="I174" s="4"/>
      <c r="J174" s="23" t="str">
        <f aca="false">IF(OR(G174="",H174=""),"","%"&amp;G174&amp;H174)</f>
        <v/>
      </c>
      <c r="K174" s="4"/>
      <c r="L174" s="4"/>
      <c r="M174" s="4"/>
      <c r="N174" s="4"/>
      <c r="O174" s="23" t="str">
        <f aca="false">IF(H174="","",IF(I174="","mot entier","bit "&amp;I174))</f>
        <v/>
      </c>
      <c r="P174" s="4"/>
    </row>
    <row r="175" customFormat="false" ht="15" hidden="false" customHeight="true" outlineLevel="0" collapsed="false">
      <c r="A175" s="22"/>
      <c r="B175" s="22"/>
      <c r="C175" s="23" t="str">
        <f aca="false">IFERROR(IF(OR(A175="",B175=""),"",INDEX(Equipements!$H:$H,MATCH(A175,Equipements!$A:$A,0))&amp;"."&amp;B175),"")</f>
        <v/>
      </c>
      <c r="D175" s="4"/>
      <c r="E175" s="22"/>
      <c r="F175" s="22"/>
      <c r="G175" s="22"/>
      <c r="H175" s="4"/>
      <c r="I175" s="4"/>
      <c r="J175" s="23" t="str">
        <f aca="false">IF(OR(G175="",H175=""),"","%"&amp;G175&amp;H175)</f>
        <v/>
      </c>
      <c r="K175" s="4"/>
      <c r="L175" s="4"/>
      <c r="M175" s="4"/>
      <c r="N175" s="4"/>
      <c r="O175" s="23" t="str">
        <f aca="false">IF(H175="","",IF(I175="","mot entier","bit "&amp;I175))</f>
        <v/>
      </c>
      <c r="P175" s="4"/>
    </row>
    <row r="176" customFormat="false" ht="15" hidden="false" customHeight="true" outlineLevel="0" collapsed="false">
      <c r="A176" s="22"/>
      <c r="B176" s="22"/>
      <c r="C176" s="23" t="str">
        <f aca="false">IFERROR(IF(OR(A176="",B176=""),"",INDEX(Equipements!$H:$H,MATCH(A176,Equipements!$A:$A,0))&amp;"."&amp;B176),"")</f>
        <v/>
      </c>
      <c r="D176" s="4"/>
      <c r="E176" s="22"/>
      <c r="F176" s="22"/>
      <c r="G176" s="22"/>
      <c r="H176" s="4"/>
      <c r="I176" s="4"/>
      <c r="J176" s="23" t="str">
        <f aca="false">IF(OR(G176="",H176=""),"","%"&amp;G176&amp;H176)</f>
        <v/>
      </c>
      <c r="K176" s="4"/>
      <c r="L176" s="4"/>
      <c r="M176" s="4"/>
      <c r="N176" s="4"/>
      <c r="O176" s="23" t="str">
        <f aca="false">IF(H176="","",IF(I176="","mot entier","bit "&amp;I176))</f>
        <v/>
      </c>
      <c r="P176" s="4"/>
    </row>
    <row r="177" customFormat="false" ht="15" hidden="false" customHeight="true" outlineLevel="0" collapsed="false">
      <c r="A177" s="22"/>
      <c r="B177" s="22"/>
      <c r="C177" s="23" t="str">
        <f aca="false">IFERROR(IF(OR(A177="",B177=""),"",INDEX(Equipements!$H:$H,MATCH(A177,Equipements!$A:$A,0))&amp;"."&amp;B177),"")</f>
        <v/>
      </c>
      <c r="D177" s="4"/>
      <c r="E177" s="22"/>
      <c r="F177" s="22"/>
      <c r="G177" s="22"/>
      <c r="H177" s="4"/>
      <c r="I177" s="4"/>
      <c r="J177" s="23" t="str">
        <f aca="false">IF(OR(G177="",H177=""),"","%"&amp;G177&amp;H177)</f>
        <v/>
      </c>
      <c r="K177" s="4"/>
      <c r="L177" s="4"/>
      <c r="M177" s="4"/>
      <c r="N177" s="4"/>
      <c r="O177" s="23" t="str">
        <f aca="false">IF(H177="","",IF(I177="","mot entier","bit "&amp;I177))</f>
        <v/>
      </c>
      <c r="P177" s="4"/>
    </row>
    <row r="178" customFormat="false" ht="15" hidden="false" customHeight="true" outlineLevel="0" collapsed="false">
      <c r="A178" s="22"/>
      <c r="B178" s="22"/>
      <c r="C178" s="23" t="str">
        <f aca="false">IFERROR(IF(OR(A178="",B178=""),"",INDEX(Equipements!$H:$H,MATCH(A178,Equipements!$A:$A,0))&amp;"."&amp;B178),"")</f>
        <v/>
      </c>
      <c r="D178" s="4"/>
      <c r="E178" s="22"/>
      <c r="F178" s="22"/>
      <c r="G178" s="22"/>
      <c r="H178" s="4"/>
      <c r="I178" s="4"/>
      <c r="J178" s="23" t="str">
        <f aca="false">IF(OR(G178="",H178=""),"","%"&amp;G178&amp;H178)</f>
        <v/>
      </c>
      <c r="K178" s="4"/>
      <c r="L178" s="4"/>
      <c r="M178" s="4"/>
      <c r="N178" s="4"/>
      <c r="O178" s="23" t="str">
        <f aca="false">IF(H178="","",IF(I178="","mot entier","bit "&amp;I178))</f>
        <v/>
      </c>
      <c r="P178" s="4"/>
    </row>
    <row r="179" customFormat="false" ht="15" hidden="false" customHeight="true" outlineLevel="0" collapsed="false">
      <c r="A179" s="22"/>
      <c r="B179" s="22"/>
      <c r="C179" s="23" t="str">
        <f aca="false">IFERROR(IF(OR(A179="",B179=""),"",INDEX(Equipements!$H:$H,MATCH(A179,Equipements!$A:$A,0))&amp;"."&amp;B179),"")</f>
        <v/>
      </c>
      <c r="D179" s="4"/>
      <c r="E179" s="22"/>
      <c r="F179" s="22"/>
      <c r="G179" s="22"/>
      <c r="H179" s="4"/>
      <c r="I179" s="4"/>
      <c r="J179" s="23" t="str">
        <f aca="false">IF(OR(G179="",H179=""),"","%"&amp;G179&amp;H179)</f>
        <v/>
      </c>
      <c r="K179" s="4"/>
      <c r="L179" s="4"/>
      <c r="M179" s="4"/>
      <c r="N179" s="4"/>
      <c r="O179" s="23" t="str">
        <f aca="false">IF(H179="","",IF(I179="","mot entier","bit "&amp;I179))</f>
        <v/>
      </c>
      <c r="P179" s="4"/>
    </row>
    <row r="180" customFormat="false" ht="15" hidden="false" customHeight="true" outlineLevel="0" collapsed="false">
      <c r="A180" s="22"/>
      <c r="B180" s="22"/>
      <c r="C180" s="23" t="str">
        <f aca="false">IFERROR(IF(OR(A180="",B180=""),"",INDEX(Equipements!$H:$H,MATCH(A180,Equipements!$A:$A,0))&amp;"."&amp;B180),"")</f>
        <v/>
      </c>
      <c r="D180" s="4"/>
      <c r="E180" s="22"/>
      <c r="F180" s="22"/>
      <c r="G180" s="22"/>
      <c r="H180" s="4"/>
      <c r="I180" s="4"/>
      <c r="J180" s="23" t="str">
        <f aca="false">IF(OR(G180="",H180=""),"","%"&amp;G180&amp;H180)</f>
        <v/>
      </c>
      <c r="K180" s="4"/>
      <c r="L180" s="4"/>
      <c r="M180" s="4"/>
      <c r="N180" s="4"/>
      <c r="O180" s="23" t="str">
        <f aca="false">IF(H180="","",IF(I180="","mot entier","bit "&amp;I180))</f>
        <v/>
      </c>
      <c r="P180" s="4"/>
    </row>
    <row r="181" customFormat="false" ht="15" hidden="false" customHeight="true" outlineLevel="0" collapsed="false">
      <c r="A181" s="22"/>
      <c r="B181" s="22"/>
      <c r="C181" s="23" t="str">
        <f aca="false">IFERROR(IF(OR(A181="",B181=""),"",INDEX(Equipements!$H:$H,MATCH(A181,Equipements!$A:$A,0))&amp;"."&amp;B181),"")</f>
        <v/>
      </c>
      <c r="D181" s="4"/>
      <c r="E181" s="22"/>
      <c r="F181" s="22"/>
      <c r="G181" s="22"/>
      <c r="H181" s="4"/>
      <c r="I181" s="4"/>
      <c r="J181" s="23" t="str">
        <f aca="false">IF(OR(G181="",H181=""),"","%"&amp;G181&amp;H181)</f>
        <v/>
      </c>
      <c r="K181" s="4"/>
      <c r="L181" s="4"/>
      <c r="M181" s="4"/>
      <c r="N181" s="4"/>
      <c r="O181" s="23" t="str">
        <f aca="false">IF(H181="","",IF(I181="","mot entier","bit "&amp;I181))</f>
        <v/>
      </c>
      <c r="P181" s="4"/>
    </row>
    <row r="182" customFormat="false" ht="15" hidden="false" customHeight="true" outlineLevel="0" collapsed="false">
      <c r="A182" s="22"/>
      <c r="B182" s="22"/>
      <c r="C182" s="23" t="str">
        <f aca="false">IFERROR(IF(OR(A182="",B182=""),"",INDEX(Equipements!$H:$H,MATCH(A182,Equipements!$A:$A,0))&amp;"."&amp;B182),"")</f>
        <v/>
      </c>
      <c r="D182" s="4"/>
      <c r="E182" s="22"/>
      <c r="F182" s="22"/>
      <c r="G182" s="22"/>
      <c r="H182" s="4"/>
      <c r="I182" s="4"/>
      <c r="J182" s="23" t="str">
        <f aca="false">IF(OR(G182="",H182=""),"","%"&amp;G182&amp;H182)</f>
        <v/>
      </c>
      <c r="K182" s="4"/>
      <c r="L182" s="4"/>
      <c r="M182" s="4"/>
      <c r="N182" s="4"/>
      <c r="O182" s="23" t="str">
        <f aca="false">IF(H182="","",IF(I182="","mot entier","bit "&amp;I182))</f>
        <v/>
      </c>
      <c r="P182" s="4"/>
    </row>
    <row r="183" customFormat="false" ht="15" hidden="false" customHeight="true" outlineLevel="0" collapsed="false">
      <c r="A183" s="22"/>
      <c r="B183" s="22"/>
      <c r="C183" s="23" t="str">
        <f aca="false">IFERROR(IF(OR(A183="",B183=""),"",INDEX(Equipements!$H:$H,MATCH(A183,Equipements!$A:$A,0))&amp;"."&amp;B183),"")</f>
        <v/>
      </c>
      <c r="D183" s="4"/>
      <c r="E183" s="22"/>
      <c r="F183" s="22"/>
      <c r="G183" s="22"/>
      <c r="H183" s="4"/>
      <c r="I183" s="4"/>
      <c r="J183" s="23" t="str">
        <f aca="false">IF(OR(G183="",H183=""),"","%"&amp;G183&amp;H183)</f>
        <v/>
      </c>
      <c r="K183" s="4"/>
      <c r="L183" s="4"/>
      <c r="M183" s="4"/>
      <c r="N183" s="4"/>
      <c r="O183" s="23" t="str">
        <f aca="false">IF(H183="","",IF(I183="","mot entier","bit "&amp;I183))</f>
        <v/>
      </c>
      <c r="P183" s="4"/>
    </row>
    <row r="184" customFormat="false" ht="15" hidden="false" customHeight="true" outlineLevel="0" collapsed="false">
      <c r="A184" s="22"/>
      <c r="B184" s="22"/>
      <c r="C184" s="23" t="str">
        <f aca="false">IFERROR(IF(OR(A184="",B184=""),"",INDEX(Equipements!$H:$H,MATCH(A184,Equipements!$A:$A,0))&amp;"."&amp;B184),"")</f>
        <v/>
      </c>
      <c r="D184" s="4"/>
      <c r="E184" s="22"/>
      <c r="F184" s="22"/>
      <c r="G184" s="22"/>
      <c r="H184" s="4"/>
      <c r="I184" s="4"/>
      <c r="J184" s="23" t="str">
        <f aca="false">IF(OR(G184="",H184=""),"","%"&amp;G184&amp;H184)</f>
        <v/>
      </c>
      <c r="K184" s="4"/>
      <c r="L184" s="4"/>
      <c r="M184" s="4"/>
      <c r="N184" s="4"/>
      <c r="O184" s="23" t="str">
        <f aca="false">IF(H184="","",IF(I184="","mot entier","bit "&amp;I184))</f>
        <v/>
      </c>
      <c r="P184" s="4"/>
    </row>
    <row r="185" customFormat="false" ht="15" hidden="false" customHeight="true" outlineLevel="0" collapsed="false">
      <c r="A185" s="22"/>
      <c r="B185" s="22"/>
      <c r="C185" s="23" t="str">
        <f aca="false">IFERROR(IF(OR(A185="",B185=""),"",INDEX(Equipements!$H:$H,MATCH(A185,Equipements!$A:$A,0))&amp;"."&amp;B185),"")</f>
        <v/>
      </c>
      <c r="D185" s="4"/>
      <c r="E185" s="22"/>
      <c r="F185" s="22"/>
      <c r="G185" s="22"/>
      <c r="H185" s="4"/>
      <c r="I185" s="4"/>
      <c r="J185" s="23" t="str">
        <f aca="false">IF(OR(G185="",H185=""),"","%"&amp;G185&amp;H185)</f>
        <v/>
      </c>
      <c r="K185" s="4"/>
      <c r="L185" s="4"/>
      <c r="M185" s="4"/>
      <c r="N185" s="4"/>
      <c r="O185" s="23" t="str">
        <f aca="false">IF(H185="","",IF(I185="","mot entier","bit "&amp;I185))</f>
        <v/>
      </c>
      <c r="P185" s="4"/>
    </row>
    <row r="186" customFormat="false" ht="15" hidden="false" customHeight="true" outlineLevel="0" collapsed="false">
      <c r="A186" s="22"/>
      <c r="B186" s="22"/>
      <c r="C186" s="23" t="str">
        <f aca="false">IFERROR(IF(OR(A186="",B186=""),"",INDEX(Equipements!$H:$H,MATCH(A186,Equipements!$A:$A,0))&amp;"."&amp;B186),"")</f>
        <v/>
      </c>
      <c r="D186" s="4"/>
      <c r="E186" s="22"/>
      <c r="F186" s="22"/>
      <c r="G186" s="22"/>
      <c r="H186" s="4"/>
      <c r="I186" s="4"/>
      <c r="J186" s="23" t="str">
        <f aca="false">IF(OR(G186="",H186=""),"","%"&amp;G186&amp;H186)</f>
        <v/>
      </c>
      <c r="K186" s="4"/>
      <c r="L186" s="4"/>
      <c r="M186" s="4"/>
      <c r="N186" s="4"/>
      <c r="O186" s="23" t="str">
        <f aca="false">IF(H186="","",IF(I186="","mot entier","bit "&amp;I186))</f>
        <v/>
      </c>
      <c r="P186" s="4"/>
    </row>
    <row r="187" customFormat="false" ht="15" hidden="false" customHeight="true" outlineLevel="0" collapsed="false">
      <c r="A187" s="22"/>
      <c r="B187" s="22"/>
      <c r="C187" s="23" t="str">
        <f aca="false">IFERROR(IF(OR(A187="",B187=""),"",INDEX(Equipements!$H:$H,MATCH(A187,Equipements!$A:$A,0))&amp;"."&amp;B187),"")</f>
        <v/>
      </c>
      <c r="D187" s="4"/>
      <c r="E187" s="22"/>
      <c r="F187" s="22"/>
      <c r="G187" s="22"/>
      <c r="H187" s="4"/>
      <c r="I187" s="4"/>
      <c r="J187" s="23" t="str">
        <f aca="false">IF(OR(G187="",H187=""),"","%"&amp;G187&amp;H187)</f>
        <v/>
      </c>
      <c r="K187" s="4"/>
      <c r="L187" s="4"/>
      <c r="M187" s="4"/>
      <c r="N187" s="4"/>
      <c r="O187" s="23" t="str">
        <f aca="false">IF(H187="","",IF(I187="","mot entier","bit "&amp;I187))</f>
        <v/>
      </c>
      <c r="P187" s="4"/>
    </row>
    <row r="188" customFormat="false" ht="15" hidden="false" customHeight="true" outlineLevel="0" collapsed="false">
      <c r="A188" s="22"/>
      <c r="B188" s="22"/>
      <c r="C188" s="23" t="str">
        <f aca="false">IFERROR(IF(OR(A188="",B188=""),"",INDEX(Equipements!$H:$H,MATCH(A188,Equipements!$A:$A,0))&amp;"."&amp;B188),"")</f>
        <v/>
      </c>
      <c r="D188" s="4"/>
      <c r="E188" s="22"/>
      <c r="F188" s="22"/>
      <c r="G188" s="22"/>
      <c r="H188" s="4"/>
      <c r="I188" s="4"/>
      <c r="J188" s="23" t="str">
        <f aca="false">IF(OR(G188="",H188=""),"","%"&amp;G188&amp;H188)</f>
        <v/>
      </c>
      <c r="K188" s="4"/>
      <c r="L188" s="4"/>
      <c r="M188" s="4"/>
      <c r="N188" s="4"/>
      <c r="O188" s="23" t="str">
        <f aca="false">IF(H188="","",IF(I188="","mot entier","bit "&amp;I188))</f>
        <v/>
      </c>
      <c r="P188" s="4"/>
    </row>
    <row r="189" customFormat="false" ht="15" hidden="false" customHeight="true" outlineLevel="0" collapsed="false">
      <c r="A189" s="22"/>
      <c r="B189" s="22"/>
      <c r="C189" s="23" t="str">
        <f aca="false">IFERROR(IF(OR(A189="",B189=""),"",INDEX(Equipements!$H:$H,MATCH(A189,Equipements!$A:$A,0))&amp;"."&amp;B189),"")</f>
        <v/>
      </c>
      <c r="D189" s="4"/>
      <c r="E189" s="22"/>
      <c r="F189" s="22"/>
      <c r="G189" s="22"/>
      <c r="H189" s="4"/>
      <c r="I189" s="4"/>
      <c r="J189" s="23" t="str">
        <f aca="false">IF(OR(G189="",H189=""),"","%"&amp;G189&amp;H189)</f>
        <v/>
      </c>
      <c r="K189" s="4"/>
      <c r="L189" s="4"/>
      <c r="M189" s="4"/>
      <c r="N189" s="4"/>
      <c r="O189" s="23" t="str">
        <f aca="false">IF(H189="","",IF(I189="","mot entier","bit "&amp;I189))</f>
        <v/>
      </c>
      <c r="P189" s="4"/>
    </row>
    <row r="190" customFormat="false" ht="15" hidden="false" customHeight="true" outlineLevel="0" collapsed="false">
      <c r="A190" s="22"/>
      <c r="B190" s="22"/>
      <c r="C190" s="23" t="str">
        <f aca="false">IFERROR(IF(OR(A190="",B190=""),"",INDEX(Equipements!$H:$H,MATCH(A190,Equipements!$A:$A,0))&amp;"."&amp;B190),"")</f>
        <v/>
      </c>
      <c r="D190" s="4"/>
      <c r="E190" s="22"/>
      <c r="F190" s="22"/>
      <c r="G190" s="22"/>
      <c r="H190" s="4"/>
      <c r="I190" s="4"/>
      <c r="J190" s="23" t="str">
        <f aca="false">IF(OR(G190="",H190=""),"","%"&amp;G190&amp;H190)</f>
        <v/>
      </c>
      <c r="K190" s="4"/>
      <c r="L190" s="4"/>
      <c r="M190" s="4"/>
      <c r="N190" s="4"/>
      <c r="O190" s="23" t="str">
        <f aca="false">IF(H190="","",IF(I190="","mot entier","bit "&amp;I190))</f>
        <v/>
      </c>
      <c r="P190" s="4"/>
    </row>
    <row r="191" customFormat="false" ht="15" hidden="false" customHeight="true" outlineLevel="0" collapsed="false">
      <c r="A191" s="22"/>
      <c r="B191" s="22"/>
      <c r="C191" s="23" t="str">
        <f aca="false">IFERROR(IF(OR(A191="",B191=""),"",INDEX(Equipements!$H:$H,MATCH(A191,Equipements!$A:$A,0))&amp;"."&amp;B191),"")</f>
        <v/>
      </c>
      <c r="D191" s="4"/>
      <c r="E191" s="22"/>
      <c r="F191" s="22"/>
      <c r="G191" s="22"/>
      <c r="H191" s="4"/>
      <c r="I191" s="4"/>
      <c r="J191" s="23" t="str">
        <f aca="false">IF(OR(G191="",H191=""),"","%"&amp;G191&amp;H191)</f>
        <v/>
      </c>
      <c r="K191" s="4"/>
      <c r="L191" s="4"/>
      <c r="M191" s="4"/>
      <c r="N191" s="4"/>
      <c r="O191" s="23" t="str">
        <f aca="false">IF(H191="","",IF(I191="","mot entier","bit "&amp;I191))</f>
        <v/>
      </c>
      <c r="P191" s="4"/>
    </row>
    <row r="192" customFormat="false" ht="15" hidden="false" customHeight="true" outlineLevel="0" collapsed="false">
      <c r="A192" s="22"/>
      <c r="B192" s="22"/>
      <c r="C192" s="23" t="str">
        <f aca="false">IFERROR(IF(OR(A192="",B192=""),"",INDEX(Equipements!$H:$H,MATCH(A192,Equipements!$A:$A,0))&amp;"."&amp;B192),"")</f>
        <v/>
      </c>
      <c r="D192" s="4"/>
      <c r="E192" s="22"/>
      <c r="F192" s="22"/>
      <c r="G192" s="22"/>
      <c r="H192" s="4"/>
      <c r="I192" s="4"/>
      <c r="J192" s="23" t="str">
        <f aca="false">IF(OR(G192="",H192=""),"","%"&amp;G192&amp;H192)</f>
        <v/>
      </c>
      <c r="K192" s="4"/>
      <c r="L192" s="4"/>
      <c r="M192" s="4"/>
      <c r="N192" s="4"/>
      <c r="O192" s="23" t="str">
        <f aca="false">IF(H192="","",IF(I192="","mot entier","bit "&amp;I192))</f>
        <v/>
      </c>
      <c r="P192" s="4"/>
    </row>
    <row r="193" customFormat="false" ht="15" hidden="false" customHeight="true" outlineLevel="0" collapsed="false">
      <c r="A193" s="22"/>
      <c r="B193" s="22"/>
      <c r="C193" s="23" t="str">
        <f aca="false">IFERROR(IF(OR(A193="",B193=""),"",INDEX(Equipements!$H:$H,MATCH(A193,Equipements!$A:$A,0))&amp;"."&amp;B193),"")</f>
        <v/>
      </c>
      <c r="D193" s="4"/>
      <c r="E193" s="22"/>
      <c r="F193" s="22"/>
      <c r="G193" s="22"/>
      <c r="H193" s="4"/>
      <c r="I193" s="4"/>
      <c r="J193" s="23" t="str">
        <f aca="false">IF(OR(G193="",H193=""),"","%"&amp;G193&amp;H193)</f>
        <v/>
      </c>
      <c r="K193" s="4"/>
      <c r="L193" s="4"/>
      <c r="M193" s="4"/>
      <c r="N193" s="4"/>
      <c r="O193" s="23" t="str">
        <f aca="false">IF(H193="","",IF(I193="","mot entier","bit "&amp;I193))</f>
        <v/>
      </c>
      <c r="P193" s="4"/>
    </row>
    <row r="194" customFormat="false" ht="15" hidden="false" customHeight="true" outlineLevel="0" collapsed="false">
      <c r="A194" s="22"/>
      <c r="B194" s="22"/>
      <c r="C194" s="23" t="str">
        <f aca="false">IFERROR(IF(OR(A194="",B194=""),"",INDEX(Equipements!$H:$H,MATCH(A194,Equipements!$A:$A,0))&amp;"."&amp;B194),"")</f>
        <v/>
      </c>
      <c r="D194" s="4"/>
      <c r="E194" s="22"/>
      <c r="F194" s="22"/>
      <c r="G194" s="22"/>
      <c r="H194" s="4"/>
      <c r="I194" s="4"/>
      <c r="J194" s="23" t="str">
        <f aca="false">IF(OR(G194="",H194=""),"","%"&amp;G194&amp;H194)</f>
        <v/>
      </c>
      <c r="K194" s="4"/>
      <c r="L194" s="4"/>
      <c r="M194" s="4"/>
      <c r="N194" s="4"/>
      <c r="O194" s="23" t="str">
        <f aca="false">IF(H194="","",IF(I194="","mot entier","bit "&amp;I194))</f>
        <v/>
      </c>
      <c r="P194" s="4"/>
    </row>
    <row r="195" customFormat="false" ht="15" hidden="false" customHeight="true" outlineLevel="0" collapsed="false">
      <c r="A195" s="22"/>
      <c r="B195" s="22"/>
      <c r="C195" s="23" t="str">
        <f aca="false">IFERROR(IF(OR(A195="",B195=""),"",INDEX(Equipements!$H:$H,MATCH(A195,Equipements!$A:$A,0))&amp;"."&amp;B195),"")</f>
        <v/>
      </c>
      <c r="D195" s="4"/>
      <c r="E195" s="22"/>
      <c r="F195" s="22"/>
      <c r="G195" s="22"/>
      <c r="H195" s="4"/>
      <c r="I195" s="4"/>
      <c r="J195" s="23" t="str">
        <f aca="false">IF(OR(G195="",H195=""),"","%"&amp;G195&amp;H195)</f>
        <v/>
      </c>
      <c r="K195" s="4"/>
      <c r="L195" s="4"/>
      <c r="M195" s="4"/>
      <c r="N195" s="4"/>
      <c r="O195" s="23" t="str">
        <f aca="false">IF(H195="","",IF(I195="","mot entier","bit "&amp;I195))</f>
        <v/>
      </c>
      <c r="P195" s="4"/>
    </row>
    <row r="196" customFormat="false" ht="15" hidden="false" customHeight="true" outlineLevel="0" collapsed="false">
      <c r="A196" s="22"/>
      <c r="B196" s="22"/>
      <c r="C196" s="23" t="str">
        <f aca="false">IFERROR(IF(OR(A196="",B196=""),"",INDEX(Equipements!$H:$H,MATCH(A196,Equipements!$A:$A,0))&amp;"."&amp;B196),"")</f>
        <v/>
      </c>
      <c r="D196" s="4"/>
      <c r="E196" s="22"/>
      <c r="F196" s="22"/>
      <c r="G196" s="22"/>
      <c r="H196" s="4"/>
      <c r="I196" s="4"/>
      <c r="J196" s="23" t="str">
        <f aca="false">IF(OR(G196="",H196=""),"","%"&amp;G196&amp;H196)</f>
        <v/>
      </c>
      <c r="K196" s="4"/>
      <c r="L196" s="4"/>
      <c r="M196" s="4"/>
      <c r="N196" s="4"/>
      <c r="O196" s="23" t="str">
        <f aca="false">IF(H196="","",IF(I196="","mot entier","bit "&amp;I196))</f>
        <v/>
      </c>
      <c r="P196" s="4"/>
    </row>
    <row r="197" customFormat="false" ht="15" hidden="false" customHeight="true" outlineLevel="0" collapsed="false">
      <c r="A197" s="22"/>
      <c r="B197" s="22"/>
      <c r="C197" s="23" t="str">
        <f aca="false">IFERROR(IF(OR(A197="",B197=""),"",INDEX(Equipements!$H:$H,MATCH(A197,Equipements!$A:$A,0))&amp;"."&amp;B197),"")</f>
        <v/>
      </c>
      <c r="D197" s="4"/>
      <c r="E197" s="22"/>
      <c r="F197" s="22"/>
      <c r="G197" s="22"/>
      <c r="H197" s="4"/>
      <c r="I197" s="4"/>
      <c r="J197" s="23" t="str">
        <f aca="false">IF(OR(G197="",H197=""),"","%"&amp;G197&amp;H197)</f>
        <v/>
      </c>
      <c r="K197" s="4"/>
      <c r="L197" s="4"/>
      <c r="M197" s="4"/>
      <c r="N197" s="4"/>
      <c r="O197" s="23" t="str">
        <f aca="false">IF(H197="","",IF(I197="","mot entier","bit "&amp;I197))</f>
        <v/>
      </c>
      <c r="P197" s="4"/>
    </row>
    <row r="198" customFormat="false" ht="15" hidden="false" customHeight="true" outlineLevel="0" collapsed="false">
      <c r="A198" s="22"/>
      <c r="B198" s="22"/>
      <c r="C198" s="23" t="str">
        <f aca="false">IFERROR(IF(OR(A198="",B198=""),"",INDEX(Equipements!$H:$H,MATCH(A198,Equipements!$A:$A,0))&amp;"."&amp;B198),"")</f>
        <v/>
      </c>
      <c r="D198" s="4"/>
      <c r="E198" s="22"/>
      <c r="F198" s="22"/>
      <c r="G198" s="22"/>
      <c r="H198" s="4"/>
      <c r="I198" s="4"/>
      <c r="J198" s="23" t="str">
        <f aca="false">IF(OR(G198="",H198=""),"","%"&amp;G198&amp;H198)</f>
        <v/>
      </c>
      <c r="K198" s="4"/>
      <c r="L198" s="4"/>
      <c r="M198" s="4"/>
      <c r="N198" s="4"/>
      <c r="O198" s="23" t="str">
        <f aca="false">IF(H198="","",IF(I198="","mot entier","bit "&amp;I198))</f>
        <v/>
      </c>
      <c r="P198" s="4"/>
    </row>
    <row r="199" customFormat="false" ht="15" hidden="false" customHeight="true" outlineLevel="0" collapsed="false">
      <c r="A199" s="22"/>
      <c r="B199" s="22"/>
      <c r="C199" s="23" t="str">
        <f aca="false">IFERROR(IF(OR(A199="",B199=""),"",INDEX(Equipements!$H:$H,MATCH(A199,Equipements!$A:$A,0))&amp;"."&amp;B199),"")</f>
        <v/>
      </c>
      <c r="D199" s="4"/>
      <c r="E199" s="22"/>
      <c r="F199" s="22"/>
      <c r="G199" s="22"/>
      <c r="H199" s="4"/>
      <c r="I199" s="4"/>
      <c r="J199" s="23" t="str">
        <f aca="false">IF(OR(G199="",H199=""),"","%"&amp;G199&amp;H199)</f>
        <v/>
      </c>
      <c r="K199" s="4"/>
      <c r="L199" s="4"/>
      <c r="M199" s="4"/>
      <c r="N199" s="4"/>
      <c r="O199" s="23" t="str">
        <f aca="false">IF(H199="","",IF(I199="","mot entier","bit "&amp;I199))</f>
        <v/>
      </c>
      <c r="P199" s="4"/>
    </row>
    <row r="200" customFormat="false" ht="15" hidden="false" customHeight="true" outlineLevel="0" collapsed="false">
      <c r="A200" s="22"/>
      <c r="B200" s="22"/>
      <c r="C200" s="23" t="str">
        <f aca="false">IFERROR(IF(OR(A200="",B200=""),"",INDEX(Equipements!$H:$H,MATCH(A200,Equipements!$A:$A,0))&amp;"."&amp;B200),"")</f>
        <v/>
      </c>
      <c r="D200" s="4"/>
      <c r="E200" s="22"/>
      <c r="F200" s="22"/>
      <c r="G200" s="22"/>
      <c r="H200" s="4"/>
      <c r="I200" s="4"/>
      <c r="J200" s="23" t="str">
        <f aca="false">IF(OR(G200="",H200=""),"","%"&amp;G200&amp;H200)</f>
        <v/>
      </c>
      <c r="K200" s="4"/>
      <c r="L200" s="4"/>
      <c r="M200" s="4"/>
      <c r="N200" s="4"/>
      <c r="O200" s="23" t="str">
        <f aca="false">IF(H200="","",IF(I200="","mot entier","bit "&amp;I200))</f>
        <v/>
      </c>
      <c r="P200" s="4"/>
    </row>
    <row r="201" customFormat="false" ht="15" hidden="false" customHeight="true" outlineLevel="0" collapsed="false">
      <c r="A201" s="22"/>
      <c r="B201" s="22"/>
      <c r="C201" s="23" t="str">
        <f aca="false">IFERROR(IF(OR(A201="",B201=""),"",INDEX(Equipements!$H:$H,MATCH(A201,Equipements!$A:$A,0))&amp;"."&amp;B201),"")</f>
        <v/>
      </c>
      <c r="D201" s="4"/>
      <c r="E201" s="22"/>
      <c r="F201" s="22"/>
      <c r="G201" s="22"/>
      <c r="H201" s="4"/>
      <c r="I201" s="4"/>
      <c r="J201" s="23" t="str">
        <f aca="false">IF(OR(G201="",H201=""),"","%"&amp;G201&amp;H201)</f>
        <v/>
      </c>
      <c r="K201" s="4"/>
      <c r="L201" s="4"/>
      <c r="M201" s="4"/>
      <c r="N201" s="4"/>
      <c r="O201" s="23" t="str">
        <f aca="false">IF(H201="","",IF(I201="","mot entier","bit "&amp;I201))</f>
        <v/>
      </c>
      <c r="P201" s="4"/>
    </row>
    <row r="202" customFormat="false" ht="15" hidden="false" customHeight="true" outlineLevel="0" collapsed="false">
      <c r="A202" s="22"/>
      <c r="B202" s="22"/>
      <c r="C202" s="23" t="str">
        <f aca="false">IFERROR(IF(OR(A202="",B202=""),"",INDEX(Equipements!$H:$H,MATCH(A202,Equipements!$A:$A,0))&amp;"."&amp;B202),"")</f>
        <v/>
      </c>
      <c r="D202" s="4"/>
      <c r="E202" s="22"/>
      <c r="F202" s="22"/>
      <c r="G202" s="22"/>
      <c r="H202" s="4"/>
      <c r="I202" s="4"/>
      <c r="J202" s="23" t="str">
        <f aca="false">IF(OR(G202="",H202=""),"","%"&amp;G202&amp;H202)</f>
        <v/>
      </c>
      <c r="K202" s="4"/>
      <c r="L202" s="4"/>
      <c r="M202" s="4"/>
      <c r="N202" s="4"/>
      <c r="O202" s="23" t="str">
        <f aca="false">IF(H202="","",IF(I202="","mot entier","bit "&amp;I202))</f>
        <v/>
      </c>
      <c r="P202" s="4"/>
    </row>
    <row r="203" customFormat="false" ht="15" hidden="false" customHeight="true" outlineLevel="0" collapsed="false">
      <c r="A203" s="22"/>
      <c r="B203" s="22"/>
      <c r="C203" s="23" t="str">
        <f aca="false">IFERROR(IF(OR(A203="",B203=""),"",INDEX(Equipements!$H:$H,MATCH(A203,Equipements!$A:$A,0))&amp;"."&amp;B203),"")</f>
        <v/>
      </c>
      <c r="D203" s="4"/>
      <c r="E203" s="22"/>
      <c r="F203" s="22"/>
      <c r="G203" s="22"/>
      <c r="H203" s="4"/>
      <c r="I203" s="4"/>
      <c r="J203" s="23" t="str">
        <f aca="false">IF(OR(G203="",H203=""),"","%"&amp;G203&amp;H203)</f>
        <v/>
      </c>
      <c r="K203" s="4"/>
      <c r="L203" s="4"/>
      <c r="M203" s="4"/>
      <c r="N203" s="4"/>
      <c r="O203" s="23" t="str">
        <f aca="false">IF(H203="","",IF(I203="","mot entier","bit "&amp;I203))</f>
        <v/>
      </c>
      <c r="P203" s="4"/>
    </row>
    <row r="204" customFormat="false" ht="15" hidden="false" customHeight="true" outlineLevel="0" collapsed="false">
      <c r="A204" s="22"/>
      <c r="B204" s="22"/>
      <c r="C204" s="23" t="str">
        <f aca="false">IFERROR(IF(OR(A204="",B204=""),"",INDEX(Equipements!$H:$H,MATCH(A204,Equipements!$A:$A,0))&amp;"."&amp;B204),"")</f>
        <v/>
      </c>
      <c r="D204" s="4"/>
      <c r="E204" s="22"/>
      <c r="F204" s="22"/>
      <c r="G204" s="22"/>
      <c r="H204" s="4"/>
      <c r="I204" s="4"/>
      <c r="J204" s="23" t="str">
        <f aca="false">IF(OR(G204="",H204=""),"","%"&amp;G204&amp;H204)</f>
        <v/>
      </c>
      <c r="K204" s="4"/>
      <c r="L204" s="4"/>
      <c r="M204" s="4"/>
      <c r="N204" s="4"/>
      <c r="O204" s="23" t="str">
        <f aca="false">IF(H204="","",IF(I204="","mot entier","bit "&amp;I204))</f>
        <v/>
      </c>
      <c r="P204" s="4"/>
    </row>
    <row r="205" customFormat="false" ht="15" hidden="false" customHeight="true" outlineLevel="0" collapsed="false">
      <c r="A205" s="22"/>
      <c r="B205" s="22"/>
      <c r="C205" s="23" t="str">
        <f aca="false">IFERROR(IF(OR(A205="",B205=""),"",INDEX(Equipements!$H:$H,MATCH(A205,Equipements!$A:$A,0))&amp;"."&amp;B205),"")</f>
        <v/>
      </c>
      <c r="D205" s="4"/>
      <c r="E205" s="22"/>
      <c r="F205" s="22"/>
      <c r="G205" s="22"/>
      <c r="H205" s="4"/>
      <c r="I205" s="4"/>
      <c r="J205" s="23" t="str">
        <f aca="false">IF(OR(G205="",H205=""),"","%"&amp;G205&amp;H205)</f>
        <v/>
      </c>
      <c r="K205" s="4"/>
      <c r="L205" s="4"/>
      <c r="M205" s="4"/>
      <c r="N205" s="4"/>
      <c r="O205" s="23" t="str">
        <f aca="false">IF(H205="","",IF(I205="","mot entier","bit "&amp;I205))</f>
        <v/>
      </c>
      <c r="P205" s="4"/>
    </row>
    <row r="206" customFormat="false" ht="15" hidden="false" customHeight="true" outlineLevel="0" collapsed="false">
      <c r="A206" s="22"/>
      <c r="B206" s="22"/>
      <c r="C206" s="23" t="str">
        <f aca="false">IFERROR(IF(OR(A206="",B206=""),"",INDEX(Equipements!$H:$H,MATCH(A206,Equipements!$A:$A,0))&amp;"."&amp;B206),"")</f>
        <v/>
      </c>
      <c r="D206" s="4"/>
      <c r="E206" s="22"/>
      <c r="F206" s="22"/>
      <c r="G206" s="22"/>
      <c r="H206" s="4"/>
      <c r="I206" s="4"/>
      <c r="J206" s="23" t="str">
        <f aca="false">IF(OR(G206="",H206=""),"","%"&amp;G206&amp;H206)</f>
        <v/>
      </c>
      <c r="K206" s="4"/>
      <c r="L206" s="4"/>
      <c r="M206" s="4"/>
      <c r="N206" s="4"/>
      <c r="O206" s="23" t="str">
        <f aca="false">IF(H206="","",IF(I206="","mot entier","bit "&amp;I206))</f>
        <v/>
      </c>
      <c r="P206" s="4"/>
    </row>
    <row r="207" customFormat="false" ht="15" hidden="false" customHeight="true" outlineLevel="0" collapsed="false">
      <c r="A207" s="22"/>
      <c r="B207" s="22"/>
      <c r="C207" s="23" t="str">
        <f aca="false">IFERROR(IF(OR(A207="",B207=""),"",INDEX(Equipements!$H:$H,MATCH(A207,Equipements!$A:$A,0))&amp;"."&amp;B207),"")</f>
        <v/>
      </c>
      <c r="D207" s="4"/>
      <c r="E207" s="22"/>
      <c r="F207" s="22"/>
      <c r="G207" s="22"/>
      <c r="H207" s="4"/>
      <c r="I207" s="4"/>
      <c r="J207" s="23" t="str">
        <f aca="false">IF(OR(G207="",H207=""),"","%"&amp;G207&amp;H207)</f>
        <v/>
      </c>
      <c r="K207" s="4"/>
      <c r="L207" s="4"/>
      <c r="M207" s="4"/>
      <c r="N207" s="4"/>
      <c r="O207" s="23" t="str">
        <f aca="false">IF(H207="","",IF(I207="","mot entier","bit "&amp;I207))</f>
        <v/>
      </c>
      <c r="P207" s="4"/>
    </row>
    <row r="208" customFormat="false" ht="15" hidden="false" customHeight="true" outlineLevel="0" collapsed="false">
      <c r="A208" s="22"/>
      <c r="B208" s="22"/>
      <c r="C208" s="23" t="str">
        <f aca="false">IFERROR(IF(OR(A208="",B208=""),"",INDEX(Equipements!$H:$H,MATCH(A208,Equipements!$A:$A,0))&amp;"."&amp;B208),"")</f>
        <v/>
      </c>
      <c r="D208" s="4"/>
      <c r="E208" s="22"/>
      <c r="F208" s="22"/>
      <c r="G208" s="22"/>
      <c r="H208" s="4"/>
      <c r="I208" s="4"/>
      <c r="J208" s="23" t="str">
        <f aca="false">IF(OR(G208="",H208=""),"","%"&amp;G208&amp;H208)</f>
        <v/>
      </c>
      <c r="K208" s="4"/>
      <c r="L208" s="4"/>
      <c r="M208" s="4"/>
      <c r="N208" s="4"/>
      <c r="O208" s="23" t="str">
        <f aca="false">IF(H208="","",IF(I208="","mot entier","bit "&amp;I208))</f>
        <v/>
      </c>
      <c r="P208" s="4"/>
    </row>
    <row r="209" customFormat="false" ht="15" hidden="false" customHeight="true" outlineLevel="0" collapsed="false">
      <c r="A209" s="22"/>
      <c r="B209" s="22"/>
      <c r="C209" s="23" t="str">
        <f aca="false">IFERROR(IF(OR(A209="",B209=""),"",INDEX(Equipements!$H:$H,MATCH(A209,Equipements!$A:$A,0))&amp;"."&amp;B209),"")</f>
        <v/>
      </c>
      <c r="D209" s="4"/>
      <c r="E209" s="22"/>
      <c r="F209" s="22"/>
      <c r="G209" s="22"/>
      <c r="H209" s="4"/>
      <c r="I209" s="4"/>
      <c r="J209" s="23" t="str">
        <f aca="false">IF(OR(G209="",H209=""),"","%"&amp;G209&amp;H209)</f>
        <v/>
      </c>
      <c r="K209" s="4"/>
      <c r="L209" s="4"/>
      <c r="M209" s="4"/>
      <c r="N209" s="4"/>
      <c r="O209" s="23" t="str">
        <f aca="false">IF(H209="","",IF(I209="","mot entier","bit "&amp;I209))</f>
        <v/>
      </c>
      <c r="P209" s="4"/>
    </row>
    <row r="210" customFormat="false" ht="15" hidden="false" customHeight="true" outlineLevel="0" collapsed="false">
      <c r="A210" s="22"/>
      <c r="B210" s="22"/>
      <c r="C210" s="23" t="str">
        <f aca="false">IFERROR(IF(OR(A210="",B210=""),"",INDEX(Equipements!$H:$H,MATCH(A210,Equipements!$A:$A,0))&amp;"."&amp;B210),"")</f>
        <v/>
      </c>
      <c r="D210" s="4"/>
      <c r="E210" s="22"/>
      <c r="F210" s="22"/>
      <c r="G210" s="22"/>
      <c r="H210" s="4"/>
      <c r="I210" s="4"/>
      <c r="J210" s="23" t="str">
        <f aca="false">IF(OR(G210="",H210=""),"","%"&amp;G210&amp;H210)</f>
        <v/>
      </c>
      <c r="K210" s="4"/>
      <c r="L210" s="4"/>
      <c r="M210" s="4"/>
      <c r="N210" s="4"/>
      <c r="O210" s="23" t="str">
        <f aca="false">IF(H210="","",IF(I210="","mot entier","bit "&amp;I210))</f>
        <v/>
      </c>
      <c r="P210" s="4"/>
    </row>
    <row r="211" customFormat="false" ht="15" hidden="false" customHeight="true" outlineLevel="0" collapsed="false">
      <c r="A211" s="22"/>
      <c r="B211" s="22"/>
      <c r="C211" s="23" t="str">
        <f aca="false">IFERROR(IF(OR(A211="",B211=""),"",INDEX(Equipements!$H:$H,MATCH(A211,Equipements!$A:$A,0))&amp;"."&amp;B211),"")</f>
        <v/>
      </c>
      <c r="D211" s="4"/>
      <c r="E211" s="22"/>
      <c r="F211" s="22"/>
      <c r="G211" s="22"/>
      <c r="H211" s="4"/>
      <c r="I211" s="4"/>
      <c r="J211" s="23" t="str">
        <f aca="false">IF(OR(G211="",H211=""),"","%"&amp;G211&amp;H211)</f>
        <v/>
      </c>
      <c r="K211" s="4"/>
      <c r="L211" s="4"/>
      <c r="M211" s="4"/>
      <c r="N211" s="4"/>
      <c r="O211" s="23" t="str">
        <f aca="false">IF(H211="","",IF(I211="","mot entier","bit "&amp;I211))</f>
        <v/>
      </c>
      <c r="P211" s="4"/>
    </row>
    <row r="212" customFormat="false" ht="15" hidden="false" customHeight="true" outlineLevel="0" collapsed="false">
      <c r="A212" s="22"/>
      <c r="B212" s="22"/>
      <c r="C212" s="23" t="str">
        <f aca="false">IFERROR(IF(OR(A212="",B212=""),"",INDEX(Equipements!$H:$H,MATCH(A212,Equipements!$A:$A,0))&amp;"."&amp;B212),"")</f>
        <v/>
      </c>
      <c r="D212" s="4"/>
      <c r="E212" s="22"/>
      <c r="F212" s="22"/>
      <c r="G212" s="22"/>
      <c r="H212" s="4"/>
      <c r="I212" s="4"/>
      <c r="J212" s="23" t="str">
        <f aca="false">IF(OR(G212="",H212=""),"","%"&amp;G212&amp;H212)</f>
        <v/>
      </c>
      <c r="K212" s="4"/>
      <c r="L212" s="4"/>
      <c r="M212" s="4"/>
      <c r="N212" s="4"/>
      <c r="O212" s="23" t="str">
        <f aca="false">IF(H212="","",IF(I212="","mot entier","bit "&amp;I212))</f>
        <v/>
      </c>
      <c r="P212" s="4"/>
    </row>
    <row r="213" customFormat="false" ht="15" hidden="false" customHeight="true" outlineLevel="0" collapsed="false">
      <c r="A213" s="22"/>
      <c r="B213" s="22"/>
      <c r="C213" s="23" t="str">
        <f aca="false">IFERROR(IF(OR(A213="",B213=""),"",INDEX(Equipements!$H:$H,MATCH(A213,Equipements!$A:$A,0))&amp;"."&amp;B213),"")</f>
        <v/>
      </c>
      <c r="D213" s="4"/>
      <c r="E213" s="22"/>
      <c r="F213" s="22"/>
      <c r="G213" s="22"/>
      <c r="H213" s="4"/>
      <c r="I213" s="4"/>
      <c r="J213" s="23" t="str">
        <f aca="false">IF(OR(G213="",H213=""),"","%"&amp;G213&amp;H213)</f>
        <v/>
      </c>
      <c r="K213" s="4"/>
      <c r="L213" s="4"/>
      <c r="M213" s="4"/>
      <c r="N213" s="4"/>
      <c r="O213" s="23" t="str">
        <f aca="false">IF(H213="","",IF(I213="","mot entier","bit "&amp;I213))</f>
        <v/>
      </c>
      <c r="P213" s="4"/>
    </row>
    <row r="214" customFormat="false" ht="15" hidden="false" customHeight="true" outlineLevel="0" collapsed="false">
      <c r="A214" s="22"/>
      <c r="B214" s="22"/>
      <c r="C214" s="23" t="str">
        <f aca="false">IFERROR(IF(OR(A214="",B214=""),"",INDEX(Equipements!$H:$H,MATCH(A214,Equipements!$A:$A,0))&amp;"."&amp;B214),"")</f>
        <v/>
      </c>
      <c r="D214" s="4"/>
      <c r="E214" s="22"/>
      <c r="F214" s="22"/>
      <c r="G214" s="22"/>
      <c r="H214" s="4"/>
      <c r="I214" s="4"/>
      <c r="J214" s="23" t="str">
        <f aca="false">IF(OR(G214="",H214=""),"","%"&amp;G214&amp;H214)</f>
        <v/>
      </c>
      <c r="K214" s="4"/>
      <c r="L214" s="4"/>
      <c r="M214" s="4"/>
      <c r="N214" s="4"/>
      <c r="O214" s="23" t="str">
        <f aca="false">IF(H214="","",IF(I214="","mot entier","bit "&amp;I214))</f>
        <v/>
      </c>
      <c r="P214" s="4"/>
    </row>
    <row r="215" customFormat="false" ht="15" hidden="false" customHeight="true" outlineLevel="0" collapsed="false">
      <c r="A215" s="22"/>
      <c r="B215" s="22"/>
      <c r="C215" s="23" t="str">
        <f aca="false">IFERROR(IF(OR(A215="",B215=""),"",INDEX(Equipements!$H:$H,MATCH(A215,Equipements!$A:$A,0))&amp;"."&amp;B215),"")</f>
        <v/>
      </c>
      <c r="D215" s="4"/>
      <c r="E215" s="22"/>
      <c r="F215" s="22"/>
      <c r="G215" s="22"/>
      <c r="H215" s="4"/>
      <c r="I215" s="4"/>
      <c r="J215" s="23" t="str">
        <f aca="false">IF(OR(G215="",H215=""),"","%"&amp;G215&amp;H215)</f>
        <v/>
      </c>
      <c r="K215" s="4"/>
      <c r="L215" s="4"/>
      <c r="M215" s="4"/>
      <c r="N215" s="4"/>
      <c r="O215" s="23" t="str">
        <f aca="false">IF(H215="","",IF(I215="","mot entier","bit "&amp;I215))</f>
        <v/>
      </c>
      <c r="P215" s="4"/>
    </row>
    <row r="216" customFormat="false" ht="15" hidden="false" customHeight="true" outlineLevel="0" collapsed="false">
      <c r="A216" s="22"/>
      <c r="B216" s="22"/>
      <c r="C216" s="23" t="str">
        <f aca="false">IFERROR(IF(OR(A216="",B216=""),"",INDEX(Equipements!$H:$H,MATCH(A216,Equipements!$A:$A,0))&amp;"."&amp;B216),"")</f>
        <v/>
      </c>
      <c r="D216" s="4"/>
      <c r="E216" s="22"/>
      <c r="F216" s="22"/>
      <c r="G216" s="22"/>
      <c r="H216" s="4"/>
      <c r="I216" s="4"/>
      <c r="J216" s="23" t="str">
        <f aca="false">IF(OR(G216="",H216=""),"","%"&amp;G216&amp;H216)</f>
        <v/>
      </c>
      <c r="K216" s="4"/>
      <c r="L216" s="4"/>
      <c r="M216" s="4"/>
      <c r="N216" s="4"/>
      <c r="O216" s="23" t="str">
        <f aca="false">IF(H216="","",IF(I216="","mot entier","bit "&amp;I216))</f>
        <v/>
      </c>
      <c r="P216" s="4"/>
    </row>
    <row r="217" customFormat="false" ht="15" hidden="false" customHeight="true" outlineLevel="0" collapsed="false">
      <c r="A217" s="22"/>
      <c r="B217" s="22"/>
      <c r="C217" s="23" t="str">
        <f aca="false">IFERROR(IF(OR(A217="",B217=""),"",INDEX(Equipements!$H:$H,MATCH(A217,Equipements!$A:$A,0))&amp;"."&amp;B217),"")</f>
        <v/>
      </c>
      <c r="D217" s="4"/>
      <c r="E217" s="22"/>
      <c r="F217" s="22"/>
      <c r="G217" s="22"/>
      <c r="H217" s="4"/>
      <c r="I217" s="4"/>
      <c r="J217" s="23" t="str">
        <f aca="false">IF(OR(G217="",H217=""),"","%"&amp;G217&amp;H217)</f>
        <v/>
      </c>
      <c r="K217" s="4"/>
      <c r="L217" s="4"/>
      <c r="M217" s="4"/>
      <c r="N217" s="4"/>
      <c r="O217" s="23" t="str">
        <f aca="false">IF(H217="","",IF(I217="","mot entier","bit "&amp;I217))</f>
        <v/>
      </c>
      <c r="P217" s="4"/>
    </row>
    <row r="218" customFormat="false" ht="15" hidden="false" customHeight="true" outlineLevel="0" collapsed="false">
      <c r="A218" s="22"/>
      <c r="B218" s="22"/>
      <c r="C218" s="23" t="str">
        <f aca="false">IFERROR(IF(OR(A218="",B218=""),"",INDEX(Equipements!$H:$H,MATCH(A218,Equipements!$A:$A,0))&amp;"."&amp;B218),"")</f>
        <v/>
      </c>
      <c r="D218" s="4"/>
      <c r="E218" s="22"/>
      <c r="F218" s="22"/>
      <c r="G218" s="22"/>
      <c r="H218" s="4"/>
      <c r="I218" s="4"/>
      <c r="J218" s="23" t="str">
        <f aca="false">IF(OR(G218="",H218=""),"","%"&amp;G218&amp;H218)</f>
        <v/>
      </c>
      <c r="K218" s="4"/>
      <c r="L218" s="4"/>
      <c r="M218" s="4"/>
      <c r="N218" s="4"/>
      <c r="O218" s="23" t="str">
        <f aca="false">IF(H218="","",IF(I218="","mot entier","bit "&amp;I218))</f>
        <v/>
      </c>
      <c r="P218" s="4"/>
    </row>
    <row r="219" customFormat="false" ht="15" hidden="false" customHeight="true" outlineLevel="0" collapsed="false">
      <c r="A219" s="22"/>
      <c r="B219" s="22"/>
      <c r="C219" s="23" t="str">
        <f aca="false">IFERROR(IF(OR(A219="",B219=""),"",INDEX(Equipements!$H:$H,MATCH(A219,Equipements!$A:$A,0))&amp;"."&amp;B219),"")</f>
        <v/>
      </c>
      <c r="D219" s="4"/>
      <c r="E219" s="22"/>
      <c r="F219" s="22"/>
      <c r="G219" s="22"/>
      <c r="H219" s="4"/>
      <c r="I219" s="4"/>
      <c r="J219" s="23" t="str">
        <f aca="false">IF(OR(G219="",H219=""),"","%"&amp;G219&amp;H219)</f>
        <v/>
      </c>
      <c r="K219" s="4"/>
      <c r="L219" s="4"/>
      <c r="M219" s="4"/>
      <c r="N219" s="4"/>
      <c r="O219" s="23" t="str">
        <f aca="false">IF(H219="","",IF(I219="","mot entier","bit "&amp;I219))</f>
        <v/>
      </c>
      <c r="P219" s="4"/>
    </row>
    <row r="220" customFormat="false" ht="15" hidden="false" customHeight="true" outlineLevel="0" collapsed="false">
      <c r="A220" s="22"/>
      <c r="B220" s="22"/>
      <c r="C220" s="23" t="str">
        <f aca="false">IFERROR(IF(OR(A220="",B220=""),"",INDEX(Equipements!$H:$H,MATCH(A220,Equipements!$A:$A,0))&amp;"."&amp;B220),"")</f>
        <v/>
      </c>
      <c r="D220" s="4"/>
      <c r="E220" s="22"/>
      <c r="F220" s="22"/>
      <c r="G220" s="22"/>
      <c r="H220" s="4"/>
      <c r="I220" s="4"/>
      <c r="J220" s="23" t="str">
        <f aca="false">IF(OR(G220="",H220=""),"","%"&amp;G220&amp;H220)</f>
        <v/>
      </c>
      <c r="K220" s="4"/>
      <c r="L220" s="4"/>
      <c r="M220" s="4"/>
      <c r="N220" s="4"/>
      <c r="O220" s="23" t="str">
        <f aca="false">IF(H220="","",IF(I220="","mot entier","bit "&amp;I220))</f>
        <v/>
      </c>
      <c r="P220" s="4"/>
    </row>
    <row r="221" customFormat="false" ht="15" hidden="false" customHeight="true" outlineLevel="0" collapsed="false">
      <c r="A221" s="22"/>
      <c r="B221" s="22"/>
      <c r="C221" s="23" t="str">
        <f aca="false">IFERROR(IF(OR(A221="",B221=""),"",INDEX(Equipements!$H:$H,MATCH(A221,Equipements!$A:$A,0))&amp;"."&amp;B221),"")</f>
        <v/>
      </c>
      <c r="D221" s="4"/>
      <c r="E221" s="22"/>
      <c r="F221" s="22"/>
      <c r="G221" s="22"/>
      <c r="H221" s="4"/>
      <c r="I221" s="4"/>
      <c r="J221" s="23" t="str">
        <f aca="false">IF(OR(G221="",H221=""),"","%"&amp;G221&amp;H221)</f>
        <v/>
      </c>
      <c r="K221" s="4"/>
      <c r="L221" s="4"/>
      <c r="M221" s="4"/>
      <c r="N221" s="4"/>
      <c r="O221" s="23" t="str">
        <f aca="false">IF(H221="","",IF(I221="","mot entier","bit "&amp;I221))</f>
        <v/>
      </c>
      <c r="P221" s="4"/>
    </row>
    <row r="222" customFormat="false" ht="15" hidden="false" customHeight="true" outlineLevel="0" collapsed="false">
      <c r="A222" s="22"/>
      <c r="B222" s="22"/>
      <c r="C222" s="23" t="str">
        <f aca="false">IFERROR(IF(OR(A222="",B222=""),"",INDEX(Equipements!$H:$H,MATCH(A222,Equipements!$A:$A,0))&amp;"."&amp;B222),"")</f>
        <v/>
      </c>
      <c r="D222" s="4"/>
      <c r="E222" s="22"/>
      <c r="F222" s="22"/>
      <c r="G222" s="22"/>
      <c r="H222" s="4"/>
      <c r="I222" s="4"/>
      <c r="J222" s="23" t="str">
        <f aca="false">IF(OR(G222="",H222=""),"","%"&amp;G222&amp;H222)</f>
        <v/>
      </c>
      <c r="K222" s="4"/>
      <c r="L222" s="4"/>
      <c r="M222" s="4"/>
      <c r="N222" s="4"/>
      <c r="O222" s="23" t="str">
        <f aca="false">IF(H222="","",IF(I222="","mot entier","bit "&amp;I222))</f>
        <v/>
      </c>
      <c r="P222" s="4"/>
    </row>
    <row r="223" customFormat="false" ht="15" hidden="false" customHeight="true" outlineLevel="0" collapsed="false">
      <c r="A223" s="22"/>
      <c r="B223" s="22"/>
      <c r="C223" s="23" t="str">
        <f aca="false">IFERROR(IF(OR(A223="",B223=""),"",INDEX(Equipements!$H:$H,MATCH(A223,Equipements!$A:$A,0))&amp;"."&amp;B223),"")</f>
        <v/>
      </c>
      <c r="D223" s="4"/>
      <c r="E223" s="22"/>
      <c r="F223" s="22"/>
      <c r="G223" s="22"/>
      <c r="H223" s="4"/>
      <c r="I223" s="4"/>
      <c r="J223" s="23" t="str">
        <f aca="false">IF(OR(G223="",H223=""),"","%"&amp;G223&amp;H223)</f>
        <v/>
      </c>
      <c r="K223" s="4"/>
      <c r="L223" s="4"/>
      <c r="M223" s="4"/>
      <c r="N223" s="4"/>
      <c r="O223" s="23" t="str">
        <f aca="false">IF(H223="","",IF(I223="","mot entier","bit "&amp;I223))</f>
        <v/>
      </c>
      <c r="P223" s="4"/>
    </row>
    <row r="224" customFormat="false" ht="15" hidden="false" customHeight="true" outlineLevel="0" collapsed="false">
      <c r="A224" s="22"/>
      <c r="B224" s="22"/>
      <c r="C224" s="23" t="str">
        <f aca="false">IFERROR(IF(OR(A224="",B224=""),"",INDEX(Equipements!$H:$H,MATCH(A224,Equipements!$A:$A,0))&amp;"."&amp;B224),"")</f>
        <v/>
      </c>
      <c r="D224" s="4"/>
      <c r="E224" s="22"/>
      <c r="F224" s="22"/>
      <c r="G224" s="22"/>
      <c r="H224" s="4"/>
      <c r="I224" s="4"/>
      <c r="J224" s="23" t="str">
        <f aca="false">IF(OR(G224="",H224=""),"","%"&amp;G224&amp;H224)</f>
        <v/>
      </c>
      <c r="K224" s="4"/>
      <c r="L224" s="4"/>
      <c r="M224" s="4"/>
      <c r="N224" s="4"/>
      <c r="O224" s="23" t="str">
        <f aca="false">IF(H224="","",IF(I224="","mot entier","bit "&amp;I224))</f>
        <v/>
      </c>
      <c r="P224" s="4"/>
    </row>
    <row r="225" customFormat="false" ht="15" hidden="false" customHeight="true" outlineLevel="0" collapsed="false">
      <c r="A225" s="22"/>
      <c r="B225" s="22"/>
      <c r="C225" s="23" t="str">
        <f aca="false">IFERROR(IF(OR(A225="",B225=""),"",INDEX(Equipements!$H:$H,MATCH(A225,Equipements!$A:$A,0))&amp;"."&amp;B225),"")</f>
        <v/>
      </c>
      <c r="D225" s="4"/>
      <c r="E225" s="22"/>
      <c r="F225" s="22"/>
      <c r="G225" s="22"/>
      <c r="H225" s="4"/>
      <c r="I225" s="4"/>
      <c r="J225" s="23" t="str">
        <f aca="false">IF(OR(G225="",H225=""),"","%"&amp;G225&amp;H225)</f>
        <v/>
      </c>
      <c r="K225" s="4"/>
      <c r="L225" s="4"/>
      <c r="M225" s="4"/>
      <c r="N225" s="4"/>
      <c r="O225" s="23" t="str">
        <f aca="false">IF(H225="","",IF(I225="","mot entier","bit "&amp;I225))</f>
        <v/>
      </c>
      <c r="P225" s="4"/>
    </row>
    <row r="226" customFormat="false" ht="15" hidden="false" customHeight="true" outlineLevel="0" collapsed="false">
      <c r="A226" s="22"/>
      <c r="B226" s="22"/>
      <c r="C226" s="23" t="str">
        <f aca="false">IFERROR(IF(OR(A226="",B226=""),"",INDEX(Equipements!$H:$H,MATCH(A226,Equipements!$A:$A,0))&amp;"."&amp;B226),"")</f>
        <v/>
      </c>
      <c r="D226" s="4"/>
      <c r="E226" s="22"/>
      <c r="F226" s="22"/>
      <c r="G226" s="22"/>
      <c r="H226" s="4"/>
      <c r="I226" s="4"/>
      <c r="J226" s="23" t="str">
        <f aca="false">IF(OR(G226="",H226=""),"","%"&amp;G226&amp;H226)</f>
        <v/>
      </c>
      <c r="K226" s="4"/>
      <c r="L226" s="4"/>
      <c r="M226" s="4"/>
      <c r="N226" s="4"/>
      <c r="O226" s="23" t="str">
        <f aca="false">IF(H226="","",IF(I226="","mot entier","bit "&amp;I226))</f>
        <v/>
      </c>
      <c r="P226" s="4"/>
    </row>
    <row r="227" customFormat="false" ht="15" hidden="false" customHeight="true" outlineLevel="0" collapsed="false">
      <c r="A227" s="22"/>
      <c r="B227" s="22"/>
      <c r="C227" s="23" t="str">
        <f aca="false">IFERROR(IF(OR(A227="",B227=""),"",INDEX(Equipements!$H:$H,MATCH(A227,Equipements!$A:$A,0))&amp;"."&amp;B227),"")</f>
        <v/>
      </c>
      <c r="D227" s="4"/>
      <c r="E227" s="22"/>
      <c r="F227" s="22"/>
      <c r="G227" s="22"/>
      <c r="H227" s="4"/>
      <c r="I227" s="4"/>
      <c r="J227" s="23" t="str">
        <f aca="false">IF(OR(G227="",H227=""),"","%"&amp;G227&amp;H227)</f>
        <v/>
      </c>
      <c r="K227" s="4"/>
      <c r="L227" s="4"/>
      <c r="M227" s="4"/>
      <c r="N227" s="4"/>
      <c r="O227" s="23" t="str">
        <f aca="false">IF(H227="","",IF(I227="","mot entier","bit "&amp;I227))</f>
        <v/>
      </c>
      <c r="P227" s="4"/>
    </row>
    <row r="228" customFormat="false" ht="15" hidden="false" customHeight="true" outlineLevel="0" collapsed="false">
      <c r="A228" s="22"/>
      <c r="B228" s="22"/>
      <c r="C228" s="23" t="str">
        <f aca="false">IFERROR(IF(OR(A228="",B228=""),"",INDEX(Equipements!$H:$H,MATCH(A228,Equipements!$A:$A,0))&amp;"."&amp;B228),"")</f>
        <v/>
      </c>
      <c r="D228" s="4"/>
      <c r="E228" s="22"/>
      <c r="F228" s="22"/>
      <c r="G228" s="22"/>
      <c r="H228" s="4"/>
      <c r="I228" s="4"/>
      <c r="J228" s="23" t="str">
        <f aca="false">IF(OR(G228="",H228=""),"","%"&amp;G228&amp;H228)</f>
        <v/>
      </c>
      <c r="K228" s="4"/>
      <c r="L228" s="4"/>
      <c r="M228" s="4"/>
      <c r="N228" s="4"/>
      <c r="O228" s="23" t="str">
        <f aca="false">IF(H228="","",IF(I228="","mot entier","bit "&amp;I228))</f>
        <v/>
      </c>
      <c r="P228" s="4"/>
    </row>
    <row r="229" customFormat="false" ht="15" hidden="false" customHeight="true" outlineLevel="0" collapsed="false">
      <c r="A229" s="22"/>
      <c r="B229" s="22"/>
      <c r="C229" s="23" t="str">
        <f aca="false">IFERROR(IF(OR(A229="",B229=""),"",INDEX(Equipements!$H:$H,MATCH(A229,Equipements!$A:$A,0))&amp;"."&amp;B229),"")</f>
        <v/>
      </c>
      <c r="D229" s="4"/>
      <c r="E229" s="22"/>
      <c r="F229" s="22"/>
      <c r="G229" s="22"/>
      <c r="H229" s="4"/>
      <c r="I229" s="4"/>
      <c r="J229" s="23" t="str">
        <f aca="false">IF(OR(G229="",H229=""),"","%"&amp;G229&amp;H229)</f>
        <v/>
      </c>
      <c r="K229" s="4"/>
      <c r="L229" s="4"/>
      <c r="M229" s="4"/>
      <c r="N229" s="4"/>
      <c r="O229" s="23" t="str">
        <f aca="false">IF(H229="","",IF(I229="","mot entier","bit "&amp;I229))</f>
        <v/>
      </c>
      <c r="P229" s="4"/>
    </row>
    <row r="230" customFormat="false" ht="15" hidden="false" customHeight="true" outlineLevel="0" collapsed="false">
      <c r="A230" s="22"/>
      <c r="B230" s="22"/>
      <c r="C230" s="23" t="str">
        <f aca="false">IFERROR(IF(OR(A230="",B230=""),"",INDEX(Equipements!$H:$H,MATCH(A230,Equipements!$A:$A,0))&amp;"."&amp;B230),"")</f>
        <v/>
      </c>
      <c r="D230" s="4"/>
      <c r="E230" s="22"/>
      <c r="F230" s="22"/>
      <c r="G230" s="22"/>
      <c r="H230" s="4"/>
      <c r="I230" s="4"/>
      <c r="J230" s="23" t="str">
        <f aca="false">IF(OR(G230="",H230=""),"","%"&amp;G230&amp;H230)</f>
        <v/>
      </c>
      <c r="K230" s="4"/>
      <c r="L230" s="4"/>
      <c r="M230" s="4"/>
      <c r="N230" s="4"/>
      <c r="O230" s="23" t="str">
        <f aca="false">IF(H230="","",IF(I230="","mot entier","bit "&amp;I230))</f>
        <v/>
      </c>
      <c r="P230" s="4"/>
    </row>
    <row r="231" customFormat="false" ht="15" hidden="false" customHeight="true" outlineLevel="0" collapsed="false">
      <c r="A231" s="22"/>
      <c r="B231" s="22"/>
      <c r="C231" s="23" t="str">
        <f aca="false">IFERROR(IF(OR(A231="",B231=""),"",INDEX(Equipements!$H:$H,MATCH(A231,Equipements!$A:$A,0))&amp;"."&amp;B231),"")</f>
        <v/>
      </c>
      <c r="D231" s="4"/>
      <c r="E231" s="22"/>
      <c r="F231" s="22"/>
      <c r="G231" s="22"/>
      <c r="H231" s="4"/>
      <c r="I231" s="4"/>
      <c r="J231" s="23" t="str">
        <f aca="false">IF(OR(G231="",H231=""),"","%"&amp;G231&amp;H231)</f>
        <v/>
      </c>
      <c r="K231" s="4"/>
      <c r="L231" s="4"/>
      <c r="M231" s="4"/>
      <c r="N231" s="4"/>
      <c r="O231" s="23" t="str">
        <f aca="false">IF(H231="","",IF(I231="","mot entier","bit "&amp;I231))</f>
        <v/>
      </c>
      <c r="P231" s="4"/>
    </row>
    <row r="232" customFormat="false" ht="15" hidden="false" customHeight="true" outlineLevel="0" collapsed="false">
      <c r="A232" s="22"/>
      <c r="B232" s="22"/>
      <c r="C232" s="23" t="str">
        <f aca="false">IFERROR(IF(OR(A232="",B232=""),"",INDEX(Equipements!$H:$H,MATCH(A232,Equipements!$A:$A,0))&amp;"."&amp;B232),"")</f>
        <v/>
      </c>
      <c r="D232" s="4"/>
      <c r="E232" s="22"/>
      <c r="F232" s="22"/>
      <c r="G232" s="22"/>
      <c r="H232" s="4"/>
      <c r="I232" s="4"/>
      <c r="J232" s="23" t="str">
        <f aca="false">IF(OR(G232="",H232=""),"","%"&amp;G232&amp;H232)</f>
        <v/>
      </c>
      <c r="K232" s="4"/>
      <c r="L232" s="4"/>
      <c r="M232" s="4"/>
      <c r="N232" s="4"/>
      <c r="O232" s="23" t="str">
        <f aca="false">IF(H232="","",IF(I232="","mot entier","bit "&amp;I232))</f>
        <v/>
      </c>
      <c r="P232" s="4"/>
    </row>
    <row r="233" customFormat="false" ht="15" hidden="false" customHeight="true" outlineLevel="0" collapsed="false">
      <c r="A233" s="22"/>
      <c r="B233" s="22"/>
      <c r="C233" s="23" t="str">
        <f aca="false">IFERROR(IF(OR(A233="",B233=""),"",INDEX(Equipements!$H:$H,MATCH(A233,Equipements!$A:$A,0))&amp;"."&amp;B233),"")</f>
        <v/>
      </c>
      <c r="D233" s="4"/>
      <c r="E233" s="22"/>
      <c r="F233" s="22"/>
      <c r="G233" s="22"/>
      <c r="H233" s="4"/>
      <c r="I233" s="4"/>
      <c r="J233" s="23" t="str">
        <f aca="false">IF(OR(G233="",H233=""),"","%"&amp;G233&amp;H233)</f>
        <v/>
      </c>
      <c r="K233" s="4"/>
      <c r="L233" s="4"/>
      <c r="M233" s="4"/>
      <c r="N233" s="4"/>
      <c r="O233" s="23" t="str">
        <f aca="false">IF(H233="","",IF(I233="","mot entier","bit "&amp;I233))</f>
        <v/>
      </c>
      <c r="P233" s="4"/>
    </row>
    <row r="234" customFormat="false" ht="15" hidden="false" customHeight="true" outlineLevel="0" collapsed="false">
      <c r="A234" s="22"/>
      <c r="B234" s="22"/>
      <c r="C234" s="23" t="str">
        <f aca="false">IFERROR(IF(OR(A234="",B234=""),"",INDEX(Equipements!$H:$H,MATCH(A234,Equipements!$A:$A,0))&amp;"."&amp;B234),"")</f>
        <v/>
      </c>
      <c r="D234" s="4"/>
      <c r="E234" s="22"/>
      <c r="F234" s="22"/>
      <c r="G234" s="22"/>
      <c r="H234" s="4"/>
      <c r="I234" s="4"/>
      <c r="J234" s="23" t="str">
        <f aca="false">IF(OR(G234="",H234=""),"","%"&amp;G234&amp;H234)</f>
        <v/>
      </c>
      <c r="K234" s="4"/>
      <c r="L234" s="4"/>
      <c r="M234" s="4"/>
      <c r="N234" s="4"/>
      <c r="O234" s="23" t="str">
        <f aca="false">IF(H234="","",IF(I234="","mot entier","bit "&amp;I234))</f>
        <v/>
      </c>
      <c r="P234" s="4"/>
    </row>
    <row r="235" customFormat="false" ht="15" hidden="false" customHeight="true" outlineLevel="0" collapsed="false">
      <c r="A235" s="22"/>
      <c r="B235" s="22"/>
      <c r="C235" s="23" t="str">
        <f aca="false">IFERROR(IF(OR(A235="",B235=""),"",INDEX(Equipements!$H:$H,MATCH(A235,Equipements!$A:$A,0))&amp;"."&amp;B235),"")</f>
        <v/>
      </c>
      <c r="D235" s="4"/>
      <c r="E235" s="22"/>
      <c r="F235" s="22"/>
      <c r="G235" s="22"/>
      <c r="H235" s="4"/>
      <c r="I235" s="4"/>
      <c r="J235" s="23" t="str">
        <f aca="false">IF(OR(G235="",H235=""),"","%"&amp;G235&amp;H235)</f>
        <v/>
      </c>
      <c r="K235" s="4"/>
      <c r="L235" s="4"/>
      <c r="M235" s="4"/>
      <c r="N235" s="4"/>
      <c r="O235" s="23" t="str">
        <f aca="false">IF(H235="","",IF(I235="","mot entier","bit "&amp;I235))</f>
        <v/>
      </c>
      <c r="P235" s="4"/>
    </row>
    <row r="236" customFormat="false" ht="15" hidden="false" customHeight="true" outlineLevel="0" collapsed="false">
      <c r="A236" s="22"/>
      <c r="B236" s="22"/>
      <c r="C236" s="23" t="str">
        <f aca="false">IFERROR(IF(OR(A236="",B236=""),"",INDEX(Equipements!$H:$H,MATCH(A236,Equipements!$A:$A,0))&amp;"."&amp;B236),"")</f>
        <v/>
      </c>
      <c r="D236" s="4"/>
      <c r="E236" s="22"/>
      <c r="F236" s="22"/>
      <c r="G236" s="22"/>
      <c r="H236" s="4"/>
      <c r="I236" s="4"/>
      <c r="J236" s="23" t="str">
        <f aca="false">IF(OR(G236="",H236=""),"","%"&amp;G236&amp;H236)</f>
        <v/>
      </c>
      <c r="K236" s="4"/>
      <c r="L236" s="4"/>
      <c r="M236" s="4"/>
      <c r="N236" s="4"/>
      <c r="O236" s="23" t="str">
        <f aca="false">IF(H236="","",IF(I236="","mot entier","bit "&amp;I236))</f>
        <v/>
      </c>
      <c r="P236" s="4"/>
    </row>
    <row r="237" customFormat="false" ht="15" hidden="false" customHeight="true" outlineLevel="0" collapsed="false">
      <c r="A237" s="22"/>
      <c r="B237" s="22"/>
      <c r="C237" s="23" t="str">
        <f aca="false">IFERROR(IF(OR(A237="",B237=""),"",INDEX(Equipements!$H:$H,MATCH(A237,Equipements!$A:$A,0))&amp;"."&amp;B237),"")</f>
        <v/>
      </c>
      <c r="D237" s="4"/>
      <c r="E237" s="22"/>
      <c r="F237" s="22"/>
      <c r="G237" s="22"/>
      <c r="H237" s="4"/>
      <c r="I237" s="4"/>
      <c r="J237" s="23" t="str">
        <f aca="false">IF(OR(G237="",H237=""),"","%"&amp;G237&amp;H237)</f>
        <v/>
      </c>
      <c r="K237" s="4"/>
      <c r="L237" s="4"/>
      <c r="M237" s="4"/>
      <c r="N237" s="4"/>
      <c r="O237" s="23" t="str">
        <f aca="false">IF(H237="","",IF(I237="","mot entier","bit "&amp;I237))</f>
        <v/>
      </c>
      <c r="P237" s="4"/>
    </row>
    <row r="238" customFormat="false" ht="15" hidden="false" customHeight="true" outlineLevel="0" collapsed="false">
      <c r="A238" s="22"/>
      <c r="B238" s="22"/>
      <c r="C238" s="23" t="str">
        <f aca="false">IFERROR(IF(OR(A238="",B238=""),"",INDEX(Equipements!$H:$H,MATCH(A238,Equipements!$A:$A,0))&amp;"."&amp;B238),"")</f>
        <v/>
      </c>
      <c r="D238" s="4"/>
      <c r="E238" s="22"/>
      <c r="F238" s="22"/>
      <c r="G238" s="22"/>
      <c r="H238" s="4"/>
      <c r="I238" s="4"/>
      <c r="J238" s="23" t="str">
        <f aca="false">IF(OR(G238="",H238=""),"","%"&amp;G238&amp;H238)</f>
        <v/>
      </c>
      <c r="K238" s="4"/>
      <c r="L238" s="4"/>
      <c r="M238" s="4"/>
      <c r="N238" s="4"/>
      <c r="O238" s="23" t="str">
        <f aca="false">IF(H238="","",IF(I238="","mot entier","bit "&amp;I238))</f>
        <v/>
      </c>
      <c r="P238" s="4"/>
    </row>
    <row r="239" customFormat="false" ht="15" hidden="false" customHeight="true" outlineLevel="0" collapsed="false">
      <c r="A239" s="22"/>
      <c r="B239" s="22"/>
      <c r="C239" s="23" t="str">
        <f aca="false">IFERROR(IF(OR(A239="",B239=""),"",INDEX(Equipements!$H:$H,MATCH(A239,Equipements!$A:$A,0))&amp;"."&amp;B239),"")</f>
        <v/>
      </c>
      <c r="D239" s="4"/>
      <c r="E239" s="22"/>
      <c r="F239" s="22"/>
      <c r="G239" s="22"/>
      <c r="H239" s="4"/>
      <c r="I239" s="4"/>
      <c r="J239" s="23" t="str">
        <f aca="false">IF(OR(G239="",H239=""),"","%"&amp;G239&amp;H239)</f>
        <v/>
      </c>
      <c r="K239" s="4"/>
      <c r="L239" s="4"/>
      <c r="M239" s="4"/>
      <c r="N239" s="4"/>
      <c r="O239" s="23" t="str">
        <f aca="false">IF(H239="","",IF(I239="","mot entier","bit "&amp;I239))</f>
        <v/>
      </c>
      <c r="P239" s="4"/>
    </row>
    <row r="240" customFormat="false" ht="15" hidden="false" customHeight="true" outlineLevel="0" collapsed="false">
      <c r="A240" s="22"/>
      <c r="B240" s="22"/>
      <c r="C240" s="23" t="str">
        <f aca="false">IFERROR(IF(OR(A240="",B240=""),"",INDEX(Equipements!$H:$H,MATCH(A240,Equipements!$A:$A,0))&amp;"."&amp;B240),"")</f>
        <v/>
      </c>
      <c r="D240" s="4"/>
      <c r="E240" s="22"/>
      <c r="F240" s="22"/>
      <c r="G240" s="22"/>
      <c r="H240" s="4"/>
      <c r="I240" s="4"/>
      <c r="J240" s="23" t="str">
        <f aca="false">IF(OR(G240="",H240=""),"","%"&amp;G240&amp;H240)</f>
        <v/>
      </c>
      <c r="K240" s="4"/>
      <c r="L240" s="4"/>
      <c r="M240" s="4"/>
      <c r="N240" s="4"/>
      <c r="O240" s="23" t="str">
        <f aca="false">IF(H240="","",IF(I240="","mot entier","bit "&amp;I240))</f>
        <v/>
      </c>
      <c r="P240" s="4"/>
    </row>
    <row r="241" customFormat="false" ht="15" hidden="false" customHeight="true" outlineLevel="0" collapsed="false">
      <c r="A241" s="22"/>
      <c r="B241" s="22"/>
      <c r="C241" s="23" t="str">
        <f aca="false">IFERROR(IF(OR(A241="",B241=""),"",INDEX(Equipements!$H:$H,MATCH(A241,Equipements!$A:$A,0))&amp;"."&amp;B241),"")</f>
        <v/>
      </c>
      <c r="D241" s="4"/>
      <c r="E241" s="22"/>
      <c r="F241" s="22"/>
      <c r="G241" s="22"/>
      <c r="H241" s="4"/>
      <c r="I241" s="4"/>
      <c r="J241" s="23" t="str">
        <f aca="false">IF(OR(G241="",H241=""),"","%"&amp;G241&amp;H241)</f>
        <v/>
      </c>
      <c r="K241" s="4"/>
      <c r="L241" s="4"/>
      <c r="M241" s="4"/>
      <c r="N241" s="4"/>
      <c r="O241" s="23" t="str">
        <f aca="false">IF(H241="","",IF(I241="","mot entier","bit "&amp;I241))</f>
        <v/>
      </c>
      <c r="P241" s="4"/>
    </row>
    <row r="242" customFormat="false" ht="15" hidden="false" customHeight="true" outlineLevel="0" collapsed="false">
      <c r="A242" s="22"/>
      <c r="B242" s="22"/>
      <c r="C242" s="23" t="str">
        <f aca="false">IFERROR(IF(OR(A242="",B242=""),"",INDEX(Equipements!$H:$H,MATCH(A242,Equipements!$A:$A,0))&amp;"."&amp;B242),"")</f>
        <v/>
      </c>
      <c r="D242" s="4"/>
      <c r="E242" s="22"/>
      <c r="F242" s="22"/>
      <c r="G242" s="22"/>
      <c r="H242" s="4"/>
      <c r="I242" s="4"/>
      <c r="J242" s="23" t="str">
        <f aca="false">IF(OR(G242="",H242=""),"","%"&amp;G242&amp;H242)</f>
        <v/>
      </c>
      <c r="K242" s="4"/>
      <c r="L242" s="4"/>
      <c r="M242" s="4"/>
      <c r="N242" s="4"/>
      <c r="O242" s="23" t="str">
        <f aca="false">IF(H242="","",IF(I242="","mot entier","bit "&amp;I242))</f>
        <v/>
      </c>
      <c r="P242" s="4"/>
    </row>
    <row r="243" customFormat="false" ht="15" hidden="false" customHeight="true" outlineLevel="0" collapsed="false">
      <c r="A243" s="22"/>
      <c r="B243" s="22"/>
      <c r="C243" s="23" t="str">
        <f aca="false">IFERROR(IF(OR(A243="",B243=""),"",INDEX(Equipements!$H:$H,MATCH(A243,Equipements!$A:$A,0))&amp;"."&amp;B243),"")</f>
        <v/>
      </c>
      <c r="D243" s="4"/>
      <c r="E243" s="22"/>
      <c r="F243" s="22"/>
      <c r="G243" s="22"/>
      <c r="H243" s="4"/>
      <c r="I243" s="4"/>
      <c r="J243" s="23" t="str">
        <f aca="false">IF(OR(G243="",H243=""),"","%"&amp;G243&amp;H243)</f>
        <v/>
      </c>
      <c r="K243" s="4"/>
      <c r="L243" s="4"/>
      <c r="M243" s="4"/>
      <c r="N243" s="4"/>
      <c r="O243" s="23" t="str">
        <f aca="false">IF(H243="","",IF(I243="","mot entier","bit "&amp;I243))</f>
        <v/>
      </c>
      <c r="P243" s="4"/>
    </row>
    <row r="244" customFormat="false" ht="15" hidden="false" customHeight="true" outlineLevel="0" collapsed="false">
      <c r="A244" s="22"/>
      <c r="B244" s="22"/>
      <c r="C244" s="23" t="str">
        <f aca="false">IFERROR(IF(OR(A244="",B244=""),"",INDEX(Equipements!$H:$H,MATCH(A244,Equipements!$A:$A,0))&amp;"."&amp;B244),"")</f>
        <v/>
      </c>
      <c r="D244" s="4"/>
      <c r="E244" s="22"/>
      <c r="F244" s="22"/>
      <c r="G244" s="22"/>
      <c r="H244" s="4"/>
      <c r="I244" s="4"/>
      <c r="J244" s="23" t="str">
        <f aca="false">IF(OR(G244="",H244=""),"","%"&amp;G244&amp;H244)</f>
        <v/>
      </c>
      <c r="K244" s="4"/>
      <c r="L244" s="4"/>
      <c r="M244" s="4"/>
      <c r="N244" s="4"/>
      <c r="O244" s="23" t="str">
        <f aca="false">IF(H244="","",IF(I244="","mot entier","bit "&amp;I244))</f>
        <v/>
      </c>
      <c r="P244" s="4"/>
    </row>
    <row r="245" customFormat="false" ht="15" hidden="false" customHeight="true" outlineLevel="0" collapsed="false">
      <c r="A245" s="22"/>
      <c r="B245" s="22"/>
      <c r="C245" s="23" t="str">
        <f aca="false">IFERROR(IF(OR(A245="",B245=""),"",INDEX(Equipements!$H:$H,MATCH(A245,Equipements!$A:$A,0))&amp;"."&amp;B245),"")</f>
        <v/>
      </c>
      <c r="D245" s="4"/>
      <c r="E245" s="22"/>
      <c r="F245" s="22"/>
      <c r="G245" s="22"/>
      <c r="H245" s="4"/>
      <c r="I245" s="4"/>
      <c r="J245" s="23" t="str">
        <f aca="false">IF(OR(G245="",H245=""),"","%"&amp;G245&amp;H245)</f>
        <v/>
      </c>
      <c r="K245" s="4"/>
      <c r="L245" s="4"/>
      <c r="M245" s="4"/>
      <c r="N245" s="4"/>
      <c r="O245" s="23" t="str">
        <f aca="false">IF(H245="","",IF(I245="","mot entier","bit "&amp;I245))</f>
        <v/>
      </c>
      <c r="P245" s="4"/>
    </row>
    <row r="246" customFormat="false" ht="15" hidden="false" customHeight="true" outlineLevel="0" collapsed="false">
      <c r="A246" s="22"/>
      <c r="B246" s="22"/>
      <c r="C246" s="23" t="str">
        <f aca="false">IFERROR(IF(OR(A246="",B246=""),"",INDEX(Equipements!$H:$H,MATCH(A246,Equipements!$A:$A,0))&amp;"."&amp;B246),"")</f>
        <v/>
      </c>
      <c r="D246" s="4"/>
      <c r="E246" s="22"/>
      <c r="F246" s="22"/>
      <c r="G246" s="22"/>
      <c r="H246" s="4"/>
      <c r="I246" s="4"/>
      <c r="J246" s="23" t="str">
        <f aca="false">IF(OR(G246="",H246=""),"","%"&amp;G246&amp;H246)</f>
        <v/>
      </c>
      <c r="K246" s="4"/>
      <c r="L246" s="4"/>
      <c r="M246" s="4"/>
      <c r="N246" s="4"/>
      <c r="O246" s="23" t="str">
        <f aca="false">IF(H246="","",IF(I246="","mot entier","bit "&amp;I246))</f>
        <v/>
      </c>
      <c r="P246" s="4"/>
    </row>
    <row r="247" customFormat="false" ht="15" hidden="false" customHeight="true" outlineLevel="0" collapsed="false">
      <c r="A247" s="22"/>
      <c r="B247" s="22"/>
      <c r="C247" s="23" t="str">
        <f aca="false">IFERROR(IF(OR(A247="",B247=""),"",INDEX(Equipements!$H:$H,MATCH(A247,Equipements!$A:$A,0))&amp;"."&amp;B247),"")</f>
        <v/>
      </c>
      <c r="D247" s="4"/>
      <c r="E247" s="22"/>
      <c r="F247" s="22"/>
      <c r="G247" s="22"/>
      <c r="H247" s="4"/>
      <c r="I247" s="4"/>
      <c r="J247" s="23" t="str">
        <f aca="false">IF(OR(G247="",H247=""),"","%"&amp;G247&amp;H247)</f>
        <v/>
      </c>
      <c r="K247" s="4"/>
      <c r="L247" s="4"/>
      <c r="M247" s="4"/>
      <c r="N247" s="4"/>
      <c r="O247" s="23" t="str">
        <f aca="false">IF(H247="","",IF(I247="","mot entier","bit "&amp;I247))</f>
        <v/>
      </c>
      <c r="P247" s="4"/>
    </row>
    <row r="248" customFormat="false" ht="15" hidden="false" customHeight="true" outlineLevel="0" collapsed="false">
      <c r="A248" s="22"/>
      <c r="B248" s="22"/>
      <c r="C248" s="23" t="str">
        <f aca="false">IFERROR(IF(OR(A248="",B248=""),"",INDEX(Equipements!$H:$H,MATCH(A248,Equipements!$A:$A,0))&amp;"."&amp;B248),"")</f>
        <v/>
      </c>
      <c r="D248" s="4"/>
      <c r="E248" s="22"/>
      <c r="F248" s="22"/>
      <c r="G248" s="22"/>
      <c r="H248" s="4"/>
      <c r="I248" s="4"/>
      <c r="J248" s="23" t="str">
        <f aca="false">IF(OR(G248="",H248=""),"","%"&amp;G248&amp;H248)</f>
        <v/>
      </c>
      <c r="K248" s="4"/>
      <c r="L248" s="4"/>
      <c r="M248" s="4"/>
      <c r="N248" s="4"/>
      <c r="O248" s="23" t="str">
        <f aca="false">IF(H248="","",IF(I248="","mot entier","bit "&amp;I248))</f>
        <v/>
      </c>
      <c r="P248" s="4"/>
    </row>
    <row r="249" customFormat="false" ht="15" hidden="false" customHeight="true" outlineLevel="0" collapsed="false">
      <c r="A249" s="22"/>
      <c r="B249" s="22"/>
      <c r="C249" s="23" t="str">
        <f aca="false">IFERROR(IF(OR(A249="",B249=""),"",INDEX(Equipements!$H:$H,MATCH(A249,Equipements!$A:$A,0))&amp;"."&amp;B249),"")</f>
        <v/>
      </c>
      <c r="D249" s="4"/>
      <c r="E249" s="22"/>
      <c r="F249" s="22"/>
      <c r="G249" s="22"/>
      <c r="H249" s="4"/>
      <c r="I249" s="4"/>
      <c r="J249" s="23" t="str">
        <f aca="false">IF(OR(G249="",H249=""),"","%"&amp;G249&amp;H249)</f>
        <v/>
      </c>
      <c r="K249" s="4"/>
      <c r="L249" s="4"/>
      <c r="M249" s="4"/>
      <c r="N249" s="4"/>
      <c r="O249" s="23" t="str">
        <f aca="false">IF(H249="","",IF(I249="","mot entier","bit "&amp;I249))</f>
        <v/>
      </c>
      <c r="P249" s="4"/>
    </row>
    <row r="250" customFormat="false" ht="15" hidden="false" customHeight="true" outlineLevel="0" collapsed="false">
      <c r="A250" s="22"/>
      <c r="B250" s="22"/>
      <c r="C250" s="23" t="str">
        <f aca="false">IFERROR(IF(OR(A250="",B250=""),"",INDEX(Equipements!$H:$H,MATCH(A250,Equipements!$A:$A,0))&amp;"."&amp;B250),"")</f>
        <v/>
      </c>
      <c r="D250" s="4"/>
      <c r="E250" s="22"/>
      <c r="F250" s="22"/>
      <c r="G250" s="22"/>
      <c r="H250" s="4"/>
      <c r="I250" s="4"/>
      <c r="J250" s="23" t="str">
        <f aca="false">IF(OR(G250="",H250=""),"","%"&amp;G250&amp;H250)</f>
        <v/>
      </c>
      <c r="K250" s="4"/>
      <c r="L250" s="4"/>
      <c r="M250" s="4"/>
      <c r="N250" s="4"/>
      <c r="O250" s="23" t="str">
        <f aca="false">IF(H250="","",IF(I250="","mot entier","bit "&amp;I250))</f>
        <v/>
      </c>
      <c r="P250" s="4"/>
    </row>
    <row r="251" customFormat="false" ht="15" hidden="false" customHeight="true" outlineLevel="0" collapsed="false">
      <c r="A251" s="22"/>
      <c r="B251" s="22"/>
      <c r="C251" s="23" t="str">
        <f aca="false">IFERROR(IF(OR(A251="",B251=""),"",INDEX(Equipements!$H:$H,MATCH(A251,Equipements!$A:$A,0))&amp;"."&amp;B251),"")</f>
        <v/>
      </c>
      <c r="D251" s="4"/>
      <c r="E251" s="22"/>
      <c r="F251" s="22"/>
      <c r="G251" s="22"/>
      <c r="H251" s="4"/>
      <c r="I251" s="4"/>
      <c r="J251" s="23" t="str">
        <f aca="false">IF(OR(G251="",H251=""),"","%"&amp;G251&amp;H251)</f>
        <v/>
      </c>
      <c r="K251" s="4"/>
      <c r="L251" s="4"/>
      <c r="M251" s="4"/>
      <c r="N251" s="4"/>
      <c r="O251" s="23" t="str">
        <f aca="false">IF(H251="","",IF(I251="","mot entier","bit "&amp;I251))</f>
        <v/>
      </c>
      <c r="P251" s="4"/>
    </row>
    <row r="252" customFormat="false" ht="15" hidden="false" customHeight="true" outlineLevel="0" collapsed="false">
      <c r="A252" s="22"/>
      <c r="B252" s="22"/>
      <c r="C252" s="23" t="str">
        <f aca="false">IFERROR(IF(OR(A252="",B252=""),"",INDEX(Equipements!$H:$H,MATCH(A252,Equipements!$A:$A,0))&amp;"."&amp;B252),"")</f>
        <v/>
      </c>
      <c r="D252" s="4"/>
      <c r="E252" s="22"/>
      <c r="F252" s="22"/>
      <c r="G252" s="22"/>
      <c r="H252" s="4"/>
      <c r="I252" s="4"/>
      <c r="J252" s="23" t="str">
        <f aca="false">IF(OR(G252="",H252=""),"","%"&amp;G252&amp;H252)</f>
        <v/>
      </c>
      <c r="K252" s="4"/>
      <c r="L252" s="4"/>
      <c r="M252" s="4"/>
      <c r="N252" s="4"/>
      <c r="O252" s="23" t="str">
        <f aca="false">IF(H252="","",IF(I252="","mot entier","bit "&amp;I252))</f>
        <v/>
      </c>
      <c r="P252" s="4"/>
    </row>
    <row r="253" customFormat="false" ht="15" hidden="false" customHeight="true" outlineLevel="0" collapsed="false">
      <c r="A253" s="22"/>
      <c r="B253" s="22"/>
      <c r="C253" s="23" t="str">
        <f aca="false">IFERROR(IF(OR(A253="",B253=""),"",INDEX(Equipements!$H:$H,MATCH(A253,Equipements!$A:$A,0))&amp;"."&amp;B253),"")</f>
        <v/>
      </c>
      <c r="D253" s="4"/>
      <c r="E253" s="22"/>
      <c r="F253" s="22"/>
      <c r="G253" s="22"/>
      <c r="H253" s="4"/>
      <c r="I253" s="4"/>
      <c r="J253" s="23" t="str">
        <f aca="false">IF(OR(G253="",H253=""),"","%"&amp;G253&amp;H253)</f>
        <v/>
      </c>
      <c r="K253" s="4"/>
      <c r="L253" s="4"/>
      <c r="M253" s="4"/>
      <c r="N253" s="4"/>
      <c r="O253" s="23" t="str">
        <f aca="false">IF(H253="","",IF(I253="","mot entier","bit "&amp;I253))</f>
        <v/>
      </c>
      <c r="P253" s="4"/>
    </row>
    <row r="254" customFormat="false" ht="15" hidden="false" customHeight="true" outlineLevel="0" collapsed="false">
      <c r="A254" s="22"/>
      <c r="B254" s="22"/>
      <c r="C254" s="23" t="str">
        <f aca="false">IFERROR(IF(OR(A254="",B254=""),"",INDEX(Equipements!$H:$H,MATCH(A254,Equipements!$A:$A,0))&amp;"."&amp;B254),"")</f>
        <v/>
      </c>
      <c r="D254" s="4"/>
      <c r="E254" s="22"/>
      <c r="F254" s="22"/>
      <c r="G254" s="22"/>
      <c r="H254" s="4"/>
      <c r="I254" s="4"/>
      <c r="J254" s="23" t="str">
        <f aca="false">IF(OR(G254="",H254=""),"","%"&amp;G254&amp;H254)</f>
        <v/>
      </c>
      <c r="K254" s="4"/>
      <c r="L254" s="4"/>
      <c r="M254" s="4"/>
      <c r="N254" s="4"/>
      <c r="O254" s="23" t="str">
        <f aca="false">IF(H254="","",IF(I254="","mot entier","bit "&amp;I254))</f>
        <v/>
      </c>
      <c r="P254" s="4"/>
    </row>
    <row r="255" customFormat="false" ht="15" hidden="false" customHeight="true" outlineLevel="0" collapsed="false">
      <c r="A255" s="22"/>
      <c r="B255" s="22"/>
      <c r="C255" s="23" t="str">
        <f aca="false">IFERROR(IF(OR(A255="",B255=""),"",INDEX(Equipements!$H:$H,MATCH(A255,Equipements!$A:$A,0))&amp;"."&amp;B255),"")</f>
        <v/>
      </c>
      <c r="D255" s="4"/>
      <c r="E255" s="22"/>
      <c r="F255" s="22"/>
      <c r="G255" s="22"/>
      <c r="H255" s="4"/>
      <c r="I255" s="4"/>
      <c r="J255" s="23" t="str">
        <f aca="false">IF(OR(G255="",H255=""),"","%"&amp;G255&amp;H255)</f>
        <v/>
      </c>
      <c r="K255" s="4"/>
      <c r="L255" s="4"/>
      <c r="M255" s="4"/>
      <c r="N255" s="4"/>
      <c r="O255" s="23" t="str">
        <f aca="false">IF(H255="","",IF(I255="","mot entier","bit "&amp;I255))</f>
        <v/>
      </c>
      <c r="P255" s="4"/>
    </row>
    <row r="256" customFormat="false" ht="15" hidden="false" customHeight="true" outlineLevel="0" collapsed="false">
      <c r="A256" s="22"/>
      <c r="B256" s="22"/>
      <c r="C256" s="23" t="str">
        <f aca="false">IFERROR(IF(OR(A256="",B256=""),"",INDEX(Equipements!$H:$H,MATCH(A256,Equipements!$A:$A,0))&amp;"."&amp;B256),"")</f>
        <v/>
      </c>
      <c r="D256" s="4"/>
      <c r="E256" s="22"/>
      <c r="F256" s="22"/>
      <c r="G256" s="22"/>
      <c r="H256" s="4"/>
      <c r="I256" s="4"/>
      <c r="J256" s="23" t="str">
        <f aca="false">IF(OR(G256="",H256=""),"","%"&amp;G256&amp;H256)</f>
        <v/>
      </c>
      <c r="K256" s="4"/>
      <c r="L256" s="4"/>
      <c r="M256" s="4"/>
      <c r="N256" s="4"/>
      <c r="O256" s="23" t="str">
        <f aca="false">IF(H256="","",IF(I256="","mot entier","bit "&amp;I256))</f>
        <v/>
      </c>
      <c r="P256" s="4"/>
    </row>
    <row r="257" customFormat="false" ht="15" hidden="false" customHeight="true" outlineLevel="0" collapsed="false">
      <c r="A257" s="22"/>
      <c r="B257" s="22"/>
      <c r="C257" s="23" t="str">
        <f aca="false">IFERROR(IF(OR(A257="",B257=""),"",INDEX(Equipements!$H:$H,MATCH(A257,Equipements!$A:$A,0))&amp;"."&amp;B257),"")</f>
        <v/>
      </c>
      <c r="D257" s="4"/>
      <c r="E257" s="22"/>
      <c r="F257" s="22"/>
      <c r="G257" s="22"/>
      <c r="H257" s="4"/>
      <c r="I257" s="4"/>
      <c r="J257" s="23" t="str">
        <f aca="false">IF(OR(G257="",H257=""),"","%"&amp;G257&amp;H257)</f>
        <v/>
      </c>
      <c r="K257" s="4"/>
      <c r="L257" s="4"/>
      <c r="M257" s="4"/>
      <c r="N257" s="4"/>
      <c r="O257" s="23" t="str">
        <f aca="false">IF(H257="","",IF(I257="","mot entier","bit "&amp;I257))</f>
        <v/>
      </c>
      <c r="P257" s="4"/>
    </row>
    <row r="258" customFormat="false" ht="15" hidden="false" customHeight="true" outlineLevel="0" collapsed="false">
      <c r="A258" s="22"/>
      <c r="B258" s="22"/>
      <c r="C258" s="23" t="str">
        <f aca="false">IFERROR(IF(OR(A258="",B258=""),"",INDEX(Equipements!$H:$H,MATCH(A258,Equipements!$A:$A,0))&amp;"."&amp;B258),"")</f>
        <v/>
      </c>
      <c r="D258" s="4"/>
      <c r="E258" s="22"/>
      <c r="F258" s="22"/>
      <c r="G258" s="22"/>
      <c r="H258" s="4"/>
      <c r="I258" s="4"/>
      <c r="J258" s="23" t="str">
        <f aca="false">IF(OR(G258="",H258=""),"","%"&amp;G258&amp;H258)</f>
        <v/>
      </c>
      <c r="K258" s="4"/>
      <c r="L258" s="4"/>
      <c r="M258" s="4"/>
      <c r="N258" s="4"/>
      <c r="O258" s="23" t="str">
        <f aca="false">IF(H258="","",IF(I258="","mot entier","bit "&amp;I258))</f>
        <v/>
      </c>
      <c r="P258" s="4"/>
    </row>
    <row r="259" customFormat="false" ht="15" hidden="false" customHeight="true" outlineLevel="0" collapsed="false">
      <c r="A259" s="22"/>
      <c r="B259" s="22"/>
      <c r="C259" s="23" t="str">
        <f aca="false">IFERROR(IF(OR(A259="",B259=""),"",INDEX(Equipements!$H:$H,MATCH(A259,Equipements!$A:$A,0))&amp;"."&amp;B259),"")</f>
        <v/>
      </c>
      <c r="D259" s="4"/>
      <c r="E259" s="22"/>
      <c r="F259" s="22"/>
      <c r="G259" s="22"/>
      <c r="H259" s="4"/>
      <c r="I259" s="4"/>
      <c r="J259" s="23" t="str">
        <f aca="false">IF(OR(G259="",H259=""),"","%"&amp;G259&amp;H259)</f>
        <v/>
      </c>
      <c r="K259" s="4"/>
      <c r="L259" s="4"/>
      <c r="M259" s="4"/>
      <c r="N259" s="4"/>
      <c r="O259" s="23" t="str">
        <f aca="false">IF(H259="","",IF(I259="","mot entier","bit "&amp;I259))</f>
        <v/>
      </c>
      <c r="P259" s="4"/>
    </row>
    <row r="260" customFormat="false" ht="15" hidden="false" customHeight="true" outlineLevel="0" collapsed="false">
      <c r="A260" s="22"/>
      <c r="B260" s="22"/>
      <c r="C260" s="23" t="str">
        <f aca="false">IFERROR(IF(OR(A260="",B260=""),"",INDEX(Equipements!$H:$H,MATCH(A260,Equipements!$A:$A,0))&amp;"."&amp;B260),"")</f>
        <v/>
      </c>
      <c r="D260" s="4"/>
      <c r="E260" s="22"/>
      <c r="F260" s="22"/>
      <c r="G260" s="22"/>
      <c r="H260" s="4"/>
      <c r="I260" s="4"/>
      <c r="J260" s="23" t="str">
        <f aca="false">IF(OR(G260="",H260=""),"","%"&amp;G260&amp;H260)</f>
        <v/>
      </c>
      <c r="K260" s="4"/>
      <c r="L260" s="4"/>
      <c r="M260" s="4"/>
      <c r="N260" s="4"/>
      <c r="O260" s="23" t="str">
        <f aca="false">IF(H260="","",IF(I260="","mot entier","bit "&amp;I260))</f>
        <v/>
      </c>
      <c r="P260" s="4"/>
    </row>
    <row r="261" customFormat="false" ht="15" hidden="false" customHeight="true" outlineLevel="0" collapsed="false">
      <c r="A261" s="22"/>
      <c r="B261" s="22"/>
      <c r="C261" s="23" t="str">
        <f aca="false">IFERROR(IF(OR(A261="",B261=""),"",INDEX(Equipements!$H:$H,MATCH(A261,Equipements!$A:$A,0))&amp;"."&amp;B261),"")</f>
        <v/>
      </c>
      <c r="D261" s="4"/>
      <c r="E261" s="22"/>
      <c r="F261" s="22"/>
      <c r="G261" s="22"/>
      <c r="H261" s="4"/>
      <c r="I261" s="4"/>
      <c r="J261" s="23" t="str">
        <f aca="false">IF(OR(G261="",H261=""),"","%"&amp;G261&amp;H261)</f>
        <v/>
      </c>
      <c r="K261" s="4"/>
      <c r="L261" s="4"/>
      <c r="M261" s="4"/>
      <c r="N261" s="4"/>
      <c r="O261" s="23" t="str">
        <f aca="false">IF(H261="","",IF(I261="","mot entier","bit "&amp;I261))</f>
        <v/>
      </c>
      <c r="P261" s="4"/>
    </row>
    <row r="262" customFormat="false" ht="15" hidden="false" customHeight="true" outlineLevel="0" collapsed="false">
      <c r="A262" s="22"/>
      <c r="B262" s="22"/>
      <c r="C262" s="23" t="str">
        <f aca="false">IFERROR(IF(OR(A262="",B262=""),"",INDEX(Equipements!$H:$H,MATCH(A262,Equipements!$A:$A,0))&amp;"."&amp;B262),"")</f>
        <v/>
      </c>
      <c r="D262" s="4"/>
      <c r="E262" s="22"/>
      <c r="F262" s="22"/>
      <c r="G262" s="22"/>
      <c r="H262" s="4"/>
      <c r="I262" s="4"/>
      <c r="J262" s="23" t="str">
        <f aca="false">IF(OR(G262="",H262=""),"","%"&amp;G262&amp;H262)</f>
        <v/>
      </c>
      <c r="K262" s="4"/>
      <c r="L262" s="4"/>
      <c r="M262" s="4"/>
      <c r="N262" s="4"/>
      <c r="O262" s="23" t="str">
        <f aca="false">IF(H262="","",IF(I262="","mot entier","bit "&amp;I262))</f>
        <v/>
      </c>
      <c r="P262" s="4"/>
    </row>
    <row r="263" customFormat="false" ht="15" hidden="false" customHeight="true" outlineLevel="0" collapsed="false">
      <c r="A263" s="22"/>
      <c r="B263" s="22"/>
      <c r="C263" s="23" t="str">
        <f aca="false">IFERROR(IF(OR(A263="",B263=""),"",INDEX(Equipements!$H:$H,MATCH(A263,Equipements!$A:$A,0))&amp;"."&amp;B263),"")</f>
        <v/>
      </c>
      <c r="D263" s="4"/>
      <c r="E263" s="22"/>
      <c r="F263" s="22"/>
      <c r="G263" s="22"/>
      <c r="H263" s="4"/>
      <c r="I263" s="4"/>
      <c r="J263" s="23" t="str">
        <f aca="false">IF(OR(G263="",H263=""),"","%"&amp;G263&amp;H263)</f>
        <v/>
      </c>
      <c r="K263" s="4"/>
      <c r="L263" s="4"/>
      <c r="M263" s="4"/>
      <c r="N263" s="4"/>
      <c r="O263" s="23" t="str">
        <f aca="false">IF(H263="","",IF(I263="","mot entier","bit "&amp;I263))</f>
        <v/>
      </c>
      <c r="P263" s="4"/>
    </row>
    <row r="264" customFormat="false" ht="15" hidden="false" customHeight="true" outlineLevel="0" collapsed="false">
      <c r="A264" s="22"/>
      <c r="B264" s="22"/>
      <c r="C264" s="23" t="str">
        <f aca="false">IFERROR(IF(OR(A264="",B264=""),"",INDEX(Equipements!$H:$H,MATCH(A264,Equipements!$A:$A,0))&amp;"."&amp;B264),"")</f>
        <v/>
      </c>
      <c r="D264" s="4"/>
      <c r="E264" s="22"/>
      <c r="F264" s="22"/>
      <c r="G264" s="22"/>
      <c r="H264" s="4"/>
      <c r="I264" s="4"/>
      <c r="J264" s="23" t="str">
        <f aca="false">IF(OR(G264="",H264=""),"","%"&amp;G264&amp;H264)</f>
        <v/>
      </c>
      <c r="K264" s="4"/>
      <c r="L264" s="4"/>
      <c r="M264" s="4"/>
      <c r="N264" s="4"/>
      <c r="O264" s="23" t="str">
        <f aca="false">IF(H264="","",IF(I264="","mot entier","bit "&amp;I264))</f>
        <v/>
      </c>
      <c r="P264" s="4"/>
    </row>
    <row r="265" customFormat="false" ht="15" hidden="false" customHeight="true" outlineLevel="0" collapsed="false">
      <c r="A265" s="22"/>
      <c r="B265" s="22"/>
      <c r="C265" s="23" t="str">
        <f aca="false">IFERROR(IF(OR(A265="",B265=""),"",INDEX(Equipements!$H:$H,MATCH(A265,Equipements!$A:$A,0))&amp;"."&amp;B265),"")</f>
        <v/>
      </c>
      <c r="D265" s="4"/>
      <c r="E265" s="22"/>
      <c r="F265" s="22"/>
      <c r="G265" s="22"/>
      <c r="H265" s="4"/>
      <c r="I265" s="4"/>
      <c r="J265" s="23" t="str">
        <f aca="false">IF(OR(G265="",H265=""),"","%"&amp;G265&amp;H265)</f>
        <v/>
      </c>
      <c r="K265" s="4"/>
      <c r="L265" s="4"/>
      <c r="M265" s="4"/>
      <c r="N265" s="4"/>
      <c r="O265" s="23" t="str">
        <f aca="false">IF(H265="","",IF(I265="","mot entier","bit "&amp;I265))</f>
        <v/>
      </c>
      <c r="P265" s="4"/>
    </row>
    <row r="266" customFormat="false" ht="15" hidden="false" customHeight="true" outlineLevel="0" collapsed="false">
      <c r="A266" s="22"/>
      <c r="B266" s="22"/>
      <c r="C266" s="23" t="str">
        <f aca="false">IFERROR(IF(OR(A266="",B266=""),"",INDEX(Equipements!$H:$H,MATCH(A266,Equipements!$A:$A,0))&amp;"."&amp;B266),"")</f>
        <v/>
      </c>
      <c r="D266" s="4"/>
      <c r="E266" s="22"/>
      <c r="F266" s="22"/>
      <c r="G266" s="22"/>
      <c r="H266" s="4"/>
      <c r="I266" s="4"/>
      <c r="J266" s="23" t="str">
        <f aca="false">IF(OR(G266="",H266=""),"","%"&amp;G266&amp;H266)</f>
        <v/>
      </c>
      <c r="K266" s="4"/>
      <c r="L266" s="4"/>
      <c r="M266" s="4"/>
      <c r="N266" s="4"/>
      <c r="O266" s="23" t="str">
        <f aca="false">IF(H266="","",IF(I266="","mot entier","bit "&amp;I266))</f>
        <v/>
      </c>
      <c r="P266" s="4"/>
    </row>
    <row r="267" customFormat="false" ht="15" hidden="false" customHeight="true" outlineLevel="0" collapsed="false">
      <c r="A267" s="22"/>
      <c r="B267" s="22"/>
      <c r="C267" s="23" t="str">
        <f aca="false">IFERROR(IF(OR(A267="",B267=""),"",INDEX(Equipements!$H:$H,MATCH(A267,Equipements!$A:$A,0))&amp;"."&amp;B267),"")</f>
        <v/>
      </c>
      <c r="D267" s="4"/>
      <c r="E267" s="22"/>
      <c r="F267" s="22"/>
      <c r="G267" s="22"/>
      <c r="H267" s="4"/>
      <c r="I267" s="4"/>
      <c r="J267" s="23" t="str">
        <f aca="false">IF(OR(G267="",H267=""),"","%"&amp;G267&amp;H267)</f>
        <v/>
      </c>
      <c r="K267" s="4"/>
      <c r="L267" s="4"/>
      <c r="M267" s="4"/>
      <c r="N267" s="4"/>
      <c r="O267" s="23" t="str">
        <f aca="false">IF(H267="","",IF(I267="","mot entier","bit "&amp;I267))</f>
        <v/>
      </c>
      <c r="P267" s="4"/>
    </row>
    <row r="268" customFormat="false" ht="15" hidden="false" customHeight="true" outlineLevel="0" collapsed="false">
      <c r="A268" s="22"/>
      <c r="B268" s="22"/>
      <c r="C268" s="23" t="str">
        <f aca="false">IFERROR(IF(OR(A268="",B268=""),"",INDEX(Equipements!$H:$H,MATCH(A268,Equipements!$A:$A,0))&amp;"."&amp;B268),"")</f>
        <v/>
      </c>
      <c r="D268" s="4"/>
      <c r="E268" s="22"/>
      <c r="F268" s="22"/>
      <c r="G268" s="22"/>
      <c r="H268" s="4"/>
      <c r="I268" s="4"/>
      <c r="J268" s="23" t="str">
        <f aca="false">IF(OR(G268="",H268=""),"","%"&amp;G268&amp;H268)</f>
        <v/>
      </c>
      <c r="K268" s="4"/>
      <c r="L268" s="4"/>
      <c r="M268" s="4"/>
      <c r="N268" s="4"/>
      <c r="O268" s="23" t="str">
        <f aca="false">IF(H268="","",IF(I268="","mot entier","bit "&amp;I268))</f>
        <v/>
      </c>
      <c r="P268" s="4"/>
    </row>
    <row r="269" customFormat="false" ht="15" hidden="false" customHeight="true" outlineLevel="0" collapsed="false">
      <c r="A269" s="22"/>
      <c r="B269" s="22"/>
      <c r="C269" s="23" t="str">
        <f aca="false">IFERROR(IF(OR(A269="",B269=""),"",INDEX(Equipements!$H:$H,MATCH(A269,Equipements!$A:$A,0))&amp;"."&amp;B269),"")</f>
        <v/>
      </c>
      <c r="D269" s="4"/>
      <c r="E269" s="22"/>
      <c r="F269" s="22"/>
      <c r="G269" s="22"/>
      <c r="H269" s="4"/>
      <c r="I269" s="4"/>
      <c r="J269" s="23" t="str">
        <f aca="false">IF(OR(G269="",H269=""),"","%"&amp;G269&amp;H269)</f>
        <v/>
      </c>
      <c r="K269" s="4"/>
      <c r="L269" s="4"/>
      <c r="M269" s="4"/>
      <c r="N269" s="4"/>
      <c r="O269" s="23" t="str">
        <f aca="false">IF(H269="","",IF(I269="","mot entier","bit "&amp;I269))</f>
        <v/>
      </c>
      <c r="P269" s="4"/>
    </row>
    <row r="270" customFormat="false" ht="15" hidden="false" customHeight="true" outlineLevel="0" collapsed="false">
      <c r="A270" s="22"/>
      <c r="B270" s="22"/>
      <c r="C270" s="23" t="str">
        <f aca="false">IFERROR(IF(OR(A270="",B270=""),"",INDEX(Equipements!$H:$H,MATCH(A270,Equipements!$A:$A,0))&amp;"."&amp;B270),"")</f>
        <v/>
      </c>
      <c r="D270" s="4"/>
      <c r="E270" s="22"/>
      <c r="F270" s="22"/>
      <c r="G270" s="22"/>
      <c r="H270" s="4"/>
      <c r="I270" s="4"/>
      <c r="J270" s="23" t="str">
        <f aca="false">IF(OR(G270="",H270=""),"","%"&amp;G270&amp;H270)</f>
        <v/>
      </c>
      <c r="K270" s="4"/>
      <c r="L270" s="4"/>
      <c r="M270" s="4"/>
      <c r="N270" s="4"/>
      <c r="O270" s="23" t="str">
        <f aca="false">IF(H270="","",IF(I270="","mot entier","bit "&amp;I270))</f>
        <v/>
      </c>
      <c r="P270" s="4"/>
    </row>
    <row r="271" customFormat="false" ht="15" hidden="false" customHeight="true" outlineLevel="0" collapsed="false">
      <c r="A271" s="22"/>
      <c r="B271" s="22"/>
      <c r="C271" s="23" t="str">
        <f aca="false">IFERROR(IF(OR(A271="",B271=""),"",INDEX(Equipements!$H:$H,MATCH(A271,Equipements!$A:$A,0))&amp;"."&amp;B271),"")</f>
        <v/>
      </c>
      <c r="D271" s="4"/>
      <c r="E271" s="22"/>
      <c r="F271" s="22"/>
      <c r="G271" s="22"/>
      <c r="H271" s="4"/>
      <c r="I271" s="4"/>
      <c r="J271" s="23" t="str">
        <f aca="false">IF(OR(G271="",H271=""),"","%"&amp;G271&amp;H271)</f>
        <v/>
      </c>
      <c r="K271" s="4"/>
      <c r="L271" s="4"/>
      <c r="M271" s="4"/>
      <c r="N271" s="4"/>
      <c r="O271" s="23" t="str">
        <f aca="false">IF(H271="","",IF(I271="","mot entier","bit "&amp;I271))</f>
        <v/>
      </c>
      <c r="P271" s="4"/>
    </row>
    <row r="272" customFormat="false" ht="15" hidden="false" customHeight="true" outlineLevel="0" collapsed="false">
      <c r="A272" s="22"/>
      <c r="B272" s="22"/>
      <c r="C272" s="23" t="str">
        <f aca="false">IFERROR(IF(OR(A272="",B272=""),"",INDEX(Equipements!$H:$H,MATCH(A272,Equipements!$A:$A,0))&amp;"."&amp;B272),"")</f>
        <v/>
      </c>
      <c r="D272" s="4"/>
      <c r="E272" s="22"/>
      <c r="F272" s="22"/>
      <c r="G272" s="22"/>
      <c r="H272" s="4"/>
      <c r="I272" s="4"/>
      <c r="J272" s="23" t="str">
        <f aca="false">IF(OR(G272="",H272=""),"","%"&amp;G272&amp;H272)</f>
        <v/>
      </c>
      <c r="K272" s="4"/>
      <c r="L272" s="4"/>
      <c r="M272" s="4"/>
      <c r="N272" s="4"/>
      <c r="O272" s="23" t="str">
        <f aca="false">IF(H272="","",IF(I272="","mot entier","bit "&amp;I272))</f>
        <v/>
      </c>
      <c r="P272" s="4"/>
    </row>
    <row r="273" customFormat="false" ht="15" hidden="false" customHeight="true" outlineLevel="0" collapsed="false">
      <c r="A273" s="22"/>
      <c r="B273" s="22"/>
      <c r="C273" s="23" t="str">
        <f aca="false">IFERROR(IF(OR(A273="",B273=""),"",INDEX(Equipements!$H:$H,MATCH(A273,Equipements!$A:$A,0))&amp;"."&amp;B273),"")</f>
        <v/>
      </c>
      <c r="D273" s="4"/>
      <c r="E273" s="22"/>
      <c r="F273" s="22"/>
      <c r="G273" s="22"/>
      <c r="H273" s="4"/>
      <c r="I273" s="4"/>
      <c r="J273" s="23" t="str">
        <f aca="false">IF(OR(G273="",H273=""),"","%"&amp;G273&amp;H273)</f>
        <v/>
      </c>
      <c r="K273" s="4"/>
      <c r="L273" s="4"/>
      <c r="M273" s="4"/>
      <c r="N273" s="4"/>
      <c r="O273" s="23" t="str">
        <f aca="false">IF(H273="","",IF(I273="","mot entier","bit "&amp;I273))</f>
        <v/>
      </c>
      <c r="P273" s="4"/>
    </row>
    <row r="274" customFormat="false" ht="15" hidden="false" customHeight="true" outlineLevel="0" collapsed="false">
      <c r="A274" s="22"/>
      <c r="B274" s="22"/>
      <c r="C274" s="23" t="str">
        <f aca="false">IFERROR(IF(OR(A274="",B274=""),"",INDEX(Equipements!$H:$H,MATCH(A274,Equipements!$A:$A,0))&amp;"."&amp;B274),"")</f>
        <v/>
      </c>
      <c r="D274" s="4"/>
      <c r="E274" s="22"/>
      <c r="F274" s="22"/>
      <c r="G274" s="22"/>
      <c r="H274" s="4"/>
      <c r="I274" s="4"/>
      <c r="J274" s="23" t="str">
        <f aca="false">IF(OR(G274="",H274=""),"","%"&amp;G274&amp;H274)</f>
        <v/>
      </c>
      <c r="K274" s="4"/>
      <c r="L274" s="4"/>
      <c r="M274" s="4"/>
      <c r="N274" s="4"/>
      <c r="O274" s="23" t="str">
        <f aca="false">IF(H274="","",IF(I274="","mot entier","bit "&amp;I274))</f>
        <v/>
      </c>
      <c r="P274" s="4"/>
    </row>
    <row r="275" customFormat="false" ht="15" hidden="false" customHeight="true" outlineLevel="0" collapsed="false">
      <c r="A275" s="22"/>
      <c r="B275" s="22"/>
      <c r="C275" s="23" t="str">
        <f aca="false">IFERROR(IF(OR(A275="",B275=""),"",INDEX(Equipements!$H:$H,MATCH(A275,Equipements!$A:$A,0))&amp;"."&amp;B275),"")</f>
        <v/>
      </c>
      <c r="D275" s="4"/>
      <c r="E275" s="22"/>
      <c r="F275" s="22"/>
      <c r="G275" s="22"/>
      <c r="H275" s="4"/>
      <c r="I275" s="4"/>
      <c r="J275" s="23" t="str">
        <f aca="false">IF(OR(G275="",H275=""),"","%"&amp;G275&amp;H275)</f>
        <v/>
      </c>
      <c r="K275" s="4"/>
      <c r="L275" s="4"/>
      <c r="M275" s="4"/>
      <c r="N275" s="4"/>
      <c r="O275" s="23" t="str">
        <f aca="false">IF(H275="","",IF(I275="","mot entier","bit "&amp;I275))</f>
        <v/>
      </c>
      <c r="P275" s="4"/>
    </row>
    <row r="276" customFormat="false" ht="15" hidden="false" customHeight="true" outlineLevel="0" collapsed="false">
      <c r="A276" s="22"/>
      <c r="B276" s="22"/>
      <c r="C276" s="23" t="str">
        <f aca="false">IFERROR(IF(OR(A276="",B276=""),"",INDEX(Equipements!$H:$H,MATCH(A276,Equipements!$A:$A,0))&amp;"."&amp;B276),"")</f>
        <v/>
      </c>
      <c r="D276" s="4"/>
      <c r="E276" s="22"/>
      <c r="F276" s="22"/>
      <c r="G276" s="22"/>
      <c r="H276" s="4"/>
      <c r="I276" s="4"/>
      <c r="J276" s="23" t="str">
        <f aca="false">IF(OR(G276="",H276=""),"","%"&amp;G276&amp;H276)</f>
        <v/>
      </c>
      <c r="K276" s="4"/>
      <c r="L276" s="4"/>
      <c r="M276" s="4"/>
      <c r="N276" s="4"/>
      <c r="O276" s="23" t="str">
        <f aca="false">IF(H276="","",IF(I276="","mot entier","bit "&amp;I276))</f>
        <v/>
      </c>
      <c r="P276" s="4"/>
    </row>
    <row r="277" customFormat="false" ht="15" hidden="false" customHeight="true" outlineLevel="0" collapsed="false">
      <c r="A277" s="22"/>
      <c r="B277" s="22"/>
      <c r="C277" s="23" t="str">
        <f aca="false">IFERROR(IF(OR(A277="",B277=""),"",INDEX(Equipements!$H:$H,MATCH(A277,Equipements!$A:$A,0))&amp;"."&amp;B277),"")</f>
        <v/>
      </c>
      <c r="D277" s="4"/>
      <c r="E277" s="22"/>
      <c r="F277" s="22"/>
      <c r="G277" s="22"/>
      <c r="H277" s="4"/>
      <c r="I277" s="4"/>
      <c r="J277" s="23" t="str">
        <f aca="false">IF(OR(G277="",H277=""),"","%"&amp;G277&amp;H277)</f>
        <v/>
      </c>
      <c r="K277" s="4"/>
      <c r="L277" s="4"/>
      <c r="M277" s="4"/>
      <c r="N277" s="4"/>
      <c r="O277" s="23" t="str">
        <f aca="false">IF(H277="","",IF(I277="","mot entier","bit "&amp;I277))</f>
        <v/>
      </c>
      <c r="P277" s="4"/>
    </row>
    <row r="278" customFormat="false" ht="15" hidden="false" customHeight="true" outlineLevel="0" collapsed="false">
      <c r="A278" s="22"/>
      <c r="B278" s="22"/>
      <c r="C278" s="23" t="str">
        <f aca="false">IFERROR(IF(OR(A278="",B278=""),"",INDEX(Equipements!$H:$H,MATCH(A278,Equipements!$A:$A,0))&amp;"."&amp;B278),"")</f>
        <v/>
      </c>
      <c r="D278" s="4"/>
      <c r="E278" s="22"/>
      <c r="F278" s="22"/>
      <c r="G278" s="22"/>
      <c r="H278" s="4"/>
      <c r="I278" s="4"/>
      <c r="J278" s="23" t="str">
        <f aca="false">IF(OR(G278="",H278=""),"","%"&amp;G278&amp;H278)</f>
        <v/>
      </c>
      <c r="K278" s="4"/>
      <c r="L278" s="4"/>
      <c r="M278" s="4"/>
      <c r="N278" s="4"/>
      <c r="O278" s="23" t="str">
        <f aca="false">IF(H278="","",IF(I278="","mot entier","bit "&amp;I278))</f>
        <v/>
      </c>
      <c r="P278" s="4"/>
    </row>
    <row r="279" customFormat="false" ht="15" hidden="false" customHeight="true" outlineLevel="0" collapsed="false">
      <c r="A279" s="22"/>
      <c r="B279" s="22"/>
      <c r="C279" s="23" t="str">
        <f aca="false">IFERROR(IF(OR(A279="",B279=""),"",INDEX(Equipements!$H:$H,MATCH(A279,Equipements!$A:$A,0))&amp;"."&amp;B279),"")</f>
        <v/>
      </c>
      <c r="D279" s="4"/>
      <c r="E279" s="22"/>
      <c r="F279" s="22"/>
      <c r="G279" s="22"/>
      <c r="H279" s="4"/>
      <c r="I279" s="4"/>
      <c r="J279" s="23" t="str">
        <f aca="false">IF(OR(G279="",H279=""),"","%"&amp;G279&amp;H279)</f>
        <v/>
      </c>
      <c r="K279" s="4"/>
      <c r="L279" s="4"/>
      <c r="M279" s="4"/>
      <c r="N279" s="4"/>
      <c r="O279" s="23" t="str">
        <f aca="false">IF(H279="","",IF(I279="","mot entier","bit "&amp;I279))</f>
        <v/>
      </c>
      <c r="P279" s="4"/>
    </row>
    <row r="280" customFormat="false" ht="15" hidden="false" customHeight="true" outlineLevel="0" collapsed="false">
      <c r="A280" s="22"/>
      <c r="B280" s="22"/>
      <c r="C280" s="23" t="str">
        <f aca="false">IFERROR(IF(OR(A280="",B280=""),"",INDEX(Equipements!$H:$H,MATCH(A280,Equipements!$A:$A,0))&amp;"."&amp;B280),"")</f>
        <v/>
      </c>
      <c r="D280" s="4"/>
      <c r="E280" s="22"/>
      <c r="F280" s="22"/>
      <c r="G280" s="22"/>
      <c r="H280" s="4"/>
      <c r="I280" s="4"/>
      <c r="J280" s="23" t="str">
        <f aca="false">IF(OR(G280="",H280=""),"","%"&amp;G280&amp;H280)</f>
        <v/>
      </c>
      <c r="K280" s="4"/>
      <c r="L280" s="4"/>
      <c r="M280" s="4"/>
      <c r="N280" s="4"/>
      <c r="O280" s="23" t="str">
        <f aca="false">IF(H280="","",IF(I280="","mot entier","bit "&amp;I280))</f>
        <v/>
      </c>
      <c r="P280" s="4"/>
    </row>
    <row r="281" customFormat="false" ht="15" hidden="false" customHeight="true" outlineLevel="0" collapsed="false">
      <c r="A281" s="22"/>
      <c r="B281" s="22"/>
      <c r="C281" s="23" t="str">
        <f aca="false">IFERROR(IF(OR(A281="",B281=""),"",INDEX(Equipements!$H:$H,MATCH(A281,Equipements!$A:$A,0))&amp;"."&amp;B281),"")</f>
        <v/>
      </c>
      <c r="D281" s="4"/>
      <c r="E281" s="22"/>
      <c r="F281" s="22"/>
      <c r="G281" s="22"/>
      <c r="H281" s="4"/>
      <c r="I281" s="4"/>
      <c r="J281" s="23" t="str">
        <f aca="false">IF(OR(G281="",H281=""),"","%"&amp;G281&amp;H281)</f>
        <v/>
      </c>
      <c r="K281" s="4"/>
      <c r="L281" s="4"/>
      <c r="M281" s="4"/>
      <c r="N281" s="4"/>
      <c r="O281" s="23" t="str">
        <f aca="false">IF(H281="","",IF(I281="","mot entier","bit "&amp;I281))</f>
        <v/>
      </c>
      <c r="P281" s="4"/>
    </row>
    <row r="282" customFormat="false" ht="15" hidden="false" customHeight="true" outlineLevel="0" collapsed="false">
      <c r="A282" s="22"/>
      <c r="B282" s="22"/>
      <c r="C282" s="23" t="str">
        <f aca="false">IFERROR(IF(OR(A282="",B282=""),"",INDEX(Equipements!$H:$H,MATCH(A282,Equipements!$A:$A,0))&amp;"."&amp;B282),"")</f>
        <v/>
      </c>
      <c r="D282" s="4"/>
      <c r="E282" s="22"/>
      <c r="F282" s="22"/>
      <c r="G282" s="22"/>
      <c r="H282" s="4"/>
      <c r="I282" s="4"/>
      <c r="J282" s="23" t="str">
        <f aca="false">IF(OR(G282="",H282=""),"","%"&amp;G282&amp;H282)</f>
        <v/>
      </c>
      <c r="K282" s="4"/>
      <c r="L282" s="4"/>
      <c r="M282" s="4"/>
      <c r="N282" s="4"/>
      <c r="O282" s="23" t="str">
        <f aca="false">IF(H282="","",IF(I282="","mot entier","bit "&amp;I282))</f>
        <v/>
      </c>
      <c r="P282" s="4"/>
    </row>
    <row r="283" customFormat="false" ht="15" hidden="false" customHeight="true" outlineLevel="0" collapsed="false">
      <c r="A283" s="22"/>
      <c r="B283" s="22"/>
      <c r="C283" s="23" t="str">
        <f aca="false">IFERROR(IF(OR(A283="",B283=""),"",INDEX(Equipements!$H:$H,MATCH(A283,Equipements!$A:$A,0))&amp;"."&amp;B283),"")</f>
        <v/>
      </c>
      <c r="D283" s="4"/>
      <c r="E283" s="22"/>
      <c r="F283" s="22"/>
      <c r="G283" s="22"/>
      <c r="H283" s="4"/>
      <c r="I283" s="4"/>
      <c r="J283" s="23" t="str">
        <f aca="false">IF(OR(G283="",H283=""),"","%"&amp;G283&amp;H283)</f>
        <v/>
      </c>
      <c r="K283" s="4"/>
      <c r="L283" s="4"/>
      <c r="M283" s="4"/>
      <c r="N283" s="4"/>
      <c r="O283" s="23" t="str">
        <f aca="false">IF(H283="","",IF(I283="","mot entier","bit "&amp;I283))</f>
        <v/>
      </c>
      <c r="P283" s="4"/>
    </row>
    <row r="284" customFormat="false" ht="15" hidden="false" customHeight="true" outlineLevel="0" collapsed="false">
      <c r="A284" s="22"/>
      <c r="B284" s="22"/>
      <c r="C284" s="23" t="str">
        <f aca="false">IFERROR(IF(OR(A284="",B284=""),"",INDEX(Equipements!$H:$H,MATCH(A284,Equipements!$A:$A,0))&amp;"."&amp;B284),"")</f>
        <v/>
      </c>
      <c r="D284" s="4"/>
      <c r="E284" s="22"/>
      <c r="F284" s="22"/>
      <c r="G284" s="22"/>
      <c r="H284" s="4"/>
      <c r="I284" s="4"/>
      <c r="J284" s="23" t="str">
        <f aca="false">IF(OR(G284="",H284=""),"","%"&amp;G284&amp;H284)</f>
        <v/>
      </c>
      <c r="K284" s="4"/>
      <c r="L284" s="4"/>
      <c r="M284" s="4"/>
      <c r="N284" s="4"/>
      <c r="O284" s="23" t="str">
        <f aca="false">IF(H284="","",IF(I284="","mot entier","bit "&amp;I284))</f>
        <v/>
      </c>
      <c r="P284" s="4"/>
    </row>
    <row r="285" customFormat="false" ht="15" hidden="false" customHeight="true" outlineLevel="0" collapsed="false">
      <c r="A285" s="22"/>
      <c r="B285" s="22"/>
      <c r="C285" s="23" t="str">
        <f aca="false">IFERROR(IF(OR(A285="",B285=""),"",INDEX(Equipements!$H:$H,MATCH(A285,Equipements!$A:$A,0))&amp;"."&amp;B285),"")</f>
        <v/>
      </c>
      <c r="D285" s="4"/>
      <c r="E285" s="22"/>
      <c r="F285" s="22"/>
      <c r="G285" s="22"/>
      <c r="H285" s="4"/>
      <c r="I285" s="4"/>
      <c r="J285" s="23" t="str">
        <f aca="false">IF(OR(G285="",H285=""),"","%"&amp;G285&amp;H285)</f>
        <v/>
      </c>
      <c r="K285" s="4"/>
      <c r="L285" s="4"/>
      <c r="M285" s="4"/>
      <c r="N285" s="4"/>
      <c r="O285" s="23" t="str">
        <f aca="false">IF(H285="","",IF(I285="","mot entier","bit "&amp;I285))</f>
        <v/>
      </c>
      <c r="P285" s="4"/>
    </row>
    <row r="286" customFormat="false" ht="15" hidden="false" customHeight="true" outlineLevel="0" collapsed="false">
      <c r="A286" s="22"/>
      <c r="B286" s="22"/>
      <c r="C286" s="23" t="str">
        <f aca="false">IFERROR(IF(OR(A286="",B286=""),"",INDEX(Equipements!$H:$H,MATCH(A286,Equipements!$A:$A,0))&amp;"."&amp;B286),"")</f>
        <v/>
      </c>
      <c r="D286" s="4"/>
      <c r="E286" s="22"/>
      <c r="F286" s="22"/>
      <c r="G286" s="22"/>
      <c r="H286" s="4"/>
      <c r="I286" s="4"/>
      <c r="J286" s="23" t="str">
        <f aca="false">IF(OR(G286="",H286=""),"","%"&amp;G286&amp;H286)</f>
        <v/>
      </c>
      <c r="K286" s="4"/>
      <c r="L286" s="4"/>
      <c r="M286" s="4"/>
      <c r="N286" s="4"/>
      <c r="O286" s="23" t="str">
        <f aca="false">IF(H286="","",IF(I286="","mot entier","bit "&amp;I286))</f>
        <v/>
      </c>
      <c r="P286" s="4"/>
    </row>
    <row r="287" customFormat="false" ht="15" hidden="false" customHeight="true" outlineLevel="0" collapsed="false">
      <c r="A287" s="22"/>
      <c r="B287" s="22"/>
      <c r="C287" s="23" t="str">
        <f aca="false">IFERROR(IF(OR(A287="",B287=""),"",INDEX(Equipements!$H:$H,MATCH(A287,Equipements!$A:$A,0))&amp;"."&amp;B287),"")</f>
        <v/>
      </c>
      <c r="D287" s="4"/>
      <c r="E287" s="22"/>
      <c r="F287" s="22"/>
      <c r="G287" s="22"/>
      <c r="H287" s="4"/>
      <c r="I287" s="4"/>
      <c r="J287" s="23" t="str">
        <f aca="false">IF(OR(G287="",H287=""),"","%"&amp;G287&amp;H287)</f>
        <v/>
      </c>
      <c r="K287" s="4"/>
      <c r="L287" s="4"/>
      <c r="M287" s="4"/>
      <c r="N287" s="4"/>
      <c r="O287" s="23" t="str">
        <f aca="false">IF(H287="","",IF(I287="","mot entier","bit "&amp;I287))</f>
        <v/>
      </c>
      <c r="P287" s="4"/>
    </row>
    <row r="288" customFormat="false" ht="15" hidden="false" customHeight="true" outlineLevel="0" collapsed="false">
      <c r="A288" s="22"/>
      <c r="B288" s="22"/>
      <c r="C288" s="23" t="str">
        <f aca="false">IFERROR(IF(OR(A288="",B288=""),"",INDEX(Equipements!$H:$H,MATCH(A288,Equipements!$A:$A,0))&amp;"."&amp;B288),"")</f>
        <v/>
      </c>
      <c r="D288" s="4"/>
      <c r="E288" s="22"/>
      <c r="F288" s="22"/>
      <c r="G288" s="22"/>
      <c r="H288" s="4"/>
      <c r="I288" s="4"/>
      <c r="J288" s="23" t="str">
        <f aca="false">IF(OR(G288="",H288=""),"","%"&amp;G288&amp;H288)</f>
        <v/>
      </c>
      <c r="K288" s="4"/>
      <c r="L288" s="4"/>
      <c r="M288" s="4"/>
      <c r="N288" s="4"/>
      <c r="O288" s="23" t="str">
        <f aca="false">IF(H288="","",IF(I288="","mot entier","bit "&amp;I288))</f>
        <v/>
      </c>
      <c r="P288" s="4"/>
    </row>
    <row r="289" customFormat="false" ht="15" hidden="false" customHeight="true" outlineLevel="0" collapsed="false">
      <c r="A289" s="22"/>
      <c r="B289" s="22"/>
      <c r="C289" s="23" t="str">
        <f aca="false">IFERROR(IF(OR(A289="",B289=""),"",INDEX(Equipements!$H:$H,MATCH(A289,Equipements!$A:$A,0))&amp;"."&amp;B289),"")</f>
        <v/>
      </c>
      <c r="D289" s="4"/>
      <c r="E289" s="22"/>
      <c r="F289" s="22"/>
      <c r="G289" s="22"/>
      <c r="H289" s="4"/>
      <c r="I289" s="4"/>
      <c r="J289" s="23" t="str">
        <f aca="false">IF(OR(G289="",H289=""),"","%"&amp;G289&amp;H289)</f>
        <v/>
      </c>
      <c r="K289" s="4"/>
      <c r="L289" s="4"/>
      <c r="M289" s="4"/>
      <c r="N289" s="4"/>
      <c r="O289" s="23" t="str">
        <f aca="false">IF(H289="","",IF(I289="","mot entier","bit "&amp;I289))</f>
        <v/>
      </c>
      <c r="P289" s="4"/>
    </row>
    <row r="290" customFormat="false" ht="15" hidden="false" customHeight="true" outlineLevel="0" collapsed="false">
      <c r="A290" s="22"/>
      <c r="B290" s="22"/>
      <c r="C290" s="23" t="str">
        <f aca="false">IFERROR(IF(OR(A290="",B290=""),"",INDEX(Equipements!$H:$H,MATCH(A290,Equipements!$A:$A,0))&amp;"."&amp;B290),"")</f>
        <v/>
      </c>
      <c r="D290" s="4"/>
      <c r="E290" s="22"/>
      <c r="F290" s="22"/>
      <c r="G290" s="22"/>
      <c r="H290" s="4"/>
      <c r="I290" s="4"/>
      <c r="J290" s="23" t="str">
        <f aca="false">IF(OR(G290="",H290=""),"","%"&amp;G290&amp;H290)</f>
        <v/>
      </c>
      <c r="K290" s="4"/>
      <c r="L290" s="4"/>
      <c r="M290" s="4"/>
      <c r="N290" s="4"/>
      <c r="O290" s="23" t="str">
        <f aca="false">IF(H290="","",IF(I290="","mot entier","bit "&amp;I290))</f>
        <v/>
      </c>
      <c r="P290" s="4"/>
    </row>
    <row r="291" customFormat="false" ht="15" hidden="false" customHeight="true" outlineLevel="0" collapsed="false">
      <c r="A291" s="22"/>
      <c r="B291" s="22"/>
      <c r="C291" s="23" t="str">
        <f aca="false">IFERROR(IF(OR(A291="",B291=""),"",INDEX(Equipements!$H:$H,MATCH(A291,Equipements!$A:$A,0))&amp;"."&amp;B291),"")</f>
        <v/>
      </c>
      <c r="D291" s="4"/>
      <c r="E291" s="22"/>
      <c r="F291" s="22"/>
      <c r="G291" s="22"/>
      <c r="H291" s="4"/>
      <c r="I291" s="4"/>
      <c r="J291" s="23" t="str">
        <f aca="false">IF(OR(G291="",H291=""),"","%"&amp;G291&amp;H291)</f>
        <v/>
      </c>
      <c r="K291" s="4"/>
      <c r="L291" s="4"/>
      <c r="M291" s="4"/>
      <c r="N291" s="4"/>
      <c r="O291" s="23" t="str">
        <f aca="false">IF(H291="","",IF(I291="","mot entier","bit "&amp;I291))</f>
        <v/>
      </c>
      <c r="P291" s="4"/>
    </row>
    <row r="292" customFormat="false" ht="15" hidden="false" customHeight="true" outlineLevel="0" collapsed="false">
      <c r="A292" s="22"/>
      <c r="B292" s="22"/>
      <c r="C292" s="23" t="str">
        <f aca="false">IFERROR(IF(OR(A292="",B292=""),"",INDEX(Equipements!$H:$H,MATCH(A292,Equipements!$A:$A,0))&amp;"."&amp;B292),"")</f>
        <v/>
      </c>
      <c r="D292" s="4"/>
      <c r="E292" s="22"/>
      <c r="F292" s="22"/>
      <c r="G292" s="22"/>
      <c r="H292" s="4"/>
      <c r="I292" s="4"/>
      <c r="J292" s="23" t="str">
        <f aca="false">IF(OR(G292="",H292=""),"","%"&amp;G292&amp;H292)</f>
        <v/>
      </c>
      <c r="K292" s="4"/>
      <c r="L292" s="4"/>
      <c r="M292" s="4"/>
      <c r="N292" s="4"/>
      <c r="O292" s="23" t="str">
        <f aca="false">IF(H292="","",IF(I292="","mot entier","bit "&amp;I292))</f>
        <v/>
      </c>
      <c r="P292" s="4"/>
    </row>
    <row r="293" customFormat="false" ht="15" hidden="false" customHeight="true" outlineLevel="0" collapsed="false">
      <c r="A293" s="22"/>
      <c r="B293" s="22"/>
      <c r="C293" s="23" t="str">
        <f aca="false">IFERROR(IF(OR(A293="",B293=""),"",INDEX(Equipements!$H:$H,MATCH(A293,Equipements!$A:$A,0))&amp;"."&amp;B293),"")</f>
        <v/>
      </c>
      <c r="D293" s="4"/>
      <c r="E293" s="22"/>
      <c r="F293" s="22"/>
      <c r="G293" s="22"/>
      <c r="H293" s="4"/>
      <c r="I293" s="4"/>
      <c r="J293" s="23" t="str">
        <f aca="false">IF(OR(G293="",H293=""),"","%"&amp;G293&amp;H293)</f>
        <v/>
      </c>
      <c r="K293" s="4"/>
      <c r="L293" s="4"/>
      <c r="M293" s="4"/>
      <c r="N293" s="4"/>
      <c r="O293" s="23" t="str">
        <f aca="false">IF(H293="","",IF(I293="","mot entier","bit "&amp;I293))</f>
        <v/>
      </c>
      <c r="P293" s="4"/>
    </row>
    <row r="294" customFormat="false" ht="15" hidden="false" customHeight="true" outlineLevel="0" collapsed="false">
      <c r="A294" s="22"/>
      <c r="B294" s="22"/>
      <c r="C294" s="23" t="str">
        <f aca="false">IFERROR(IF(OR(A294="",B294=""),"",INDEX(Equipements!$H:$H,MATCH(A294,Equipements!$A:$A,0))&amp;"."&amp;B294),"")</f>
        <v/>
      </c>
      <c r="D294" s="4"/>
      <c r="E294" s="22"/>
      <c r="F294" s="22"/>
      <c r="G294" s="22"/>
      <c r="H294" s="4"/>
      <c r="I294" s="4"/>
      <c r="J294" s="23" t="str">
        <f aca="false">IF(OR(G294="",H294=""),"","%"&amp;G294&amp;H294)</f>
        <v/>
      </c>
      <c r="K294" s="4"/>
      <c r="L294" s="4"/>
      <c r="M294" s="4"/>
      <c r="N294" s="4"/>
      <c r="O294" s="23" t="str">
        <f aca="false">IF(H294="","",IF(I294="","mot entier","bit "&amp;I294))</f>
        <v/>
      </c>
      <c r="P294" s="4"/>
    </row>
    <row r="295" customFormat="false" ht="15" hidden="false" customHeight="true" outlineLevel="0" collapsed="false">
      <c r="A295" s="22"/>
      <c r="B295" s="22"/>
      <c r="C295" s="23" t="str">
        <f aca="false">IFERROR(IF(OR(A295="",B295=""),"",INDEX(Equipements!$H:$H,MATCH(A295,Equipements!$A:$A,0))&amp;"."&amp;B295),"")</f>
        <v/>
      </c>
      <c r="D295" s="4"/>
      <c r="E295" s="22"/>
      <c r="F295" s="22"/>
      <c r="G295" s="22"/>
      <c r="H295" s="4"/>
      <c r="I295" s="4"/>
      <c r="J295" s="23" t="str">
        <f aca="false">IF(OR(G295="",H295=""),"","%"&amp;G295&amp;H295)</f>
        <v/>
      </c>
      <c r="K295" s="4"/>
      <c r="L295" s="4"/>
      <c r="M295" s="4"/>
      <c r="N295" s="4"/>
      <c r="O295" s="23" t="str">
        <f aca="false">IF(H295="","",IF(I295="","mot entier","bit "&amp;I295))</f>
        <v/>
      </c>
      <c r="P295" s="4"/>
    </row>
    <row r="296" customFormat="false" ht="15" hidden="false" customHeight="true" outlineLevel="0" collapsed="false">
      <c r="A296" s="22"/>
      <c r="B296" s="22"/>
      <c r="C296" s="23" t="str">
        <f aca="false">IFERROR(IF(OR(A296="",B296=""),"",INDEX(Equipements!$H:$H,MATCH(A296,Equipements!$A:$A,0))&amp;"."&amp;B296),"")</f>
        <v/>
      </c>
      <c r="D296" s="4"/>
      <c r="E296" s="22"/>
      <c r="F296" s="22"/>
      <c r="G296" s="22"/>
      <c r="H296" s="4"/>
      <c r="I296" s="4"/>
      <c r="J296" s="23" t="str">
        <f aca="false">IF(OR(G296="",H296=""),"","%"&amp;G296&amp;H296)</f>
        <v/>
      </c>
      <c r="K296" s="4"/>
      <c r="L296" s="4"/>
      <c r="M296" s="4"/>
      <c r="N296" s="4"/>
      <c r="O296" s="23" t="str">
        <f aca="false">IF(H296="","",IF(I296="","mot entier","bit "&amp;I296))</f>
        <v/>
      </c>
      <c r="P296" s="4"/>
    </row>
    <row r="297" customFormat="false" ht="15" hidden="false" customHeight="true" outlineLevel="0" collapsed="false">
      <c r="A297" s="22"/>
      <c r="B297" s="22"/>
      <c r="C297" s="23" t="str">
        <f aca="false">IFERROR(IF(OR(A297="",B297=""),"",INDEX(Equipements!$H:$H,MATCH(A297,Equipements!$A:$A,0))&amp;"."&amp;B297),"")</f>
        <v/>
      </c>
      <c r="D297" s="4"/>
      <c r="E297" s="22"/>
      <c r="F297" s="22"/>
      <c r="G297" s="22"/>
      <c r="H297" s="4"/>
      <c r="I297" s="4"/>
      <c r="J297" s="23" t="str">
        <f aca="false">IF(OR(G297="",H297=""),"","%"&amp;G297&amp;H297)</f>
        <v/>
      </c>
      <c r="K297" s="4"/>
      <c r="L297" s="4"/>
      <c r="M297" s="4"/>
      <c r="N297" s="4"/>
      <c r="O297" s="23" t="str">
        <f aca="false">IF(H297="","",IF(I297="","mot entier","bit "&amp;I297))</f>
        <v/>
      </c>
      <c r="P297" s="4"/>
    </row>
    <row r="298" customFormat="false" ht="15" hidden="false" customHeight="true" outlineLevel="0" collapsed="false">
      <c r="A298" s="22"/>
      <c r="B298" s="22"/>
      <c r="C298" s="23" t="str">
        <f aca="false">IFERROR(IF(OR(A298="",B298=""),"",INDEX(Equipements!$H:$H,MATCH(A298,Equipements!$A:$A,0))&amp;"."&amp;B298),"")</f>
        <v/>
      </c>
      <c r="D298" s="4"/>
      <c r="E298" s="22"/>
      <c r="F298" s="22"/>
      <c r="G298" s="22"/>
      <c r="H298" s="4"/>
      <c r="I298" s="4"/>
      <c r="J298" s="23" t="str">
        <f aca="false">IF(OR(G298="",H298=""),"","%"&amp;G298&amp;H298)</f>
        <v/>
      </c>
      <c r="K298" s="4"/>
      <c r="L298" s="4"/>
      <c r="M298" s="4"/>
      <c r="N298" s="4"/>
      <c r="O298" s="23" t="str">
        <f aca="false">IF(H298="","",IF(I298="","mot entier","bit "&amp;I298))</f>
        <v/>
      </c>
      <c r="P298" s="4"/>
    </row>
    <row r="299" customFormat="false" ht="15" hidden="false" customHeight="true" outlineLevel="0" collapsed="false">
      <c r="A299" s="22"/>
      <c r="B299" s="22"/>
      <c r="C299" s="23" t="str">
        <f aca="false">IFERROR(IF(OR(A299="",B299=""),"",INDEX(Equipements!$H:$H,MATCH(A299,Equipements!$A:$A,0))&amp;"."&amp;B299),"")</f>
        <v/>
      </c>
      <c r="D299" s="4"/>
      <c r="E299" s="22"/>
      <c r="F299" s="22"/>
      <c r="G299" s="22"/>
      <c r="H299" s="4"/>
      <c r="I299" s="4"/>
      <c r="J299" s="23" t="str">
        <f aca="false">IF(OR(G299="",H299=""),"","%"&amp;G299&amp;H299)</f>
        <v/>
      </c>
      <c r="K299" s="4"/>
      <c r="L299" s="4"/>
      <c r="M299" s="4"/>
      <c r="N299" s="4"/>
      <c r="O299" s="23" t="str">
        <f aca="false">IF(H299="","",IF(I299="","mot entier","bit "&amp;I299))</f>
        <v/>
      </c>
      <c r="P299" s="4"/>
    </row>
    <row r="300" customFormat="false" ht="15" hidden="false" customHeight="true" outlineLevel="0" collapsed="false">
      <c r="A300" s="22"/>
      <c r="B300" s="22"/>
      <c r="C300" s="23" t="str">
        <f aca="false">IFERROR(IF(OR(A300="",B300=""),"",INDEX(Equipements!$H:$H,MATCH(A300,Equipements!$A:$A,0))&amp;"."&amp;B300),"")</f>
        <v/>
      </c>
      <c r="D300" s="4"/>
      <c r="E300" s="22"/>
      <c r="F300" s="22"/>
      <c r="G300" s="22"/>
      <c r="H300" s="4"/>
      <c r="I300" s="4"/>
      <c r="J300" s="23" t="str">
        <f aca="false">IF(OR(G300="",H300=""),"","%"&amp;G300&amp;H300)</f>
        <v/>
      </c>
      <c r="K300" s="4"/>
      <c r="L300" s="4"/>
      <c r="M300" s="4"/>
      <c r="N300" s="4"/>
      <c r="O300" s="23" t="str">
        <f aca="false">IF(H300="","",IF(I300="","mot entier","bit "&amp;I300))</f>
        <v/>
      </c>
      <c r="P300" s="4"/>
    </row>
    <row r="301" customFormat="false" ht="15" hidden="false" customHeight="true" outlineLevel="0" collapsed="false">
      <c r="A301" s="22"/>
      <c r="B301" s="22"/>
      <c r="C301" s="23" t="str">
        <f aca="false">IFERROR(IF(OR(A301="",B301=""),"",INDEX(Equipements!$H:$H,MATCH(A301,Equipements!$A:$A,0))&amp;"."&amp;B301),"")</f>
        <v/>
      </c>
      <c r="D301" s="4"/>
      <c r="E301" s="22"/>
      <c r="F301" s="22"/>
      <c r="G301" s="22"/>
      <c r="H301" s="4"/>
      <c r="I301" s="4"/>
      <c r="J301" s="23" t="str">
        <f aca="false">IF(OR(G301="",H301=""),"","%"&amp;G301&amp;H301)</f>
        <v/>
      </c>
      <c r="K301" s="4"/>
      <c r="L301" s="4"/>
      <c r="M301" s="4"/>
      <c r="N301" s="4"/>
      <c r="O301" s="23" t="str">
        <f aca="false">IF(H301="","",IF(I301="","mot entier","bit "&amp;I301))</f>
        <v/>
      </c>
      <c r="P301" s="4"/>
    </row>
    <row r="302" customFormat="false" ht="15" hidden="false" customHeight="true" outlineLevel="0" collapsed="false">
      <c r="A302" s="22"/>
      <c r="B302" s="22"/>
      <c r="C302" s="23" t="str">
        <f aca="false">IFERROR(IF(OR(A302="",B302=""),"",INDEX(Equipements!$H:$H,MATCH(A302,Equipements!$A:$A,0))&amp;"."&amp;B302),"")</f>
        <v/>
      </c>
      <c r="D302" s="4"/>
      <c r="E302" s="22"/>
      <c r="F302" s="22"/>
      <c r="G302" s="22"/>
      <c r="H302" s="4"/>
      <c r="I302" s="4"/>
      <c r="J302" s="23" t="str">
        <f aca="false">IF(OR(G302="",H302=""),"","%"&amp;G302&amp;H302)</f>
        <v/>
      </c>
      <c r="K302" s="4"/>
      <c r="L302" s="4"/>
      <c r="M302" s="4"/>
      <c r="N302" s="4"/>
      <c r="O302" s="23" t="str">
        <f aca="false">IF(H302="","",IF(I302="","mot entier","bit "&amp;I302))</f>
        <v/>
      </c>
      <c r="P302" s="4"/>
    </row>
    <row r="303" customFormat="false" ht="15" hidden="false" customHeight="true" outlineLevel="0" collapsed="false">
      <c r="A303" s="22"/>
      <c r="B303" s="22"/>
      <c r="C303" s="23" t="str">
        <f aca="false">IFERROR(IF(OR(A303="",B303=""),"",INDEX(Equipements!$H:$H,MATCH(A303,Equipements!$A:$A,0))&amp;"."&amp;B303),"")</f>
        <v/>
      </c>
      <c r="D303" s="4"/>
      <c r="E303" s="22"/>
      <c r="F303" s="22"/>
      <c r="G303" s="22"/>
      <c r="H303" s="4"/>
      <c r="I303" s="4"/>
      <c r="J303" s="23" t="str">
        <f aca="false">IF(OR(G303="",H303=""),"","%"&amp;G303&amp;H303)</f>
        <v/>
      </c>
      <c r="K303" s="4"/>
      <c r="L303" s="4"/>
      <c r="M303" s="4"/>
      <c r="N303" s="4"/>
      <c r="O303" s="23" t="str">
        <f aca="false">IF(H303="","",IF(I303="","mot entier","bit "&amp;I303))</f>
        <v/>
      </c>
      <c r="P303" s="4"/>
    </row>
    <row r="304" customFormat="false" ht="15" hidden="false" customHeight="true" outlineLevel="0" collapsed="false">
      <c r="A304" s="22"/>
      <c r="B304" s="22"/>
      <c r="C304" s="23" t="str">
        <f aca="false">IFERROR(IF(OR(A304="",B304=""),"",INDEX(Equipements!$H:$H,MATCH(A304,Equipements!$A:$A,0))&amp;"."&amp;B304),"")</f>
        <v/>
      </c>
      <c r="D304" s="4"/>
      <c r="E304" s="22"/>
      <c r="F304" s="22"/>
      <c r="G304" s="22"/>
      <c r="H304" s="4"/>
      <c r="I304" s="4"/>
      <c r="J304" s="23" t="str">
        <f aca="false">IF(OR(G304="",H304=""),"","%"&amp;G304&amp;H304)</f>
        <v/>
      </c>
      <c r="K304" s="4"/>
      <c r="L304" s="4"/>
      <c r="M304" s="4"/>
      <c r="N304" s="4"/>
      <c r="O304" s="23" t="str">
        <f aca="false">IF(H304="","",IF(I304="","mot entier","bit "&amp;I304))</f>
        <v/>
      </c>
      <c r="P304" s="4"/>
    </row>
    <row r="305" customFormat="false" ht="15" hidden="false" customHeight="true" outlineLevel="0" collapsed="false">
      <c r="A305" s="22"/>
      <c r="B305" s="22"/>
      <c r="C305" s="23" t="str">
        <f aca="false">IFERROR(IF(OR(A305="",B305=""),"",INDEX(Equipements!$H:$H,MATCH(A305,Equipements!$A:$A,0))&amp;"."&amp;B305),"")</f>
        <v/>
      </c>
      <c r="D305" s="4"/>
      <c r="E305" s="22"/>
      <c r="F305" s="22"/>
      <c r="G305" s="22"/>
      <c r="H305" s="4"/>
      <c r="I305" s="4"/>
      <c r="J305" s="23" t="str">
        <f aca="false">IF(OR(G305="",H305=""),"","%"&amp;G305&amp;H305)</f>
        <v/>
      </c>
      <c r="K305" s="4"/>
      <c r="L305" s="4"/>
      <c r="M305" s="4"/>
      <c r="N305" s="4"/>
      <c r="O305" s="23" t="str">
        <f aca="false">IF(H305="","",IF(I305="","mot entier","bit "&amp;I305))</f>
        <v/>
      </c>
      <c r="P305" s="4"/>
    </row>
    <row r="306" customFormat="false" ht="15" hidden="false" customHeight="true" outlineLevel="0" collapsed="false">
      <c r="A306" s="22"/>
      <c r="B306" s="22"/>
      <c r="C306" s="23" t="str">
        <f aca="false">IFERROR(IF(OR(A306="",B306=""),"",INDEX(Equipements!$H:$H,MATCH(A306,Equipements!$A:$A,0))&amp;"."&amp;B306),"")</f>
        <v/>
      </c>
      <c r="D306" s="4"/>
      <c r="E306" s="22"/>
      <c r="F306" s="22"/>
      <c r="G306" s="22"/>
      <c r="H306" s="4"/>
      <c r="I306" s="4"/>
      <c r="J306" s="23" t="str">
        <f aca="false">IF(OR(G306="",H306=""),"","%"&amp;G306&amp;H306)</f>
        <v/>
      </c>
      <c r="K306" s="4"/>
      <c r="L306" s="4"/>
      <c r="M306" s="4"/>
      <c r="N306" s="4"/>
      <c r="O306" s="23" t="str">
        <f aca="false">IF(H306="","",IF(I306="","mot entier","bit "&amp;I306))</f>
        <v/>
      </c>
      <c r="P306" s="4"/>
    </row>
    <row r="307" customFormat="false" ht="15" hidden="false" customHeight="true" outlineLevel="0" collapsed="false">
      <c r="A307" s="22"/>
      <c r="B307" s="22"/>
      <c r="C307" s="23" t="str">
        <f aca="false">IFERROR(IF(OR(A307="",B307=""),"",INDEX(Equipements!$H:$H,MATCH(A307,Equipements!$A:$A,0))&amp;"."&amp;B307),"")</f>
        <v/>
      </c>
      <c r="D307" s="4"/>
      <c r="E307" s="22"/>
      <c r="F307" s="22"/>
      <c r="G307" s="22"/>
      <c r="H307" s="4"/>
      <c r="I307" s="4"/>
      <c r="J307" s="23" t="str">
        <f aca="false">IF(OR(G307="",H307=""),"","%"&amp;G307&amp;H307)</f>
        <v/>
      </c>
      <c r="K307" s="4"/>
      <c r="L307" s="4"/>
      <c r="M307" s="4"/>
      <c r="N307" s="4"/>
      <c r="O307" s="23" t="str">
        <f aca="false">IF(H307="","",IF(I307="","mot entier","bit "&amp;I307))</f>
        <v/>
      </c>
      <c r="P307" s="4"/>
    </row>
    <row r="308" customFormat="false" ht="15" hidden="false" customHeight="true" outlineLevel="0" collapsed="false">
      <c r="A308" s="22"/>
      <c r="B308" s="22"/>
      <c r="C308" s="23" t="str">
        <f aca="false">IFERROR(IF(OR(A308="",B308=""),"",INDEX(Equipements!$H:$H,MATCH(A308,Equipements!$A:$A,0))&amp;"."&amp;B308),"")</f>
        <v/>
      </c>
      <c r="D308" s="4"/>
      <c r="E308" s="22"/>
      <c r="F308" s="22"/>
      <c r="G308" s="22"/>
      <c r="H308" s="4"/>
      <c r="I308" s="4"/>
      <c r="J308" s="23" t="str">
        <f aca="false">IF(OR(G308="",H308=""),"","%"&amp;G308&amp;H308)</f>
        <v/>
      </c>
      <c r="K308" s="4"/>
      <c r="L308" s="4"/>
      <c r="M308" s="4"/>
      <c r="N308" s="4"/>
      <c r="O308" s="23" t="str">
        <f aca="false">IF(H308="","",IF(I308="","mot entier","bit "&amp;I308))</f>
        <v/>
      </c>
      <c r="P308" s="4"/>
    </row>
    <row r="309" customFormat="false" ht="15" hidden="false" customHeight="true" outlineLevel="0" collapsed="false">
      <c r="A309" s="22"/>
      <c r="B309" s="22"/>
      <c r="C309" s="23" t="str">
        <f aca="false">IFERROR(IF(OR(A309="",B309=""),"",INDEX(Equipements!$H:$H,MATCH(A309,Equipements!$A:$A,0))&amp;"."&amp;B309),"")</f>
        <v/>
      </c>
      <c r="D309" s="4"/>
      <c r="E309" s="22"/>
      <c r="F309" s="22"/>
      <c r="G309" s="22"/>
      <c r="H309" s="4"/>
      <c r="I309" s="4"/>
      <c r="J309" s="23" t="str">
        <f aca="false">IF(OR(G309="",H309=""),"","%"&amp;G309&amp;H309)</f>
        <v/>
      </c>
      <c r="K309" s="4"/>
      <c r="L309" s="4"/>
      <c r="M309" s="4"/>
      <c r="N309" s="4"/>
      <c r="O309" s="23" t="str">
        <f aca="false">IF(H309="","",IF(I309="","mot entier","bit "&amp;I309))</f>
        <v/>
      </c>
      <c r="P309" s="4"/>
    </row>
    <row r="310" customFormat="false" ht="15" hidden="false" customHeight="true" outlineLevel="0" collapsed="false">
      <c r="A310" s="22"/>
      <c r="B310" s="22"/>
      <c r="C310" s="23" t="str">
        <f aca="false">IFERROR(IF(OR(A310="",B310=""),"",INDEX(Equipements!$H:$H,MATCH(A310,Equipements!$A:$A,0))&amp;"."&amp;B310),"")</f>
        <v/>
      </c>
      <c r="D310" s="4"/>
      <c r="E310" s="22"/>
      <c r="F310" s="22"/>
      <c r="G310" s="22"/>
      <c r="H310" s="4"/>
      <c r="I310" s="4"/>
      <c r="J310" s="23" t="str">
        <f aca="false">IF(OR(G310="",H310=""),"","%"&amp;G310&amp;H310)</f>
        <v/>
      </c>
      <c r="K310" s="4"/>
      <c r="L310" s="4"/>
      <c r="M310" s="4"/>
      <c r="N310" s="4"/>
      <c r="O310" s="23" t="str">
        <f aca="false">IF(H310="","",IF(I310="","mot entier","bit "&amp;I310))</f>
        <v/>
      </c>
      <c r="P310" s="4"/>
    </row>
    <row r="311" customFormat="false" ht="15" hidden="false" customHeight="true" outlineLevel="0" collapsed="false">
      <c r="A311" s="22"/>
      <c r="B311" s="22"/>
      <c r="C311" s="23" t="str">
        <f aca="false">IFERROR(IF(OR(A311="",B311=""),"",INDEX(Equipements!$H:$H,MATCH(A311,Equipements!$A:$A,0))&amp;"."&amp;B311),"")</f>
        <v/>
      </c>
      <c r="D311" s="4"/>
      <c r="E311" s="22"/>
      <c r="F311" s="22"/>
      <c r="G311" s="22"/>
      <c r="H311" s="4"/>
      <c r="I311" s="4"/>
      <c r="J311" s="23" t="str">
        <f aca="false">IF(OR(G311="",H311=""),"","%"&amp;G311&amp;H311)</f>
        <v/>
      </c>
      <c r="K311" s="4"/>
      <c r="L311" s="4"/>
      <c r="M311" s="4"/>
      <c r="N311" s="4"/>
      <c r="O311" s="23" t="str">
        <f aca="false">IF(H311="","",IF(I311="","mot entier","bit "&amp;I311))</f>
        <v/>
      </c>
      <c r="P311" s="4"/>
    </row>
    <row r="312" customFormat="false" ht="15" hidden="false" customHeight="true" outlineLevel="0" collapsed="false">
      <c r="A312" s="22"/>
      <c r="B312" s="22"/>
      <c r="C312" s="23" t="str">
        <f aca="false">IFERROR(IF(OR(A312="",B312=""),"",INDEX(Equipements!$H:$H,MATCH(A312,Equipements!$A:$A,0))&amp;"."&amp;B312),"")</f>
        <v/>
      </c>
      <c r="D312" s="4"/>
      <c r="E312" s="22"/>
      <c r="F312" s="22"/>
      <c r="G312" s="22"/>
      <c r="H312" s="4"/>
      <c r="I312" s="4"/>
      <c r="J312" s="23" t="str">
        <f aca="false">IF(OR(G312="",H312=""),"","%"&amp;G312&amp;H312)</f>
        <v/>
      </c>
      <c r="K312" s="4"/>
      <c r="L312" s="4"/>
      <c r="M312" s="4"/>
      <c r="N312" s="4"/>
      <c r="O312" s="23" t="str">
        <f aca="false">IF(H312="","",IF(I312="","mot entier","bit "&amp;I312))</f>
        <v/>
      </c>
      <c r="P312" s="4"/>
    </row>
    <row r="313" customFormat="false" ht="15" hidden="false" customHeight="true" outlineLevel="0" collapsed="false">
      <c r="A313" s="22"/>
      <c r="B313" s="22"/>
      <c r="C313" s="23" t="str">
        <f aca="false">IFERROR(IF(OR(A313="",B313=""),"",INDEX(Equipements!$H:$H,MATCH(A313,Equipements!$A:$A,0))&amp;"."&amp;B313),"")</f>
        <v/>
      </c>
      <c r="D313" s="4"/>
      <c r="E313" s="22"/>
      <c r="F313" s="22"/>
      <c r="G313" s="22"/>
      <c r="H313" s="4"/>
      <c r="I313" s="4"/>
      <c r="J313" s="23" t="str">
        <f aca="false">IF(OR(G313="",H313=""),"","%"&amp;G313&amp;H313)</f>
        <v/>
      </c>
      <c r="K313" s="4"/>
      <c r="L313" s="4"/>
      <c r="M313" s="4"/>
      <c r="N313" s="4"/>
      <c r="O313" s="23" t="str">
        <f aca="false">IF(H313="","",IF(I313="","mot entier","bit "&amp;I313))</f>
        <v/>
      </c>
      <c r="P313" s="4"/>
    </row>
    <row r="314" customFormat="false" ht="15" hidden="false" customHeight="true" outlineLevel="0" collapsed="false">
      <c r="A314" s="22"/>
      <c r="B314" s="22"/>
      <c r="C314" s="23" t="str">
        <f aca="false">IFERROR(IF(OR(A314="",B314=""),"",INDEX(Equipements!$H:$H,MATCH(A314,Equipements!$A:$A,0))&amp;"."&amp;B314),"")</f>
        <v/>
      </c>
      <c r="D314" s="4"/>
      <c r="E314" s="22"/>
      <c r="F314" s="22"/>
      <c r="G314" s="22"/>
      <c r="H314" s="4"/>
      <c r="I314" s="4"/>
      <c r="J314" s="23" t="str">
        <f aca="false">IF(OR(G314="",H314=""),"","%"&amp;G314&amp;H314)</f>
        <v/>
      </c>
      <c r="K314" s="4"/>
      <c r="L314" s="4"/>
      <c r="M314" s="4"/>
      <c r="N314" s="4"/>
      <c r="O314" s="23" t="str">
        <f aca="false">IF(H314="","",IF(I314="","mot entier","bit "&amp;I314))</f>
        <v/>
      </c>
      <c r="P314" s="4"/>
    </row>
    <row r="315" customFormat="false" ht="15" hidden="false" customHeight="true" outlineLevel="0" collapsed="false">
      <c r="A315" s="22"/>
      <c r="B315" s="22"/>
      <c r="C315" s="23" t="str">
        <f aca="false">IFERROR(IF(OR(A315="",B315=""),"",INDEX(Equipements!$H:$H,MATCH(A315,Equipements!$A:$A,0))&amp;"."&amp;B315),"")</f>
        <v/>
      </c>
      <c r="D315" s="4"/>
      <c r="E315" s="22"/>
      <c r="F315" s="22"/>
      <c r="G315" s="22"/>
      <c r="H315" s="4"/>
      <c r="I315" s="4"/>
      <c r="J315" s="23" t="str">
        <f aca="false">IF(OR(G315="",H315=""),"","%"&amp;G315&amp;H315)</f>
        <v/>
      </c>
      <c r="K315" s="4"/>
      <c r="L315" s="4"/>
      <c r="M315" s="4"/>
      <c r="N315" s="4"/>
      <c r="O315" s="23" t="str">
        <f aca="false">IF(H315="","",IF(I315="","mot entier","bit "&amp;I315))</f>
        <v/>
      </c>
      <c r="P315" s="4"/>
    </row>
    <row r="316" customFormat="false" ht="15" hidden="false" customHeight="true" outlineLevel="0" collapsed="false">
      <c r="A316" s="22"/>
      <c r="B316" s="22"/>
      <c r="C316" s="23" t="str">
        <f aca="false">IFERROR(IF(OR(A316="",B316=""),"",INDEX(Equipements!$H:$H,MATCH(A316,Equipements!$A:$A,0))&amp;"."&amp;B316),"")</f>
        <v/>
      </c>
      <c r="D316" s="4"/>
      <c r="E316" s="22"/>
      <c r="F316" s="22"/>
      <c r="G316" s="22"/>
      <c r="H316" s="4"/>
      <c r="I316" s="4"/>
      <c r="J316" s="23" t="str">
        <f aca="false">IF(OR(G316="",H316=""),"","%"&amp;G316&amp;H316)</f>
        <v/>
      </c>
      <c r="K316" s="4"/>
      <c r="L316" s="4"/>
      <c r="M316" s="4"/>
      <c r="N316" s="4"/>
      <c r="O316" s="23" t="str">
        <f aca="false">IF(H316="","",IF(I316="","mot entier","bit "&amp;I316))</f>
        <v/>
      </c>
      <c r="P316" s="4"/>
    </row>
    <row r="317" customFormat="false" ht="15" hidden="false" customHeight="true" outlineLevel="0" collapsed="false">
      <c r="A317" s="22"/>
      <c r="B317" s="22"/>
      <c r="C317" s="23" t="str">
        <f aca="false">IFERROR(IF(OR(A317="",B317=""),"",INDEX(Equipements!$H:$H,MATCH(A317,Equipements!$A:$A,0))&amp;"."&amp;B317),"")</f>
        <v/>
      </c>
      <c r="D317" s="4"/>
      <c r="E317" s="22"/>
      <c r="F317" s="22"/>
      <c r="G317" s="22"/>
      <c r="H317" s="4"/>
      <c r="I317" s="4"/>
      <c r="J317" s="23" t="str">
        <f aca="false">IF(OR(G317="",H317=""),"","%"&amp;G317&amp;H317)</f>
        <v/>
      </c>
      <c r="K317" s="4"/>
      <c r="L317" s="4"/>
      <c r="M317" s="4"/>
      <c r="N317" s="4"/>
      <c r="O317" s="23" t="str">
        <f aca="false">IF(H317="","",IF(I317="","mot entier","bit "&amp;I317))</f>
        <v/>
      </c>
      <c r="P317" s="4"/>
    </row>
    <row r="318" customFormat="false" ht="15" hidden="false" customHeight="true" outlineLevel="0" collapsed="false">
      <c r="A318" s="22"/>
      <c r="B318" s="22"/>
      <c r="C318" s="23" t="str">
        <f aca="false">IFERROR(IF(OR(A318="",B318=""),"",INDEX(Equipements!$H:$H,MATCH(A318,Equipements!$A:$A,0))&amp;"."&amp;B318),"")</f>
        <v/>
      </c>
      <c r="D318" s="4"/>
      <c r="E318" s="22"/>
      <c r="F318" s="22"/>
      <c r="G318" s="22"/>
      <c r="H318" s="4"/>
      <c r="I318" s="4"/>
      <c r="J318" s="23" t="str">
        <f aca="false">IF(OR(G318="",H318=""),"","%"&amp;G318&amp;H318)</f>
        <v/>
      </c>
      <c r="K318" s="4"/>
      <c r="L318" s="4"/>
      <c r="M318" s="4"/>
      <c r="N318" s="4"/>
      <c r="O318" s="23" t="str">
        <f aca="false">IF(H318="","",IF(I318="","mot entier","bit "&amp;I318))</f>
        <v/>
      </c>
      <c r="P318" s="4"/>
    </row>
    <row r="319" customFormat="false" ht="15" hidden="false" customHeight="true" outlineLevel="0" collapsed="false">
      <c r="A319" s="22"/>
      <c r="B319" s="22"/>
      <c r="C319" s="23" t="str">
        <f aca="false">IFERROR(IF(OR(A319="",B319=""),"",INDEX(Equipements!$H:$H,MATCH(A319,Equipements!$A:$A,0))&amp;"."&amp;B319),"")</f>
        <v/>
      </c>
      <c r="D319" s="4"/>
      <c r="E319" s="22"/>
      <c r="F319" s="22"/>
      <c r="G319" s="22"/>
      <c r="H319" s="4"/>
      <c r="I319" s="4"/>
      <c r="J319" s="23" t="str">
        <f aca="false">IF(OR(G319="",H319=""),"","%"&amp;G319&amp;H319)</f>
        <v/>
      </c>
      <c r="K319" s="4"/>
      <c r="L319" s="4"/>
      <c r="M319" s="4"/>
      <c r="N319" s="4"/>
      <c r="O319" s="23" t="str">
        <f aca="false">IF(H319="","",IF(I319="","mot entier","bit "&amp;I319))</f>
        <v/>
      </c>
      <c r="P319" s="4"/>
    </row>
    <row r="320" customFormat="false" ht="15" hidden="false" customHeight="true" outlineLevel="0" collapsed="false">
      <c r="A320" s="22"/>
      <c r="B320" s="22"/>
      <c r="C320" s="23" t="str">
        <f aca="false">IFERROR(IF(OR(A320="",B320=""),"",INDEX(Equipements!$H:$H,MATCH(A320,Equipements!$A:$A,0))&amp;"."&amp;B320),"")</f>
        <v/>
      </c>
      <c r="D320" s="4"/>
      <c r="E320" s="22"/>
      <c r="F320" s="22"/>
      <c r="G320" s="22"/>
      <c r="H320" s="4"/>
      <c r="I320" s="4"/>
      <c r="J320" s="23" t="str">
        <f aca="false">IF(OR(G320="",H320=""),"","%"&amp;G320&amp;H320)</f>
        <v/>
      </c>
      <c r="K320" s="4"/>
      <c r="L320" s="4"/>
      <c r="M320" s="4"/>
      <c r="N320" s="4"/>
      <c r="O320" s="23" t="str">
        <f aca="false">IF(H320="","",IF(I320="","mot entier","bit "&amp;I320))</f>
        <v/>
      </c>
      <c r="P320" s="4"/>
    </row>
    <row r="321" customFormat="false" ht="15" hidden="false" customHeight="true" outlineLevel="0" collapsed="false">
      <c r="A321" s="22"/>
      <c r="B321" s="22"/>
      <c r="C321" s="23" t="str">
        <f aca="false">IFERROR(IF(OR(A321="",B321=""),"",INDEX(Equipements!$H:$H,MATCH(A321,Equipements!$A:$A,0))&amp;"."&amp;B321),"")</f>
        <v/>
      </c>
      <c r="D321" s="4"/>
      <c r="E321" s="22"/>
      <c r="F321" s="22"/>
      <c r="G321" s="22"/>
      <c r="H321" s="4"/>
      <c r="I321" s="4"/>
      <c r="J321" s="23" t="str">
        <f aca="false">IF(OR(G321="",H321=""),"","%"&amp;G321&amp;H321)</f>
        <v/>
      </c>
      <c r="K321" s="4"/>
      <c r="L321" s="4"/>
      <c r="M321" s="4"/>
      <c r="N321" s="4"/>
      <c r="O321" s="23" t="str">
        <f aca="false">IF(H321="","",IF(I321="","mot entier","bit "&amp;I321))</f>
        <v/>
      </c>
      <c r="P321" s="4"/>
    </row>
    <row r="322" customFormat="false" ht="15" hidden="false" customHeight="true" outlineLevel="0" collapsed="false">
      <c r="A322" s="22"/>
      <c r="B322" s="22"/>
      <c r="C322" s="23" t="str">
        <f aca="false">IFERROR(IF(OR(A322="",B322=""),"",INDEX(Equipements!$H:$H,MATCH(A322,Equipements!$A:$A,0))&amp;"."&amp;B322),"")</f>
        <v/>
      </c>
      <c r="D322" s="4"/>
      <c r="E322" s="22"/>
      <c r="F322" s="22"/>
      <c r="G322" s="22"/>
      <c r="H322" s="4"/>
      <c r="I322" s="4"/>
      <c r="J322" s="23" t="str">
        <f aca="false">IF(OR(G322="",H322=""),"","%"&amp;G322&amp;H322)</f>
        <v/>
      </c>
      <c r="K322" s="4"/>
      <c r="L322" s="4"/>
      <c r="M322" s="4"/>
      <c r="N322" s="4"/>
      <c r="O322" s="23" t="str">
        <f aca="false">IF(H322="","",IF(I322="","mot entier","bit "&amp;I322))</f>
        <v/>
      </c>
      <c r="P322" s="4"/>
    </row>
    <row r="323" customFormat="false" ht="15" hidden="false" customHeight="true" outlineLevel="0" collapsed="false">
      <c r="A323" s="22"/>
      <c r="B323" s="22"/>
      <c r="C323" s="23" t="str">
        <f aca="false">IFERROR(IF(OR(A323="",B323=""),"",INDEX(Equipements!$H:$H,MATCH(A323,Equipements!$A:$A,0))&amp;"."&amp;B323),"")</f>
        <v/>
      </c>
      <c r="D323" s="4"/>
      <c r="E323" s="22"/>
      <c r="F323" s="22"/>
      <c r="G323" s="22"/>
      <c r="H323" s="4"/>
      <c r="I323" s="4"/>
      <c r="J323" s="23" t="str">
        <f aca="false">IF(OR(G323="",H323=""),"","%"&amp;G323&amp;H323)</f>
        <v/>
      </c>
      <c r="K323" s="4"/>
      <c r="L323" s="4"/>
      <c r="M323" s="4"/>
      <c r="N323" s="4"/>
      <c r="O323" s="23" t="str">
        <f aca="false">IF(H323="","",IF(I323="","mot entier","bit "&amp;I323))</f>
        <v/>
      </c>
      <c r="P323" s="4"/>
    </row>
    <row r="324" customFormat="false" ht="15" hidden="false" customHeight="true" outlineLevel="0" collapsed="false">
      <c r="A324" s="22"/>
      <c r="B324" s="22"/>
      <c r="C324" s="23" t="str">
        <f aca="false">IFERROR(IF(OR(A324="",B324=""),"",INDEX(Equipements!$H:$H,MATCH(A324,Equipements!$A:$A,0))&amp;"."&amp;B324),"")</f>
        <v/>
      </c>
      <c r="D324" s="4"/>
      <c r="E324" s="22"/>
      <c r="F324" s="22"/>
      <c r="G324" s="22"/>
      <c r="H324" s="4"/>
      <c r="I324" s="4"/>
      <c r="J324" s="23" t="str">
        <f aca="false">IF(OR(G324="",H324=""),"","%"&amp;G324&amp;H324)</f>
        <v/>
      </c>
      <c r="K324" s="4"/>
      <c r="L324" s="4"/>
      <c r="M324" s="4"/>
      <c r="N324" s="4"/>
      <c r="O324" s="23" t="str">
        <f aca="false">IF(H324="","",IF(I324="","mot entier","bit "&amp;I324))</f>
        <v/>
      </c>
      <c r="P324" s="4"/>
    </row>
    <row r="325" customFormat="false" ht="15" hidden="false" customHeight="true" outlineLevel="0" collapsed="false">
      <c r="A325" s="22"/>
      <c r="B325" s="22"/>
      <c r="C325" s="23" t="str">
        <f aca="false">IFERROR(IF(OR(A325="",B325=""),"",INDEX(Equipements!$H:$H,MATCH(A325,Equipements!$A:$A,0))&amp;"."&amp;B325),"")</f>
        <v/>
      </c>
      <c r="D325" s="4"/>
      <c r="E325" s="22"/>
      <c r="F325" s="22"/>
      <c r="G325" s="22"/>
      <c r="H325" s="4"/>
      <c r="I325" s="4"/>
      <c r="J325" s="23" t="str">
        <f aca="false">IF(OR(G325="",H325=""),"","%"&amp;G325&amp;H325)</f>
        <v/>
      </c>
      <c r="K325" s="4"/>
      <c r="L325" s="4"/>
      <c r="M325" s="4"/>
      <c r="N325" s="4"/>
      <c r="O325" s="23" t="str">
        <f aca="false">IF(H325="","",IF(I325="","mot entier","bit "&amp;I325))</f>
        <v/>
      </c>
      <c r="P325" s="4"/>
    </row>
    <row r="326" customFormat="false" ht="15" hidden="false" customHeight="true" outlineLevel="0" collapsed="false">
      <c r="A326" s="22"/>
      <c r="B326" s="22"/>
      <c r="C326" s="23" t="str">
        <f aca="false">IFERROR(IF(OR(A326="",B326=""),"",INDEX(Equipements!$H:$H,MATCH(A326,Equipements!$A:$A,0))&amp;"."&amp;B326),"")</f>
        <v/>
      </c>
      <c r="D326" s="4"/>
      <c r="E326" s="22"/>
      <c r="F326" s="22"/>
      <c r="G326" s="22"/>
      <c r="H326" s="4"/>
      <c r="I326" s="4"/>
      <c r="J326" s="23" t="str">
        <f aca="false">IF(OR(G326="",H326=""),"","%"&amp;G326&amp;H326)</f>
        <v/>
      </c>
      <c r="K326" s="4"/>
      <c r="L326" s="4"/>
      <c r="M326" s="4"/>
      <c r="N326" s="4"/>
      <c r="O326" s="23" t="str">
        <f aca="false">IF(H326="","",IF(I326="","mot entier","bit "&amp;I326))</f>
        <v/>
      </c>
      <c r="P326" s="4"/>
    </row>
    <row r="327" customFormat="false" ht="15" hidden="false" customHeight="true" outlineLevel="0" collapsed="false">
      <c r="A327" s="22"/>
      <c r="B327" s="22"/>
      <c r="C327" s="23" t="str">
        <f aca="false">IFERROR(IF(OR(A327="",B327=""),"",INDEX(Equipements!$H:$H,MATCH(A327,Equipements!$A:$A,0))&amp;"."&amp;B327),"")</f>
        <v/>
      </c>
      <c r="D327" s="4"/>
      <c r="E327" s="22"/>
      <c r="F327" s="22"/>
      <c r="G327" s="22"/>
      <c r="H327" s="4"/>
      <c r="I327" s="4"/>
      <c r="J327" s="23" t="str">
        <f aca="false">IF(OR(G327="",H327=""),"","%"&amp;G327&amp;H327)</f>
        <v/>
      </c>
      <c r="K327" s="4"/>
      <c r="L327" s="4"/>
      <c r="M327" s="4"/>
      <c r="N327" s="4"/>
      <c r="O327" s="23" t="str">
        <f aca="false">IF(H327="","",IF(I327="","mot entier","bit "&amp;I327))</f>
        <v/>
      </c>
      <c r="P327" s="4"/>
    </row>
    <row r="328" customFormat="false" ht="15" hidden="false" customHeight="true" outlineLevel="0" collapsed="false">
      <c r="A328" s="22"/>
      <c r="B328" s="22"/>
      <c r="C328" s="23" t="str">
        <f aca="false">IFERROR(IF(OR(A328="",B328=""),"",INDEX(Equipements!$H:$H,MATCH(A328,Equipements!$A:$A,0))&amp;"."&amp;B328),"")</f>
        <v/>
      </c>
      <c r="D328" s="4"/>
      <c r="E328" s="22"/>
      <c r="F328" s="22"/>
      <c r="G328" s="22"/>
      <c r="H328" s="4"/>
      <c r="I328" s="4"/>
      <c r="J328" s="23" t="str">
        <f aca="false">IF(OR(G328="",H328=""),"","%"&amp;G328&amp;H328)</f>
        <v/>
      </c>
      <c r="K328" s="4"/>
      <c r="L328" s="4"/>
      <c r="M328" s="4"/>
      <c r="N328" s="4"/>
      <c r="O328" s="23" t="str">
        <f aca="false">IF(H328="","",IF(I328="","mot entier","bit "&amp;I328))</f>
        <v/>
      </c>
      <c r="P328" s="4"/>
    </row>
    <row r="329" customFormat="false" ht="15" hidden="false" customHeight="true" outlineLevel="0" collapsed="false">
      <c r="A329" s="22"/>
      <c r="B329" s="22"/>
      <c r="C329" s="23" t="str">
        <f aca="false">IFERROR(IF(OR(A329="",B329=""),"",INDEX(Equipements!$H:$H,MATCH(A329,Equipements!$A:$A,0))&amp;"."&amp;B329),"")</f>
        <v/>
      </c>
      <c r="D329" s="4"/>
      <c r="E329" s="22"/>
      <c r="F329" s="22"/>
      <c r="G329" s="22"/>
      <c r="H329" s="4"/>
      <c r="I329" s="4"/>
      <c r="J329" s="23" t="str">
        <f aca="false">IF(OR(G329="",H329=""),"","%"&amp;G329&amp;H329)</f>
        <v/>
      </c>
      <c r="K329" s="4"/>
      <c r="L329" s="4"/>
      <c r="M329" s="4"/>
      <c r="N329" s="4"/>
      <c r="O329" s="23" t="str">
        <f aca="false">IF(H329="","",IF(I329="","mot entier","bit "&amp;I329))</f>
        <v/>
      </c>
      <c r="P329" s="4"/>
    </row>
    <row r="330" customFormat="false" ht="15" hidden="false" customHeight="true" outlineLevel="0" collapsed="false">
      <c r="A330" s="22"/>
      <c r="B330" s="22"/>
      <c r="C330" s="23" t="str">
        <f aca="false">IFERROR(IF(OR(A330="",B330=""),"",INDEX(Equipements!$H:$H,MATCH(A330,Equipements!$A:$A,0))&amp;"."&amp;B330),"")</f>
        <v/>
      </c>
      <c r="D330" s="4"/>
      <c r="E330" s="22"/>
      <c r="F330" s="22"/>
      <c r="G330" s="22"/>
      <c r="H330" s="4"/>
      <c r="I330" s="4"/>
      <c r="J330" s="23" t="str">
        <f aca="false">IF(OR(G330="",H330=""),"","%"&amp;G330&amp;H330)</f>
        <v/>
      </c>
      <c r="K330" s="4"/>
      <c r="L330" s="4"/>
      <c r="M330" s="4"/>
      <c r="N330" s="4"/>
      <c r="O330" s="23" t="str">
        <f aca="false">IF(H330="","",IF(I330="","mot entier","bit "&amp;I330))</f>
        <v/>
      </c>
      <c r="P330" s="4"/>
    </row>
    <row r="331" customFormat="false" ht="15" hidden="false" customHeight="true" outlineLevel="0" collapsed="false">
      <c r="A331" s="22"/>
      <c r="B331" s="22"/>
      <c r="C331" s="23" t="str">
        <f aca="false">IFERROR(IF(OR(A331="",B331=""),"",INDEX(Equipements!$H:$H,MATCH(A331,Equipements!$A:$A,0))&amp;"."&amp;B331),"")</f>
        <v/>
      </c>
      <c r="D331" s="4"/>
      <c r="E331" s="22"/>
      <c r="F331" s="22"/>
      <c r="G331" s="22"/>
      <c r="H331" s="4"/>
      <c r="I331" s="4"/>
      <c r="J331" s="23" t="str">
        <f aca="false">IF(OR(G331="",H331=""),"","%"&amp;G331&amp;H331)</f>
        <v/>
      </c>
      <c r="K331" s="4"/>
      <c r="L331" s="4"/>
      <c r="M331" s="4"/>
      <c r="N331" s="4"/>
      <c r="O331" s="23" t="str">
        <f aca="false">IF(H331="","",IF(I331="","mot entier","bit "&amp;I331))</f>
        <v/>
      </c>
      <c r="P331" s="4"/>
    </row>
    <row r="332" customFormat="false" ht="15" hidden="false" customHeight="true" outlineLevel="0" collapsed="false">
      <c r="A332" s="22"/>
      <c r="B332" s="22"/>
      <c r="C332" s="23" t="str">
        <f aca="false">IFERROR(IF(OR(A332="",B332=""),"",INDEX(Equipements!$H:$H,MATCH(A332,Equipements!$A:$A,0))&amp;"."&amp;B332),"")</f>
        <v/>
      </c>
      <c r="D332" s="4"/>
      <c r="E332" s="22"/>
      <c r="F332" s="22"/>
      <c r="G332" s="22"/>
      <c r="H332" s="4"/>
      <c r="I332" s="4"/>
      <c r="J332" s="23" t="str">
        <f aca="false">IF(OR(G332="",H332=""),"","%"&amp;G332&amp;H332)</f>
        <v/>
      </c>
      <c r="K332" s="4"/>
      <c r="L332" s="4"/>
      <c r="M332" s="4"/>
      <c r="N332" s="4"/>
      <c r="O332" s="23" t="str">
        <f aca="false">IF(H332="","",IF(I332="","mot entier","bit "&amp;I332))</f>
        <v/>
      </c>
      <c r="P332" s="4"/>
    </row>
    <row r="333" customFormat="false" ht="15" hidden="false" customHeight="true" outlineLevel="0" collapsed="false">
      <c r="A333" s="22"/>
      <c r="B333" s="22"/>
      <c r="C333" s="23" t="str">
        <f aca="false">IFERROR(IF(OR(A333="",B333=""),"",INDEX(Equipements!$H:$H,MATCH(A333,Equipements!$A:$A,0))&amp;"."&amp;B333),"")</f>
        <v/>
      </c>
      <c r="D333" s="4"/>
      <c r="E333" s="22"/>
      <c r="F333" s="22"/>
      <c r="G333" s="22"/>
      <c r="H333" s="4"/>
      <c r="I333" s="4"/>
      <c r="J333" s="23" t="str">
        <f aca="false">IF(OR(G333="",H333=""),"","%"&amp;G333&amp;H333)</f>
        <v/>
      </c>
      <c r="K333" s="4"/>
      <c r="L333" s="4"/>
      <c r="M333" s="4"/>
      <c r="N333" s="4"/>
      <c r="O333" s="23" t="str">
        <f aca="false">IF(H333="","",IF(I333="","mot entier","bit "&amp;I333))</f>
        <v/>
      </c>
      <c r="P333" s="4"/>
    </row>
    <row r="334" customFormat="false" ht="15" hidden="false" customHeight="true" outlineLevel="0" collapsed="false">
      <c r="A334" s="22"/>
      <c r="B334" s="22"/>
      <c r="C334" s="23" t="str">
        <f aca="false">IFERROR(IF(OR(A334="",B334=""),"",INDEX(Equipements!$H:$H,MATCH(A334,Equipements!$A:$A,0))&amp;"."&amp;B334),"")</f>
        <v/>
      </c>
      <c r="D334" s="4"/>
      <c r="E334" s="22"/>
      <c r="F334" s="22"/>
      <c r="G334" s="22"/>
      <c r="H334" s="4"/>
      <c r="I334" s="4"/>
      <c r="J334" s="23" t="str">
        <f aca="false">IF(OR(G334="",H334=""),"","%"&amp;G334&amp;H334)</f>
        <v/>
      </c>
      <c r="K334" s="4"/>
      <c r="L334" s="4"/>
      <c r="M334" s="4"/>
      <c r="N334" s="4"/>
      <c r="O334" s="23" t="str">
        <f aca="false">IF(H334="","",IF(I334="","mot entier","bit "&amp;I334))</f>
        <v/>
      </c>
      <c r="P334" s="4"/>
    </row>
    <row r="335" customFormat="false" ht="15" hidden="false" customHeight="true" outlineLevel="0" collapsed="false">
      <c r="A335" s="22"/>
      <c r="B335" s="22"/>
      <c r="C335" s="23" t="str">
        <f aca="false">IFERROR(IF(OR(A335="",B335=""),"",INDEX(Equipements!$H:$H,MATCH(A335,Equipements!$A:$A,0))&amp;"."&amp;B335),"")</f>
        <v/>
      </c>
      <c r="D335" s="4"/>
      <c r="E335" s="22"/>
      <c r="F335" s="22"/>
      <c r="G335" s="22"/>
      <c r="H335" s="4"/>
      <c r="I335" s="4"/>
      <c r="J335" s="23" t="str">
        <f aca="false">IF(OR(G335="",H335=""),"","%"&amp;G335&amp;H335)</f>
        <v/>
      </c>
      <c r="K335" s="4"/>
      <c r="L335" s="4"/>
      <c r="M335" s="4"/>
      <c r="N335" s="4"/>
      <c r="O335" s="23" t="str">
        <f aca="false">IF(H335="","",IF(I335="","mot entier","bit "&amp;I335))</f>
        <v/>
      </c>
      <c r="P335" s="4"/>
    </row>
    <row r="336" customFormat="false" ht="15" hidden="false" customHeight="true" outlineLevel="0" collapsed="false">
      <c r="A336" s="22"/>
      <c r="B336" s="22"/>
      <c r="C336" s="23" t="str">
        <f aca="false">IFERROR(IF(OR(A336="",B336=""),"",INDEX(Equipements!$H:$H,MATCH(A336,Equipements!$A:$A,0))&amp;"."&amp;B336),"")</f>
        <v/>
      </c>
      <c r="D336" s="4"/>
      <c r="E336" s="22"/>
      <c r="F336" s="22"/>
      <c r="G336" s="22"/>
      <c r="H336" s="4"/>
      <c r="I336" s="4"/>
      <c r="J336" s="23" t="str">
        <f aca="false">IF(OR(G336="",H336=""),"","%"&amp;G336&amp;H336)</f>
        <v/>
      </c>
      <c r="K336" s="4"/>
      <c r="L336" s="4"/>
      <c r="M336" s="4"/>
      <c r="N336" s="4"/>
      <c r="O336" s="23" t="str">
        <f aca="false">IF(H336="","",IF(I336="","mot entier","bit "&amp;I336))</f>
        <v/>
      </c>
      <c r="P336" s="4"/>
    </row>
    <row r="337" customFormat="false" ht="15" hidden="false" customHeight="true" outlineLevel="0" collapsed="false">
      <c r="A337" s="22"/>
      <c r="B337" s="22"/>
      <c r="C337" s="23" t="str">
        <f aca="false">IFERROR(IF(OR(A337="",B337=""),"",INDEX(Equipements!$H:$H,MATCH(A337,Equipements!$A:$A,0))&amp;"."&amp;B337),"")</f>
        <v/>
      </c>
      <c r="D337" s="4"/>
      <c r="E337" s="22"/>
      <c r="F337" s="22"/>
      <c r="G337" s="22"/>
      <c r="H337" s="4"/>
      <c r="I337" s="4"/>
      <c r="J337" s="23" t="str">
        <f aca="false">IF(OR(G337="",H337=""),"","%"&amp;G337&amp;H337)</f>
        <v/>
      </c>
      <c r="K337" s="4"/>
      <c r="L337" s="4"/>
      <c r="M337" s="4"/>
      <c r="N337" s="4"/>
      <c r="O337" s="23" t="str">
        <f aca="false">IF(H337="","",IF(I337="","mot entier","bit "&amp;I337))</f>
        <v/>
      </c>
      <c r="P337" s="4"/>
    </row>
    <row r="338" customFormat="false" ht="15" hidden="false" customHeight="true" outlineLevel="0" collapsed="false">
      <c r="A338" s="22"/>
      <c r="B338" s="22"/>
      <c r="C338" s="23" t="str">
        <f aca="false">IFERROR(IF(OR(A338="",B338=""),"",INDEX(Equipements!$H:$H,MATCH(A338,Equipements!$A:$A,0))&amp;"."&amp;B338),"")</f>
        <v/>
      </c>
      <c r="D338" s="4"/>
      <c r="E338" s="22"/>
      <c r="F338" s="22"/>
      <c r="G338" s="22"/>
      <c r="H338" s="4"/>
      <c r="I338" s="4"/>
      <c r="J338" s="23" t="str">
        <f aca="false">IF(OR(G338="",H338=""),"","%"&amp;G338&amp;H338)</f>
        <v/>
      </c>
      <c r="K338" s="4"/>
      <c r="L338" s="4"/>
      <c r="M338" s="4"/>
      <c r="N338" s="4"/>
      <c r="O338" s="23" t="str">
        <f aca="false">IF(H338="","",IF(I338="","mot entier","bit "&amp;I338))</f>
        <v/>
      </c>
      <c r="P338" s="4"/>
    </row>
    <row r="339" customFormat="false" ht="15" hidden="false" customHeight="true" outlineLevel="0" collapsed="false">
      <c r="A339" s="22"/>
      <c r="B339" s="22"/>
      <c r="C339" s="23" t="str">
        <f aca="false">IFERROR(IF(OR(A339="",B339=""),"",INDEX(Equipements!$H:$H,MATCH(A339,Equipements!$A:$A,0))&amp;"."&amp;B339),"")</f>
        <v/>
      </c>
      <c r="D339" s="4"/>
      <c r="E339" s="22"/>
      <c r="F339" s="22"/>
      <c r="G339" s="22"/>
      <c r="H339" s="4"/>
      <c r="I339" s="4"/>
      <c r="J339" s="23" t="str">
        <f aca="false">IF(OR(G339="",H339=""),"","%"&amp;G339&amp;H339)</f>
        <v/>
      </c>
      <c r="K339" s="4"/>
      <c r="L339" s="4"/>
      <c r="M339" s="4"/>
      <c r="N339" s="4"/>
      <c r="O339" s="23" t="str">
        <f aca="false">IF(H339="","",IF(I339="","mot entier","bit "&amp;I339))</f>
        <v/>
      </c>
      <c r="P339" s="4"/>
    </row>
    <row r="340" customFormat="false" ht="15" hidden="false" customHeight="true" outlineLevel="0" collapsed="false">
      <c r="A340" s="22"/>
      <c r="B340" s="22"/>
      <c r="C340" s="23" t="str">
        <f aca="false">IFERROR(IF(OR(A340="",B340=""),"",INDEX(Equipements!$H:$H,MATCH(A340,Equipements!$A:$A,0))&amp;"."&amp;B340),"")</f>
        <v/>
      </c>
      <c r="D340" s="4"/>
      <c r="E340" s="22"/>
      <c r="F340" s="22"/>
      <c r="G340" s="22"/>
      <c r="H340" s="4"/>
      <c r="I340" s="4"/>
      <c r="J340" s="23" t="str">
        <f aca="false">IF(OR(G340="",H340=""),"","%"&amp;G340&amp;H340)</f>
        <v/>
      </c>
      <c r="K340" s="4"/>
      <c r="L340" s="4"/>
      <c r="M340" s="4"/>
      <c r="N340" s="4"/>
      <c r="O340" s="23" t="str">
        <f aca="false">IF(H340="","",IF(I340="","mot entier","bit "&amp;I340))</f>
        <v/>
      </c>
      <c r="P340" s="4"/>
    </row>
    <row r="341" customFormat="false" ht="15" hidden="false" customHeight="true" outlineLevel="0" collapsed="false">
      <c r="A341" s="22"/>
      <c r="B341" s="22"/>
      <c r="C341" s="23" t="str">
        <f aca="false">IFERROR(IF(OR(A341="",B341=""),"",INDEX(Equipements!$H:$H,MATCH(A341,Equipements!$A:$A,0))&amp;"."&amp;B341),"")</f>
        <v/>
      </c>
      <c r="D341" s="4"/>
      <c r="E341" s="22"/>
      <c r="F341" s="22"/>
      <c r="G341" s="22"/>
      <c r="H341" s="4"/>
      <c r="I341" s="4"/>
      <c r="J341" s="23" t="str">
        <f aca="false">IF(OR(G341="",H341=""),"","%"&amp;G341&amp;H341)</f>
        <v/>
      </c>
      <c r="K341" s="4"/>
      <c r="L341" s="4"/>
      <c r="M341" s="4"/>
      <c r="N341" s="4"/>
      <c r="O341" s="23" t="str">
        <f aca="false">IF(H341="","",IF(I341="","mot entier","bit "&amp;I341))</f>
        <v/>
      </c>
      <c r="P341" s="4"/>
    </row>
    <row r="342" customFormat="false" ht="15" hidden="false" customHeight="true" outlineLevel="0" collapsed="false">
      <c r="A342" s="22"/>
      <c r="B342" s="22"/>
      <c r="C342" s="23" t="str">
        <f aca="false">IFERROR(IF(OR(A342="",B342=""),"",INDEX(Equipements!$H:$H,MATCH(A342,Equipements!$A:$A,0))&amp;"."&amp;B342),"")</f>
        <v/>
      </c>
      <c r="D342" s="4"/>
      <c r="E342" s="22"/>
      <c r="F342" s="22"/>
      <c r="G342" s="22"/>
      <c r="H342" s="4"/>
      <c r="I342" s="4"/>
      <c r="J342" s="23" t="str">
        <f aca="false">IF(OR(G342="",H342=""),"","%"&amp;G342&amp;H342)</f>
        <v/>
      </c>
      <c r="K342" s="4"/>
      <c r="L342" s="4"/>
      <c r="M342" s="4"/>
      <c r="N342" s="4"/>
      <c r="O342" s="23" t="str">
        <f aca="false">IF(H342="","",IF(I342="","mot entier","bit "&amp;I342))</f>
        <v/>
      </c>
      <c r="P342" s="4"/>
    </row>
    <row r="343" customFormat="false" ht="15" hidden="false" customHeight="true" outlineLevel="0" collapsed="false">
      <c r="A343" s="22"/>
      <c r="B343" s="22"/>
      <c r="C343" s="23" t="str">
        <f aca="false">IFERROR(IF(OR(A343="",B343=""),"",INDEX(Equipements!$H:$H,MATCH(A343,Equipements!$A:$A,0))&amp;"."&amp;B343),"")</f>
        <v/>
      </c>
      <c r="D343" s="4"/>
      <c r="E343" s="22"/>
      <c r="F343" s="22"/>
      <c r="G343" s="22"/>
      <c r="H343" s="4"/>
      <c r="I343" s="4"/>
      <c r="J343" s="23" t="str">
        <f aca="false">IF(OR(G343="",H343=""),"","%"&amp;G343&amp;H343)</f>
        <v/>
      </c>
      <c r="K343" s="4"/>
      <c r="L343" s="4"/>
      <c r="M343" s="4"/>
      <c r="N343" s="4"/>
      <c r="O343" s="23" t="str">
        <f aca="false">IF(H343="","",IF(I343="","mot entier","bit "&amp;I343))</f>
        <v/>
      </c>
      <c r="P343" s="4"/>
    </row>
    <row r="344" customFormat="false" ht="15" hidden="false" customHeight="true" outlineLevel="0" collapsed="false">
      <c r="A344" s="22"/>
      <c r="B344" s="22"/>
      <c r="C344" s="23" t="str">
        <f aca="false">IFERROR(IF(OR(A344="",B344=""),"",INDEX(Equipements!$H:$H,MATCH(A344,Equipements!$A:$A,0))&amp;"."&amp;B344),"")</f>
        <v/>
      </c>
      <c r="D344" s="4"/>
      <c r="E344" s="22"/>
      <c r="F344" s="22"/>
      <c r="G344" s="22"/>
      <c r="H344" s="4"/>
      <c r="I344" s="4"/>
      <c r="J344" s="23" t="str">
        <f aca="false">IF(OR(G344="",H344=""),"","%"&amp;G344&amp;H344)</f>
        <v/>
      </c>
      <c r="K344" s="4"/>
      <c r="L344" s="4"/>
      <c r="M344" s="4"/>
      <c r="N344" s="4"/>
      <c r="O344" s="23" t="str">
        <f aca="false">IF(H344="","",IF(I344="","mot entier","bit "&amp;I344))</f>
        <v/>
      </c>
      <c r="P344" s="4"/>
    </row>
    <row r="345" customFormat="false" ht="15" hidden="false" customHeight="true" outlineLevel="0" collapsed="false">
      <c r="A345" s="22"/>
      <c r="B345" s="22"/>
      <c r="C345" s="23" t="str">
        <f aca="false">IFERROR(IF(OR(A345="",B345=""),"",INDEX(Equipements!$H:$H,MATCH(A345,Equipements!$A:$A,0))&amp;"."&amp;B345),"")</f>
        <v/>
      </c>
      <c r="D345" s="4"/>
      <c r="E345" s="22"/>
      <c r="F345" s="22"/>
      <c r="G345" s="22"/>
      <c r="H345" s="4"/>
      <c r="I345" s="4"/>
      <c r="J345" s="23" t="str">
        <f aca="false">IF(OR(G345="",H345=""),"","%"&amp;G345&amp;H345)</f>
        <v/>
      </c>
      <c r="K345" s="4"/>
      <c r="L345" s="4"/>
      <c r="M345" s="4"/>
      <c r="N345" s="4"/>
      <c r="O345" s="23" t="str">
        <f aca="false">IF(H345="","",IF(I345="","mot entier","bit "&amp;I345))</f>
        <v/>
      </c>
      <c r="P345" s="4"/>
    </row>
    <row r="346" customFormat="false" ht="15" hidden="false" customHeight="true" outlineLevel="0" collapsed="false">
      <c r="A346" s="22"/>
      <c r="B346" s="22"/>
      <c r="C346" s="23" t="str">
        <f aca="false">IFERROR(IF(OR(A346="",B346=""),"",INDEX(Equipements!$H:$H,MATCH(A346,Equipements!$A:$A,0))&amp;"."&amp;B346),"")</f>
        <v/>
      </c>
      <c r="D346" s="4"/>
      <c r="E346" s="22"/>
      <c r="F346" s="22"/>
      <c r="G346" s="22"/>
      <c r="H346" s="4"/>
      <c r="I346" s="4"/>
      <c r="J346" s="23" t="str">
        <f aca="false">IF(OR(G346="",H346=""),"","%"&amp;G346&amp;H346)</f>
        <v/>
      </c>
      <c r="K346" s="4"/>
      <c r="L346" s="4"/>
      <c r="M346" s="4"/>
      <c r="N346" s="4"/>
      <c r="O346" s="23" t="str">
        <f aca="false">IF(H346="","",IF(I346="","mot entier","bit "&amp;I346))</f>
        <v/>
      </c>
      <c r="P346" s="4"/>
    </row>
    <row r="347" customFormat="false" ht="15" hidden="false" customHeight="true" outlineLevel="0" collapsed="false">
      <c r="A347" s="22"/>
      <c r="B347" s="22"/>
      <c r="C347" s="23" t="str">
        <f aca="false">IFERROR(IF(OR(A347="",B347=""),"",INDEX(Equipements!$H:$H,MATCH(A347,Equipements!$A:$A,0))&amp;"."&amp;B347),"")</f>
        <v/>
      </c>
      <c r="D347" s="4"/>
      <c r="E347" s="22"/>
      <c r="F347" s="22"/>
      <c r="G347" s="22"/>
      <c r="H347" s="4"/>
      <c r="I347" s="4"/>
      <c r="J347" s="23" t="str">
        <f aca="false">IF(OR(G347="",H347=""),"","%"&amp;G347&amp;H347)</f>
        <v/>
      </c>
      <c r="K347" s="4"/>
      <c r="L347" s="4"/>
      <c r="M347" s="4"/>
      <c r="N347" s="4"/>
      <c r="O347" s="23" t="str">
        <f aca="false">IF(H347="","",IF(I347="","mot entier","bit "&amp;I347))</f>
        <v/>
      </c>
      <c r="P347" s="4"/>
    </row>
    <row r="348" customFormat="false" ht="15" hidden="false" customHeight="true" outlineLevel="0" collapsed="false">
      <c r="A348" s="22"/>
      <c r="B348" s="22"/>
      <c r="C348" s="23" t="str">
        <f aca="false">IFERROR(IF(OR(A348="",B348=""),"",INDEX(Equipements!$H:$H,MATCH(A348,Equipements!$A:$A,0))&amp;"."&amp;B348),"")</f>
        <v/>
      </c>
      <c r="D348" s="4"/>
      <c r="E348" s="22"/>
      <c r="F348" s="22"/>
      <c r="G348" s="22"/>
      <c r="H348" s="4"/>
      <c r="I348" s="4"/>
      <c r="J348" s="23" t="str">
        <f aca="false">IF(OR(G348="",H348=""),"","%"&amp;G348&amp;H348)</f>
        <v/>
      </c>
      <c r="K348" s="4"/>
      <c r="L348" s="4"/>
      <c r="M348" s="4"/>
      <c r="N348" s="4"/>
      <c r="O348" s="23" t="str">
        <f aca="false">IF(H348="","",IF(I348="","mot entier","bit "&amp;I348))</f>
        <v/>
      </c>
      <c r="P348" s="4"/>
    </row>
    <row r="349" customFormat="false" ht="15" hidden="false" customHeight="true" outlineLevel="0" collapsed="false">
      <c r="A349" s="22"/>
      <c r="B349" s="22"/>
      <c r="C349" s="23" t="str">
        <f aca="false">IFERROR(IF(OR(A349="",B349=""),"",INDEX(Equipements!$H:$H,MATCH(A349,Equipements!$A:$A,0))&amp;"."&amp;B349),"")</f>
        <v/>
      </c>
      <c r="D349" s="4"/>
      <c r="E349" s="22"/>
      <c r="F349" s="22"/>
      <c r="G349" s="22"/>
      <c r="H349" s="4"/>
      <c r="I349" s="4"/>
      <c r="J349" s="23" t="str">
        <f aca="false">IF(OR(G349="",H349=""),"","%"&amp;G349&amp;H349)</f>
        <v/>
      </c>
      <c r="K349" s="4"/>
      <c r="L349" s="4"/>
      <c r="M349" s="4"/>
      <c r="N349" s="4"/>
      <c r="O349" s="23" t="str">
        <f aca="false">IF(H349="","",IF(I349="","mot entier","bit "&amp;I349))</f>
        <v/>
      </c>
      <c r="P349" s="4"/>
    </row>
    <row r="350" customFormat="false" ht="15" hidden="false" customHeight="true" outlineLevel="0" collapsed="false">
      <c r="A350" s="22"/>
      <c r="B350" s="22"/>
      <c r="C350" s="23" t="str">
        <f aca="false">IFERROR(IF(OR(A350="",B350=""),"",INDEX(Equipements!$H:$H,MATCH(A350,Equipements!$A:$A,0))&amp;"."&amp;B350),"")</f>
        <v/>
      </c>
      <c r="D350" s="4"/>
      <c r="E350" s="22"/>
      <c r="F350" s="22"/>
      <c r="G350" s="22"/>
      <c r="H350" s="4"/>
      <c r="I350" s="4"/>
      <c r="J350" s="23" t="str">
        <f aca="false">IF(OR(G350="",H350=""),"","%"&amp;G350&amp;H350)</f>
        <v/>
      </c>
      <c r="K350" s="4"/>
      <c r="L350" s="4"/>
      <c r="M350" s="4"/>
      <c r="N350" s="4"/>
      <c r="O350" s="23" t="str">
        <f aca="false">IF(H350="","",IF(I350="","mot entier","bit "&amp;I350))</f>
        <v/>
      </c>
      <c r="P350" s="4"/>
    </row>
    <row r="351" customFormat="false" ht="15" hidden="false" customHeight="true" outlineLevel="0" collapsed="false">
      <c r="A351" s="22"/>
      <c r="B351" s="22"/>
      <c r="C351" s="23" t="str">
        <f aca="false">IFERROR(IF(OR(A351="",B351=""),"",INDEX(Equipements!$H:$H,MATCH(A351,Equipements!$A:$A,0))&amp;"."&amp;B351),"")</f>
        <v/>
      </c>
      <c r="D351" s="4"/>
      <c r="E351" s="22"/>
      <c r="F351" s="22"/>
      <c r="G351" s="22"/>
      <c r="H351" s="4"/>
      <c r="I351" s="4"/>
      <c r="J351" s="23" t="str">
        <f aca="false">IF(OR(G351="",H351=""),"","%"&amp;G351&amp;H351)</f>
        <v/>
      </c>
      <c r="K351" s="4"/>
      <c r="L351" s="4"/>
      <c r="M351" s="4"/>
      <c r="N351" s="4"/>
      <c r="O351" s="23" t="str">
        <f aca="false">IF(H351="","",IF(I351="","mot entier","bit "&amp;I351))</f>
        <v/>
      </c>
      <c r="P351" s="4"/>
    </row>
    <row r="352" customFormat="false" ht="15" hidden="false" customHeight="true" outlineLevel="0" collapsed="false">
      <c r="A352" s="22"/>
      <c r="B352" s="22"/>
      <c r="C352" s="23" t="str">
        <f aca="false">IFERROR(IF(OR(A352="",B352=""),"",INDEX(Equipements!$H:$H,MATCH(A352,Equipements!$A:$A,0))&amp;"."&amp;B352),"")</f>
        <v/>
      </c>
      <c r="D352" s="4"/>
      <c r="E352" s="22"/>
      <c r="F352" s="22"/>
      <c r="G352" s="22"/>
      <c r="H352" s="4"/>
      <c r="I352" s="4"/>
      <c r="J352" s="23" t="str">
        <f aca="false">IF(OR(G352="",H352=""),"","%"&amp;G352&amp;H352)</f>
        <v/>
      </c>
      <c r="K352" s="4"/>
      <c r="L352" s="4"/>
      <c r="M352" s="4"/>
      <c r="N352" s="4"/>
      <c r="O352" s="23" t="str">
        <f aca="false">IF(H352="","",IF(I352="","mot entier","bit "&amp;I352))</f>
        <v/>
      </c>
      <c r="P352" s="4"/>
    </row>
    <row r="353" customFormat="false" ht="15" hidden="false" customHeight="true" outlineLevel="0" collapsed="false">
      <c r="A353" s="22"/>
      <c r="B353" s="22"/>
      <c r="C353" s="23" t="str">
        <f aca="false">IFERROR(IF(OR(A353="",B353=""),"",INDEX(Equipements!$H:$H,MATCH(A353,Equipements!$A:$A,0))&amp;"."&amp;B353),"")</f>
        <v/>
      </c>
      <c r="D353" s="4"/>
      <c r="E353" s="22"/>
      <c r="F353" s="22"/>
      <c r="G353" s="22"/>
      <c r="H353" s="4"/>
      <c r="I353" s="4"/>
      <c r="J353" s="23" t="str">
        <f aca="false">IF(OR(G353="",H353=""),"","%"&amp;G353&amp;H353)</f>
        <v/>
      </c>
      <c r="K353" s="4"/>
      <c r="L353" s="4"/>
      <c r="M353" s="4"/>
      <c r="N353" s="4"/>
      <c r="O353" s="23" t="str">
        <f aca="false">IF(H353="","",IF(I353="","mot entier","bit "&amp;I353))</f>
        <v/>
      </c>
      <c r="P353" s="4"/>
    </row>
    <row r="354" customFormat="false" ht="15" hidden="false" customHeight="true" outlineLevel="0" collapsed="false">
      <c r="A354" s="22"/>
      <c r="B354" s="22"/>
      <c r="C354" s="23" t="str">
        <f aca="false">IFERROR(IF(OR(A354="",B354=""),"",INDEX(Equipements!$H:$H,MATCH(A354,Equipements!$A:$A,0))&amp;"."&amp;B354),"")</f>
        <v/>
      </c>
      <c r="D354" s="4"/>
      <c r="E354" s="22"/>
      <c r="F354" s="22"/>
      <c r="G354" s="22"/>
      <c r="H354" s="4"/>
      <c r="I354" s="4"/>
      <c r="J354" s="23" t="str">
        <f aca="false">IF(OR(G354="",H354=""),"","%"&amp;G354&amp;H354)</f>
        <v/>
      </c>
      <c r="K354" s="4"/>
      <c r="L354" s="4"/>
      <c r="M354" s="4"/>
      <c r="N354" s="4"/>
      <c r="O354" s="23" t="str">
        <f aca="false">IF(H354="","",IF(I354="","mot entier","bit "&amp;I354))</f>
        <v/>
      </c>
      <c r="P354" s="4"/>
    </row>
    <row r="355" customFormat="false" ht="15" hidden="false" customHeight="true" outlineLevel="0" collapsed="false">
      <c r="A355" s="22"/>
      <c r="B355" s="22"/>
      <c r="C355" s="23" t="str">
        <f aca="false">IFERROR(IF(OR(A355="",B355=""),"",INDEX(Equipements!$H:$H,MATCH(A355,Equipements!$A:$A,0))&amp;"."&amp;B355),"")</f>
        <v/>
      </c>
      <c r="D355" s="4"/>
      <c r="E355" s="22"/>
      <c r="F355" s="22"/>
      <c r="G355" s="22"/>
      <c r="H355" s="4"/>
      <c r="I355" s="4"/>
      <c r="J355" s="23" t="str">
        <f aca="false">IF(OR(G355="",H355=""),"","%"&amp;G355&amp;H355)</f>
        <v/>
      </c>
      <c r="K355" s="4"/>
      <c r="L355" s="4"/>
      <c r="M355" s="4"/>
      <c r="N355" s="4"/>
      <c r="O355" s="23" t="str">
        <f aca="false">IF(H355="","",IF(I355="","mot entier","bit "&amp;I355))</f>
        <v/>
      </c>
      <c r="P355" s="4"/>
    </row>
    <row r="356" customFormat="false" ht="15" hidden="false" customHeight="true" outlineLevel="0" collapsed="false">
      <c r="A356" s="22"/>
      <c r="B356" s="22"/>
      <c r="C356" s="23" t="str">
        <f aca="false">IFERROR(IF(OR(A356="",B356=""),"",INDEX(Equipements!$H:$H,MATCH(A356,Equipements!$A:$A,0))&amp;"."&amp;B356),"")</f>
        <v/>
      </c>
      <c r="D356" s="4"/>
      <c r="E356" s="22"/>
      <c r="F356" s="22"/>
      <c r="G356" s="22"/>
      <c r="H356" s="4"/>
      <c r="I356" s="4"/>
      <c r="J356" s="23" t="str">
        <f aca="false">IF(OR(G356="",H356=""),"","%"&amp;G356&amp;H356)</f>
        <v/>
      </c>
      <c r="K356" s="4"/>
      <c r="L356" s="4"/>
      <c r="M356" s="4"/>
      <c r="N356" s="4"/>
      <c r="O356" s="23" t="str">
        <f aca="false">IF(H356="","",IF(I356="","mot entier","bit "&amp;I356))</f>
        <v/>
      </c>
      <c r="P356" s="4"/>
    </row>
    <row r="357" customFormat="false" ht="15" hidden="false" customHeight="true" outlineLevel="0" collapsed="false">
      <c r="A357" s="22"/>
      <c r="B357" s="22"/>
      <c r="C357" s="23" t="str">
        <f aca="false">IFERROR(IF(OR(A357="",B357=""),"",INDEX(Equipements!$H:$H,MATCH(A357,Equipements!$A:$A,0))&amp;"."&amp;B357),"")</f>
        <v/>
      </c>
      <c r="D357" s="4"/>
      <c r="E357" s="22"/>
      <c r="F357" s="22"/>
      <c r="G357" s="22"/>
      <c r="H357" s="4"/>
      <c r="I357" s="4"/>
      <c r="J357" s="23" t="str">
        <f aca="false">IF(OR(G357="",H357=""),"","%"&amp;G357&amp;H357)</f>
        <v/>
      </c>
      <c r="K357" s="4"/>
      <c r="L357" s="4"/>
      <c r="M357" s="4"/>
      <c r="N357" s="4"/>
      <c r="O357" s="23" t="str">
        <f aca="false">IF(H357="","",IF(I357="","mot entier","bit "&amp;I357))</f>
        <v/>
      </c>
      <c r="P357" s="4"/>
    </row>
    <row r="358" customFormat="false" ht="15" hidden="false" customHeight="true" outlineLevel="0" collapsed="false">
      <c r="A358" s="22"/>
      <c r="B358" s="22"/>
      <c r="C358" s="23" t="str">
        <f aca="false">IFERROR(IF(OR(A358="",B358=""),"",INDEX(Equipements!$H:$H,MATCH(A358,Equipements!$A:$A,0))&amp;"."&amp;B358),"")</f>
        <v/>
      </c>
      <c r="D358" s="4"/>
      <c r="E358" s="22"/>
      <c r="F358" s="22"/>
      <c r="G358" s="22"/>
      <c r="H358" s="4"/>
      <c r="I358" s="4"/>
      <c r="J358" s="23" t="str">
        <f aca="false">IF(OR(G358="",H358=""),"","%"&amp;G358&amp;H358)</f>
        <v/>
      </c>
      <c r="K358" s="4"/>
      <c r="L358" s="4"/>
      <c r="M358" s="4"/>
      <c r="N358" s="4"/>
      <c r="O358" s="23" t="str">
        <f aca="false">IF(H358="","",IF(I358="","mot entier","bit "&amp;I358))</f>
        <v/>
      </c>
      <c r="P358" s="4"/>
    </row>
    <row r="359" customFormat="false" ht="15" hidden="false" customHeight="true" outlineLevel="0" collapsed="false">
      <c r="A359" s="22"/>
      <c r="B359" s="22"/>
      <c r="C359" s="23" t="str">
        <f aca="false">IFERROR(IF(OR(A359="",B359=""),"",INDEX(Equipements!$H:$H,MATCH(A359,Equipements!$A:$A,0))&amp;"."&amp;B359),"")</f>
        <v/>
      </c>
      <c r="D359" s="4"/>
      <c r="E359" s="22"/>
      <c r="F359" s="22"/>
      <c r="G359" s="22"/>
      <c r="H359" s="4"/>
      <c r="I359" s="4"/>
      <c r="J359" s="23" t="str">
        <f aca="false">IF(OR(G359="",H359=""),"","%"&amp;G359&amp;H359)</f>
        <v/>
      </c>
      <c r="K359" s="4"/>
      <c r="L359" s="4"/>
      <c r="M359" s="4"/>
      <c r="N359" s="4"/>
      <c r="O359" s="23" t="str">
        <f aca="false">IF(H359="","",IF(I359="","mot entier","bit "&amp;I359))</f>
        <v/>
      </c>
      <c r="P359" s="4"/>
    </row>
    <row r="360" customFormat="false" ht="15" hidden="false" customHeight="true" outlineLevel="0" collapsed="false">
      <c r="A360" s="22"/>
      <c r="B360" s="22"/>
      <c r="C360" s="23" t="str">
        <f aca="false">IFERROR(IF(OR(A360="",B360=""),"",INDEX(Equipements!$H:$H,MATCH(A360,Equipements!$A:$A,0))&amp;"."&amp;B360),"")</f>
        <v/>
      </c>
      <c r="D360" s="4"/>
      <c r="E360" s="22"/>
      <c r="F360" s="22"/>
      <c r="G360" s="22"/>
      <c r="H360" s="4"/>
      <c r="I360" s="4"/>
      <c r="J360" s="23" t="str">
        <f aca="false">IF(OR(G360="",H360=""),"","%"&amp;G360&amp;H360)</f>
        <v/>
      </c>
      <c r="K360" s="4"/>
      <c r="L360" s="4"/>
      <c r="M360" s="4"/>
      <c r="N360" s="4"/>
      <c r="O360" s="23" t="str">
        <f aca="false">IF(H360="","",IF(I360="","mot entier","bit "&amp;I360))</f>
        <v/>
      </c>
      <c r="P360" s="4"/>
    </row>
    <row r="361" customFormat="false" ht="15" hidden="false" customHeight="true" outlineLevel="0" collapsed="false">
      <c r="A361" s="22"/>
      <c r="B361" s="22"/>
      <c r="C361" s="23" t="str">
        <f aca="false">IFERROR(IF(OR(A361="",B361=""),"",INDEX(Equipements!$H:$H,MATCH(A361,Equipements!$A:$A,0))&amp;"."&amp;B361),"")</f>
        <v/>
      </c>
      <c r="D361" s="4"/>
      <c r="E361" s="22"/>
      <c r="F361" s="22"/>
      <c r="G361" s="22"/>
      <c r="H361" s="4"/>
      <c r="I361" s="4"/>
      <c r="J361" s="23" t="str">
        <f aca="false">IF(OR(G361="",H361=""),"","%"&amp;G361&amp;H361)</f>
        <v/>
      </c>
      <c r="K361" s="4"/>
      <c r="L361" s="4"/>
      <c r="M361" s="4"/>
      <c r="N361" s="4"/>
      <c r="O361" s="23" t="str">
        <f aca="false">IF(H361="","",IF(I361="","mot entier","bit "&amp;I361))</f>
        <v/>
      </c>
      <c r="P361" s="4"/>
    </row>
    <row r="362" customFormat="false" ht="15" hidden="false" customHeight="true" outlineLevel="0" collapsed="false">
      <c r="A362" s="22"/>
      <c r="B362" s="22"/>
      <c r="C362" s="23" t="str">
        <f aca="false">IFERROR(IF(OR(A362="",B362=""),"",INDEX(Equipements!$H:$H,MATCH(A362,Equipements!$A:$A,0))&amp;"."&amp;B362),"")</f>
        <v/>
      </c>
      <c r="D362" s="4"/>
      <c r="E362" s="22"/>
      <c r="F362" s="22"/>
      <c r="G362" s="22"/>
      <c r="H362" s="4"/>
      <c r="I362" s="4"/>
      <c r="J362" s="23" t="str">
        <f aca="false">IF(OR(G362="",H362=""),"","%"&amp;G362&amp;H362)</f>
        <v/>
      </c>
      <c r="K362" s="4"/>
      <c r="L362" s="4"/>
      <c r="M362" s="4"/>
      <c r="N362" s="4"/>
      <c r="O362" s="23" t="str">
        <f aca="false">IF(H362="","",IF(I362="","mot entier","bit "&amp;I362))</f>
        <v/>
      </c>
      <c r="P362" s="4"/>
    </row>
    <row r="363" customFormat="false" ht="15" hidden="false" customHeight="true" outlineLevel="0" collapsed="false">
      <c r="A363" s="22"/>
      <c r="B363" s="22"/>
      <c r="C363" s="23" t="str">
        <f aca="false">IFERROR(IF(OR(A363="",B363=""),"",INDEX(Equipements!$H:$H,MATCH(A363,Equipements!$A:$A,0))&amp;"."&amp;B363),"")</f>
        <v/>
      </c>
      <c r="D363" s="4"/>
      <c r="E363" s="22"/>
      <c r="F363" s="22"/>
      <c r="G363" s="22"/>
      <c r="H363" s="4"/>
      <c r="I363" s="4"/>
      <c r="J363" s="23" t="str">
        <f aca="false">IF(OR(G363="",H363=""),"","%"&amp;G363&amp;H363)</f>
        <v/>
      </c>
      <c r="K363" s="4"/>
      <c r="L363" s="4"/>
      <c r="M363" s="4"/>
      <c r="N363" s="4"/>
      <c r="O363" s="23" t="str">
        <f aca="false">IF(H363="","",IF(I363="","mot entier","bit "&amp;I363))</f>
        <v/>
      </c>
      <c r="P363" s="4"/>
    </row>
    <row r="364" customFormat="false" ht="15" hidden="false" customHeight="true" outlineLevel="0" collapsed="false">
      <c r="A364" s="22"/>
      <c r="B364" s="22"/>
      <c r="C364" s="23" t="str">
        <f aca="false">IFERROR(IF(OR(A364="",B364=""),"",INDEX(Equipements!$H:$H,MATCH(A364,Equipements!$A:$A,0))&amp;"."&amp;B364),"")</f>
        <v/>
      </c>
      <c r="D364" s="4"/>
      <c r="E364" s="22"/>
      <c r="F364" s="22"/>
      <c r="G364" s="22"/>
      <c r="H364" s="4"/>
      <c r="I364" s="4"/>
      <c r="J364" s="23" t="str">
        <f aca="false">IF(OR(G364="",H364=""),"","%"&amp;G364&amp;H364)</f>
        <v/>
      </c>
      <c r="K364" s="4"/>
      <c r="L364" s="4"/>
      <c r="M364" s="4"/>
      <c r="N364" s="4"/>
      <c r="O364" s="23" t="str">
        <f aca="false">IF(H364="","",IF(I364="","mot entier","bit "&amp;I364))</f>
        <v/>
      </c>
      <c r="P364" s="4"/>
    </row>
    <row r="365" customFormat="false" ht="15" hidden="false" customHeight="true" outlineLevel="0" collapsed="false">
      <c r="A365" s="22"/>
      <c r="B365" s="22"/>
      <c r="C365" s="23" t="str">
        <f aca="false">IFERROR(IF(OR(A365="",B365=""),"",INDEX(Equipements!$H:$H,MATCH(A365,Equipements!$A:$A,0))&amp;"."&amp;B365),"")</f>
        <v/>
      </c>
      <c r="D365" s="4"/>
      <c r="E365" s="22"/>
      <c r="F365" s="22"/>
      <c r="G365" s="22"/>
      <c r="H365" s="4"/>
      <c r="I365" s="4"/>
      <c r="J365" s="23" t="str">
        <f aca="false">IF(OR(G365="",H365=""),"","%"&amp;G365&amp;H365)</f>
        <v/>
      </c>
      <c r="K365" s="4"/>
      <c r="L365" s="4"/>
      <c r="M365" s="4"/>
      <c r="N365" s="4"/>
      <c r="O365" s="23" t="str">
        <f aca="false">IF(H365="","",IF(I365="","mot entier","bit "&amp;I365))</f>
        <v/>
      </c>
      <c r="P365" s="4"/>
    </row>
    <row r="366" customFormat="false" ht="15" hidden="false" customHeight="true" outlineLevel="0" collapsed="false">
      <c r="A366" s="22"/>
      <c r="B366" s="22"/>
      <c r="C366" s="23" t="str">
        <f aca="false">IFERROR(IF(OR(A366="",B366=""),"",INDEX(Equipements!$H:$H,MATCH(A366,Equipements!$A:$A,0))&amp;"."&amp;B366),"")</f>
        <v/>
      </c>
      <c r="D366" s="4"/>
      <c r="E366" s="22"/>
      <c r="F366" s="22"/>
      <c r="G366" s="22"/>
      <c r="H366" s="4"/>
      <c r="I366" s="4"/>
      <c r="J366" s="23" t="str">
        <f aca="false">IF(OR(G366="",H366=""),"","%"&amp;G366&amp;H366)</f>
        <v/>
      </c>
      <c r="K366" s="4"/>
      <c r="L366" s="4"/>
      <c r="M366" s="4"/>
      <c r="N366" s="4"/>
      <c r="O366" s="23" t="str">
        <f aca="false">IF(H366="","",IF(I366="","mot entier","bit "&amp;I366))</f>
        <v/>
      </c>
      <c r="P366" s="4"/>
    </row>
    <row r="367" customFormat="false" ht="15" hidden="false" customHeight="true" outlineLevel="0" collapsed="false">
      <c r="A367" s="22"/>
      <c r="B367" s="22"/>
      <c r="C367" s="23" t="str">
        <f aca="false">IFERROR(IF(OR(A367="",B367=""),"",INDEX(Equipements!$H:$H,MATCH(A367,Equipements!$A:$A,0))&amp;"."&amp;B367),"")</f>
        <v/>
      </c>
      <c r="D367" s="4"/>
      <c r="E367" s="22"/>
      <c r="F367" s="22"/>
      <c r="G367" s="22"/>
      <c r="H367" s="4"/>
      <c r="I367" s="4"/>
      <c r="J367" s="23" t="str">
        <f aca="false">IF(OR(G367="",H367=""),"","%"&amp;G367&amp;H367)</f>
        <v/>
      </c>
      <c r="K367" s="4"/>
      <c r="L367" s="4"/>
      <c r="M367" s="4"/>
      <c r="N367" s="4"/>
      <c r="O367" s="23" t="str">
        <f aca="false">IF(H367="","",IF(I367="","mot entier","bit "&amp;I367))</f>
        <v/>
      </c>
      <c r="P367" s="4"/>
    </row>
    <row r="368" customFormat="false" ht="15" hidden="false" customHeight="true" outlineLevel="0" collapsed="false">
      <c r="A368" s="22"/>
      <c r="B368" s="22"/>
      <c r="C368" s="23" t="str">
        <f aca="false">IFERROR(IF(OR(A368="",B368=""),"",INDEX(Equipements!$H:$H,MATCH(A368,Equipements!$A:$A,0))&amp;"."&amp;B368),"")</f>
        <v/>
      </c>
      <c r="D368" s="4"/>
      <c r="E368" s="22"/>
      <c r="F368" s="22"/>
      <c r="G368" s="22"/>
      <c r="H368" s="4"/>
      <c r="I368" s="4"/>
      <c r="J368" s="23" t="str">
        <f aca="false">IF(OR(G368="",H368=""),"","%"&amp;G368&amp;H368)</f>
        <v/>
      </c>
      <c r="K368" s="4"/>
      <c r="L368" s="4"/>
      <c r="M368" s="4"/>
      <c r="N368" s="4"/>
      <c r="O368" s="23" t="str">
        <f aca="false">IF(H368="","",IF(I368="","mot entier","bit "&amp;I368))</f>
        <v/>
      </c>
      <c r="P368" s="4"/>
    </row>
    <row r="369" customFormat="false" ht="15" hidden="false" customHeight="true" outlineLevel="0" collapsed="false">
      <c r="A369" s="22"/>
      <c r="B369" s="22"/>
      <c r="C369" s="23" t="str">
        <f aca="false">IFERROR(IF(OR(A369="",B369=""),"",INDEX(Equipements!$H:$H,MATCH(A369,Equipements!$A:$A,0))&amp;"."&amp;B369),"")</f>
        <v/>
      </c>
      <c r="D369" s="4"/>
      <c r="E369" s="22"/>
      <c r="F369" s="22"/>
      <c r="G369" s="22"/>
      <c r="H369" s="4"/>
      <c r="I369" s="4"/>
      <c r="J369" s="23" t="str">
        <f aca="false">IF(OR(G369="",H369=""),"","%"&amp;G369&amp;H369)</f>
        <v/>
      </c>
      <c r="K369" s="4"/>
      <c r="L369" s="4"/>
      <c r="M369" s="4"/>
      <c r="N369" s="4"/>
      <c r="O369" s="23" t="str">
        <f aca="false">IF(H369="","",IF(I369="","mot entier","bit "&amp;I369))</f>
        <v/>
      </c>
      <c r="P369" s="4"/>
    </row>
    <row r="370" customFormat="false" ht="15" hidden="false" customHeight="true" outlineLevel="0" collapsed="false">
      <c r="A370" s="22"/>
      <c r="B370" s="22"/>
      <c r="C370" s="23" t="str">
        <f aca="false">IFERROR(IF(OR(A370="",B370=""),"",INDEX(Equipements!$H:$H,MATCH(A370,Equipements!$A:$A,0))&amp;"."&amp;B370),"")</f>
        <v/>
      </c>
      <c r="D370" s="4"/>
      <c r="E370" s="22"/>
      <c r="F370" s="22"/>
      <c r="G370" s="22"/>
      <c r="H370" s="4"/>
      <c r="I370" s="4"/>
      <c r="J370" s="23" t="str">
        <f aca="false">IF(OR(G370="",H370=""),"","%"&amp;G370&amp;H370)</f>
        <v/>
      </c>
      <c r="K370" s="4"/>
      <c r="L370" s="4"/>
      <c r="M370" s="4"/>
      <c r="N370" s="4"/>
      <c r="O370" s="23" t="str">
        <f aca="false">IF(H370="","",IF(I370="","mot entier","bit "&amp;I370))</f>
        <v/>
      </c>
      <c r="P370" s="4"/>
    </row>
    <row r="371" customFormat="false" ht="15" hidden="false" customHeight="true" outlineLevel="0" collapsed="false">
      <c r="A371" s="22"/>
      <c r="B371" s="22"/>
      <c r="C371" s="23" t="str">
        <f aca="false">IFERROR(IF(OR(A371="",B371=""),"",INDEX(Equipements!$H:$H,MATCH(A371,Equipements!$A:$A,0))&amp;"."&amp;B371),"")</f>
        <v/>
      </c>
      <c r="D371" s="4"/>
      <c r="E371" s="22"/>
      <c r="F371" s="22"/>
      <c r="G371" s="22"/>
      <c r="H371" s="4"/>
      <c r="I371" s="4"/>
      <c r="J371" s="23" t="str">
        <f aca="false">IF(OR(G371="",H371=""),"","%"&amp;G371&amp;H371)</f>
        <v/>
      </c>
      <c r="K371" s="4"/>
      <c r="L371" s="4"/>
      <c r="M371" s="4"/>
      <c r="N371" s="4"/>
      <c r="O371" s="23" t="str">
        <f aca="false">IF(H371="","",IF(I371="","mot entier","bit "&amp;I371))</f>
        <v/>
      </c>
      <c r="P371" s="4"/>
    </row>
    <row r="372" customFormat="false" ht="15" hidden="false" customHeight="true" outlineLevel="0" collapsed="false">
      <c r="A372" s="22"/>
      <c r="B372" s="22"/>
      <c r="C372" s="23" t="str">
        <f aca="false">IFERROR(IF(OR(A372="",B372=""),"",INDEX(Equipements!$H:$H,MATCH(A372,Equipements!$A:$A,0))&amp;"."&amp;B372),"")</f>
        <v/>
      </c>
      <c r="D372" s="4"/>
      <c r="E372" s="22"/>
      <c r="F372" s="22"/>
      <c r="G372" s="22"/>
      <c r="H372" s="4"/>
      <c r="I372" s="4"/>
      <c r="J372" s="23" t="str">
        <f aca="false">IF(OR(G372="",H372=""),"","%"&amp;G372&amp;H372)</f>
        <v/>
      </c>
      <c r="K372" s="4"/>
      <c r="L372" s="4"/>
      <c r="M372" s="4"/>
      <c r="N372" s="4"/>
      <c r="O372" s="23" t="str">
        <f aca="false">IF(H372="","",IF(I372="","mot entier","bit "&amp;I372))</f>
        <v/>
      </c>
      <c r="P372" s="4"/>
    </row>
    <row r="373" customFormat="false" ht="15" hidden="false" customHeight="true" outlineLevel="0" collapsed="false">
      <c r="A373" s="22"/>
      <c r="B373" s="22"/>
      <c r="C373" s="23" t="str">
        <f aca="false">IFERROR(IF(OR(A373="",B373=""),"",INDEX(Equipements!$H:$H,MATCH(A373,Equipements!$A:$A,0))&amp;"."&amp;B373),"")</f>
        <v/>
      </c>
      <c r="D373" s="4"/>
      <c r="E373" s="22"/>
      <c r="F373" s="22"/>
      <c r="G373" s="22"/>
      <c r="H373" s="4"/>
      <c r="I373" s="4"/>
      <c r="J373" s="23" t="str">
        <f aca="false">IF(OR(G373="",H373=""),"","%"&amp;G373&amp;H373)</f>
        <v/>
      </c>
      <c r="K373" s="4"/>
      <c r="L373" s="4"/>
      <c r="M373" s="4"/>
      <c r="N373" s="4"/>
      <c r="O373" s="23" t="str">
        <f aca="false">IF(H373="","",IF(I373="","mot entier","bit "&amp;I373))</f>
        <v/>
      </c>
      <c r="P373" s="4"/>
    </row>
    <row r="374" customFormat="false" ht="15" hidden="false" customHeight="true" outlineLevel="0" collapsed="false">
      <c r="A374" s="22"/>
      <c r="B374" s="22"/>
      <c r="C374" s="23" t="str">
        <f aca="false">IFERROR(IF(OR(A374="",B374=""),"",INDEX(Equipements!$H:$H,MATCH(A374,Equipements!$A:$A,0))&amp;"."&amp;B374),"")</f>
        <v/>
      </c>
      <c r="D374" s="4"/>
      <c r="E374" s="22"/>
      <c r="F374" s="22"/>
      <c r="G374" s="22"/>
      <c r="H374" s="4"/>
      <c r="I374" s="4"/>
      <c r="J374" s="23" t="str">
        <f aca="false">IF(OR(G374="",H374=""),"","%"&amp;G374&amp;H374)</f>
        <v/>
      </c>
      <c r="K374" s="4"/>
      <c r="L374" s="4"/>
      <c r="M374" s="4"/>
      <c r="N374" s="4"/>
      <c r="O374" s="23" t="str">
        <f aca="false">IF(H374="","",IF(I374="","mot entier","bit "&amp;I374))</f>
        <v/>
      </c>
      <c r="P374" s="4"/>
    </row>
    <row r="375" customFormat="false" ht="15" hidden="false" customHeight="true" outlineLevel="0" collapsed="false">
      <c r="A375" s="22"/>
      <c r="B375" s="22"/>
      <c r="C375" s="23" t="str">
        <f aca="false">IFERROR(IF(OR(A375="",B375=""),"",INDEX(Equipements!$H:$H,MATCH(A375,Equipements!$A:$A,0))&amp;"."&amp;B375),"")</f>
        <v/>
      </c>
      <c r="D375" s="4"/>
      <c r="E375" s="22"/>
      <c r="F375" s="22"/>
      <c r="G375" s="22"/>
      <c r="H375" s="4"/>
      <c r="I375" s="4"/>
      <c r="J375" s="23" t="str">
        <f aca="false">IF(OR(G375="",H375=""),"","%"&amp;G375&amp;H375)</f>
        <v/>
      </c>
      <c r="K375" s="4"/>
      <c r="L375" s="4"/>
      <c r="M375" s="4"/>
      <c r="N375" s="4"/>
      <c r="O375" s="23" t="str">
        <f aca="false">IF(H375="","",IF(I375="","mot entier","bit "&amp;I375))</f>
        <v/>
      </c>
      <c r="P375" s="4"/>
    </row>
    <row r="376" customFormat="false" ht="15" hidden="false" customHeight="true" outlineLevel="0" collapsed="false">
      <c r="A376" s="22"/>
      <c r="B376" s="22"/>
      <c r="C376" s="23" t="str">
        <f aca="false">IFERROR(IF(OR(A376="",B376=""),"",INDEX(Equipements!$H:$H,MATCH(A376,Equipements!$A:$A,0))&amp;"."&amp;B376),"")</f>
        <v/>
      </c>
      <c r="D376" s="4"/>
      <c r="E376" s="22"/>
      <c r="F376" s="22"/>
      <c r="G376" s="22"/>
      <c r="H376" s="4"/>
      <c r="I376" s="4"/>
      <c r="J376" s="23" t="str">
        <f aca="false">IF(OR(G376="",H376=""),"","%"&amp;G376&amp;H376)</f>
        <v/>
      </c>
      <c r="K376" s="4"/>
      <c r="L376" s="4"/>
      <c r="M376" s="4"/>
      <c r="N376" s="4"/>
      <c r="O376" s="23" t="str">
        <f aca="false">IF(H376="","",IF(I376="","mot entier","bit "&amp;I376))</f>
        <v/>
      </c>
      <c r="P376" s="4"/>
    </row>
    <row r="377" customFormat="false" ht="15" hidden="false" customHeight="true" outlineLevel="0" collapsed="false">
      <c r="A377" s="22"/>
      <c r="B377" s="22"/>
      <c r="C377" s="23" t="str">
        <f aca="false">IFERROR(IF(OR(A377="",B377=""),"",INDEX(Equipements!$H:$H,MATCH(A377,Equipements!$A:$A,0))&amp;"."&amp;B377),"")</f>
        <v/>
      </c>
      <c r="D377" s="4"/>
      <c r="E377" s="22"/>
      <c r="F377" s="22"/>
      <c r="G377" s="22"/>
      <c r="H377" s="4"/>
      <c r="I377" s="4"/>
      <c r="J377" s="23" t="str">
        <f aca="false">IF(OR(G377="",H377=""),"","%"&amp;G377&amp;H377)</f>
        <v/>
      </c>
      <c r="K377" s="4"/>
      <c r="L377" s="4"/>
      <c r="M377" s="4"/>
      <c r="N377" s="4"/>
      <c r="O377" s="23" t="str">
        <f aca="false">IF(H377="","",IF(I377="","mot entier","bit "&amp;I377))</f>
        <v/>
      </c>
      <c r="P377" s="4"/>
    </row>
    <row r="378" customFormat="false" ht="15" hidden="false" customHeight="true" outlineLevel="0" collapsed="false">
      <c r="A378" s="22"/>
      <c r="B378" s="22"/>
      <c r="C378" s="23" t="str">
        <f aca="false">IFERROR(IF(OR(A378="",B378=""),"",INDEX(Equipements!$H:$H,MATCH(A378,Equipements!$A:$A,0))&amp;"."&amp;B378),"")</f>
        <v/>
      </c>
      <c r="D378" s="4"/>
      <c r="E378" s="22"/>
      <c r="F378" s="22"/>
      <c r="G378" s="22"/>
      <c r="H378" s="4"/>
      <c r="I378" s="4"/>
      <c r="J378" s="23" t="str">
        <f aca="false">IF(OR(G378="",H378=""),"","%"&amp;G378&amp;H378)</f>
        <v/>
      </c>
      <c r="K378" s="4"/>
      <c r="L378" s="4"/>
      <c r="M378" s="4"/>
      <c r="N378" s="4"/>
      <c r="O378" s="23" t="str">
        <f aca="false">IF(H378="","",IF(I378="","mot entier","bit "&amp;I378))</f>
        <v/>
      </c>
      <c r="P378" s="4"/>
    </row>
    <row r="379" customFormat="false" ht="15" hidden="false" customHeight="true" outlineLevel="0" collapsed="false">
      <c r="A379" s="22"/>
      <c r="B379" s="22"/>
      <c r="C379" s="23" t="str">
        <f aca="false">IFERROR(IF(OR(A379="",B379=""),"",INDEX(Equipements!$H:$H,MATCH(A379,Equipements!$A:$A,0))&amp;"."&amp;B379),"")</f>
        <v/>
      </c>
      <c r="D379" s="4"/>
      <c r="E379" s="22"/>
      <c r="F379" s="22"/>
      <c r="G379" s="22"/>
      <c r="H379" s="4"/>
      <c r="I379" s="4"/>
      <c r="J379" s="23" t="str">
        <f aca="false">IF(OR(G379="",H379=""),"","%"&amp;G379&amp;H379)</f>
        <v/>
      </c>
      <c r="K379" s="4"/>
      <c r="L379" s="4"/>
      <c r="M379" s="4"/>
      <c r="N379" s="4"/>
      <c r="O379" s="23" t="str">
        <f aca="false">IF(H379="","",IF(I379="","mot entier","bit "&amp;I379))</f>
        <v/>
      </c>
      <c r="P379" s="4"/>
    </row>
    <row r="380" customFormat="false" ht="15" hidden="false" customHeight="true" outlineLevel="0" collapsed="false">
      <c r="A380" s="22"/>
      <c r="B380" s="22"/>
      <c r="C380" s="23" t="str">
        <f aca="false">IFERROR(IF(OR(A380="",B380=""),"",INDEX(Equipements!$H:$H,MATCH(A380,Equipements!$A:$A,0))&amp;"."&amp;B380),"")</f>
        <v/>
      </c>
      <c r="D380" s="4"/>
      <c r="E380" s="22"/>
      <c r="F380" s="22"/>
      <c r="G380" s="22"/>
      <c r="H380" s="4"/>
      <c r="I380" s="4"/>
      <c r="J380" s="23" t="str">
        <f aca="false">IF(OR(G380="",H380=""),"","%"&amp;G380&amp;H380)</f>
        <v/>
      </c>
      <c r="K380" s="4"/>
      <c r="L380" s="4"/>
      <c r="M380" s="4"/>
      <c r="N380" s="4"/>
      <c r="O380" s="23" t="str">
        <f aca="false">IF(H380="","",IF(I380="","mot entier","bit "&amp;I380))</f>
        <v/>
      </c>
      <c r="P380" s="4"/>
    </row>
    <row r="381" customFormat="false" ht="15" hidden="false" customHeight="true" outlineLevel="0" collapsed="false">
      <c r="A381" s="22"/>
      <c r="B381" s="22"/>
      <c r="C381" s="23" t="str">
        <f aca="false">IFERROR(IF(OR(A381="",B381=""),"",INDEX(Equipements!$H:$H,MATCH(A381,Equipements!$A:$A,0))&amp;"."&amp;B381),"")</f>
        <v/>
      </c>
      <c r="D381" s="4"/>
      <c r="E381" s="22"/>
      <c r="F381" s="22"/>
      <c r="G381" s="22"/>
      <c r="H381" s="4"/>
      <c r="I381" s="4"/>
      <c r="J381" s="23" t="str">
        <f aca="false">IF(OR(G381="",H381=""),"","%"&amp;G381&amp;H381)</f>
        <v/>
      </c>
      <c r="K381" s="4"/>
      <c r="L381" s="4"/>
      <c r="M381" s="4"/>
      <c r="N381" s="4"/>
      <c r="O381" s="23" t="str">
        <f aca="false">IF(H381="","",IF(I381="","mot entier","bit "&amp;I381))</f>
        <v/>
      </c>
      <c r="P381" s="4"/>
    </row>
    <row r="382" customFormat="false" ht="15" hidden="false" customHeight="true" outlineLevel="0" collapsed="false">
      <c r="A382" s="22"/>
      <c r="B382" s="22"/>
      <c r="C382" s="23" t="str">
        <f aca="false">IFERROR(IF(OR(A382="",B382=""),"",INDEX(Equipements!$H:$H,MATCH(A382,Equipements!$A:$A,0))&amp;"."&amp;B382),"")</f>
        <v/>
      </c>
      <c r="D382" s="4"/>
      <c r="E382" s="22"/>
      <c r="F382" s="22"/>
      <c r="G382" s="22"/>
      <c r="H382" s="4"/>
      <c r="I382" s="4"/>
      <c r="J382" s="23" t="str">
        <f aca="false">IF(OR(G382="",H382=""),"","%"&amp;G382&amp;H382)</f>
        <v/>
      </c>
      <c r="K382" s="4"/>
      <c r="L382" s="4"/>
      <c r="M382" s="4"/>
      <c r="N382" s="4"/>
      <c r="O382" s="23" t="str">
        <f aca="false">IF(H382="","",IF(I382="","mot entier","bit "&amp;I382))</f>
        <v/>
      </c>
      <c r="P382" s="4"/>
    </row>
    <row r="383" customFormat="false" ht="15" hidden="false" customHeight="true" outlineLevel="0" collapsed="false">
      <c r="A383" s="22"/>
      <c r="B383" s="22"/>
      <c r="C383" s="23" t="str">
        <f aca="false">IFERROR(IF(OR(A383="",B383=""),"",INDEX(Equipements!$H:$H,MATCH(A383,Equipements!$A:$A,0))&amp;"."&amp;B383),"")</f>
        <v/>
      </c>
      <c r="D383" s="4"/>
      <c r="E383" s="22"/>
      <c r="F383" s="22"/>
      <c r="G383" s="22"/>
      <c r="H383" s="4"/>
      <c r="I383" s="4"/>
      <c r="J383" s="23" t="str">
        <f aca="false">IF(OR(G383="",H383=""),"","%"&amp;G383&amp;H383)</f>
        <v/>
      </c>
      <c r="K383" s="4"/>
      <c r="L383" s="4"/>
      <c r="M383" s="4"/>
      <c r="N383" s="4"/>
      <c r="O383" s="23" t="str">
        <f aca="false">IF(H383="","",IF(I383="","mot entier","bit "&amp;I383))</f>
        <v/>
      </c>
      <c r="P383" s="4"/>
    </row>
    <row r="384" customFormat="false" ht="15" hidden="false" customHeight="true" outlineLevel="0" collapsed="false">
      <c r="A384" s="22"/>
      <c r="B384" s="22"/>
      <c r="C384" s="23" t="str">
        <f aca="false">IFERROR(IF(OR(A384="",B384=""),"",INDEX(Equipements!$H:$H,MATCH(A384,Equipements!$A:$A,0))&amp;"."&amp;B384),"")</f>
        <v/>
      </c>
      <c r="D384" s="4"/>
      <c r="E384" s="22"/>
      <c r="F384" s="22"/>
      <c r="G384" s="22"/>
      <c r="H384" s="4"/>
      <c r="I384" s="4"/>
      <c r="J384" s="23" t="str">
        <f aca="false">IF(OR(G384="",H384=""),"","%"&amp;G384&amp;H384)</f>
        <v/>
      </c>
      <c r="K384" s="4"/>
      <c r="L384" s="4"/>
      <c r="M384" s="4"/>
      <c r="N384" s="4"/>
      <c r="O384" s="23" t="str">
        <f aca="false">IF(H384="","",IF(I384="","mot entier","bit "&amp;I384))</f>
        <v/>
      </c>
      <c r="P384" s="4"/>
    </row>
    <row r="385" customFormat="false" ht="15" hidden="false" customHeight="true" outlineLevel="0" collapsed="false">
      <c r="A385" s="22"/>
      <c r="B385" s="22"/>
      <c r="C385" s="23" t="str">
        <f aca="false">IFERROR(IF(OR(A385="",B385=""),"",INDEX(Equipements!$H:$H,MATCH(A385,Equipements!$A:$A,0))&amp;"."&amp;B385),"")</f>
        <v/>
      </c>
      <c r="D385" s="4"/>
      <c r="E385" s="22"/>
      <c r="F385" s="22"/>
      <c r="G385" s="22"/>
      <c r="H385" s="4"/>
      <c r="I385" s="4"/>
      <c r="J385" s="23" t="str">
        <f aca="false">IF(OR(G385="",H385=""),"","%"&amp;G385&amp;H385)</f>
        <v/>
      </c>
      <c r="K385" s="4"/>
      <c r="L385" s="4"/>
      <c r="M385" s="4"/>
      <c r="N385" s="4"/>
      <c r="O385" s="23" t="str">
        <f aca="false">IF(H385="","",IF(I385="","mot entier","bit "&amp;I385))</f>
        <v/>
      </c>
      <c r="P385" s="4"/>
    </row>
    <row r="386" customFormat="false" ht="15" hidden="false" customHeight="true" outlineLevel="0" collapsed="false">
      <c r="A386" s="22"/>
      <c r="B386" s="22"/>
      <c r="C386" s="23" t="str">
        <f aca="false">IFERROR(IF(OR(A386="",B386=""),"",INDEX(Equipements!$H:$H,MATCH(A386,Equipements!$A:$A,0))&amp;"."&amp;B386),"")</f>
        <v/>
      </c>
      <c r="D386" s="4"/>
      <c r="E386" s="22"/>
      <c r="F386" s="22"/>
      <c r="G386" s="22"/>
      <c r="H386" s="4"/>
      <c r="I386" s="4"/>
      <c r="J386" s="23" t="str">
        <f aca="false">IF(OR(G386="",H386=""),"","%"&amp;G386&amp;H386)</f>
        <v/>
      </c>
      <c r="K386" s="4"/>
      <c r="L386" s="4"/>
      <c r="M386" s="4"/>
      <c r="N386" s="4"/>
      <c r="O386" s="23" t="str">
        <f aca="false">IF(H386="","",IF(I386="","mot entier","bit "&amp;I386))</f>
        <v/>
      </c>
      <c r="P386" s="4"/>
    </row>
    <row r="387" customFormat="false" ht="15" hidden="false" customHeight="true" outlineLevel="0" collapsed="false">
      <c r="A387" s="22"/>
      <c r="B387" s="22"/>
      <c r="C387" s="23" t="str">
        <f aca="false">IFERROR(IF(OR(A387="",B387=""),"",INDEX(Equipements!$H:$H,MATCH(A387,Equipements!$A:$A,0))&amp;"."&amp;B387),"")</f>
        <v/>
      </c>
      <c r="D387" s="4"/>
      <c r="E387" s="22"/>
      <c r="F387" s="22"/>
      <c r="G387" s="22"/>
      <c r="H387" s="4"/>
      <c r="I387" s="4"/>
      <c r="J387" s="23" t="str">
        <f aca="false">IF(OR(G387="",H387=""),"","%"&amp;G387&amp;H387)</f>
        <v/>
      </c>
      <c r="K387" s="4"/>
      <c r="L387" s="4"/>
      <c r="M387" s="4"/>
      <c r="N387" s="4"/>
      <c r="O387" s="23" t="str">
        <f aca="false">IF(H387="","",IF(I387="","mot entier","bit "&amp;I387))</f>
        <v/>
      </c>
      <c r="P387" s="4"/>
    </row>
    <row r="388" customFormat="false" ht="15" hidden="false" customHeight="true" outlineLevel="0" collapsed="false">
      <c r="A388" s="22"/>
      <c r="B388" s="22"/>
      <c r="C388" s="23" t="str">
        <f aca="false">IFERROR(IF(OR(A388="",B388=""),"",INDEX(Equipements!$H:$H,MATCH(A388,Equipements!$A:$A,0))&amp;"."&amp;B388),"")</f>
        <v/>
      </c>
      <c r="D388" s="4"/>
      <c r="E388" s="22"/>
      <c r="F388" s="22"/>
      <c r="G388" s="22"/>
      <c r="H388" s="4"/>
      <c r="I388" s="4"/>
      <c r="J388" s="23" t="str">
        <f aca="false">IF(OR(G388="",H388=""),"","%"&amp;G388&amp;H388)</f>
        <v/>
      </c>
      <c r="K388" s="4"/>
      <c r="L388" s="4"/>
      <c r="M388" s="4"/>
      <c r="N388" s="4"/>
      <c r="O388" s="23" t="str">
        <f aca="false">IF(H388="","",IF(I388="","mot entier","bit "&amp;I388))</f>
        <v/>
      </c>
      <c r="P388" s="4"/>
    </row>
    <row r="389" customFormat="false" ht="15" hidden="false" customHeight="true" outlineLevel="0" collapsed="false">
      <c r="A389" s="22"/>
      <c r="B389" s="22"/>
      <c r="C389" s="23" t="str">
        <f aca="false">IFERROR(IF(OR(A389="",B389=""),"",INDEX(Equipements!$H:$H,MATCH(A389,Equipements!$A:$A,0))&amp;"."&amp;B389),"")</f>
        <v/>
      </c>
      <c r="D389" s="4"/>
      <c r="E389" s="22"/>
      <c r="F389" s="22"/>
      <c r="G389" s="22"/>
      <c r="H389" s="4"/>
      <c r="I389" s="4"/>
      <c r="J389" s="23" t="str">
        <f aca="false">IF(OR(G389="",H389=""),"","%"&amp;G389&amp;H389)</f>
        <v/>
      </c>
      <c r="K389" s="4"/>
      <c r="L389" s="4"/>
      <c r="M389" s="4"/>
      <c r="N389" s="4"/>
      <c r="O389" s="23" t="str">
        <f aca="false">IF(H389="","",IF(I389="","mot entier","bit "&amp;I389))</f>
        <v/>
      </c>
      <c r="P389" s="4"/>
    </row>
    <row r="390" customFormat="false" ht="15" hidden="false" customHeight="true" outlineLevel="0" collapsed="false">
      <c r="A390" s="22"/>
      <c r="B390" s="22"/>
      <c r="C390" s="23" t="str">
        <f aca="false">IFERROR(IF(OR(A390="",B390=""),"",INDEX(Equipements!$H:$H,MATCH(A390,Equipements!$A:$A,0))&amp;"."&amp;B390),"")</f>
        <v/>
      </c>
      <c r="D390" s="4"/>
      <c r="E390" s="22"/>
      <c r="F390" s="22"/>
      <c r="G390" s="22"/>
      <c r="H390" s="4"/>
      <c r="I390" s="4"/>
      <c r="J390" s="23" t="str">
        <f aca="false">IF(OR(G390="",H390=""),"","%"&amp;G390&amp;H390)</f>
        <v/>
      </c>
      <c r="K390" s="4"/>
      <c r="L390" s="4"/>
      <c r="M390" s="4"/>
      <c r="N390" s="4"/>
      <c r="O390" s="23" t="str">
        <f aca="false">IF(H390="","",IF(I390="","mot entier","bit "&amp;I390))</f>
        <v/>
      </c>
      <c r="P390" s="4"/>
    </row>
    <row r="391" customFormat="false" ht="15" hidden="false" customHeight="true" outlineLevel="0" collapsed="false">
      <c r="A391" s="22"/>
      <c r="B391" s="22"/>
      <c r="C391" s="23" t="str">
        <f aca="false">IFERROR(IF(OR(A391="",B391=""),"",INDEX(Equipements!$H:$H,MATCH(A391,Equipements!$A:$A,0))&amp;"."&amp;B391),"")</f>
        <v/>
      </c>
      <c r="D391" s="4"/>
      <c r="E391" s="22"/>
      <c r="F391" s="22"/>
      <c r="G391" s="22"/>
      <c r="H391" s="4"/>
      <c r="I391" s="4"/>
      <c r="J391" s="23" t="str">
        <f aca="false">IF(OR(G391="",H391=""),"","%"&amp;G391&amp;H391)</f>
        <v/>
      </c>
      <c r="K391" s="4"/>
      <c r="L391" s="4"/>
      <c r="M391" s="4"/>
      <c r="N391" s="4"/>
      <c r="O391" s="23" t="str">
        <f aca="false">IF(H391="","",IF(I391="","mot entier","bit "&amp;I391))</f>
        <v/>
      </c>
      <c r="P391" s="4"/>
    </row>
    <row r="392" customFormat="false" ht="15" hidden="false" customHeight="true" outlineLevel="0" collapsed="false">
      <c r="A392" s="22"/>
      <c r="B392" s="22"/>
      <c r="C392" s="23" t="str">
        <f aca="false">IFERROR(IF(OR(A392="",B392=""),"",INDEX(Equipements!$H:$H,MATCH(A392,Equipements!$A:$A,0))&amp;"."&amp;B392),"")</f>
        <v/>
      </c>
      <c r="D392" s="4"/>
      <c r="E392" s="22"/>
      <c r="F392" s="22"/>
      <c r="G392" s="22"/>
      <c r="H392" s="4"/>
      <c r="I392" s="4"/>
      <c r="J392" s="23" t="str">
        <f aca="false">IF(OR(G392="",H392=""),"","%"&amp;G392&amp;H392)</f>
        <v/>
      </c>
      <c r="K392" s="4"/>
      <c r="L392" s="4"/>
      <c r="M392" s="4"/>
      <c r="N392" s="4"/>
      <c r="O392" s="23" t="str">
        <f aca="false">IF(H392="","",IF(I392="","mot entier","bit "&amp;I392))</f>
        <v/>
      </c>
      <c r="P392" s="4"/>
    </row>
    <row r="393" customFormat="false" ht="15" hidden="false" customHeight="true" outlineLevel="0" collapsed="false">
      <c r="A393" s="22"/>
      <c r="B393" s="22"/>
      <c r="C393" s="23" t="str">
        <f aca="false">IFERROR(IF(OR(A393="",B393=""),"",INDEX(Equipements!$H:$H,MATCH(A393,Equipements!$A:$A,0))&amp;"."&amp;B393),"")</f>
        <v/>
      </c>
      <c r="D393" s="4"/>
      <c r="E393" s="22"/>
      <c r="F393" s="22"/>
      <c r="G393" s="22"/>
      <c r="H393" s="4"/>
      <c r="I393" s="4"/>
      <c r="J393" s="23" t="str">
        <f aca="false">IF(OR(G393="",H393=""),"","%"&amp;G393&amp;H393)</f>
        <v/>
      </c>
      <c r="K393" s="4"/>
      <c r="L393" s="4"/>
      <c r="M393" s="4"/>
      <c r="N393" s="4"/>
      <c r="O393" s="23" t="str">
        <f aca="false">IF(H393="","",IF(I393="","mot entier","bit "&amp;I393))</f>
        <v/>
      </c>
      <c r="P393" s="4"/>
    </row>
    <row r="394" customFormat="false" ht="15" hidden="false" customHeight="true" outlineLevel="0" collapsed="false">
      <c r="A394" s="22"/>
      <c r="B394" s="22"/>
      <c r="C394" s="23" t="str">
        <f aca="false">IFERROR(IF(OR(A394="",B394=""),"",INDEX(Equipements!$H:$H,MATCH(A394,Equipements!$A:$A,0))&amp;"."&amp;B394),"")</f>
        <v/>
      </c>
      <c r="D394" s="4"/>
      <c r="E394" s="22"/>
      <c r="F394" s="22"/>
      <c r="G394" s="22"/>
      <c r="H394" s="4"/>
      <c r="I394" s="4"/>
      <c r="J394" s="23" t="str">
        <f aca="false">IF(OR(G394="",H394=""),"","%"&amp;G394&amp;H394)</f>
        <v/>
      </c>
      <c r="K394" s="4"/>
      <c r="L394" s="4"/>
      <c r="M394" s="4"/>
      <c r="N394" s="4"/>
      <c r="O394" s="23" t="str">
        <f aca="false">IF(H394="","",IF(I394="","mot entier","bit "&amp;I394))</f>
        <v/>
      </c>
      <c r="P394" s="4"/>
    </row>
    <row r="395" customFormat="false" ht="15" hidden="false" customHeight="true" outlineLevel="0" collapsed="false">
      <c r="A395" s="22"/>
      <c r="B395" s="22"/>
      <c r="C395" s="23" t="str">
        <f aca="false">IFERROR(IF(OR(A395="",B395=""),"",INDEX(Equipements!$H:$H,MATCH(A395,Equipements!$A:$A,0))&amp;"."&amp;B395),"")</f>
        <v/>
      </c>
      <c r="D395" s="4"/>
      <c r="E395" s="22"/>
      <c r="F395" s="22"/>
      <c r="G395" s="22"/>
      <c r="H395" s="4"/>
      <c r="I395" s="4"/>
      <c r="J395" s="23" t="str">
        <f aca="false">IF(OR(G395="",H395=""),"","%"&amp;G395&amp;H395)</f>
        <v/>
      </c>
      <c r="K395" s="4"/>
      <c r="L395" s="4"/>
      <c r="M395" s="4"/>
      <c r="N395" s="4"/>
      <c r="O395" s="23" t="str">
        <f aca="false">IF(H395="","",IF(I395="","mot entier","bit "&amp;I395))</f>
        <v/>
      </c>
      <c r="P395" s="4"/>
    </row>
    <row r="396" customFormat="false" ht="15" hidden="false" customHeight="true" outlineLevel="0" collapsed="false">
      <c r="A396" s="22"/>
      <c r="B396" s="22"/>
      <c r="C396" s="23" t="str">
        <f aca="false">IFERROR(IF(OR(A396="",B396=""),"",INDEX(Equipements!$H:$H,MATCH(A396,Equipements!$A:$A,0))&amp;"."&amp;B396),"")</f>
        <v/>
      </c>
      <c r="D396" s="4"/>
      <c r="E396" s="22"/>
      <c r="F396" s="22"/>
      <c r="G396" s="22"/>
      <c r="H396" s="4"/>
      <c r="I396" s="4"/>
      <c r="J396" s="23" t="str">
        <f aca="false">IF(OR(G396="",H396=""),"","%"&amp;G396&amp;H396)</f>
        <v/>
      </c>
      <c r="K396" s="4"/>
      <c r="L396" s="4"/>
      <c r="M396" s="4"/>
      <c r="N396" s="4"/>
      <c r="O396" s="23" t="str">
        <f aca="false">IF(H396="","",IF(I396="","mot entier","bit "&amp;I396))</f>
        <v/>
      </c>
      <c r="P396" s="4"/>
    </row>
    <row r="397" customFormat="false" ht="15" hidden="false" customHeight="true" outlineLevel="0" collapsed="false">
      <c r="A397" s="22"/>
      <c r="B397" s="22"/>
      <c r="C397" s="23" t="str">
        <f aca="false">IFERROR(IF(OR(A397="",B397=""),"",INDEX(Equipements!$H:$H,MATCH(A397,Equipements!$A:$A,0))&amp;"."&amp;B397),"")</f>
        <v/>
      </c>
      <c r="D397" s="4"/>
      <c r="E397" s="22"/>
      <c r="F397" s="22"/>
      <c r="G397" s="22"/>
      <c r="H397" s="4"/>
      <c r="I397" s="4"/>
      <c r="J397" s="23" t="str">
        <f aca="false">IF(OR(G397="",H397=""),"","%"&amp;G397&amp;H397)</f>
        <v/>
      </c>
      <c r="K397" s="4"/>
      <c r="L397" s="4"/>
      <c r="M397" s="4"/>
      <c r="N397" s="4"/>
      <c r="O397" s="23" t="str">
        <f aca="false">IF(H397="","",IF(I397="","mot entier","bit "&amp;I397))</f>
        <v/>
      </c>
      <c r="P397" s="4"/>
    </row>
    <row r="398" customFormat="false" ht="15" hidden="false" customHeight="true" outlineLevel="0" collapsed="false">
      <c r="A398" s="22"/>
      <c r="B398" s="22"/>
      <c r="C398" s="23" t="str">
        <f aca="false">IFERROR(IF(OR(A398="",B398=""),"",INDEX(Equipements!$H:$H,MATCH(A398,Equipements!$A:$A,0))&amp;"."&amp;B398),"")</f>
        <v/>
      </c>
      <c r="D398" s="4"/>
      <c r="E398" s="22"/>
      <c r="F398" s="22"/>
      <c r="G398" s="22"/>
      <c r="H398" s="4"/>
      <c r="I398" s="4"/>
      <c r="J398" s="23" t="str">
        <f aca="false">IF(OR(G398="",H398=""),"","%"&amp;G398&amp;H398)</f>
        <v/>
      </c>
      <c r="K398" s="4"/>
      <c r="L398" s="4"/>
      <c r="M398" s="4"/>
      <c r="N398" s="4"/>
      <c r="O398" s="23" t="str">
        <f aca="false">IF(H398="","",IF(I398="","mot entier","bit "&amp;I398))</f>
        <v/>
      </c>
      <c r="P398" s="4"/>
    </row>
    <row r="399" customFormat="false" ht="15" hidden="false" customHeight="true" outlineLevel="0" collapsed="false">
      <c r="A399" s="22"/>
      <c r="B399" s="22"/>
      <c r="C399" s="23" t="str">
        <f aca="false">IFERROR(IF(OR(A399="",B399=""),"",INDEX(Equipements!$H:$H,MATCH(A399,Equipements!$A:$A,0))&amp;"."&amp;B399),"")</f>
        <v/>
      </c>
      <c r="D399" s="4"/>
      <c r="E399" s="22"/>
      <c r="F399" s="22"/>
      <c r="G399" s="22"/>
      <c r="H399" s="4"/>
      <c r="I399" s="4"/>
      <c r="J399" s="23" t="str">
        <f aca="false">IF(OR(G399="",H399=""),"","%"&amp;G399&amp;H399)</f>
        <v/>
      </c>
      <c r="K399" s="4"/>
      <c r="L399" s="4"/>
      <c r="M399" s="4"/>
      <c r="N399" s="4"/>
      <c r="O399" s="23" t="str">
        <f aca="false">IF(H399="","",IF(I399="","mot entier","bit "&amp;I399))</f>
        <v/>
      </c>
      <c r="P399" s="4"/>
    </row>
    <row r="400" customFormat="false" ht="15" hidden="false" customHeight="true" outlineLevel="0" collapsed="false">
      <c r="A400" s="22"/>
      <c r="B400" s="22"/>
      <c r="C400" s="23" t="str">
        <f aca="false">IFERROR(IF(OR(A400="",B400=""),"",INDEX(Equipements!$H:$H,MATCH(A400,Equipements!$A:$A,0))&amp;"."&amp;B400),"")</f>
        <v/>
      </c>
      <c r="D400" s="4"/>
      <c r="E400" s="22"/>
      <c r="F400" s="22"/>
      <c r="G400" s="22"/>
      <c r="H400" s="4"/>
      <c r="I400" s="4"/>
      <c r="J400" s="23" t="str">
        <f aca="false">IF(OR(G400="",H400=""),"","%"&amp;G400&amp;H400)</f>
        <v/>
      </c>
      <c r="K400" s="4"/>
      <c r="L400" s="4"/>
      <c r="M400" s="4"/>
      <c r="N400" s="4"/>
      <c r="O400" s="23" t="str">
        <f aca="false">IF(H400="","",IF(I400="","mot entier","bit "&amp;I400))</f>
        <v/>
      </c>
      <c r="P400" s="4"/>
    </row>
    <row r="401" customFormat="false" ht="15" hidden="false" customHeight="true" outlineLevel="0" collapsed="false">
      <c r="A401" s="22"/>
      <c r="B401" s="22"/>
      <c r="C401" s="23" t="str">
        <f aca="false">IFERROR(IF(OR(A401="",B401=""),"",INDEX(Equipements!$H:$H,MATCH(A401,Equipements!$A:$A,0))&amp;"."&amp;B401),"")</f>
        <v/>
      </c>
      <c r="D401" s="4"/>
      <c r="E401" s="22"/>
      <c r="F401" s="22"/>
      <c r="G401" s="22"/>
      <c r="H401" s="4"/>
      <c r="I401" s="4"/>
      <c r="J401" s="23" t="str">
        <f aca="false">IF(OR(G401="",H401=""),"","%"&amp;G401&amp;H401)</f>
        <v/>
      </c>
      <c r="K401" s="4"/>
      <c r="L401" s="4"/>
      <c r="M401" s="4"/>
      <c r="N401" s="4"/>
      <c r="O401" s="23" t="str">
        <f aca="false">IF(H401="","",IF(I401="","mot entier","bit "&amp;I401))</f>
        <v/>
      </c>
      <c r="P401" s="4"/>
    </row>
    <row r="402" customFormat="false" ht="15" hidden="false" customHeight="true" outlineLevel="0" collapsed="false">
      <c r="A402" s="22"/>
      <c r="B402" s="22"/>
      <c r="C402" s="23" t="str">
        <f aca="false">IFERROR(IF(OR(A402="",B402=""),"",INDEX(Equipements!$H:$H,MATCH(A402,Equipements!$A:$A,0))&amp;"."&amp;B402),"")</f>
        <v/>
      </c>
      <c r="D402" s="4"/>
      <c r="E402" s="22"/>
      <c r="F402" s="22"/>
      <c r="G402" s="22"/>
      <c r="H402" s="4"/>
      <c r="I402" s="4"/>
      <c r="J402" s="23" t="str">
        <f aca="false">IF(OR(G402="",H402=""),"","%"&amp;G402&amp;H402)</f>
        <v/>
      </c>
      <c r="K402" s="4"/>
      <c r="L402" s="4"/>
      <c r="M402" s="4"/>
      <c r="N402" s="4"/>
      <c r="O402" s="23" t="str">
        <f aca="false">IF(H402="","",IF(I402="","mot entier","bit "&amp;I402))</f>
        <v/>
      </c>
      <c r="P402" s="4"/>
    </row>
    <row r="403" customFormat="false" ht="15" hidden="false" customHeight="true" outlineLevel="0" collapsed="false">
      <c r="A403" s="22"/>
      <c r="B403" s="22"/>
      <c r="C403" s="23" t="str">
        <f aca="false">IFERROR(IF(OR(A403="",B403=""),"",INDEX(Equipements!$H:$H,MATCH(A403,Equipements!$A:$A,0))&amp;"."&amp;B403),"")</f>
        <v/>
      </c>
      <c r="D403" s="4"/>
      <c r="E403" s="22"/>
      <c r="F403" s="22"/>
      <c r="G403" s="22"/>
      <c r="H403" s="4"/>
      <c r="I403" s="4"/>
      <c r="J403" s="23" t="str">
        <f aca="false">IF(OR(G403="",H403=""),"","%"&amp;G403&amp;H403)</f>
        <v/>
      </c>
      <c r="K403" s="4"/>
      <c r="L403" s="4"/>
      <c r="M403" s="4"/>
      <c r="N403" s="4"/>
      <c r="O403" s="23" t="str">
        <f aca="false">IF(H403="","",IF(I403="","mot entier","bit "&amp;I403))</f>
        <v/>
      </c>
      <c r="P403" s="4"/>
    </row>
    <row r="404" customFormat="false" ht="15" hidden="false" customHeight="true" outlineLevel="0" collapsed="false">
      <c r="A404" s="22"/>
      <c r="B404" s="22"/>
      <c r="C404" s="23" t="str">
        <f aca="false">IFERROR(IF(OR(A404="",B404=""),"",INDEX(Equipements!$H:$H,MATCH(A404,Equipements!$A:$A,0))&amp;"."&amp;B404),"")</f>
        <v/>
      </c>
      <c r="D404" s="4"/>
      <c r="E404" s="22"/>
      <c r="F404" s="22"/>
      <c r="G404" s="22"/>
      <c r="H404" s="4"/>
      <c r="I404" s="4"/>
      <c r="J404" s="23" t="str">
        <f aca="false">IF(OR(G404="",H404=""),"","%"&amp;G404&amp;H404)</f>
        <v/>
      </c>
      <c r="K404" s="4"/>
      <c r="L404" s="4"/>
      <c r="M404" s="4"/>
      <c r="N404" s="4"/>
      <c r="O404" s="23" t="str">
        <f aca="false">IF(H404="","",IF(I404="","mot entier","bit "&amp;I404))</f>
        <v/>
      </c>
      <c r="P404" s="4"/>
    </row>
    <row r="405" customFormat="false" ht="15" hidden="false" customHeight="true" outlineLevel="0" collapsed="false">
      <c r="A405" s="22"/>
      <c r="B405" s="22"/>
      <c r="C405" s="23" t="str">
        <f aca="false">IFERROR(IF(OR(A405="",B405=""),"",INDEX(Equipements!$H:$H,MATCH(A405,Equipements!$A:$A,0))&amp;"."&amp;B405),"")</f>
        <v/>
      </c>
      <c r="D405" s="4"/>
      <c r="E405" s="22"/>
      <c r="F405" s="22"/>
      <c r="G405" s="22"/>
      <c r="H405" s="4"/>
      <c r="I405" s="4"/>
      <c r="J405" s="23" t="str">
        <f aca="false">IF(OR(G405="",H405=""),"","%"&amp;G405&amp;H405)</f>
        <v/>
      </c>
      <c r="K405" s="4"/>
      <c r="L405" s="4"/>
      <c r="M405" s="4"/>
      <c r="N405" s="4"/>
      <c r="O405" s="23" t="str">
        <f aca="false">IF(H405="","",IF(I405="","mot entier","bit "&amp;I405))</f>
        <v/>
      </c>
      <c r="P405" s="4"/>
    </row>
    <row r="406" customFormat="false" ht="15" hidden="false" customHeight="true" outlineLevel="0" collapsed="false">
      <c r="A406" s="22"/>
      <c r="B406" s="22"/>
      <c r="C406" s="23" t="str">
        <f aca="false">IFERROR(IF(OR(A406="",B406=""),"",INDEX(Equipements!$H:$H,MATCH(A406,Equipements!$A:$A,0))&amp;"."&amp;B406),"")</f>
        <v/>
      </c>
      <c r="D406" s="4"/>
      <c r="E406" s="22"/>
      <c r="F406" s="22"/>
      <c r="G406" s="22"/>
      <c r="H406" s="4"/>
      <c r="I406" s="4"/>
      <c r="J406" s="23" t="str">
        <f aca="false">IF(OR(G406="",H406=""),"","%"&amp;G406&amp;H406)</f>
        <v/>
      </c>
      <c r="K406" s="4"/>
      <c r="L406" s="4"/>
      <c r="M406" s="4"/>
      <c r="N406" s="4"/>
      <c r="O406" s="23" t="str">
        <f aca="false">IF(H406="","",IF(I406="","mot entier","bit "&amp;I406))</f>
        <v/>
      </c>
      <c r="P406" s="4"/>
    </row>
    <row r="407" customFormat="false" ht="15" hidden="false" customHeight="true" outlineLevel="0" collapsed="false">
      <c r="A407" s="22"/>
      <c r="B407" s="22"/>
      <c r="C407" s="23" t="str">
        <f aca="false">IFERROR(IF(OR(A407="",B407=""),"",INDEX(Equipements!$H:$H,MATCH(A407,Equipements!$A:$A,0))&amp;"."&amp;B407),"")</f>
        <v/>
      </c>
      <c r="D407" s="4"/>
      <c r="E407" s="22"/>
      <c r="F407" s="22"/>
      <c r="G407" s="22"/>
      <c r="H407" s="4"/>
      <c r="I407" s="4"/>
      <c r="J407" s="23" t="str">
        <f aca="false">IF(OR(G407="",H407=""),"","%"&amp;G407&amp;H407)</f>
        <v/>
      </c>
      <c r="K407" s="4"/>
      <c r="L407" s="4"/>
      <c r="M407" s="4"/>
      <c r="N407" s="4"/>
      <c r="O407" s="23" t="str">
        <f aca="false">IF(H407="","",IF(I407="","mot entier","bit "&amp;I407))</f>
        <v/>
      </c>
      <c r="P407" s="4"/>
    </row>
    <row r="408" customFormat="false" ht="15" hidden="false" customHeight="true" outlineLevel="0" collapsed="false">
      <c r="A408" s="22"/>
      <c r="B408" s="22"/>
      <c r="C408" s="23" t="str">
        <f aca="false">IFERROR(IF(OR(A408="",B408=""),"",INDEX(Equipements!$H:$H,MATCH(A408,Equipements!$A:$A,0))&amp;"."&amp;B408),"")</f>
        <v/>
      </c>
      <c r="D408" s="4"/>
      <c r="E408" s="22"/>
      <c r="F408" s="22"/>
      <c r="G408" s="22"/>
      <c r="H408" s="4"/>
      <c r="I408" s="4"/>
      <c r="J408" s="23" t="str">
        <f aca="false">IF(OR(G408="",H408=""),"","%"&amp;G408&amp;H408)</f>
        <v/>
      </c>
      <c r="K408" s="4"/>
      <c r="L408" s="4"/>
      <c r="M408" s="4"/>
      <c r="N408" s="4"/>
      <c r="O408" s="23" t="str">
        <f aca="false">IF(H408="","",IF(I408="","mot entier","bit "&amp;I408))</f>
        <v/>
      </c>
      <c r="P408" s="4"/>
    </row>
    <row r="409" customFormat="false" ht="15" hidden="false" customHeight="true" outlineLevel="0" collapsed="false">
      <c r="A409" s="22"/>
      <c r="B409" s="22"/>
      <c r="C409" s="23" t="str">
        <f aca="false">IFERROR(IF(OR(A409="",B409=""),"",INDEX(Equipements!$H:$H,MATCH(A409,Equipements!$A:$A,0))&amp;"."&amp;B409),"")</f>
        <v/>
      </c>
      <c r="D409" s="4"/>
      <c r="E409" s="22"/>
      <c r="F409" s="22"/>
      <c r="G409" s="22"/>
      <c r="H409" s="4"/>
      <c r="I409" s="4"/>
      <c r="J409" s="23" t="str">
        <f aca="false">IF(OR(G409="",H409=""),"","%"&amp;G409&amp;H409)</f>
        <v/>
      </c>
      <c r="K409" s="4"/>
      <c r="L409" s="4"/>
      <c r="M409" s="4"/>
      <c r="N409" s="4"/>
      <c r="O409" s="23" t="str">
        <f aca="false">IF(H409="","",IF(I409="","mot entier","bit "&amp;I409))</f>
        <v/>
      </c>
      <c r="P409" s="4"/>
    </row>
    <row r="410" customFormat="false" ht="15" hidden="false" customHeight="true" outlineLevel="0" collapsed="false">
      <c r="A410" s="22"/>
      <c r="B410" s="22"/>
      <c r="C410" s="23" t="str">
        <f aca="false">IFERROR(IF(OR(A410="",B410=""),"",INDEX(Equipements!$H:$H,MATCH(A410,Equipements!$A:$A,0))&amp;"."&amp;B410),"")</f>
        <v/>
      </c>
      <c r="D410" s="4"/>
      <c r="E410" s="22"/>
      <c r="F410" s="22"/>
      <c r="G410" s="22"/>
      <c r="H410" s="4"/>
      <c r="I410" s="4"/>
      <c r="J410" s="23" t="str">
        <f aca="false">IF(OR(G410="",H410=""),"","%"&amp;G410&amp;H410)</f>
        <v/>
      </c>
      <c r="K410" s="4"/>
      <c r="L410" s="4"/>
      <c r="M410" s="4"/>
      <c r="N410" s="4"/>
      <c r="O410" s="23" t="str">
        <f aca="false">IF(H410="","",IF(I410="","mot entier","bit "&amp;I410))</f>
        <v/>
      </c>
      <c r="P410" s="4"/>
    </row>
    <row r="411" customFormat="false" ht="15" hidden="false" customHeight="true" outlineLevel="0" collapsed="false">
      <c r="A411" s="22"/>
      <c r="B411" s="22"/>
      <c r="C411" s="23" t="str">
        <f aca="false">IFERROR(IF(OR(A411="",B411=""),"",INDEX(Equipements!$H:$H,MATCH(A411,Equipements!$A:$A,0))&amp;"."&amp;B411),"")</f>
        <v/>
      </c>
      <c r="D411" s="4"/>
      <c r="E411" s="22"/>
      <c r="F411" s="22"/>
      <c r="G411" s="22"/>
      <c r="H411" s="4"/>
      <c r="I411" s="4"/>
      <c r="J411" s="23" t="str">
        <f aca="false">IF(OR(G411="",H411=""),"","%"&amp;G411&amp;H411)</f>
        <v/>
      </c>
      <c r="K411" s="4"/>
      <c r="L411" s="4"/>
      <c r="M411" s="4"/>
      <c r="N411" s="4"/>
      <c r="O411" s="23" t="str">
        <f aca="false">IF(H411="","",IF(I411="","mot entier","bit "&amp;I411))</f>
        <v/>
      </c>
      <c r="P411" s="4"/>
    </row>
    <row r="412" customFormat="false" ht="15" hidden="false" customHeight="true" outlineLevel="0" collapsed="false">
      <c r="A412" s="22"/>
      <c r="B412" s="22"/>
      <c r="C412" s="23" t="str">
        <f aca="false">IFERROR(IF(OR(A412="",B412=""),"",INDEX(Equipements!$H:$H,MATCH(A412,Equipements!$A:$A,0))&amp;"."&amp;B412),"")</f>
        <v/>
      </c>
      <c r="D412" s="4"/>
      <c r="E412" s="22"/>
      <c r="F412" s="22"/>
      <c r="G412" s="22"/>
      <c r="H412" s="4"/>
      <c r="I412" s="4"/>
      <c r="J412" s="23" t="str">
        <f aca="false">IF(OR(G412="",H412=""),"","%"&amp;G412&amp;H412)</f>
        <v/>
      </c>
      <c r="K412" s="4"/>
      <c r="L412" s="4"/>
      <c r="M412" s="4"/>
      <c r="N412" s="4"/>
      <c r="O412" s="23" t="str">
        <f aca="false">IF(H412="","",IF(I412="","mot entier","bit "&amp;I412))</f>
        <v/>
      </c>
      <c r="P412" s="4"/>
    </row>
    <row r="413" customFormat="false" ht="15" hidden="false" customHeight="true" outlineLevel="0" collapsed="false">
      <c r="A413" s="22"/>
      <c r="B413" s="22"/>
      <c r="C413" s="23" t="str">
        <f aca="false">IFERROR(IF(OR(A413="",B413=""),"",INDEX(Equipements!$H:$H,MATCH(A413,Equipements!$A:$A,0))&amp;"."&amp;B413),"")</f>
        <v/>
      </c>
      <c r="D413" s="4"/>
      <c r="E413" s="22"/>
      <c r="F413" s="22"/>
      <c r="G413" s="22"/>
      <c r="H413" s="4"/>
      <c r="I413" s="4"/>
      <c r="J413" s="23" t="str">
        <f aca="false">IF(OR(G413="",H413=""),"","%"&amp;G413&amp;H413)</f>
        <v/>
      </c>
      <c r="K413" s="4"/>
      <c r="L413" s="4"/>
      <c r="M413" s="4"/>
      <c r="N413" s="4"/>
      <c r="O413" s="23" t="str">
        <f aca="false">IF(H413="","",IF(I413="","mot entier","bit "&amp;I413))</f>
        <v/>
      </c>
      <c r="P413" s="4"/>
    </row>
    <row r="414" customFormat="false" ht="15" hidden="false" customHeight="true" outlineLevel="0" collapsed="false">
      <c r="A414" s="22"/>
      <c r="B414" s="22"/>
      <c r="C414" s="23" t="str">
        <f aca="false">IFERROR(IF(OR(A414="",B414=""),"",INDEX(Equipements!$H:$H,MATCH(A414,Equipements!$A:$A,0))&amp;"."&amp;B414),"")</f>
        <v/>
      </c>
      <c r="D414" s="4"/>
      <c r="E414" s="22"/>
      <c r="F414" s="22"/>
      <c r="G414" s="22"/>
      <c r="H414" s="4"/>
      <c r="I414" s="4"/>
      <c r="J414" s="23" t="str">
        <f aca="false">IF(OR(G414="",H414=""),"","%"&amp;G414&amp;H414)</f>
        <v/>
      </c>
      <c r="K414" s="4"/>
      <c r="L414" s="4"/>
      <c r="M414" s="4"/>
      <c r="N414" s="4"/>
      <c r="O414" s="23" t="str">
        <f aca="false">IF(H414="","",IF(I414="","mot entier","bit "&amp;I414))</f>
        <v/>
      </c>
      <c r="P414" s="4"/>
    </row>
    <row r="415" customFormat="false" ht="15" hidden="false" customHeight="true" outlineLevel="0" collapsed="false">
      <c r="A415" s="22"/>
      <c r="B415" s="22"/>
      <c r="C415" s="23" t="str">
        <f aca="false">IFERROR(IF(OR(A415="",B415=""),"",INDEX(Equipements!$H:$H,MATCH(A415,Equipements!$A:$A,0))&amp;"."&amp;B415),"")</f>
        <v/>
      </c>
      <c r="D415" s="4"/>
      <c r="E415" s="22"/>
      <c r="F415" s="22"/>
      <c r="G415" s="22"/>
      <c r="H415" s="4"/>
      <c r="I415" s="4"/>
      <c r="J415" s="23" t="str">
        <f aca="false">IF(OR(G415="",H415=""),"","%"&amp;G415&amp;H415)</f>
        <v/>
      </c>
      <c r="K415" s="4"/>
      <c r="L415" s="4"/>
      <c r="M415" s="4"/>
      <c r="N415" s="4"/>
      <c r="O415" s="23" t="str">
        <f aca="false">IF(H415="","",IF(I415="","mot entier","bit "&amp;I415))</f>
        <v/>
      </c>
      <c r="P415" s="4"/>
    </row>
    <row r="416" customFormat="false" ht="15" hidden="false" customHeight="true" outlineLevel="0" collapsed="false">
      <c r="A416" s="22"/>
      <c r="B416" s="22"/>
      <c r="C416" s="23" t="str">
        <f aca="false">IFERROR(IF(OR(A416="",B416=""),"",INDEX(Equipements!$H:$H,MATCH(A416,Equipements!$A:$A,0))&amp;"."&amp;B416),"")</f>
        <v/>
      </c>
      <c r="D416" s="4"/>
      <c r="E416" s="22"/>
      <c r="F416" s="22"/>
      <c r="G416" s="22"/>
      <c r="H416" s="4"/>
      <c r="I416" s="4"/>
      <c r="J416" s="23" t="str">
        <f aca="false">IF(OR(G416="",H416=""),"","%"&amp;G416&amp;H416)</f>
        <v/>
      </c>
      <c r="K416" s="4"/>
      <c r="L416" s="4"/>
      <c r="M416" s="4"/>
      <c r="N416" s="4"/>
      <c r="O416" s="23" t="str">
        <f aca="false">IF(H416="","",IF(I416="","mot entier","bit "&amp;I416))</f>
        <v/>
      </c>
      <c r="P416" s="4"/>
    </row>
    <row r="417" customFormat="false" ht="15" hidden="false" customHeight="true" outlineLevel="0" collapsed="false">
      <c r="A417" s="22"/>
      <c r="B417" s="22"/>
      <c r="C417" s="23" t="str">
        <f aca="false">IFERROR(IF(OR(A417="",B417=""),"",INDEX(Equipements!$H:$H,MATCH(A417,Equipements!$A:$A,0))&amp;"."&amp;B417),"")</f>
        <v/>
      </c>
      <c r="D417" s="4"/>
      <c r="E417" s="22"/>
      <c r="F417" s="22"/>
      <c r="G417" s="22"/>
      <c r="H417" s="4"/>
      <c r="I417" s="4"/>
      <c r="J417" s="23" t="str">
        <f aca="false">IF(OR(G417="",H417=""),"","%"&amp;G417&amp;H417)</f>
        <v/>
      </c>
      <c r="K417" s="4"/>
      <c r="L417" s="4"/>
      <c r="M417" s="4"/>
      <c r="N417" s="4"/>
      <c r="O417" s="23" t="str">
        <f aca="false">IF(H417="","",IF(I417="","mot entier","bit "&amp;I417))</f>
        <v/>
      </c>
      <c r="P417" s="4"/>
    </row>
    <row r="418" customFormat="false" ht="15" hidden="false" customHeight="true" outlineLevel="0" collapsed="false">
      <c r="A418" s="22"/>
      <c r="B418" s="22"/>
      <c r="C418" s="23" t="str">
        <f aca="false">IFERROR(IF(OR(A418="",B418=""),"",INDEX(Equipements!$H:$H,MATCH(A418,Equipements!$A:$A,0))&amp;"."&amp;B418),"")</f>
        <v/>
      </c>
      <c r="D418" s="4"/>
      <c r="E418" s="22"/>
      <c r="F418" s="22"/>
      <c r="G418" s="22"/>
      <c r="H418" s="4"/>
      <c r="I418" s="4"/>
      <c r="J418" s="23" t="str">
        <f aca="false">IF(OR(G418="",H418=""),"","%"&amp;G418&amp;H418)</f>
        <v/>
      </c>
      <c r="K418" s="4"/>
      <c r="L418" s="4"/>
      <c r="M418" s="4"/>
      <c r="N418" s="4"/>
      <c r="O418" s="23" t="str">
        <f aca="false">IF(H418="","",IF(I418="","mot entier","bit "&amp;I418))</f>
        <v/>
      </c>
      <c r="P418" s="4"/>
    </row>
    <row r="419" customFormat="false" ht="15" hidden="false" customHeight="true" outlineLevel="0" collapsed="false">
      <c r="A419" s="22"/>
      <c r="B419" s="22"/>
      <c r="C419" s="23" t="str">
        <f aca="false">IFERROR(IF(OR(A419="",B419=""),"",INDEX(Equipements!$H:$H,MATCH(A419,Equipements!$A:$A,0))&amp;"."&amp;B419),"")</f>
        <v/>
      </c>
      <c r="D419" s="4"/>
      <c r="E419" s="22"/>
      <c r="F419" s="22"/>
      <c r="G419" s="22"/>
      <c r="H419" s="4"/>
      <c r="I419" s="4"/>
      <c r="J419" s="23" t="str">
        <f aca="false">IF(OR(G419="",H419=""),"","%"&amp;G419&amp;H419)</f>
        <v/>
      </c>
      <c r="K419" s="4"/>
      <c r="L419" s="4"/>
      <c r="M419" s="4"/>
      <c r="N419" s="4"/>
      <c r="O419" s="23" t="str">
        <f aca="false">IF(H419="","",IF(I419="","mot entier","bit "&amp;I419))</f>
        <v/>
      </c>
      <c r="P419" s="4"/>
    </row>
    <row r="420" customFormat="false" ht="15" hidden="false" customHeight="true" outlineLevel="0" collapsed="false">
      <c r="A420" s="22"/>
      <c r="B420" s="22"/>
      <c r="C420" s="23" t="str">
        <f aca="false">IFERROR(IF(OR(A420="",B420=""),"",INDEX(Equipements!$H:$H,MATCH(A420,Equipements!$A:$A,0))&amp;"."&amp;B420),"")</f>
        <v/>
      </c>
      <c r="D420" s="4"/>
      <c r="E420" s="22"/>
      <c r="F420" s="22"/>
      <c r="G420" s="22"/>
      <c r="H420" s="4"/>
      <c r="I420" s="4"/>
      <c r="J420" s="23" t="str">
        <f aca="false">IF(OR(G420="",H420=""),"","%"&amp;G420&amp;H420)</f>
        <v/>
      </c>
      <c r="K420" s="4"/>
      <c r="L420" s="4"/>
      <c r="M420" s="4"/>
      <c r="N420" s="4"/>
      <c r="O420" s="23" t="str">
        <f aca="false">IF(H420="","",IF(I420="","mot entier","bit "&amp;I420))</f>
        <v/>
      </c>
      <c r="P420" s="4"/>
    </row>
    <row r="421" customFormat="false" ht="15" hidden="false" customHeight="true" outlineLevel="0" collapsed="false">
      <c r="A421" s="22"/>
      <c r="B421" s="22"/>
      <c r="C421" s="23" t="str">
        <f aca="false">IFERROR(IF(OR(A421="",B421=""),"",INDEX(Equipements!$H:$H,MATCH(A421,Equipements!$A:$A,0))&amp;"."&amp;B421),"")</f>
        <v/>
      </c>
      <c r="D421" s="4"/>
      <c r="E421" s="22"/>
      <c r="F421" s="22"/>
      <c r="G421" s="22"/>
      <c r="H421" s="4"/>
      <c r="I421" s="4"/>
      <c r="J421" s="23" t="str">
        <f aca="false">IF(OR(G421="",H421=""),"","%"&amp;G421&amp;H421)</f>
        <v/>
      </c>
      <c r="K421" s="4"/>
      <c r="L421" s="4"/>
      <c r="M421" s="4"/>
      <c r="N421" s="4"/>
      <c r="O421" s="23" t="str">
        <f aca="false">IF(H421="","",IF(I421="","mot entier","bit "&amp;I421))</f>
        <v/>
      </c>
      <c r="P421" s="4"/>
    </row>
    <row r="422" customFormat="false" ht="15" hidden="false" customHeight="true" outlineLevel="0" collapsed="false">
      <c r="A422" s="22"/>
      <c r="B422" s="22"/>
      <c r="C422" s="23" t="str">
        <f aca="false">IFERROR(IF(OR(A422="",B422=""),"",INDEX(Equipements!$H:$H,MATCH(A422,Equipements!$A:$A,0))&amp;"."&amp;B422),"")</f>
        <v/>
      </c>
      <c r="D422" s="4"/>
      <c r="E422" s="22"/>
      <c r="F422" s="22"/>
      <c r="G422" s="22"/>
      <c r="H422" s="4"/>
      <c r="I422" s="4"/>
      <c r="J422" s="23" t="str">
        <f aca="false">IF(OR(G422="",H422=""),"","%"&amp;G422&amp;H422)</f>
        <v/>
      </c>
      <c r="K422" s="4"/>
      <c r="L422" s="4"/>
      <c r="M422" s="4"/>
      <c r="N422" s="4"/>
      <c r="O422" s="23" t="str">
        <f aca="false">IF(H422="","",IF(I422="","mot entier","bit "&amp;I422))</f>
        <v/>
      </c>
      <c r="P422" s="4"/>
    </row>
    <row r="423" customFormat="false" ht="15" hidden="false" customHeight="true" outlineLevel="0" collapsed="false">
      <c r="A423" s="22"/>
      <c r="B423" s="22"/>
      <c r="C423" s="23" t="str">
        <f aca="false">IFERROR(IF(OR(A423="",B423=""),"",INDEX(Equipements!$H:$H,MATCH(A423,Equipements!$A:$A,0))&amp;"."&amp;B423),"")</f>
        <v/>
      </c>
      <c r="D423" s="4"/>
      <c r="E423" s="22"/>
      <c r="F423" s="22"/>
      <c r="G423" s="22"/>
      <c r="H423" s="4"/>
      <c r="I423" s="4"/>
      <c r="J423" s="23" t="str">
        <f aca="false">IF(OR(G423="",H423=""),"","%"&amp;G423&amp;H423)</f>
        <v/>
      </c>
      <c r="K423" s="4"/>
      <c r="L423" s="4"/>
      <c r="M423" s="4"/>
      <c r="N423" s="4"/>
      <c r="O423" s="23" t="str">
        <f aca="false">IF(H423="","",IF(I423="","mot entier","bit "&amp;I423))</f>
        <v/>
      </c>
      <c r="P423" s="4"/>
    </row>
    <row r="424" customFormat="false" ht="15" hidden="false" customHeight="true" outlineLevel="0" collapsed="false">
      <c r="A424" s="22"/>
      <c r="B424" s="22"/>
      <c r="C424" s="23" t="str">
        <f aca="false">IFERROR(IF(OR(A424="",B424=""),"",INDEX(Equipements!$H:$H,MATCH(A424,Equipements!$A:$A,0))&amp;"."&amp;B424),"")</f>
        <v/>
      </c>
      <c r="D424" s="4"/>
      <c r="E424" s="22"/>
      <c r="F424" s="22"/>
      <c r="G424" s="22"/>
      <c r="H424" s="4"/>
      <c r="I424" s="4"/>
      <c r="J424" s="23" t="str">
        <f aca="false">IF(OR(G424="",H424=""),"","%"&amp;G424&amp;H424)</f>
        <v/>
      </c>
      <c r="K424" s="4"/>
      <c r="L424" s="4"/>
      <c r="M424" s="4"/>
      <c r="N424" s="4"/>
      <c r="O424" s="23" t="str">
        <f aca="false">IF(H424="","",IF(I424="","mot entier","bit "&amp;I424))</f>
        <v/>
      </c>
      <c r="P424" s="4"/>
    </row>
    <row r="425" customFormat="false" ht="15" hidden="false" customHeight="true" outlineLevel="0" collapsed="false">
      <c r="A425" s="22"/>
      <c r="B425" s="22"/>
      <c r="C425" s="23" t="str">
        <f aca="false">IFERROR(IF(OR(A425="",B425=""),"",INDEX(Equipements!$H:$H,MATCH(A425,Equipements!$A:$A,0))&amp;"."&amp;B425),"")</f>
        <v/>
      </c>
      <c r="D425" s="4"/>
      <c r="E425" s="22"/>
      <c r="F425" s="22"/>
      <c r="G425" s="22"/>
      <c r="H425" s="4"/>
      <c r="I425" s="4"/>
      <c r="J425" s="23" t="str">
        <f aca="false">IF(OR(G425="",H425=""),"","%"&amp;G425&amp;H425)</f>
        <v/>
      </c>
      <c r="K425" s="4"/>
      <c r="L425" s="4"/>
      <c r="M425" s="4"/>
      <c r="N425" s="4"/>
      <c r="O425" s="23" t="str">
        <f aca="false">IF(H425="","",IF(I425="","mot entier","bit "&amp;I425))</f>
        <v/>
      </c>
      <c r="P425" s="4"/>
    </row>
    <row r="426" customFormat="false" ht="15" hidden="false" customHeight="true" outlineLevel="0" collapsed="false">
      <c r="A426" s="22"/>
      <c r="B426" s="22"/>
      <c r="C426" s="23" t="str">
        <f aca="false">IFERROR(IF(OR(A426="",B426=""),"",INDEX(Equipements!$H:$H,MATCH(A426,Equipements!$A:$A,0))&amp;"."&amp;B426),"")</f>
        <v/>
      </c>
      <c r="D426" s="4"/>
      <c r="E426" s="22"/>
      <c r="F426" s="22"/>
      <c r="G426" s="22"/>
      <c r="H426" s="4"/>
      <c r="I426" s="4"/>
      <c r="J426" s="23" t="str">
        <f aca="false">IF(OR(G426="",H426=""),"","%"&amp;G426&amp;H426)</f>
        <v/>
      </c>
      <c r="K426" s="4"/>
      <c r="L426" s="4"/>
      <c r="M426" s="4"/>
      <c r="N426" s="4"/>
      <c r="O426" s="23" t="str">
        <f aca="false">IF(H426="","",IF(I426="","mot entier","bit "&amp;I426))</f>
        <v/>
      </c>
      <c r="P426" s="4"/>
    </row>
    <row r="427" customFormat="false" ht="15" hidden="false" customHeight="true" outlineLevel="0" collapsed="false">
      <c r="A427" s="22"/>
      <c r="B427" s="22"/>
      <c r="C427" s="23" t="str">
        <f aca="false">IFERROR(IF(OR(A427="",B427=""),"",INDEX(Equipements!$H:$H,MATCH(A427,Equipements!$A:$A,0))&amp;"."&amp;B427),"")</f>
        <v/>
      </c>
      <c r="D427" s="4"/>
      <c r="E427" s="22"/>
      <c r="F427" s="22"/>
      <c r="G427" s="22"/>
      <c r="H427" s="4"/>
      <c r="I427" s="4"/>
      <c r="J427" s="23" t="str">
        <f aca="false">IF(OR(G427="",H427=""),"","%"&amp;G427&amp;H427)</f>
        <v/>
      </c>
      <c r="K427" s="4"/>
      <c r="L427" s="4"/>
      <c r="M427" s="4"/>
      <c r="N427" s="4"/>
      <c r="O427" s="23" t="str">
        <f aca="false">IF(H427="","",IF(I427="","mot entier","bit "&amp;I427))</f>
        <v/>
      </c>
      <c r="P427" s="4"/>
    </row>
    <row r="428" customFormat="false" ht="15" hidden="false" customHeight="true" outlineLevel="0" collapsed="false">
      <c r="A428" s="22"/>
      <c r="B428" s="22"/>
      <c r="C428" s="23" t="str">
        <f aca="false">IFERROR(IF(OR(A428="",B428=""),"",INDEX(Equipements!$H:$H,MATCH(A428,Equipements!$A:$A,0))&amp;"."&amp;B428),"")</f>
        <v/>
      </c>
      <c r="D428" s="4"/>
      <c r="E428" s="22"/>
      <c r="F428" s="22"/>
      <c r="G428" s="22"/>
      <c r="H428" s="4"/>
      <c r="I428" s="4"/>
      <c r="J428" s="23" t="str">
        <f aca="false">IF(OR(G428="",H428=""),"","%"&amp;G428&amp;H428)</f>
        <v/>
      </c>
      <c r="K428" s="4"/>
      <c r="L428" s="4"/>
      <c r="M428" s="4"/>
      <c r="N428" s="4"/>
      <c r="O428" s="23" t="str">
        <f aca="false">IF(H428="","",IF(I428="","mot entier","bit "&amp;I428))</f>
        <v/>
      </c>
      <c r="P428" s="4"/>
    </row>
    <row r="429" customFormat="false" ht="15" hidden="false" customHeight="true" outlineLevel="0" collapsed="false">
      <c r="A429" s="22"/>
      <c r="B429" s="22"/>
      <c r="C429" s="23" t="str">
        <f aca="false">IFERROR(IF(OR(A429="",B429=""),"",INDEX(Equipements!$H:$H,MATCH(A429,Equipements!$A:$A,0))&amp;"."&amp;B429),"")</f>
        <v/>
      </c>
      <c r="D429" s="4"/>
      <c r="E429" s="22"/>
      <c r="F429" s="22"/>
      <c r="G429" s="22"/>
      <c r="H429" s="4"/>
      <c r="I429" s="4"/>
      <c r="J429" s="23" t="str">
        <f aca="false">IF(OR(G429="",H429=""),"","%"&amp;G429&amp;H429)</f>
        <v/>
      </c>
      <c r="K429" s="4"/>
      <c r="L429" s="4"/>
      <c r="M429" s="4"/>
      <c r="N429" s="4"/>
      <c r="O429" s="23" t="str">
        <f aca="false">IF(H429="","",IF(I429="","mot entier","bit "&amp;I429))</f>
        <v/>
      </c>
      <c r="P429" s="4"/>
    </row>
    <row r="430" customFormat="false" ht="15" hidden="false" customHeight="true" outlineLevel="0" collapsed="false">
      <c r="A430" s="22"/>
      <c r="B430" s="22"/>
      <c r="C430" s="23" t="str">
        <f aca="false">IFERROR(IF(OR(A430="",B430=""),"",INDEX(Equipements!$H:$H,MATCH(A430,Equipements!$A:$A,0))&amp;"."&amp;B430),"")</f>
        <v/>
      </c>
      <c r="D430" s="4"/>
      <c r="E430" s="22"/>
      <c r="F430" s="22"/>
      <c r="G430" s="22"/>
      <c r="H430" s="4"/>
      <c r="I430" s="4"/>
      <c r="J430" s="23" t="str">
        <f aca="false">IF(OR(G430="",H430=""),"","%"&amp;G430&amp;H430)</f>
        <v/>
      </c>
      <c r="K430" s="4"/>
      <c r="L430" s="4"/>
      <c r="M430" s="4"/>
      <c r="N430" s="4"/>
      <c r="O430" s="23" t="str">
        <f aca="false">IF(H430="","",IF(I430="","mot entier","bit "&amp;I430))</f>
        <v/>
      </c>
      <c r="P430" s="4"/>
    </row>
    <row r="431" customFormat="false" ht="15" hidden="false" customHeight="true" outlineLevel="0" collapsed="false">
      <c r="A431" s="22"/>
      <c r="B431" s="22"/>
      <c r="C431" s="23" t="str">
        <f aca="false">IFERROR(IF(OR(A431="",B431=""),"",INDEX(Equipements!$H:$H,MATCH(A431,Equipements!$A:$A,0))&amp;"."&amp;B431),"")</f>
        <v/>
      </c>
      <c r="D431" s="4"/>
      <c r="E431" s="22"/>
      <c r="F431" s="22"/>
      <c r="G431" s="22"/>
      <c r="H431" s="4"/>
      <c r="I431" s="4"/>
      <c r="J431" s="23" t="str">
        <f aca="false">IF(OR(G431="",H431=""),"","%"&amp;G431&amp;H431)</f>
        <v/>
      </c>
      <c r="K431" s="4"/>
      <c r="L431" s="4"/>
      <c r="M431" s="4"/>
      <c r="N431" s="4"/>
      <c r="O431" s="23" t="str">
        <f aca="false">IF(H431="","",IF(I431="","mot entier","bit "&amp;I431))</f>
        <v/>
      </c>
      <c r="P431" s="4"/>
    </row>
    <row r="432" customFormat="false" ht="15" hidden="false" customHeight="true" outlineLevel="0" collapsed="false">
      <c r="A432" s="22"/>
      <c r="B432" s="22"/>
      <c r="C432" s="23" t="str">
        <f aca="false">IFERROR(IF(OR(A432="",B432=""),"",INDEX(Equipements!$H:$H,MATCH(A432,Equipements!$A:$A,0))&amp;"."&amp;B432),"")</f>
        <v/>
      </c>
      <c r="D432" s="4"/>
      <c r="E432" s="22"/>
      <c r="F432" s="22"/>
      <c r="G432" s="22"/>
      <c r="H432" s="4"/>
      <c r="I432" s="4"/>
      <c r="J432" s="23" t="str">
        <f aca="false">IF(OR(G432="",H432=""),"","%"&amp;G432&amp;H432)</f>
        <v/>
      </c>
      <c r="K432" s="4"/>
      <c r="L432" s="4"/>
      <c r="M432" s="4"/>
      <c r="N432" s="4"/>
      <c r="O432" s="23" t="str">
        <f aca="false">IF(H432="","",IF(I432="","mot entier","bit "&amp;I432))</f>
        <v/>
      </c>
      <c r="P432" s="4"/>
    </row>
    <row r="433" customFormat="false" ht="15" hidden="false" customHeight="true" outlineLevel="0" collapsed="false">
      <c r="A433" s="22"/>
      <c r="B433" s="22"/>
      <c r="C433" s="23" t="str">
        <f aca="false">IFERROR(IF(OR(A433="",B433=""),"",INDEX(Equipements!$H:$H,MATCH(A433,Equipements!$A:$A,0))&amp;"."&amp;B433),"")</f>
        <v/>
      </c>
      <c r="D433" s="4"/>
      <c r="E433" s="22"/>
      <c r="F433" s="22"/>
      <c r="G433" s="22"/>
      <c r="H433" s="4"/>
      <c r="I433" s="4"/>
      <c r="J433" s="23" t="str">
        <f aca="false">IF(OR(G433="",H433=""),"","%"&amp;G433&amp;H433)</f>
        <v/>
      </c>
      <c r="K433" s="4"/>
      <c r="L433" s="4"/>
      <c r="M433" s="4"/>
      <c r="N433" s="4"/>
      <c r="O433" s="23" t="str">
        <f aca="false">IF(H433="","",IF(I433="","mot entier","bit "&amp;I433))</f>
        <v/>
      </c>
      <c r="P433" s="4"/>
    </row>
    <row r="434" customFormat="false" ht="15" hidden="false" customHeight="true" outlineLevel="0" collapsed="false">
      <c r="A434" s="22"/>
      <c r="B434" s="22"/>
      <c r="C434" s="23" t="str">
        <f aca="false">IFERROR(IF(OR(A434="",B434=""),"",INDEX(Equipements!$H:$H,MATCH(A434,Equipements!$A:$A,0))&amp;"."&amp;B434),"")</f>
        <v/>
      </c>
      <c r="D434" s="4"/>
      <c r="E434" s="22"/>
      <c r="F434" s="22"/>
      <c r="G434" s="22"/>
      <c r="H434" s="4"/>
      <c r="I434" s="4"/>
      <c r="J434" s="23" t="str">
        <f aca="false">IF(OR(G434="",H434=""),"","%"&amp;G434&amp;H434)</f>
        <v/>
      </c>
      <c r="K434" s="4"/>
      <c r="L434" s="4"/>
      <c r="M434" s="4"/>
      <c r="N434" s="4"/>
      <c r="O434" s="23" t="str">
        <f aca="false">IF(H434="","",IF(I434="","mot entier","bit "&amp;I434))</f>
        <v/>
      </c>
      <c r="P434" s="4"/>
    </row>
    <row r="435" customFormat="false" ht="15" hidden="false" customHeight="true" outlineLevel="0" collapsed="false">
      <c r="A435" s="22"/>
      <c r="B435" s="22"/>
      <c r="C435" s="23" t="str">
        <f aca="false">IFERROR(IF(OR(A435="",B435=""),"",INDEX(Equipements!$H:$H,MATCH(A435,Equipements!$A:$A,0))&amp;"."&amp;B435),"")</f>
        <v/>
      </c>
      <c r="D435" s="4"/>
      <c r="E435" s="22"/>
      <c r="F435" s="22"/>
      <c r="G435" s="22"/>
      <c r="H435" s="4"/>
      <c r="I435" s="4"/>
      <c r="J435" s="23" t="str">
        <f aca="false">IF(OR(G435="",H435=""),"","%"&amp;G435&amp;H435)</f>
        <v/>
      </c>
      <c r="K435" s="4"/>
      <c r="L435" s="4"/>
      <c r="M435" s="4"/>
      <c r="N435" s="4"/>
      <c r="O435" s="23" t="str">
        <f aca="false">IF(H435="","",IF(I435="","mot entier","bit "&amp;I435))</f>
        <v/>
      </c>
      <c r="P435" s="4"/>
    </row>
    <row r="436" customFormat="false" ht="15" hidden="false" customHeight="true" outlineLevel="0" collapsed="false">
      <c r="A436" s="22"/>
      <c r="B436" s="22"/>
      <c r="C436" s="23" t="str">
        <f aca="false">IFERROR(IF(OR(A436="",B436=""),"",INDEX(Equipements!$H:$H,MATCH(A436,Equipements!$A:$A,0))&amp;"."&amp;B436),"")</f>
        <v/>
      </c>
      <c r="D436" s="4"/>
      <c r="E436" s="22"/>
      <c r="F436" s="22"/>
      <c r="G436" s="22"/>
      <c r="H436" s="4"/>
      <c r="I436" s="4"/>
      <c r="J436" s="23" t="str">
        <f aca="false">IF(OR(G436="",H436=""),"","%"&amp;G436&amp;H436)</f>
        <v/>
      </c>
      <c r="K436" s="4"/>
      <c r="L436" s="4"/>
      <c r="M436" s="4"/>
      <c r="N436" s="4"/>
      <c r="O436" s="23" t="str">
        <f aca="false">IF(H436="","",IF(I436="","mot entier","bit "&amp;I436))</f>
        <v/>
      </c>
      <c r="P436" s="4"/>
    </row>
    <row r="437" customFormat="false" ht="15" hidden="false" customHeight="true" outlineLevel="0" collapsed="false">
      <c r="A437" s="22"/>
      <c r="B437" s="22"/>
      <c r="C437" s="23" t="str">
        <f aca="false">IFERROR(IF(OR(A437="",B437=""),"",INDEX(Equipements!$H:$H,MATCH(A437,Equipements!$A:$A,0))&amp;"."&amp;B437),"")</f>
        <v/>
      </c>
      <c r="D437" s="4"/>
      <c r="E437" s="22"/>
      <c r="F437" s="22"/>
      <c r="G437" s="22"/>
      <c r="H437" s="4"/>
      <c r="I437" s="4"/>
      <c r="J437" s="23" t="str">
        <f aca="false">IF(OR(G437="",H437=""),"","%"&amp;G437&amp;H437)</f>
        <v/>
      </c>
      <c r="K437" s="4"/>
      <c r="L437" s="4"/>
      <c r="M437" s="4"/>
      <c r="N437" s="4"/>
      <c r="O437" s="23" t="str">
        <f aca="false">IF(H437="","",IF(I437="","mot entier","bit "&amp;I437))</f>
        <v/>
      </c>
      <c r="P437" s="4"/>
    </row>
    <row r="438" customFormat="false" ht="15" hidden="false" customHeight="true" outlineLevel="0" collapsed="false">
      <c r="A438" s="22"/>
      <c r="B438" s="22"/>
      <c r="C438" s="23" t="str">
        <f aca="false">IFERROR(IF(OR(A438="",B438=""),"",INDEX(Equipements!$H:$H,MATCH(A438,Equipements!$A:$A,0))&amp;"."&amp;B438),"")</f>
        <v/>
      </c>
      <c r="D438" s="4"/>
      <c r="E438" s="22"/>
      <c r="F438" s="22"/>
      <c r="G438" s="22"/>
      <c r="H438" s="4"/>
      <c r="I438" s="4"/>
      <c r="J438" s="23" t="str">
        <f aca="false">IF(OR(G438="",H438=""),"","%"&amp;G438&amp;H438)</f>
        <v/>
      </c>
      <c r="K438" s="4"/>
      <c r="L438" s="4"/>
      <c r="M438" s="4"/>
      <c r="N438" s="4"/>
      <c r="O438" s="23" t="str">
        <f aca="false">IF(H438="","",IF(I438="","mot entier","bit "&amp;I438))</f>
        <v/>
      </c>
      <c r="P438" s="4"/>
    </row>
    <row r="439" customFormat="false" ht="15" hidden="false" customHeight="true" outlineLevel="0" collapsed="false">
      <c r="A439" s="22"/>
      <c r="B439" s="22"/>
      <c r="C439" s="23" t="str">
        <f aca="false">IFERROR(IF(OR(A439="",B439=""),"",INDEX(Equipements!$H:$H,MATCH(A439,Equipements!$A:$A,0))&amp;"."&amp;B439),"")</f>
        <v/>
      </c>
      <c r="D439" s="4"/>
      <c r="E439" s="22"/>
      <c r="F439" s="22"/>
      <c r="G439" s="22"/>
      <c r="H439" s="4"/>
      <c r="I439" s="4"/>
      <c r="J439" s="23" t="str">
        <f aca="false">IF(OR(G439="",H439=""),"","%"&amp;G439&amp;H439)</f>
        <v/>
      </c>
      <c r="K439" s="4"/>
      <c r="L439" s="4"/>
      <c r="M439" s="4"/>
      <c r="N439" s="4"/>
      <c r="O439" s="23" t="str">
        <f aca="false">IF(H439="","",IF(I439="","mot entier","bit "&amp;I439))</f>
        <v/>
      </c>
      <c r="P439" s="4"/>
    </row>
    <row r="440" customFormat="false" ht="15" hidden="false" customHeight="true" outlineLevel="0" collapsed="false">
      <c r="A440" s="22"/>
      <c r="B440" s="22"/>
      <c r="C440" s="23" t="str">
        <f aca="false">IFERROR(IF(OR(A440="",B440=""),"",INDEX(Equipements!$H:$H,MATCH(A440,Equipements!$A:$A,0))&amp;"."&amp;B440),"")</f>
        <v/>
      </c>
      <c r="D440" s="4"/>
      <c r="E440" s="22"/>
      <c r="F440" s="22"/>
      <c r="G440" s="22"/>
      <c r="H440" s="4"/>
      <c r="I440" s="4"/>
      <c r="J440" s="23" t="str">
        <f aca="false">IF(OR(G440="",H440=""),"","%"&amp;G440&amp;H440)</f>
        <v/>
      </c>
      <c r="K440" s="4"/>
      <c r="L440" s="4"/>
      <c r="M440" s="4"/>
      <c r="N440" s="4"/>
      <c r="O440" s="23" t="str">
        <f aca="false">IF(H440="","",IF(I440="","mot entier","bit "&amp;I440))</f>
        <v/>
      </c>
      <c r="P440" s="4"/>
    </row>
    <row r="441" customFormat="false" ht="15" hidden="false" customHeight="true" outlineLevel="0" collapsed="false">
      <c r="A441" s="22"/>
      <c r="B441" s="22"/>
      <c r="C441" s="23" t="str">
        <f aca="false">IFERROR(IF(OR(A441="",B441=""),"",INDEX(Equipements!$H:$H,MATCH(A441,Equipements!$A:$A,0))&amp;"."&amp;B441),"")</f>
        <v/>
      </c>
      <c r="D441" s="4"/>
      <c r="E441" s="22"/>
      <c r="F441" s="22"/>
      <c r="G441" s="22"/>
      <c r="H441" s="4"/>
      <c r="I441" s="4"/>
      <c r="J441" s="23" t="str">
        <f aca="false">IF(OR(G441="",H441=""),"","%"&amp;G441&amp;H441)</f>
        <v/>
      </c>
      <c r="K441" s="4"/>
      <c r="L441" s="4"/>
      <c r="M441" s="4"/>
      <c r="N441" s="4"/>
      <c r="O441" s="23" t="str">
        <f aca="false">IF(H441="","",IF(I441="","mot entier","bit "&amp;I441))</f>
        <v/>
      </c>
      <c r="P441" s="4"/>
    </row>
    <row r="442" customFormat="false" ht="15" hidden="false" customHeight="true" outlineLevel="0" collapsed="false">
      <c r="A442" s="22"/>
      <c r="B442" s="22"/>
      <c r="C442" s="23" t="str">
        <f aca="false">IFERROR(IF(OR(A442="",B442=""),"",INDEX(Equipements!$H:$H,MATCH(A442,Equipements!$A:$A,0))&amp;"."&amp;B442),"")</f>
        <v/>
      </c>
      <c r="D442" s="4"/>
      <c r="E442" s="22"/>
      <c r="F442" s="22"/>
      <c r="G442" s="22"/>
      <c r="H442" s="4"/>
      <c r="I442" s="4"/>
      <c r="J442" s="23" t="str">
        <f aca="false">IF(OR(G442="",H442=""),"","%"&amp;G442&amp;H442)</f>
        <v/>
      </c>
      <c r="K442" s="4"/>
      <c r="L442" s="4"/>
      <c r="M442" s="4"/>
      <c r="N442" s="4"/>
      <c r="O442" s="23" t="str">
        <f aca="false">IF(H442="","",IF(I442="","mot entier","bit "&amp;I442))</f>
        <v/>
      </c>
      <c r="P442" s="4"/>
    </row>
    <row r="443" customFormat="false" ht="15" hidden="false" customHeight="true" outlineLevel="0" collapsed="false">
      <c r="A443" s="22"/>
      <c r="B443" s="22"/>
      <c r="C443" s="23" t="str">
        <f aca="false">IFERROR(IF(OR(A443="",B443=""),"",INDEX(Equipements!$H:$H,MATCH(A443,Equipements!$A:$A,0))&amp;"."&amp;B443),"")</f>
        <v/>
      </c>
      <c r="D443" s="4"/>
      <c r="E443" s="22"/>
      <c r="F443" s="22"/>
      <c r="G443" s="22"/>
      <c r="H443" s="4"/>
      <c r="I443" s="4"/>
      <c r="J443" s="23" t="str">
        <f aca="false">IF(OR(G443="",H443=""),"","%"&amp;G443&amp;H443)</f>
        <v/>
      </c>
      <c r="K443" s="4"/>
      <c r="L443" s="4"/>
      <c r="M443" s="4"/>
      <c r="N443" s="4"/>
      <c r="O443" s="23" t="str">
        <f aca="false">IF(H443="","",IF(I443="","mot entier","bit "&amp;I443))</f>
        <v/>
      </c>
      <c r="P443" s="4"/>
    </row>
    <row r="444" customFormat="false" ht="15" hidden="false" customHeight="true" outlineLevel="0" collapsed="false">
      <c r="A444" s="22"/>
      <c r="B444" s="22"/>
      <c r="C444" s="23" t="str">
        <f aca="false">IFERROR(IF(OR(A444="",B444=""),"",INDEX(Equipements!$H:$H,MATCH(A444,Equipements!$A:$A,0))&amp;"."&amp;B444),"")</f>
        <v/>
      </c>
      <c r="D444" s="4"/>
      <c r="E444" s="22"/>
      <c r="F444" s="22"/>
      <c r="G444" s="22"/>
      <c r="H444" s="4"/>
      <c r="I444" s="4"/>
      <c r="J444" s="23" t="str">
        <f aca="false">IF(OR(G444="",H444=""),"","%"&amp;G444&amp;H444)</f>
        <v/>
      </c>
      <c r="K444" s="4"/>
      <c r="L444" s="4"/>
      <c r="M444" s="4"/>
      <c r="N444" s="4"/>
      <c r="O444" s="23" t="str">
        <f aca="false">IF(H444="","",IF(I444="","mot entier","bit "&amp;I444))</f>
        <v/>
      </c>
      <c r="P444" s="4"/>
    </row>
    <row r="445" customFormat="false" ht="15" hidden="false" customHeight="true" outlineLevel="0" collapsed="false">
      <c r="A445" s="22"/>
      <c r="B445" s="22"/>
      <c r="C445" s="23" t="str">
        <f aca="false">IFERROR(IF(OR(A445="",B445=""),"",INDEX(Equipements!$H:$H,MATCH(A445,Equipements!$A:$A,0))&amp;"."&amp;B445),"")</f>
        <v/>
      </c>
      <c r="D445" s="4"/>
      <c r="E445" s="22"/>
      <c r="F445" s="22"/>
      <c r="G445" s="22"/>
      <c r="H445" s="4"/>
      <c r="I445" s="4"/>
      <c r="J445" s="23" t="str">
        <f aca="false">IF(OR(G445="",H445=""),"","%"&amp;G445&amp;H445)</f>
        <v/>
      </c>
      <c r="K445" s="4"/>
      <c r="L445" s="4"/>
      <c r="M445" s="4"/>
      <c r="N445" s="4"/>
      <c r="O445" s="23" t="str">
        <f aca="false">IF(H445="","",IF(I445="","mot entier","bit "&amp;I445))</f>
        <v/>
      </c>
      <c r="P445" s="4"/>
    </row>
    <row r="446" customFormat="false" ht="15" hidden="false" customHeight="true" outlineLevel="0" collapsed="false">
      <c r="A446" s="22"/>
      <c r="B446" s="22"/>
      <c r="C446" s="23" t="str">
        <f aca="false">IFERROR(IF(OR(A446="",B446=""),"",INDEX(Equipements!$H:$H,MATCH(A446,Equipements!$A:$A,0))&amp;"."&amp;B446),"")</f>
        <v/>
      </c>
      <c r="D446" s="4"/>
      <c r="E446" s="22"/>
      <c r="F446" s="22"/>
      <c r="G446" s="22"/>
      <c r="H446" s="4"/>
      <c r="I446" s="4"/>
      <c r="J446" s="23" t="str">
        <f aca="false">IF(OR(G446="",H446=""),"","%"&amp;G446&amp;H446)</f>
        <v/>
      </c>
      <c r="K446" s="4"/>
      <c r="L446" s="4"/>
      <c r="M446" s="4"/>
      <c r="N446" s="4"/>
      <c r="O446" s="23" t="str">
        <f aca="false">IF(H446="","",IF(I446="","mot entier","bit "&amp;I446))</f>
        <v/>
      </c>
      <c r="P446" s="4"/>
    </row>
    <row r="447" customFormat="false" ht="15" hidden="false" customHeight="true" outlineLevel="0" collapsed="false">
      <c r="A447" s="22"/>
      <c r="B447" s="22"/>
      <c r="C447" s="23" t="str">
        <f aca="false">IFERROR(IF(OR(A447="",B447=""),"",INDEX(Equipements!$H:$H,MATCH(A447,Equipements!$A:$A,0))&amp;"."&amp;B447),"")</f>
        <v/>
      </c>
      <c r="D447" s="4"/>
      <c r="E447" s="22"/>
      <c r="F447" s="22"/>
      <c r="G447" s="22"/>
      <c r="H447" s="4"/>
      <c r="I447" s="4"/>
      <c r="J447" s="23" t="str">
        <f aca="false">IF(OR(G447="",H447=""),"","%"&amp;G447&amp;H447)</f>
        <v/>
      </c>
      <c r="K447" s="4"/>
      <c r="L447" s="4"/>
      <c r="M447" s="4"/>
      <c r="N447" s="4"/>
      <c r="O447" s="23" t="str">
        <f aca="false">IF(H447="","",IF(I447="","mot entier","bit "&amp;I447))</f>
        <v/>
      </c>
      <c r="P447" s="4"/>
    </row>
    <row r="448" customFormat="false" ht="15" hidden="false" customHeight="true" outlineLevel="0" collapsed="false">
      <c r="A448" s="22"/>
      <c r="B448" s="22"/>
      <c r="C448" s="23" t="str">
        <f aca="false">IFERROR(IF(OR(A448="",B448=""),"",INDEX(Equipements!$H:$H,MATCH(A448,Equipements!$A:$A,0))&amp;"."&amp;B448),"")</f>
        <v/>
      </c>
      <c r="D448" s="4"/>
      <c r="E448" s="22"/>
      <c r="F448" s="22"/>
      <c r="G448" s="22"/>
      <c r="H448" s="4"/>
      <c r="I448" s="4"/>
      <c r="J448" s="23" t="str">
        <f aca="false">IF(OR(G448="",H448=""),"","%"&amp;G448&amp;H448)</f>
        <v/>
      </c>
      <c r="K448" s="4"/>
      <c r="L448" s="4"/>
      <c r="M448" s="4"/>
      <c r="N448" s="4"/>
      <c r="O448" s="23" t="str">
        <f aca="false">IF(H448="","",IF(I448="","mot entier","bit "&amp;I448))</f>
        <v/>
      </c>
      <c r="P448" s="4"/>
    </row>
    <row r="449" customFormat="false" ht="15" hidden="false" customHeight="true" outlineLevel="0" collapsed="false">
      <c r="A449" s="22"/>
      <c r="B449" s="22"/>
      <c r="C449" s="23" t="str">
        <f aca="false">IFERROR(IF(OR(A449="",B449=""),"",INDEX(Equipements!$H:$H,MATCH(A449,Equipements!$A:$A,0))&amp;"."&amp;B449),"")</f>
        <v/>
      </c>
      <c r="D449" s="4"/>
      <c r="E449" s="22"/>
      <c r="F449" s="22"/>
      <c r="G449" s="22"/>
      <c r="H449" s="4"/>
      <c r="I449" s="4"/>
      <c r="J449" s="23" t="str">
        <f aca="false">IF(OR(G449="",H449=""),"","%"&amp;G449&amp;H449)</f>
        <v/>
      </c>
      <c r="K449" s="4"/>
      <c r="L449" s="4"/>
      <c r="M449" s="4"/>
      <c r="N449" s="4"/>
      <c r="O449" s="23" t="str">
        <f aca="false">IF(H449="","",IF(I449="","mot entier","bit "&amp;I449))</f>
        <v/>
      </c>
      <c r="P449" s="4"/>
    </row>
    <row r="450" customFormat="false" ht="15" hidden="false" customHeight="true" outlineLevel="0" collapsed="false">
      <c r="A450" s="22"/>
      <c r="B450" s="22"/>
      <c r="C450" s="23" t="str">
        <f aca="false">IFERROR(IF(OR(A450="",B450=""),"",INDEX(Equipements!$H:$H,MATCH(A450,Equipements!$A:$A,0))&amp;"."&amp;B450),"")</f>
        <v/>
      </c>
      <c r="D450" s="4"/>
      <c r="E450" s="22"/>
      <c r="F450" s="22"/>
      <c r="G450" s="22"/>
      <c r="H450" s="4"/>
      <c r="I450" s="4"/>
      <c r="J450" s="23" t="str">
        <f aca="false">IF(OR(G450="",H450=""),"","%"&amp;G450&amp;H450)</f>
        <v/>
      </c>
      <c r="K450" s="4"/>
      <c r="L450" s="4"/>
      <c r="M450" s="4"/>
      <c r="N450" s="4"/>
      <c r="O450" s="23" t="str">
        <f aca="false">IF(H450="","",IF(I450="","mot entier","bit "&amp;I450))</f>
        <v/>
      </c>
      <c r="P450" s="4"/>
    </row>
    <row r="451" customFormat="false" ht="15" hidden="false" customHeight="true" outlineLevel="0" collapsed="false">
      <c r="A451" s="22"/>
      <c r="B451" s="22"/>
      <c r="C451" s="23" t="str">
        <f aca="false">IFERROR(IF(OR(A451="",B451=""),"",INDEX(Equipements!$H:$H,MATCH(A451,Equipements!$A:$A,0))&amp;"."&amp;B451),"")</f>
        <v/>
      </c>
      <c r="D451" s="4"/>
      <c r="E451" s="22"/>
      <c r="F451" s="22"/>
      <c r="G451" s="22"/>
      <c r="H451" s="4"/>
      <c r="I451" s="4"/>
      <c r="J451" s="23" t="str">
        <f aca="false">IF(OR(G451="",H451=""),"","%"&amp;G451&amp;H451)</f>
        <v/>
      </c>
      <c r="K451" s="4"/>
      <c r="L451" s="4"/>
      <c r="M451" s="4"/>
      <c r="N451" s="4"/>
      <c r="O451" s="23" t="str">
        <f aca="false">IF(H451="","",IF(I451="","mot entier","bit "&amp;I451))</f>
        <v/>
      </c>
      <c r="P451" s="4"/>
    </row>
    <row r="452" customFormat="false" ht="15" hidden="false" customHeight="true" outlineLevel="0" collapsed="false">
      <c r="A452" s="22"/>
      <c r="B452" s="22"/>
      <c r="C452" s="23" t="str">
        <f aca="false">IFERROR(IF(OR(A452="",B452=""),"",INDEX(Equipements!$H:$H,MATCH(A452,Equipements!$A:$A,0))&amp;"."&amp;B452),"")</f>
        <v/>
      </c>
      <c r="D452" s="4"/>
      <c r="E452" s="22"/>
      <c r="F452" s="22"/>
      <c r="G452" s="22"/>
      <c r="H452" s="4"/>
      <c r="I452" s="4"/>
      <c r="J452" s="23" t="str">
        <f aca="false">IF(OR(G452="",H452=""),"","%"&amp;G452&amp;H452)</f>
        <v/>
      </c>
      <c r="K452" s="4"/>
      <c r="L452" s="4"/>
      <c r="M452" s="4"/>
      <c r="N452" s="4"/>
      <c r="O452" s="23" t="str">
        <f aca="false">IF(H452="","",IF(I452="","mot entier","bit "&amp;I452))</f>
        <v/>
      </c>
      <c r="P452" s="4"/>
    </row>
    <row r="453" customFormat="false" ht="15" hidden="false" customHeight="true" outlineLevel="0" collapsed="false">
      <c r="A453" s="22"/>
      <c r="B453" s="22"/>
      <c r="C453" s="23" t="str">
        <f aca="false">IFERROR(IF(OR(A453="",B453=""),"",INDEX(Equipements!$H:$H,MATCH(A453,Equipements!$A:$A,0))&amp;"."&amp;B453),"")</f>
        <v/>
      </c>
      <c r="D453" s="4"/>
      <c r="E453" s="22"/>
      <c r="F453" s="22"/>
      <c r="G453" s="22"/>
      <c r="H453" s="4"/>
      <c r="I453" s="4"/>
      <c r="J453" s="23" t="str">
        <f aca="false">IF(OR(G453="",H453=""),"","%"&amp;G453&amp;H453)</f>
        <v/>
      </c>
      <c r="K453" s="4"/>
      <c r="L453" s="4"/>
      <c r="M453" s="4"/>
      <c r="N453" s="4"/>
      <c r="O453" s="23" t="str">
        <f aca="false">IF(H453="","",IF(I453="","mot entier","bit "&amp;I453))</f>
        <v/>
      </c>
      <c r="P453" s="4"/>
    </row>
    <row r="454" customFormat="false" ht="15" hidden="false" customHeight="true" outlineLevel="0" collapsed="false">
      <c r="A454" s="22"/>
      <c r="B454" s="22"/>
      <c r="C454" s="23" t="str">
        <f aca="false">IFERROR(IF(OR(A454="",B454=""),"",INDEX(Equipements!$H:$H,MATCH(A454,Equipements!$A:$A,0))&amp;"."&amp;B454),"")</f>
        <v/>
      </c>
      <c r="D454" s="4"/>
      <c r="E454" s="22"/>
      <c r="F454" s="22"/>
      <c r="G454" s="22"/>
      <c r="H454" s="4"/>
      <c r="I454" s="4"/>
      <c r="J454" s="23" t="str">
        <f aca="false">IF(OR(G454="",H454=""),"","%"&amp;G454&amp;H454)</f>
        <v/>
      </c>
      <c r="K454" s="4"/>
      <c r="L454" s="4"/>
      <c r="M454" s="4"/>
      <c r="N454" s="4"/>
      <c r="O454" s="23" t="str">
        <f aca="false">IF(H454="","",IF(I454="","mot entier","bit "&amp;I454))</f>
        <v/>
      </c>
      <c r="P454" s="4"/>
    </row>
    <row r="455" customFormat="false" ht="15" hidden="false" customHeight="true" outlineLevel="0" collapsed="false">
      <c r="A455" s="22"/>
      <c r="B455" s="22"/>
      <c r="C455" s="23" t="str">
        <f aca="false">IFERROR(IF(OR(A455="",B455=""),"",INDEX(Equipements!$H:$H,MATCH(A455,Equipements!$A:$A,0))&amp;"."&amp;B455),"")</f>
        <v/>
      </c>
      <c r="D455" s="4"/>
      <c r="E455" s="22"/>
      <c r="F455" s="22"/>
      <c r="G455" s="22"/>
      <c r="H455" s="4"/>
      <c r="I455" s="4"/>
      <c r="J455" s="23" t="str">
        <f aca="false">IF(OR(G455="",H455=""),"","%"&amp;G455&amp;H455)</f>
        <v/>
      </c>
      <c r="K455" s="4"/>
      <c r="L455" s="4"/>
      <c r="M455" s="4"/>
      <c r="N455" s="4"/>
      <c r="O455" s="23" t="str">
        <f aca="false">IF(H455="","",IF(I455="","mot entier","bit "&amp;I455))</f>
        <v/>
      </c>
      <c r="P455" s="4"/>
    </row>
    <row r="456" customFormat="false" ht="15" hidden="false" customHeight="true" outlineLevel="0" collapsed="false">
      <c r="A456" s="22"/>
      <c r="B456" s="22"/>
      <c r="C456" s="23" t="str">
        <f aca="false">IFERROR(IF(OR(A456="",B456=""),"",INDEX(Equipements!$H:$H,MATCH(A456,Equipements!$A:$A,0))&amp;"."&amp;B456),"")</f>
        <v/>
      </c>
      <c r="D456" s="4"/>
      <c r="E456" s="22"/>
      <c r="F456" s="22"/>
      <c r="G456" s="22"/>
      <c r="H456" s="4"/>
      <c r="I456" s="4"/>
      <c r="J456" s="23" t="str">
        <f aca="false">IF(OR(G456="",H456=""),"","%"&amp;G456&amp;H456)</f>
        <v/>
      </c>
      <c r="K456" s="4"/>
      <c r="L456" s="4"/>
      <c r="M456" s="4"/>
      <c r="N456" s="4"/>
      <c r="O456" s="23" t="str">
        <f aca="false">IF(H456="","",IF(I456="","mot entier","bit "&amp;I456))</f>
        <v/>
      </c>
      <c r="P456" s="4"/>
    </row>
    <row r="457" customFormat="false" ht="15" hidden="false" customHeight="true" outlineLevel="0" collapsed="false">
      <c r="A457" s="22"/>
      <c r="B457" s="22"/>
      <c r="C457" s="23" t="str">
        <f aca="false">IFERROR(IF(OR(A457="",B457=""),"",INDEX(Equipements!$H:$H,MATCH(A457,Equipements!$A:$A,0))&amp;"."&amp;B457),"")</f>
        <v/>
      </c>
      <c r="D457" s="4"/>
      <c r="E457" s="22"/>
      <c r="F457" s="22"/>
      <c r="G457" s="22"/>
      <c r="H457" s="4"/>
      <c r="I457" s="4"/>
      <c r="J457" s="23" t="str">
        <f aca="false">IF(OR(G457="",H457=""),"","%"&amp;G457&amp;H457)</f>
        <v/>
      </c>
      <c r="K457" s="4"/>
      <c r="L457" s="4"/>
      <c r="M457" s="4"/>
      <c r="N457" s="4"/>
      <c r="O457" s="23" t="str">
        <f aca="false">IF(H457="","",IF(I457="","mot entier","bit "&amp;I457))</f>
        <v/>
      </c>
      <c r="P457" s="4"/>
    </row>
    <row r="458" customFormat="false" ht="15" hidden="false" customHeight="true" outlineLevel="0" collapsed="false">
      <c r="A458" s="22"/>
      <c r="B458" s="22"/>
      <c r="C458" s="23" t="str">
        <f aca="false">IFERROR(IF(OR(A458="",B458=""),"",INDEX(Equipements!$H:$H,MATCH(A458,Equipements!$A:$A,0))&amp;"."&amp;B458),"")</f>
        <v/>
      </c>
      <c r="D458" s="4"/>
      <c r="E458" s="22"/>
      <c r="F458" s="22"/>
      <c r="G458" s="22"/>
      <c r="H458" s="4"/>
      <c r="I458" s="4"/>
      <c r="J458" s="23" t="str">
        <f aca="false">IF(OR(G458="",H458=""),"","%"&amp;G458&amp;H458)</f>
        <v/>
      </c>
      <c r="K458" s="4"/>
      <c r="L458" s="4"/>
      <c r="M458" s="4"/>
      <c r="N458" s="4"/>
      <c r="O458" s="23" t="str">
        <f aca="false">IF(H458="","",IF(I458="","mot entier","bit "&amp;I458))</f>
        <v/>
      </c>
      <c r="P458" s="4"/>
    </row>
    <row r="459" customFormat="false" ht="15" hidden="false" customHeight="true" outlineLevel="0" collapsed="false">
      <c r="A459" s="22"/>
      <c r="B459" s="22"/>
      <c r="C459" s="23" t="str">
        <f aca="false">IFERROR(IF(OR(A459="",B459=""),"",INDEX(Equipements!$H:$H,MATCH(A459,Equipements!$A:$A,0))&amp;"."&amp;B459),"")</f>
        <v/>
      </c>
      <c r="D459" s="4"/>
      <c r="E459" s="22"/>
      <c r="F459" s="22"/>
      <c r="G459" s="22"/>
      <c r="H459" s="4"/>
      <c r="I459" s="4"/>
      <c r="J459" s="23" t="str">
        <f aca="false">IF(OR(G459="",H459=""),"","%"&amp;G459&amp;H459)</f>
        <v/>
      </c>
      <c r="K459" s="4"/>
      <c r="L459" s="4"/>
      <c r="M459" s="4"/>
      <c r="N459" s="4"/>
      <c r="O459" s="23" t="str">
        <f aca="false">IF(H459="","",IF(I459="","mot entier","bit "&amp;I459))</f>
        <v/>
      </c>
      <c r="P459" s="4"/>
    </row>
    <row r="460" customFormat="false" ht="15" hidden="false" customHeight="true" outlineLevel="0" collapsed="false">
      <c r="A460" s="22"/>
      <c r="B460" s="22"/>
      <c r="C460" s="23" t="str">
        <f aca="false">IFERROR(IF(OR(A460="",B460=""),"",INDEX(Equipements!$H:$H,MATCH(A460,Equipements!$A:$A,0))&amp;"."&amp;B460),"")</f>
        <v/>
      </c>
      <c r="D460" s="4"/>
      <c r="E460" s="22"/>
      <c r="F460" s="22"/>
      <c r="G460" s="22"/>
      <c r="H460" s="4"/>
      <c r="I460" s="4"/>
      <c r="J460" s="23" t="str">
        <f aca="false">IF(OR(G460="",H460=""),"","%"&amp;G460&amp;H460)</f>
        <v/>
      </c>
      <c r="K460" s="4"/>
      <c r="L460" s="4"/>
      <c r="M460" s="4"/>
      <c r="N460" s="4"/>
      <c r="O460" s="23" t="str">
        <f aca="false">IF(H460="","",IF(I460="","mot entier","bit "&amp;I460))</f>
        <v/>
      </c>
      <c r="P460" s="4"/>
    </row>
    <row r="461" customFormat="false" ht="15" hidden="false" customHeight="true" outlineLevel="0" collapsed="false">
      <c r="A461" s="22"/>
      <c r="B461" s="22"/>
      <c r="C461" s="23" t="str">
        <f aca="false">IFERROR(IF(OR(A461="",B461=""),"",INDEX(Equipements!$H:$H,MATCH(A461,Equipements!$A:$A,0))&amp;"."&amp;B461),"")</f>
        <v/>
      </c>
      <c r="D461" s="4"/>
      <c r="E461" s="22"/>
      <c r="F461" s="22"/>
      <c r="G461" s="22"/>
      <c r="H461" s="4"/>
      <c r="I461" s="4"/>
      <c r="J461" s="23" t="str">
        <f aca="false">IF(OR(G461="",H461=""),"","%"&amp;G461&amp;H461)</f>
        <v/>
      </c>
      <c r="K461" s="4"/>
      <c r="L461" s="4"/>
      <c r="M461" s="4"/>
      <c r="N461" s="4"/>
      <c r="O461" s="23" t="str">
        <f aca="false">IF(H461="","",IF(I461="","mot entier","bit "&amp;I461))</f>
        <v/>
      </c>
      <c r="P461" s="4"/>
    </row>
    <row r="462" customFormat="false" ht="15" hidden="false" customHeight="true" outlineLevel="0" collapsed="false">
      <c r="A462" s="22"/>
      <c r="B462" s="22"/>
      <c r="C462" s="23" t="str">
        <f aca="false">IFERROR(IF(OR(A462="",B462=""),"",INDEX(Equipements!$H:$H,MATCH(A462,Equipements!$A:$A,0))&amp;"."&amp;B462),"")</f>
        <v/>
      </c>
      <c r="D462" s="4"/>
      <c r="E462" s="22"/>
      <c r="F462" s="22"/>
      <c r="G462" s="22"/>
      <c r="H462" s="4"/>
      <c r="I462" s="4"/>
      <c r="J462" s="23" t="str">
        <f aca="false">IF(OR(G462="",H462=""),"","%"&amp;G462&amp;H462)</f>
        <v/>
      </c>
      <c r="K462" s="4"/>
      <c r="L462" s="4"/>
      <c r="M462" s="4"/>
      <c r="N462" s="4"/>
      <c r="O462" s="23" t="str">
        <f aca="false">IF(H462="","",IF(I462="","mot entier","bit "&amp;I462))</f>
        <v/>
      </c>
      <c r="P462" s="4"/>
    </row>
    <row r="463" customFormat="false" ht="15" hidden="false" customHeight="true" outlineLevel="0" collapsed="false">
      <c r="A463" s="22"/>
      <c r="B463" s="22"/>
      <c r="C463" s="23" t="str">
        <f aca="false">IFERROR(IF(OR(A463="",B463=""),"",INDEX(Equipements!$H:$H,MATCH(A463,Equipements!$A:$A,0))&amp;"."&amp;B463),"")</f>
        <v/>
      </c>
      <c r="D463" s="4"/>
      <c r="E463" s="22"/>
      <c r="F463" s="22"/>
      <c r="G463" s="22"/>
      <c r="H463" s="4"/>
      <c r="I463" s="4"/>
      <c r="J463" s="23" t="str">
        <f aca="false">IF(OR(G463="",H463=""),"","%"&amp;G463&amp;H463)</f>
        <v/>
      </c>
      <c r="K463" s="4"/>
      <c r="L463" s="4"/>
      <c r="M463" s="4"/>
      <c r="N463" s="4"/>
      <c r="O463" s="23" t="str">
        <f aca="false">IF(H463="","",IF(I463="","mot entier","bit "&amp;I463))</f>
        <v/>
      </c>
      <c r="P463" s="4"/>
    </row>
    <row r="464" customFormat="false" ht="15" hidden="false" customHeight="true" outlineLevel="0" collapsed="false">
      <c r="A464" s="22"/>
      <c r="B464" s="22"/>
      <c r="C464" s="23" t="str">
        <f aca="false">IFERROR(IF(OR(A464="",B464=""),"",INDEX(Equipements!$H:$H,MATCH(A464,Equipements!$A:$A,0))&amp;"."&amp;B464),"")</f>
        <v/>
      </c>
      <c r="D464" s="4"/>
      <c r="E464" s="22"/>
      <c r="F464" s="22"/>
      <c r="G464" s="22"/>
      <c r="H464" s="4"/>
      <c r="I464" s="4"/>
      <c r="J464" s="23" t="str">
        <f aca="false">IF(OR(G464="",H464=""),"","%"&amp;G464&amp;H464)</f>
        <v/>
      </c>
      <c r="K464" s="4"/>
      <c r="L464" s="4"/>
      <c r="M464" s="4"/>
      <c r="N464" s="4"/>
      <c r="O464" s="23" t="str">
        <f aca="false">IF(H464="","",IF(I464="","mot entier","bit "&amp;I464))</f>
        <v/>
      </c>
      <c r="P464" s="4"/>
    </row>
    <row r="465" customFormat="false" ht="15" hidden="false" customHeight="true" outlineLevel="0" collapsed="false">
      <c r="A465" s="22"/>
      <c r="B465" s="22"/>
      <c r="C465" s="23" t="str">
        <f aca="false">IFERROR(IF(OR(A465="",B465=""),"",INDEX(Equipements!$H:$H,MATCH(A465,Equipements!$A:$A,0))&amp;"."&amp;B465),"")</f>
        <v/>
      </c>
      <c r="D465" s="4"/>
      <c r="E465" s="22"/>
      <c r="F465" s="22"/>
      <c r="G465" s="22"/>
      <c r="H465" s="4"/>
      <c r="I465" s="4"/>
      <c r="J465" s="23" t="str">
        <f aca="false">IF(OR(G465="",H465=""),"","%"&amp;G465&amp;H465)</f>
        <v/>
      </c>
      <c r="K465" s="4"/>
      <c r="L465" s="4"/>
      <c r="M465" s="4"/>
      <c r="N465" s="4"/>
      <c r="O465" s="23" t="str">
        <f aca="false">IF(H465="","",IF(I465="","mot entier","bit "&amp;I465))</f>
        <v/>
      </c>
      <c r="P465" s="4"/>
    </row>
    <row r="466" customFormat="false" ht="15" hidden="false" customHeight="true" outlineLevel="0" collapsed="false">
      <c r="A466" s="22"/>
      <c r="B466" s="22"/>
      <c r="C466" s="23" t="str">
        <f aca="false">IFERROR(IF(OR(A466="",B466=""),"",INDEX(Equipements!$H:$H,MATCH(A466,Equipements!$A:$A,0))&amp;"."&amp;B466),"")</f>
        <v/>
      </c>
      <c r="D466" s="4"/>
      <c r="E466" s="22"/>
      <c r="F466" s="22"/>
      <c r="G466" s="22"/>
      <c r="H466" s="4"/>
      <c r="I466" s="4"/>
      <c r="J466" s="23" t="str">
        <f aca="false">IF(OR(G466="",H466=""),"","%"&amp;G466&amp;H466)</f>
        <v/>
      </c>
      <c r="K466" s="4"/>
      <c r="L466" s="4"/>
      <c r="M466" s="4"/>
      <c r="N466" s="4"/>
      <c r="O466" s="23" t="str">
        <f aca="false">IF(H466="","",IF(I466="","mot entier","bit "&amp;I466))</f>
        <v/>
      </c>
      <c r="P466" s="4"/>
    </row>
    <row r="467" customFormat="false" ht="15" hidden="false" customHeight="true" outlineLevel="0" collapsed="false">
      <c r="A467" s="22"/>
      <c r="B467" s="22"/>
      <c r="C467" s="23" t="str">
        <f aca="false">IFERROR(IF(OR(A467="",B467=""),"",INDEX(Equipements!$H:$H,MATCH(A467,Equipements!$A:$A,0))&amp;"."&amp;B467),"")</f>
        <v/>
      </c>
      <c r="D467" s="4"/>
      <c r="E467" s="22"/>
      <c r="F467" s="22"/>
      <c r="G467" s="22"/>
      <c r="H467" s="4"/>
      <c r="I467" s="4"/>
      <c r="J467" s="23" t="str">
        <f aca="false">IF(OR(G467="",H467=""),"","%"&amp;G467&amp;H467)</f>
        <v/>
      </c>
      <c r="K467" s="4"/>
      <c r="L467" s="4"/>
      <c r="M467" s="4"/>
      <c r="N467" s="4"/>
      <c r="O467" s="23" t="str">
        <f aca="false">IF(H467="","",IF(I467="","mot entier","bit "&amp;I467))</f>
        <v/>
      </c>
      <c r="P467" s="4"/>
    </row>
    <row r="468" customFormat="false" ht="15" hidden="false" customHeight="true" outlineLevel="0" collapsed="false">
      <c r="A468" s="22"/>
      <c r="B468" s="22"/>
      <c r="C468" s="23" t="str">
        <f aca="false">IFERROR(IF(OR(A468="",B468=""),"",INDEX(Equipements!$H:$H,MATCH(A468,Equipements!$A:$A,0))&amp;"."&amp;B468),"")</f>
        <v/>
      </c>
      <c r="D468" s="4"/>
      <c r="E468" s="22"/>
      <c r="F468" s="22"/>
      <c r="G468" s="22"/>
      <c r="H468" s="4"/>
      <c r="I468" s="4"/>
      <c r="J468" s="23" t="str">
        <f aca="false">IF(OR(G468="",H468=""),"","%"&amp;G468&amp;H468)</f>
        <v/>
      </c>
      <c r="K468" s="4"/>
      <c r="L468" s="4"/>
      <c r="M468" s="4"/>
      <c r="N468" s="4"/>
      <c r="O468" s="23" t="str">
        <f aca="false">IF(H468="","",IF(I468="","mot entier","bit "&amp;I468))</f>
        <v/>
      </c>
      <c r="P468" s="4"/>
    </row>
    <row r="469" customFormat="false" ht="15" hidden="false" customHeight="true" outlineLevel="0" collapsed="false">
      <c r="A469" s="22"/>
      <c r="B469" s="22"/>
      <c r="C469" s="23" t="str">
        <f aca="false">IFERROR(IF(OR(A469="",B469=""),"",INDEX(Equipements!$H:$H,MATCH(A469,Equipements!$A:$A,0))&amp;"."&amp;B469),"")</f>
        <v/>
      </c>
      <c r="D469" s="4"/>
      <c r="E469" s="22"/>
      <c r="F469" s="22"/>
      <c r="G469" s="22"/>
      <c r="H469" s="4"/>
      <c r="I469" s="4"/>
      <c r="J469" s="23" t="str">
        <f aca="false">IF(OR(G469="",H469=""),"","%"&amp;G469&amp;H469)</f>
        <v/>
      </c>
      <c r="K469" s="4"/>
      <c r="L469" s="4"/>
      <c r="M469" s="4"/>
      <c r="N469" s="4"/>
      <c r="O469" s="23" t="str">
        <f aca="false">IF(H469="","",IF(I469="","mot entier","bit "&amp;I469))</f>
        <v/>
      </c>
      <c r="P469" s="4"/>
    </row>
    <row r="470" customFormat="false" ht="15" hidden="false" customHeight="true" outlineLevel="0" collapsed="false">
      <c r="A470" s="22"/>
      <c r="B470" s="22"/>
      <c r="C470" s="23" t="str">
        <f aca="false">IFERROR(IF(OR(A470="",B470=""),"",INDEX(Equipements!$H:$H,MATCH(A470,Equipements!$A:$A,0))&amp;"."&amp;B470),"")</f>
        <v/>
      </c>
      <c r="D470" s="4"/>
      <c r="E470" s="22"/>
      <c r="F470" s="22"/>
      <c r="G470" s="22"/>
      <c r="H470" s="4"/>
      <c r="I470" s="4"/>
      <c r="J470" s="23" t="str">
        <f aca="false">IF(OR(G470="",H470=""),"","%"&amp;G470&amp;H470)</f>
        <v/>
      </c>
      <c r="K470" s="4"/>
      <c r="L470" s="4"/>
      <c r="M470" s="4"/>
      <c r="N470" s="4"/>
      <c r="O470" s="23" t="str">
        <f aca="false">IF(H470="","",IF(I470="","mot entier","bit "&amp;I470))</f>
        <v/>
      </c>
      <c r="P470" s="4"/>
    </row>
    <row r="471" customFormat="false" ht="15" hidden="false" customHeight="true" outlineLevel="0" collapsed="false">
      <c r="A471" s="22"/>
      <c r="B471" s="22"/>
      <c r="C471" s="23" t="str">
        <f aca="false">IFERROR(IF(OR(A471="",B471=""),"",INDEX(Equipements!$H:$H,MATCH(A471,Equipements!$A:$A,0))&amp;"."&amp;B471),"")</f>
        <v/>
      </c>
      <c r="D471" s="4"/>
      <c r="E471" s="22"/>
      <c r="F471" s="22"/>
      <c r="G471" s="22"/>
      <c r="H471" s="4"/>
      <c r="I471" s="4"/>
      <c r="J471" s="23" t="str">
        <f aca="false">IF(OR(G471="",H471=""),"","%"&amp;G471&amp;H471)</f>
        <v/>
      </c>
      <c r="K471" s="4"/>
      <c r="L471" s="4"/>
      <c r="M471" s="4"/>
      <c r="N471" s="4"/>
      <c r="O471" s="23" t="str">
        <f aca="false">IF(H471="","",IF(I471="","mot entier","bit "&amp;I471))</f>
        <v/>
      </c>
      <c r="P471" s="4"/>
    </row>
    <row r="472" customFormat="false" ht="15" hidden="false" customHeight="true" outlineLevel="0" collapsed="false">
      <c r="A472" s="22"/>
      <c r="B472" s="22"/>
      <c r="C472" s="23" t="str">
        <f aca="false">IFERROR(IF(OR(A472="",B472=""),"",INDEX(Equipements!$H:$H,MATCH(A472,Equipements!$A:$A,0))&amp;"."&amp;B472),"")</f>
        <v/>
      </c>
      <c r="D472" s="4"/>
      <c r="E472" s="22"/>
      <c r="F472" s="22"/>
      <c r="G472" s="22"/>
      <c r="H472" s="4"/>
      <c r="I472" s="4"/>
      <c r="J472" s="23" t="str">
        <f aca="false">IF(OR(G472="",H472=""),"","%"&amp;G472&amp;H472)</f>
        <v/>
      </c>
      <c r="K472" s="4"/>
      <c r="L472" s="4"/>
      <c r="M472" s="4"/>
      <c r="N472" s="4"/>
      <c r="O472" s="23" t="str">
        <f aca="false">IF(H472="","",IF(I472="","mot entier","bit "&amp;I472))</f>
        <v/>
      </c>
      <c r="P472" s="4"/>
    </row>
    <row r="473" customFormat="false" ht="15" hidden="false" customHeight="true" outlineLevel="0" collapsed="false">
      <c r="A473" s="22"/>
      <c r="B473" s="22"/>
      <c r="C473" s="23" t="str">
        <f aca="false">IFERROR(IF(OR(A473="",B473=""),"",INDEX(Equipements!$H:$H,MATCH(A473,Equipements!$A:$A,0))&amp;"."&amp;B473),"")</f>
        <v/>
      </c>
      <c r="D473" s="4"/>
      <c r="E473" s="22"/>
      <c r="F473" s="22"/>
      <c r="G473" s="22"/>
      <c r="H473" s="4"/>
      <c r="I473" s="4"/>
      <c r="J473" s="23" t="str">
        <f aca="false">IF(OR(G473="",H473=""),"","%"&amp;G473&amp;H473)</f>
        <v/>
      </c>
      <c r="K473" s="4"/>
      <c r="L473" s="4"/>
      <c r="M473" s="4"/>
      <c r="N473" s="4"/>
      <c r="O473" s="23" t="str">
        <f aca="false">IF(H473="","",IF(I473="","mot entier","bit "&amp;I473))</f>
        <v/>
      </c>
      <c r="P473" s="4"/>
    </row>
    <row r="474" customFormat="false" ht="15" hidden="false" customHeight="true" outlineLevel="0" collapsed="false">
      <c r="A474" s="22"/>
      <c r="B474" s="22"/>
      <c r="C474" s="23" t="str">
        <f aca="false">IFERROR(IF(OR(A474="",B474=""),"",INDEX(Equipements!$H:$H,MATCH(A474,Equipements!$A:$A,0))&amp;"."&amp;B474),"")</f>
        <v/>
      </c>
      <c r="D474" s="4"/>
      <c r="E474" s="22"/>
      <c r="F474" s="22"/>
      <c r="G474" s="22"/>
      <c r="H474" s="4"/>
      <c r="I474" s="4"/>
      <c r="J474" s="23" t="str">
        <f aca="false">IF(OR(G474="",H474=""),"","%"&amp;G474&amp;H474)</f>
        <v/>
      </c>
      <c r="K474" s="4"/>
      <c r="L474" s="4"/>
      <c r="M474" s="4"/>
      <c r="N474" s="4"/>
      <c r="O474" s="23" t="str">
        <f aca="false">IF(H474="","",IF(I474="","mot entier","bit "&amp;I474))</f>
        <v/>
      </c>
      <c r="P474" s="4"/>
    </row>
    <row r="475" customFormat="false" ht="15" hidden="false" customHeight="true" outlineLevel="0" collapsed="false">
      <c r="A475" s="22"/>
      <c r="B475" s="22"/>
      <c r="C475" s="23" t="str">
        <f aca="false">IFERROR(IF(OR(A475="",B475=""),"",INDEX(Equipements!$H:$H,MATCH(A475,Equipements!$A:$A,0))&amp;"."&amp;B475),"")</f>
        <v/>
      </c>
      <c r="D475" s="4"/>
      <c r="E475" s="22"/>
      <c r="F475" s="22"/>
      <c r="G475" s="22"/>
      <c r="H475" s="4"/>
      <c r="I475" s="4"/>
      <c r="J475" s="23" t="str">
        <f aca="false">IF(OR(G475="",H475=""),"","%"&amp;G475&amp;H475)</f>
        <v/>
      </c>
      <c r="K475" s="4"/>
      <c r="L475" s="4"/>
      <c r="M475" s="4"/>
      <c r="N475" s="4"/>
      <c r="O475" s="23" t="str">
        <f aca="false">IF(H475="","",IF(I475="","mot entier","bit "&amp;I475))</f>
        <v/>
      </c>
      <c r="P475" s="4"/>
    </row>
    <row r="476" customFormat="false" ht="15" hidden="false" customHeight="true" outlineLevel="0" collapsed="false">
      <c r="A476" s="22"/>
      <c r="B476" s="22"/>
      <c r="C476" s="23" t="str">
        <f aca="false">IFERROR(IF(OR(A476="",B476=""),"",INDEX(Equipements!$H:$H,MATCH(A476,Equipements!$A:$A,0))&amp;"."&amp;B476),"")</f>
        <v/>
      </c>
      <c r="D476" s="4"/>
      <c r="E476" s="22"/>
      <c r="F476" s="22"/>
      <c r="G476" s="22"/>
      <c r="H476" s="4"/>
      <c r="I476" s="4"/>
      <c r="J476" s="23" t="str">
        <f aca="false">IF(OR(G476="",H476=""),"","%"&amp;G476&amp;H476)</f>
        <v/>
      </c>
      <c r="K476" s="4"/>
      <c r="L476" s="4"/>
      <c r="M476" s="4"/>
      <c r="N476" s="4"/>
      <c r="O476" s="23" t="str">
        <f aca="false">IF(H476="","",IF(I476="","mot entier","bit "&amp;I476))</f>
        <v/>
      </c>
      <c r="P476" s="4"/>
    </row>
    <row r="477" customFormat="false" ht="15" hidden="false" customHeight="true" outlineLevel="0" collapsed="false">
      <c r="A477" s="22"/>
      <c r="B477" s="22"/>
      <c r="C477" s="23" t="str">
        <f aca="false">IFERROR(IF(OR(A477="",B477=""),"",INDEX(Equipements!$H:$H,MATCH(A477,Equipements!$A:$A,0))&amp;"."&amp;B477),"")</f>
        <v/>
      </c>
      <c r="D477" s="4"/>
      <c r="E477" s="22"/>
      <c r="F477" s="22"/>
      <c r="G477" s="22"/>
      <c r="H477" s="4"/>
      <c r="I477" s="4"/>
      <c r="J477" s="23" t="str">
        <f aca="false">IF(OR(G477="",H477=""),"","%"&amp;G477&amp;H477)</f>
        <v/>
      </c>
      <c r="K477" s="4"/>
      <c r="L477" s="4"/>
      <c r="M477" s="4"/>
      <c r="N477" s="4"/>
      <c r="O477" s="23" t="str">
        <f aca="false">IF(H477="","",IF(I477="","mot entier","bit "&amp;I477))</f>
        <v/>
      </c>
      <c r="P477" s="4"/>
    </row>
    <row r="478" customFormat="false" ht="15" hidden="false" customHeight="true" outlineLevel="0" collapsed="false">
      <c r="A478" s="22"/>
      <c r="B478" s="22"/>
      <c r="C478" s="23" t="str">
        <f aca="false">IFERROR(IF(OR(A478="",B478=""),"",INDEX(Equipements!$H:$H,MATCH(A478,Equipements!$A:$A,0))&amp;"."&amp;B478),"")</f>
        <v/>
      </c>
      <c r="D478" s="4"/>
      <c r="E478" s="22"/>
      <c r="F478" s="22"/>
      <c r="G478" s="22"/>
      <c r="H478" s="4"/>
      <c r="I478" s="4"/>
      <c r="J478" s="23" t="str">
        <f aca="false">IF(OR(G478="",H478=""),"","%"&amp;G478&amp;H478)</f>
        <v/>
      </c>
      <c r="K478" s="4"/>
      <c r="L478" s="4"/>
      <c r="M478" s="4"/>
      <c r="N478" s="4"/>
      <c r="O478" s="23" t="str">
        <f aca="false">IF(H478="","",IF(I478="","mot entier","bit "&amp;I478))</f>
        <v/>
      </c>
      <c r="P478" s="4"/>
    </row>
    <row r="479" customFormat="false" ht="15" hidden="false" customHeight="true" outlineLevel="0" collapsed="false">
      <c r="A479" s="22"/>
      <c r="B479" s="22"/>
      <c r="C479" s="23" t="str">
        <f aca="false">IFERROR(IF(OR(A479="",B479=""),"",INDEX(Equipements!$H:$H,MATCH(A479,Equipements!$A:$A,0))&amp;"."&amp;B479),"")</f>
        <v/>
      </c>
      <c r="D479" s="4"/>
      <c r="E479" s="22"/>
      <c r="F479" s="22"/>
      <c r="G479" s="22"/>
      <c r="H479" s="4"/>
      <c r="I479" s="4"/>
      <c r="J479" s="23" t="str">
        <f aca="false">IF(OR(G479="",H479=""),"","%"&amp;G479&amp;H479)</f>
        <v/>
      </c>
      <c r="K479" s="4"/>
      <c r="L479" s="4"/>
      <c r="M479" s="4"/>
      <c r="N479" s="4"/>
      <c r="O479" s="23" t="str">
        <f aca="false">IF(H479="","",IF(I479="","mot entier","bit "&amp;I479))</f>
        <v/>
      </c>
      <c r="P479" s="4"/>
    </row>
    <row r="480" customFormat="false" ht="15" hidden="false" customHeight="true" outlineLevel="0" collapsed="false">
      <c r="A480" s="22"/>
      <c r="B480" s="22"/>
      <c r="C480" s="23" t="str">
        <f aca="false">IFERROR(IF(OR(A480="",B480=""),"",INDEX(Equipements!$H:$H,MATCH(A480,Equipements!$A:$A,0))&amp;"."&amp;B480),"")</f>
        <v/>
      </c>
      <c r="D480" s="4"/>
      <c r="E480" s="22"/>
      <c r="F480" s="22"/>
      <c r="G480" s="22"/>
      <c r="H480" s="4"/>
      <c r="I480" s="4"/>
      <c r="J480" s="23" t="str">
        <f aca="false">IF(OR(G480="",H480=""),"","%"&amp;G480&amp;H480)</f>
        <v/>
      </c>
      <c r="K480" s="4"/>
      <c r="L480" s="4"/>
      <c r="M480" s="4"/>
      <c r="N480" s="4"/>
      <c r="O480" s="23" t="str">
        <f aca="false">IF(H480="","",IF(I480="","mot entier","bit "&amp;I480))</f>
        <v/>
      </c>
      <c r="P480" s="4"/>
    </row>
    <row r="481" customFormat="false" ht="15" hidden="false" customHeight="true" outlineLevel="0" collapsed="false">
      <c r="A481" s="22"/>
      <c r="B481" s="22"/>
      <c r="C481" s="23" t="str">
        <f aca="false">IFERROR(IF(OR(A481="",B481=""),"",INDEX(Equipements!$H:$H,MATCH(A481,Equipements!$A:$A,0))&amp;"."&amp;B481),"")</f>
        <v/>
      </c>
      <c r="D481" s="4"/>
      <c r="E481" s="22"/>
      <c r="F481" s="22"/>
      <c r="G481" s="22"/>
      <c r="H481" s="4"/>
      <c r="I481" s="4"/>
      <c r="J481" s="23" t="str">
        <f aca="false">IF(OR(G481="",H481=""),"","%"&amp;G481&amp;H481)</f>
        <v/>
      </c>
      <c r="K481" s="4"/>
      <c r="L481" s="4"/>
      <c r="M481" s="4"/>
      <c r="N481" s="4"/>
      <c r="O481" s="23" t="str">
        <f aca="false">IF(H481="","",IF(I481="","mot entier","bit "&amp;I481))</f>
        <v/>
      </c>
      <c r="P481" s="4"/>
    </row>
    <row r="482" customFormat="false" ht="15" hidden="false" customHeight="true" outlineLevel="0" collapsed="false">
      <c r="A482" s="22"/>
      <c r="B482" s="22"/>
      <c r="C482" s="23" t="str">
        <f aca="false">IFERROR(IF(OR(A482="",B482=""),"",INDEX(Equipements!$H:$H,MATCH(A482,Equipements!$A:$A,0))&amp;"."&amp;B482),"")</f>
        <v/>
      </c>
      <c r="D482" s="4"/>
      <c r="E482" s="22"/>
      <c r="F482" s="22"/>
      <c r="G482" s="22"/>
      <c r="H482" s="4"/>
      <c r="I482" s="4"/>
      <c r="J482" s="23" t="str">
        <f aca="false">IF(OR(G482="",H482=""),"","%"&amp;G482&amp;H482)</f>
        <v/>
      </c>
      <c r="K482" s="4"/>
      <c r="L482" s="4"/>
      <c r="M482" s="4"/>
      <c r="N482" s="4"/>
      <c r="O482" s="23" t="str">
        <f aca="false">IF(H482="","",IF(I482="","mot entier","bit "&amp;I482))</f>
        <v/>
      </c>
      <c r="P482" s="4"/>
    </row>
    <row r="483" customFormat="false" ht="15" hidden="false" customHeight="true" outlineLevel="0" collapsed="false">
      <c r="A483" s="22"/>
      <c r="B483" s="22"/>
      <c r="C483" s="23" t="str">
        <f aca="false">IFERROR(IF(OR(A483="",B483=""),"",INDEX(Equipements!$H:$H,MATCH(A483,Equipements!$A:$A,0))&amp;"."&amp;B483),"")</f>
        <v/>
      </c>
      <c r="D483" s="4"/>
      <c r="E483" s="22"/>
      <c r="F483" s="22"/>
      <c r="G483" s="22"/>
      <c r="H483" s="4"/>
      <c r="I483" s="4"/>
      <c r="J483" s="23" t="str">
        <f aca="false">IF(OR(G483="",H483=""),"","%"&amp;G483&amp;H483)</f>
        <v/>
      </c>
      <c r="K483" s="4"/>
      <c r="L483" s="4"/>
      <c r="M483" s="4"/>
      <c r="N483" s="4"/>
      <c r="O483" s="23" t="str">
        <f aca="false">IF(H483="","",IF(I483="","mot entier","bit "&amp;I483))</f>
        <v/>
      </c>
      <c r="P483" s="4"/>
    </row>
    <row r="484" customFormat="false" ht="15" hidden="false" customHeight="true" outlineLevel="0" collapsed="false">
      <c r="A484" s="22"/>
      <c r="B484" s="22"/>
      <c r="C484" s="23" t="str">
        <f aca="false">IFERROR(IF(OR(A484="",B484=""),"",INDEX(Equipements!$H:$H,MATCH(A484,Equipements!$A:$A,0))&amp;"."&amp;B484),"")</f>
        <v/>
      </c>
      <c r="D484" s="4"/>
      <c r="E484" s="22"/>
      <c r="F484" s="22"/>
      <c r="G484" s="22"/>
      <c r="H484" s="4"/>
      <c r="I484" s="4"/>
      <c r="J484" s="23" t="str">
        <f aca="false">IF(OR(G484="",H484=""),"","%"&amp;G484&amp;H484)</f>
        <v/>
      </c>
      <c r="K484" s="4"/>
      <c r="L484" s="4"/>
      <c r="M484" s="4"/>
      <c r="N484" s="4"/>
      <c r="O484" s="23" t="str">
        <f aca="false">IF(H484="","",IF(I484="","mot entier","bit "&amp;I484))</f>
        <v/>
      </c>
      <c r="P484" s="4"/>
    </row>
    <row r="485" customFormat="false" ht="15" hidden="false" customHeight="true" outlineLevel="0" collapsed="false">
      <c r="A485" s="22"/>
      <c r="B485" s="22"/>
      <c r="C485" s="23" t="str">
        <f aca="false">IFERROR(IF(OR(A485="",B485=""),"",INDEX(Equipements!$H:$H,MATCH(A485,Equipements!$A:$A,0))&amp;"."&amp;B485),"")</f>
        <v/>
      </c>
      <c r="D485" s="4"/>
      <c r="E485" s="22"/>
      <c r="F485" s="22"/>
      <c r="G485" s="22"/>
      <c r="H485" s="4"/>
      <c r="I485" s="4"/>
      <c r="J485" s="23" t="str">
        <f aca="false">IF(OR(G485="",H485=""),"","%"&amp;G485&amp;H485)</f>
        <v/>
      </c>
      <c r="K485" s="4"/>
      <c r="L485" s="4"/>
      <c r="M485" s="4"/>
      <c r="N485" s="4"/>
      <c r="O485" s="23" t="str">
        <f aca="false">IF(H485="","",IF(I485="","mot entier","bit "&amp;I485))</f>
        <v/>
      </c>
      <c r="P485" s="4"/>
    </row>
    <row r="486" customFormat="false" ht="15" hidden="false" customHeight="true" outlineLevel="0" collapsed="false">
      <c r="A486" s="22"/>
      <c r="B486" s="22"/>
      <c r="C486" s="23" t="str">
        <f aca="false">IFERROR(IF(OR(A486="",B486=""),"",INDEX(Equipements!$H:$H,MATCH(A486,Equipements!$A:$A,0))&amp;"."&amp;B486),"")</f>
        <v/>
      </c>
      <c r="D486" s="4"/>
      <c r="E486" s="22"/>
      <c r="F486" s="22"/>
      <c r="G486" s="22"/>
      <c r="H486" s="4"/>
      <c r="I486" s="4"/>
      <c r="J486" s="23" t="str">
        <f aca="false">IF(OR(G486="",H486=""),"","%"&amp;G486&amp;H486)</f>
        <v/>
      </c>
      <c r="K486" s="4"/>
      <c r="L486" s="4"/>
      <c r="M486" s="4"/>
      <c r="N486" s="4"/>
      <c r="O486" s="23" t="str">
        <f aca="false">IF(H486="","",IF(I486="","mot entier","bit "&amp;I486))</f>
        <v/>
      </c>
      <c r="P486" s="4"/>
    </row>
    <row r="487" customFormat="false" ht="15" hidden="false" customHeight="true" outlineLevel="0" collapsed="false">
      <c r="A487" s="22"/>
      <c r="B487" s="22"/>
      <c r="C487" s="23" t="str">
        <f aca="false">IFERROR(IF(OR(A487="",B487=""),"",INDEX(Equipements!$H:$H,MATCH(A487,Equipements!$A:$A,0))&amp;"."&amp;B487),"")</f>
        <v/>
      </c>
      <c r="D487" s="4"/>
      <c r="E487" s="22"/>
      <c r="F487" s="22"/>
      <c r="G487" s="22"/>
      <c r="H487" s="4"/>
      <c r="I487" s="4"/>
      <c r="J487" s="23" t="str">
        <f aca="false">IF(OR(G487="",H487=""),"","%"&amp;G487&amp;H487)</f>
        <v/>
      </c>
      <c r="K487" s="4"/>
      <c r="L487" s="4"/>
      <c r="M487" s="4"/>
      <c r="N487" s="4"/>
      <c r="O487" s="23" t="str">
        <f aca="false">IF(H487="","",IF(I487="","mot entier","bit "&amp;I487))</f>
        <v/>
      </c>
      <c r="P487" s="4"/>
    </row>
    <row r="488" customFormat="false" ht="15" hidden="false" customHeight="true" outlineLevel="0" collapsed="false">
      <c r="A488" s="22"/>
      <c r="B488" s="22"/>
      <c r="C488" s="23" t="str">
        <f aca="false">IFERROR(IF(OR(A488="",B488=""),"",INDEX(Equipements!$H:$H,MATCH(A488,Equipements!$A:$A,0))&amp;"."&amp;B488),"")</f>
        <v/>
      </c>
      <c r="D488" s="4"/>
      <c r="E488" s="22"/>
      <c r="F488" s="22"/>
      <c r="G488" s="22"/>
      <c r="H488" s="4"/>
      <c r="I488" s="4"/>
      <c r="J488" s="23" t="str">
        <f aca="false">IF(OR(G488="",H488=""),"","%"&amp;G488&amp;H488)</f>
        <v/>
      </c>
      <c r="K488" s="4"/>
      <c r="L488" s="4"/>
      <c r="M488" s="4"/>
      <c r="N488" s="4"/>
      <c r="O488" s="23" t="str">
        <f aca="false">IF(H488="","",IF(I488="","mot entier","bit "&amp;I488))</f>
        <v/>
      </c>
      <c r="P488" s="4"/>
    </row>
    <row r="489" customFormat="false" ht="15" hidden="false" customHeight="true" outlineLevel="0" collapsed="false">
      <c r="A489" s="22"/>
      <c r="B489" s="22"/>
      <c r="C489" s="23" t="str">
        <f aca="false">IFERROR(IF(OR(A489="",B489=""),"",INDEX(Equipements!$H:$H,MATCH(A489,Equipements!$A:$A,0))&amp;"."&amp;B489),"")</f>
        <v/>
      </c>
      <c r="D489" s="4"/>
      <c r="E489" s="22"/>
      <c r="F489" s="22"/>
      <c r="G489" s="22"/>
      <c r="H489" s="4"/>
      <c r="I489" s="4"/>
      <c r="J489" s="23" t="str">
        <f aca="false">IF(OR(G489="",H489=""),"","%"&amp;G489&amp;H489)</f>
        <v/>
      </c>
      <c r="K489" s="4"/>
      <c r="L489" s="4"/>
      <c r="M489" s="4"/>
      <c r="N489" s="4"/>
      <c r="O489" s="23" t="str">
        <f aca="false">IF(H489="","",IF(I489="","mot entier","bit "&amp;I489))</f>
        <v/>
      </c>
      <c r="P489" s="4"/>
    </row>
    <row r="490" customFormat="false" ht="15" hidden="false" customHeight="true" outlineLevel="0" collapsed="false">
      <c r="A490" s="22"/>
      <c r="B490" s="22"/>
      <c r="C490" s="23" t="str">
        <f aca="false">IFERROR(IF(OR(A490="",B490=""),"",INDEX(Equipements!$H:$H,MATCH(A490,Equipements!$A:$A,0))&amp;"."&amp;B490),"")</f>
        <v/>
      </c>
      <c r="D490" s="4"/>
      <c r="E490" s="22"/>
      <c r="F490" s="22"/>
      <c r="G490" s="22"/>
      <c r="H490" s="4"/>
      <c r="I490" s="4"/>
      <c r="J490" s="23" t="str">
        <f aca="false">IF(OR(G490="",H490=""),"","%"&amp;G490&amp;H490)</f>
        <v/>
      </c>
      <c r="K490" s="4"/>
      <c r="L490" s="4"/>
      <c r="M490" s="4"/>
      <c r="N490" s="4"/>
      <c r="O490" s="23" t="str">
        <f aca="false">IF(H490="","",IF(I490="","mot entier","bit "&amp;I490))</f>
        <v/>
      </c>
      <c r="P490" s="4"/>
    </row>
    <row r="491" customFormat="false" ht="15" hidden="false" customHeight="true" outlineLevel="0" collapsed="false">
      <c r="A491" s="22"/>
      <c r="B491" s="22"/>
      <c r="C491" s="23" t="str">
        <f aca="false">IFERROR(IF(OR(A491="",B491=""),"",INDEX(Equipements!$H:$H,MATCH(A491,Equipements!$A:$A,0))&amp;"."&amp;B491),"")</f>
        <v/>
      </c>
      <c r="D491" s="4"/>
      <c r="E491" s="22"/>
      <c r="F491" s="22"/>
      <c r="G491" s="22"/>
      <c r="H491" s="4"/>
      <c r="I491" s="4"/>
      <c r="J491" s="23" t="str">
        <f aca="false">IF(OR(G491="",H491=""),"","%"&amp;G491&amp;H491)</f>
        <v/>
      </c>
      <c r="K491" s="4"/>
      <c r="L491" s="4"/>
      <c r="M491" s="4"/>
      <c r="N491" s="4"/>
      <c r="O491" s="23" t="str">
        <f aca="false">IF(H491="","",IF(I491="","mot entier","bit "&amp;I491))</f>
        <v/>
      </c>
      <c r="P491" s="4"/>
    </row>
    <row r="492" customFormat="false" ht="15" hidden="false" customHeight="true" outlineLevel="0" collapsed="false">
      <c r="A492" s="22"/>
      <c r="B492" s="22"/>
      <c r="C492" s="23" t="str">
        <f aca="false">IFERROR(IF(OR(A492="",B492=""),"",INDEX(Equipements!$H:$H,MATCH(A492,Equipements!$A:$A,0))&amp;"."&amp;B492),"")</f>
        <v/>
      </c>
      <c r="D492" s="4"/>
      <c r="E492" s="22"/>
      <c r="F492" s="22"/>
      <c r="G492" s="22"/>
      <c r="H492" s="4"/>
      <c r="I492" s="4"/>
      <c r="J492" s="23" t="str">
        <f aca="false">IF(OR(G492="",H492=""),"","%"&amp;G492&amp;H492)</f>
        <v/>
      </c>
      <c r="K492" s="4"/>
      <c r="L492" s="4"/>
      <c r="M492" s="4"/>
      <c r="N492" s="4"/>
      <c r="O492" s="23" t="str">
        <f aca="false">IF(H492="","",IF(I492="","mot entier","bit "&amp;I492))</f>
        <v/>
      </c>
      <c r="P492" s="4"/>
    </row>
    <row r="493" customFormat="false" ht="15" hidden="false" customHeight="true" outlineLevel="0" collapsed="false">
      <c r="A493" s="22"/>
      <c r="B493" s="22"/>
      <c r="C493" s="23" t="str">
        <f aca="false">IFERROR(IF(OR(A493="",B493=""),"",INDEX(Equipements!$H:$H,MATCH(A493,Equipements!$A:$A,0))&amp;"."&amp;B493),"")</f>
        <v/>
      </c>
      <c r="D493" s="4"/>
      <c r="E493" s="22"/>
      <c r="F493" s="22"/>
      <c r="G493" s="22"/>
      <c r="H493" s="4"/>
      <c r="I493" s="4"/>
      <c r="J493" s="23" t="str">
        <f aca="false">IF(OR(G493="",H493=""),"","%"&amp;G493&amp;H493)</f>
        <v/>
      </c>
      <c r="K493" s="4"/>
      <c r="L493" s="4"/>
      <c r="M493" s="4"/>
      <c r="N493" s="4"/>
      <c r="O493" s="23" t="str">
        <f aca="false">IF(H493="","",IF(I493="","mot entier","bit "&amp;I493))</f>
        <v/>
      </c>
      <c r="P493" s="4"/>
    </row>
    <row r="494" customFormat="false" ht="15" hidden="false" customHeight="true" outlineLevel="0" collapsed="false">
      <c r="A494" s="22"/>
      <c r="B494" s="22"/>
      <c r="C494" s="23" t="str">
        <f aca="false">IFERROR(IF(OR(A494="",B494=""),"",INDEX(Equipements!$H:$H,MATCH(A494,Equipements!$A:$A,0))&amp;"."&amp;B494),"")</f>
        <v/>
      </c>
      <c r="D494" s="4"/>
      <c r="E494" s="22"/>
      <c r="F494" s="22"/>
      <c r="G494" s="22"/>
      <c r="H494" s="4"/>
      <c r="I494" s="4"/>
      <c r="J494" s="23" t="str">
        <f aca="false">IF(OR(G494="",H494=""),"","%"&amp;G494&amp;H494)</f>
        <v/>
      </c>
      <c r="K494" s="4"/>
      <c r="L494" s="4"/>
      <c r="M494" s="4"/>
      <c r="N494" s="4"/>
      <c r="O494" s="23" t="str">
        <f aca="false">IF(H494="","",IF(I494="","mot entier","bit "&amp;I494))</f>
        <v/>
      </c>
      <c r="P494" s="4"/>
    </row>
    <row r="495" customFormat="false" ht="15" hidden="false" customHeight="true" outlineLevel="0" collapsed="false">
      <c r="A495" s="22"/>
      <c r="B495" s="22"/>
      <c r="C495" s="23" t="str">
        <f aca="false">IFERROR(IF(OR(A495="",B495=""),"",INDEX(Equipements!$H:$H,MATCH(A495,Equipements!$A:$A,0))&amp;"."&amp;B495),"")</f>
        <v/>
      </c>
      <c r="D495" s="4"/>
      <c r="E495" s="22"/>
      <c r="F495" s="22"/>
      <c r="G495" s="22"/>
      <c r="H495" s="4"/>
      <c r="I495" s="4"/>
      <c r="J495" s="23" t="str">
        <f aca="false">IF(OR(G495="",H495=""),"","%"&amp;G495&amp;H495)</f>
        <v/>
      </c>
      <c r="K495" s="4"/>
      <c r="L495" s="4"/>
      <c r="M495" s="4"/>
      <c r="N495" s="4"/>
      <c r="O495" s="23" t="str">
        <f aca="false">IF(H495="","",IF(I495="","mot entier","bit "&amp;I495))</f>
        <v/>
      </c>
      <c r="P495" s="4"/>
    </row>
    <row r="496" customFormat="false" ht="15" hidden="false" customHeight="true" outlineLevel="0" collapsed="false">
      <c r="A496" s="22"/>
      <c r="B496" s="22"/>
      <c r="C496" s="23" t="str">
        <f aca="false">IFERROR(IF(OR(A496="",B496=""),"",INDEX(Equipements!$H:$H,MATCH(A496,Equipements!$A:$A,0))&amp;"."&amp;B496),"")</f>
        <v/>
      </c>
      <c r="D496" s="4"/>
      <c r="E496" s="22"/>
      <c r="F496" s="22"/>
      <c r="G496" s="22"/>
      <c r="H496" s="4"/>
      <c r="I496" s="4"/>
      <c r="J496" s="23" t="str">
        <f aca="false">IF(OR(G496="",H496=""),"","%"&amp;G496&amp;H496)</f>
        <v/>
      </c>
      <c r="K496" s="4"/>
      <c r="L496" s="4"/>
      <c r="M496" s="4"/>
      <c r="N496" s="4"/>
      <c r="O496" s="23" t="str">
        <f aca="false">IF(H496="","",IF(I496="","mot entier","bit "&amp;I496))</f>
        <v/>
      </c>
      <c r="P496" s="4"/>
    </row>
    <row r="497" customFormat="false" ht="15" hidden="false" customHeight="true" outlineLevel="0" collapsed="false">
      <c r="A497" s="22"/>
      <c r="B497" s="22"/>
      <c r="C497" s="23" t="str">
        <f aca="false">IFERROR(IF(OR(A497="",B497=""),"",INDEX(Equipements!$H:$H,MATCH(A497,Equipements!$A:$A,0))&amp;"."&amp;B497),"")</f>
        <v/>
      </c>
      <c r="D497" s="4"/>
      <c r="E497" s="22"/>
      <c r="F497" s="22"/>
      <c r="G497" s="22"/>
      <c r="H497" s="4"/>
      <c r="I497" s="4"/>
      <c r="J497" s="23" t="str">
        <f aca="false">IF(OR(G497="",H497=""),"","%"&amp;G497&amp;H497)</f>
        <v/>
      </c>
      <c r="K497" s="4"/>
      <c r="L497" s="4"/>
      <c r="M497" s="4"/>
      <c r="N497" s="4"/>
      <c r="O497" s="23" t="str">
        <f aca="false">IF(H497="","",IF(I497="","mot entier","bit "&amp;I497))</f>
        <v/>
      </c>
      <c r="P497" s="4"/>
    </row>
    <row r="498" customFormat="false" ht="15" hidden="false" customHeight="true" outlineLevel="0" collapsed="false">
      <c r="A498" s="22"/>
      <c r="B498" s="22"/>
      <c r="C498" s="23" t="str">
        <f aca="false">IFERROR(IF(OR(A498="",B498=""),"",INDEX(Equipements!$H:$H,MATCH(A498,Equipements!$A:$A,0))&amp;"."&amp;B498),"")</f>
        <v/>
      </c>
      <c r="D498" s="4"/>
      <c r="E498" s="22"/>
      <c r="F498" s="22"/>
      <c r="G498" s="22"/>
      <c r="H498" s="4"/>
      <c r="I498" s="4"/>
      <c r="J498" s="23" t="str">
        <f aca="false">IF(OR(G498="",H498=""),"","%"&amp;G498&amp;H498)</f>
        <v/>
      </c>
      <c r="K498" s="4"/>
      <c r="L498" s="4"/>
      <c r="M498" s="4"/>
      <c r="N498" s="4"/>
      <c r="O498" s="23" t="str">
        <f aca="false">IF(H498="","",IF(I498="","mot entier","bit "&amp;I498))</f>
        <v/>
      </c>
      <c r="P498" s="4"/>
    </row>
    <row r="499" customFormat="false" ht="15" hidden="false" customHeight="true" outlineLevel="0" collapsed="false">
      <c r="A499" s="22"/>
      <c r="B499" s="22"/>
      <c r="C499" s="23" t="str">
        <f aca="false">IFERROR(IF(OR(A499="",B499=""),"",INDEX(Equipements!$H:$H,MATCH(A499,Equipements!$A:$A,0))&amp;"."&amp;B499),"")</f>
        <v/>
      </c>
      <c r="D499" s="4"/>
      <c r="E499" s="22"/>
      <c r="F499" s="22"/>
      <c r="G499" s="22"/>
      <c r="H499" s="4"/>
      <c r="I499" s="4"/>
      <c r="J499" s="23" t="str">
        <f aca="false">IF(OR(G499="",H499=""),"","%"&amp;G499&amp;H499)</f>
        <v/>
      </c>
      <c r="K499" s="4"/>
      <c r="L499" s="4"/>
      <c r="M499" s="4"/>
      <c r="N499" s="4"/>
      <c r="O499" s="23" t="str">
        <f aca="false">IF(H499="","",IF(I499="","mot entier","bit "&amp;I499))</f>
        <v/>
      </c>
      <c r="P499" s="4"/>
    </row>
    <row r="500" customFormat="false" ht="15" hidden="false" customHeight="true" outlineLevel="0" collapsed="false">
      <c r="A500" s="22"/>
      <c r="B500" s="22"/>
      <c r="C500" s="23" t="str">
        <f aca="false">IFERROR(IF(OR(A500="",B500=""),"",INDEX(Equipements!$H:$H,MATCH(A500,Equipements!$A:$A,0))&amp;"."&amp;B500),"")</f>
        <v/>
      </c>
      <c r="D500" s="4"/>
      <c r="E500" s="22"/>
      <c r="F500" s="22"/>
      <c r="G500" s="22"/>
      <c r="H500" s="4"/>
      <c r="I500" s="4"/>
      <c r="J500" s="23" t="str">
        <f aca="false">IF(OR(G500="",H500=""),"","%"&amp;G500&amp;H500)</f>
        <v/>
      </c>
      <c r="K500" s="4"/>
      <c r="L500" s="4"/>
      <c r="M500" s="4"/>
      <c r="N500" s="4"/>
      <c r="O500" s="23" t="str">
        <f aca="false">IF(H500="","",IF(I500="","mot entier","bit "&amp;I500))</f>
        <v/>
      </c>
      <c r="P500" s="4"/>
    </row>
    <row r="501" customFormat="false" ht="15" hidden="false" customHeight="true" outlineLevel="0" collapsed="false">
      <c r="A501" s="22"/>
      <c r="B501" s="22"/>
      <c r="C501" s="23" t="str">
        <f aca="false">IFERROR(IF(OR(A501="",B501=""),"",INDEX(Equipements!$H:$H,MATCH(A501,Equipements!$A:$A,0))&amp;"."&amp;B501),"")</f>
        <v/>
      </c>
      <c r="D501" s="4"/>
      <c r="E501" s="22"/>
      <c r="F501" s="22"/>
      <c r="G501" s="22"/>
      <c r="H501" s="4"/>
      <c r="I501" s="4"/>
      <c r="J501" s="23" t="str">
        <f aca="false">IF(OR(G501="",H501=""),"","%"&amp;G501&amp;H501)</f>
        <v/>
      </c>
      <c r="K501" s="4"/>
      <c r="L501" s="4"/>
      <c r="M501" s="4"/>
      <c r="N501" s="4"/>
      <c r="O501" s="23" t="str">
        <f aca="false">IF(H501="","",IF(I501="","mot entier","bit "&amp;I501))</f>
        <v/>
      </c>
      <c r="P501" s="4"/>
    </row>
    <row r="502" customFormat="false" ht="15" hidden="false" customHeight="true" outlineLevel="0" collapsed="false">
      <c r="A502" s="22"/>
      <c r="B502" s="22"/>
      <c r="C502" s="23" t="str">
        <f aca="false">IFERROR(IF(OR(A502="",B502=""),"",INDEX(Equipements!$H:$H,MATCH(A502,Equipements!$A:$A,0))&amp;"."&amp;B502),"")</f>
        <v/>
      </c>
      <c r="D502" s="4"/>
      <c r="E502" s="22"/>
      <c r="F502" s="22"/>
      <c r="G502" s="22"/>
      <c r="H502" s="4"/>
      <c r="I502" s="4"/>
      <c r="J502" s="23" t="str">
        <f aca="false">IF(OR(G502="",H502=""),"","%"&amp;G502&amp;H502)</f>
        <v/>
      </c>
      <c r="K502" s="4"/>
      <c r="L502" s="4"/>
      <c r="M502" s="4"/>
      <c r="N502" s="4"/>
      <c r="O502" s="23" t="str">
        <f aca="false">IF(H502="","",IF(I502="","mot entier","bit "&amp;I502))</f>
        <v/>
      </c>
      <c r="P502" s="4"/>
    </row>
    <row r="503" customFormat="false" ht="15" hidden="false" customHeight="true" outlineLevel="0" collapsed="false">
      <c r="A503" s="22"/>
      <c r="B503" s="22"/>
      <c r="C503" s="23" t="str">
        <f aca="false">IFERROR(IF(OR(A503="",B503=""),"",INDEX(Equipements!$H:$H,MATCH(A503,Equipements!$A:$A,0))&amp;"."&amp;B503),"")</f>
        <v/>
      </c>
      <c r="D503" s="4"/>
      <c r="E503" s="22"/>
      <c r="F503" s="22"/>
      <c r="G503" s="22"/>
      <c r="H503" s="4"/>
      <c r="I503" s="4"/>
      <c r="J503" s="23" t="str">
        <f aca="false">IF(OR(G503="",H503=""),"","%"&amp;G503&amp;H503)</f>
        <v/>
      </c>
      <c r="K503" s="4"/>
      <c r="L503" s="4"/>
      <c r="M503" s="4"/>
      <c r="N503" s="4"/>
      <c r="O503" s="23" t="str">
        <f aca="false">IF(H503="","",IF(I503="","mot entier","bit "&amp;I503))</f>
        <v/>
      </c>
      <c r="P503" s="4"/>
    </row>
    <row r="504" customFormat="false" ht="15" hidden="false" customHeight="true" outlineLevel="0" collapsed="false">
      <c r="A504" s="22"/>
      <c r="B504" s="22"/>
      <c r="C504" s="23" t="str">
        <f aca="false">IFERROR(IF(OR(A504="",B504=""),"",INDEX(Equipements!$H:$H,MATCH(A504,Equipements!$A:$A,0))&amp;"."&amp;B504),"")</f>
        <v/>
      </c>
      <c r="D504" s="4"/>
      <c r="E504" s="22"/>
      <c r="F504" s="22"/>
      <c r="G504" s="22"/>
      <c r="H504" s="4"/>
      <c r="I504" s="4"/>
      <c r="J504" s="23" t="str">
        <f aca="false">IF(OR(G504="",H504=""),"","%"&amp;G504&amp;H504)</f>
        <v/>
      </c>
      <c r="K504" s="4"/>
      <c r="L504" s="4"/>
      <c r="M504" s="4"/>
      <c r="N504" s="4"/>
      <c r="O504" s="23" t="str">
        <f aca="false">IF(H504="","",IF(I504="","mot entier","bit "&amp;I504))</f>
        <v/>
      </c>
      <c r="P504" s="4"/>
    </row>
    <row r="505" customFormat="false" ht="15" hidden="false" customHeight="true" outlineLevel="0" collapsed="false">
      <c r="A505" s="22"/>
      <c r="B505" s="22"/>
      <c r="C505" s="23" t="str">
        <f aca="false">IFERROR(IF(OR(A505="",B505=""),"",INDEX(Equipements!$H:$H,MATCH(A505,Equipements!$A:$A,0))&amp;"."&amp;B505),"")</f>
        <v/>
      </c>
      <c r="D505" s="4"/>
      <c r="E505" s="22"/>
      <c r="F505" s="22"/>
      <c r="G505" s="22"/>
      <c r="H505" s="4"/>
      <c r="I505" s="4"/>
      <c r="J505" s="23" t="str">
        <f aca="false">IF(OR(G505="",H505=""),"","%"&amp;G505&amp;H505)</f>
        <v/>
      </c>
      <c r="K505" s="4"/>
      <c r="L505" s="4"/>
      <c r="M505" s="4"/>
      <c r="N505" s="4"/>
      <c r="O505" s="23" t="str">
        <f aca="false">IF(H505="","",IF(I505="","mot entier","bit "&amp;I505))</f>
        <v/>
      </c>
      <c r="P505" s="4"/>
    </row>
    <row r="506" customFormat="false" ht="15" hidden="false" customHeight="true" outlineLevel="0" collapsed="false">
      <c r="A506" s="22"/>
      <c r="B506" s="22"/>
      <c r="C506" s="23" t="str">
        <f aca="false">IFERROR(IF(OR(A506="",B506=""),"",INDEX(Equipements!$H:$H,MATCH(A506,Equipements!$A:$A,0))&amp;"."&amp;B506),"")</f>
        <v/>
      </c>
      <c r="D506" s="4"/>
      <c r="E506" s="22"/>
      <c r="F506" s="22"/>
      <c r="G506" s="22"/>
      <c r="H506" s="4"/>
      <c r="I506" s="4"/>
      <c r="J506" s="23" t="str">
        <f aca="false">IF(OR(G506="",H506=""),"","%"&amp;G506&amp;H506)</f>
        <v/>
      </c>
      <c r="K506" s="4"/>
      <c r="L506" s="4"/>
      <c r="M506" s="4"/>
      <c r="N506" s="4"/>
      <c r="O506" s="23" t="str">
        <f aca="false">IF(H506="","",IF(I506="","mot entier","bit "&amp;I506))</f>
        <v/>
      </c>
      <c r="P506" s="4"/>
    </row>
    <row r="507" customFormat="false" ht="15" hidden="false" customHeight="true" outlineLevel="0" collapsed="false">
      <c r="A507" s="22"/>
      <c r="B507" s="22"/>
      <c r="C507" s="23" t="str">
        <f aca="false">IFERROR(IF(OR(A507="",B507=""),"",INDEX(Equipements!$H:$H,MATCH(A507,Equipements!$A:$A,0))&amp;"."&amp;B507),"")</f>
        <v/>
      </c>
      <c r="D507" s="4"/>
      <c r="E507" s="22"/>
      <c r="F507" s="22"/>
      <c r="G507" s="22"/>
      <c r="H507" s="4"/>
      <c r="I507" s="4"/>
      <c r="J507" s="23" t="str">
        <f aca="false">IF(OR(G507="",H507=""),"","%"&amp;G507&amp;H507)</f>
        <v/>
      </c>
      <c r="K507" s="4"/>
      <c r="L507" s="4"/>
      <c r="M507" s="4"/>
      <c r="N507" s="4"/>
      <c r="O507" s="23" t="str">
        <f aca="false">IF(H507="","",IF(I507="","mot entier","bit "&amp;I507))</f>
        <v/>
      </c>
      <c r="P507" s="4"/>
    </row>
    <row r="508" customFormat="false" ht="15" hidden="false" customHeight="true" outlineLevel="0" collapsed="false">
      <c r="A508" s="22"/>
      <c r="B508" s="22"/>
      <c r="C508" s="23" t="str">
        <f aca="false">IFERROR(IF(OR(A508="",B508=""),"",INDEX(Equipements!$H:$H,MATCH(A508,Equipements!$A:$A,0))&amp;"."&amp;B508),"")</f>
        <v/>
      </c>
      <c r="D508" s="4"/>
      <c r="E508" s="22"/>
      <c r="F508" s="22"/>
      <c r="G508" s="22"/>
      <c r="H508" s="4"/>
      <c r="I508" s="4"/>
      <c r="J508" s="23" t="str">
        <f aca="false">IF(OR(G508="",H508=""),"","%"&amp;G508&amp;H508)</f>
        <v/>
      </c>
      <c r="K508" s="4"/>
      <c r="L508" s="4"/>
      <c r="M508" s="4"/>
      <c r="N508" s="4"/>
      <c r="O508" s="23" t="str">
        <f aca="false">IF(H508="","",IF(I508="","mot entier","bit "&amp;I508))</f>
        <v/>
      </c>
      <c r="P508" s="4"/>
    </row>
    <row r="509" customFormat="false" ht="15" hidden="false" customHeight="true" outlineLevel="0" collapsed="false">
      <c r="A509" s="22"/>
      <c r="B509" s="22"/>
      <c r="C509" s="23" t="str">
        <f aca="false">IFERROR(IF(OR(A509="",B509=""),"",INDEX(Equipements!$H:$H,MATCH(A509,Equipements!$A:$A,0))&amp;"."&amp;B509),"")</f>
        <v/>
      </c>
      <c r="D509" s="4"/>
      <c r="E509" s="22"/>
      <c r="F509" s="22"/>
      <c r="G509" s="22"/>
      <c r="H509" s="4"/>
      <c r="I509" s="4"/>
      <c r="J509" s="23" t="str">
        <f aca="false">IF(OR(G509="",H509=""),"","%"&amp;G509&amp;H509)</f>
        <v/>
      </c>
      <c r="K509" s="4"/>
      <c r="L509" s="4"/>
      <c r="M509" s="4"/>
      <c r="N509" s="4"/>
      <c r="O509" s="23" t="str">
        <f aca="false">IF(H509="","",IF(I509="","mot entier","bit "&amp;I509))</f>
        <v/>
      </c>
      <c r="P509" s="4"/>
    </row>
    <row r="510" customFormat="false" ht="15" hidden="false" customHeight="true" outlineLevel="0" collapsed="false">
      <c r="A510" s="22"/>
      <c r="B510" s="22"/>
      <c r="C510" s="23" t="str">
        <f aca="false">IFERROR(IF(OR(A510="",B510=""),"",INDEX(Equipements!$H:$H,MATCH(A510,Equipements!$A:$A,0))&amp;"."&amp;B510),"")</f>
        <v/>
      </c>
      <c r="D510" s="4"/>
      <c r="E510" s="22"/>
      <c r="F510" s="22"/>
      <c r="G510" s="22"/>
      <c r="H510" s="4"/>
      <c r="I510" s="4"/>
      <c r="J510" s="23" t="str">
        <f aca="false">IF(OR(G510="",H510=""),"","%"&amp;G510&amp;H510)</f>
        <v/>
      </c>
      <c r="K510" s="4"/>
      <c r="L510" s="4"/>
      <c r="M510" s="4"/>
      <c r="N510" s="4"/>
      <c r="O510" s="23" t="str">
        <f aca="false">IF(H510="","",IF(I510="","mot entier","bit "&amp;I510))</f>
        <v/>
      </c>
      <c r="P510" s="4"/>
    </row>
    <row r="511" customFormat="false" ht="15" hidden="false" customHeight="true" outlineLevel="0" collapsed="false">
      <c r="A511" s="22"/>
      <c r="B511" s="22"/>
      <c r="C511" s="23" t="str">
        <f aca="false">IFERROR(IF(OR(A511="",B511=""),"",INDEX(Equipements!$H:$H,MATCH(A511,Equipements!$A:$A,0))&amp;"."&amp;B511),"")</f>
        <v/>
      </c>
      <c r="D511" s="4"/>
      <c r="E511" s="22"/>
      <c r="F511" s="22"/>
      <c r="G511" s="22"/>
      <c r="H511" s="4"/>
      <c r="I511" s="4"/>
      <c r="J511" s="23" t="str">
        <f aca="false">IF(OR(G511="",H511=""),"","%"&amp;G511&amp;H511)</f>
        <v/>
      </c>
      <c r="K511" s="4"/>
      <c r="L511" s="4"/>
      <c r="M511" s="4"/>
      <c r="N511" s="4"/>
      <c r="O511" s="23" t="str">
        <f aca="false">IF(H511="","",IF(I511="","mot entier","bit "&amp;I511))</f>
        <v/>
      </c>
      <c r="P511" s="4"/>
    </row>
    <row r="512" customFormat="false" ht="15" hidden="false" customHeight="true" outlineLevel="0" collapsed="false">
      <c r="A512" s="22"/>
      <c r="B512" s="22"/>
      <c r="C512" s="23" t="str">
        <f aca="false">IFERROR(IF(OR(A512="",B512=""),"",INDEX(Equipements!$H:$H,MATCH(A512,Equipements!$A:$A,0))&amp;"."&amp;B512),"")</f>
        <v/>
      </c>
      <c r="D512" s="4"/>
      <c r="E512" s="22"/>
      <c r="F512" s="22"/>
      <c r="G512" s="22"/>
      <c r="H512" s="4"/>
      <c r="I512" s="4"/>
      <c r="J512" s="23" t="str">
        <f aca="false">IF(OR(G512="",H512=""),"","%"&amp;G512&amp;H512)</f>
        <v/>
      </c>
      <c r="K512" s="4"/>
      <c r="L512" s="4"/>
      <c r="M512" s="4"/>
      <c r="N512" s="4"/>
      <c r="O512" s="23" t="str">
        <f aca="false">IF(H512="","",IF(I512="","mot entier","bit "&amp;I512))</f>
        <v/>
      </c>
      <c r="P512" s="4"/>
    </row>
    <row r="513" customFormat="false" ht="15" hidden="false" customHeight="true" outlineLevel="0" collapsed="false">
      <c r="A513" s="22"/>
      <c r="B513" s="22"/>
      <c r="C513" s="23" t="str">
        <f aca="false">IFERROR(IF(OR(A513="",B513=""),"",INDEX(Equipements!$H:$H,MATCH(A513,Equipements!$A:$A,0))&amp;"."&amp;B513),"")</f>
        <v/>
      </c>
      <c r="D513" s="4"/>
      <c r="E513" s="22"/>
      <c r="F513" s="22"/>
      <c r="G513" s="22"/>
      <c r="H513" s="4"/>
      <c r="I513" s="4"/>
      <c r="J513" s="23" t="str">
        <f aca="false">IF(OR(G513="",H513=""),"","%"&amp;G513&amp;H513)</f>
        <v/>
      </c>
      <c r="K513" s="4"/>
      <c r="L513" s="4"/>
      <c r="M513" s="4"/>
      <c r="N513" s="4"/>
      <c r="O513" s="23" t="str">
        <f aca="false">IF(H513="","",IF(I513="","mot entier","bit "&amp;I513))</f>
        <v/>
      </c>
      <c r="P513" s="4"/>
    </row>
    <row r="514" customFormat="false" ht="15" hidden="false" customHeight="true" outlineLevel="0" collapsed="false">
      <c r="A514" s="22"/>
      <c r="B514" s="22"/>
      <c r="C514" s="23" t="str">
        <f aca="false">IFERROR(IF(OR(A514="",B514=""),"",INDEX(Equipements!$H:$H,MATCH(A514,Equipements!$A:$A,0))&amp;"."&amp;B514),"")</f>
        <v/>
      </c>
      <c r="D514" s="4"/>
      <c r="E514" s="22"/>
      <c r="F514" s="22"/>
      <c r="G514" s="22"/>
      <c r="H514" s="4"/>
      <c r="I514" s="4"/>
      <c r="J514" s="23" t="str">
        <f aca="false">IF(OR(G514="",H514=""),"","%"&amp;G514&amp;H514)</f>
        <v/>
      </c>
      <c r="K514" s="4"/>
      <c r="L514" s="4"/>
      <c r="M514" s="4"/>
      <c r="N514" s="4"/>
      <c r="O514" s="23" t="str">
        <f aca="false">IF(H514="","",IF(I514="","mot entier","bit "&amp;I514))</f>
        <v/>
      </c>
      <c r="P514" s="4"/>
    </row>
    <row r="515" customFormat="false" ht="15" hidden="false" customHeight="true" outlineLevel="0" collapsed="false">
      <c r="A515" s="22"/>
      <c r="B515" s="22"/>
      <c r="C515" s="23" t="str">
        <f aca="false">IFERROR(IF(OR(A515="",B515=""),"",INDEX(Equipements!$H:$H,MATCH(A515,Equipements!$A:$A,0))&amp;"."&amp;B515),"")</f>
        <v/>
      </c>
      <c r="D515" s="4"/>
      <c r="E515" s="22"/>
      <c r="F515" s="22"/>
      <c r="G515" s="22"/>
      <c r="H515" s="4"/>
      <c r="I515" s="4"/>
      <c r="J515" s="23" t="str">
        <f aca="false">IF(OR(G515="",H515=""),"","%"&amp;G515&amp;H515)</f>
        <v/>
      </c>
      <c r="K515" s="4"/>
      <c r="L515" s="4"/>
      <c r="M515" s="4"/>
      <c r="N515" s="4"/>
      <c r="O515" s="23" t="str">
        <f aca="false">IF(H515="","",IF(I515="","mot entier","bit "&amp;I515))</f>
        <v/>
      </c>
      <c r="P515" s="4"/>
    </row>
    <row r="516" customFormat="false" ht="15" hidden="false" customHeight="true" outlineLevel="0" collapsed="false">
      <c r="A516" s="22"/>
      <c r="B516" s="22"/>
      <c r="C516" s="23" t="str">
        <f aca="false">IFERROR(IF(OR(A516="",B516=""),"",INDEX(Equipements!$H:$H,MATCH(A516,Equipements!$A:$A,0))&amp;"."&amp;B516),"")</f>
        <v/>
      </c>
      <c r="D516" s="4"/>
      <c r="E516" s="22"/>
      <c r="F516" s="22"/>
      <c r="G516" s="22"/>
      <c r="H516" s="4"/>
      <c r="I516" s="4"/>
      <c r="J516" s="23" t="str">
        <f aca="false">IF(OR(G516="",H516=""),"","%"&amp;G516&amp;H516)</f>
        <v/>
      </c>
      <c r="K516" s="4"/>
      <c r="L516" s="4"/>
      <c r="M516" s="4"/>
      <c r="N516" s="4"/>
      <c r="O516" s="23" t="str">
        <f aca="false">IF(H516="","",IF(I516="","mot entier","bit "&amp;I516))</f>
        <v/>
      </c>
      <c r="P516" s="4"/>
    </row>
    <row r="517" customFormat="false" ht="15" hidden="false" customHeight="true" outlineLevel="0" collapsed="false">
      <c r="A517" s="22"/>
      <c r="B517" s="22"/>
      <c r="C517" s="23" t="str">
        <f aca="false">IFERROR(IF(OR(A517="",B517=""),"",INDEX(Equipements!$H:$H,MATCH(A517,Equipements!$A:$A,0))&amp;"."&amp;B517),"")</f>
        <v/>
      </c>
      <c r="D517" s="4"/>
      <c r="E517" s="22"/>
      <c r="F517" s="22"/>
      <c r="G517" s="22"/>
      <c r="H517" s="4"/>
      <c r="I517" s="4"/>
      <c r="J517" s="23" t="str">
        <f aca="false">IF(OR(G517="",H517=""),"","%"&amp;G517&amp;H517)</f>
        <v/>
      </c>
      <c r="K517" s="4"/>
      <c r="L517" s="4"/>
      <c r="M517" s="4"/>
      <c r="N517" s="4"/>
      <c r="O517" s="23" t="str">
        <f aca="false">IF(H517="","",IF(I517="","mot entier","bit "&amp;I517))</f>
        <v/>
      </c>
      <c r="P517" s="4"/>
    </row>
    <row r="518" customFormat="false" ht="15" hidden="false" customHeight="true" outlineLevel="0" collapsed="false">
      <c r="A518" s="22"/>
      <c r="B518" s="22"/>
      <c r="C518" s="23" t="str">
        <f aca="false">IFERROR(IF(OR(A518="",B518=""),"",INDEX(Equipements!$H:$H,MATCH(A518,Equipements!$A:$A,0))&amp;"."&amp;B518),"")</f>
        <v/>
      </c>
      <c r="D518" s="4"/>
      <c r="E518" s="22"/>
      <c r="F518" s="22"/>
      <c r="G518" s="22"/>
      <c r="H518" s="4"/>
      <c r="I518" s="4"/>
      <c r="J518" s="23" t="str">
        <f aca="false">IF(OR(G518="",H518=""),"","%"&amp;G518&amp;H518)</f>
        <v/>
      </c>
      <c r="K518" s="4"/>
      <c r="L518" s="4"/>
      <c r="M518" s="4"/>
      <c r="N518" s="4"/>
      <c r="O518" s="23" t="str">
        <f aca="false">IF(H518="","",IF(I518="","mot entier","bit "&amp;I518))</f>
        <v/>
      </c>
      <c r="P518" s="4"/>
    </row>
    <row r="519" customFormat="false" ht="15" hidden="false" customHeight="true" outlineLevel="0" collapsed="false">
      <c r="A519" s="22"/>
      <c r="B519" s="22"/>
      <c r="C519" s="23" t="str">
        <f aca="false">IFERROR(IF(OR(A519="",B519=""),"",INDEX(Equipements!$H:$H,MATCH(A519,Equipements!$A:$A,0))&amp;"."&amp;B519),"")</f>
        <v/>
      </c>
      <c r="D519" s="4"/>
      <c r="E519" s="22"/>
      <c r="F519" s="22"/>
      <c r="G519" s="22"/>
      <c r="H519" s="4"/>
      <c r="I519" s="4"/>
      <c r="J519" s="23" t="str">
        <f aca="false">IF(OR(G519="",H519=""),"","%"&amp;G519&amp;H519)</f>
        <v/>
      </c>
      <c r="K519" s="4"/>
      <c r="L519" s="4"/>
      <c r="M519" s="4"/>
      <c r="N519" s="4"/>
      <c r="O519" s="23" t="str">
        <f aca="false">IF(H519="","",IF(I519="","mot entier","bit "&amp;I519))</f>
        <v/>
      </c>
      <c r="P519" s="4"/>
    </row>
    <row r="520" customFormat="false" ht="15" hidden="false" customHeight="true" outlineLevel="0" collapsed="false">
      <c r="A520" s="22"/>
      <c r="B520" s="22"/>
      <c r="C520" s="23" t="str">
        <f aca="false">IFERROR(IF(OR(A520="",B520=""),"",INDEX(Equipements!$H:$H,MATCH(A520,Equipements!$A:$A,0))&amp;"."&amp;B520),"")</f>
        <v/>
      </c>
      <c r="D520" s="4"/>
      <c r="E520" s="22"/>
      <c r="F520" s="22"/>
      <c r="G520" s="22"/>
      <c r="H520" s="4"/>
      <c r="I520" s="4"/>
      <c r="J520" s="23" t="str">
        <f aca="false">IF(OR(G520="",H520=""),"","%"&amp;G520&amp;H520)</f>
        <v/>
      </c>
      <c r="K520" s="4"/>
      <c r="L520" s="4"/>
      <c r="M520" s="4"/>
      <c r="N520" s="4"/>
      <c r="O520" s="23" t="str">
        <f aca="false">IF(H520="","",IF(I520="","mot entier","bit "&amp;I520))</f>
        <v/>
      </c>
      <c r="P520" s="4"/>
    </row>
    <row r="521" customFormat="false" ht="15" hidden="false" customHeight="true" outlineLevel="0" collapsed="false">
      <c r="A521" s="22"/>
      <c r="B521" s="22"/>
      <c r="C521" s="23" t="str">
        <f aca="false">IFERROR(IF(OR(A521="",B521=""),"",INDEX(Equipements!$H:$H,MATCH(A521,Equipements!$A:$A,0))&amp;"."&amp;B521),"")</f>
        <v/>
      </c>
      <c r="D521" s="4"/>
      <c r="E521" s="22"/>
      <c r="F521" s="22"/>
      <c r="G521" s="22"/>
      <c r="H521" s="4"/>
      <c r="I521" s="4"/>
      <c r="J521" s="23" t="str">
        <f aca="false">IF(OR(G521="",H521=""),"","%"&amp;G521&amp;H521)</f>
        <v/>
      </c>
      <c r="K521" s="4"/>
      <c r="L521" s="4"/>
      <c r="M521" s="4"/>
      <c r="N521" s="4"/>
      <c r="O521" s="23" t="str">
        <f aca="false">IF(H521="","",IF(I521="","mot entier","bit "&amp;I521))</f>
        <v/>
      </c>
      <c r="P521" s="4"/>
    </row>
    <row r="522" customFormat="false" ht="15" hidden="false" customHeight="true" outlineLevel="0" collapsed="false">
      <c r="A522" s="22"/>
      <c r="B522" s="22"/>
      <c r="C522" s="23" t="str">
        <f aca="false">IFERROR(IF(OR(A522="",B522=""),"",INDEX(Equipements!$H:$H,MATCH(A522,Equipements!$A:$A,0))&amp;"."&amp;B522),"")</f>
        <v/>
      </c>
      <c r="D522" s="4"/>
      <c r="E522" s="22"/>
      <c r="F522" s="22"/>
      <c r="G522" s="22"/>
      <c r="H522" s="4"/>
      <c r="I522" s="4"/>
      <c r="J522" s="23" t="str">
        <f aca="false">IF(OR(G522="",H522=""),"","%"&amp;G522&amp;H522)</f>
        <v/>
      </c>
      <c r="K522" s="4"/>
      <c r="L522" s="4"/>
      <c r="M522" s="4"/>
      <c r="N522" s="4"/>
      <c r="O522" s="23" t="str">
        <f aca="false">IF(H522="","",IF(I522="","mot entier","bit "&amp;I522))</f>
        <v/>
      </c>
      <c r="P522" s="4"/>
    </row>
    <row r="523" customFormat="false" ht="15" hidden="false" customHeight="true" outlineLevel="0" collapsed="false">
      <c r="A523" s="22"/>
      <c r="B523" s="22"/>
      <c r="C523" s="23" t="str">
        <f aca="false">IFERROR(IF(OR(A523="",B523=""),"",INDEX(Equipements!$H:$H,MATCH(A523,Equipements!$A:$A,0))&amp;"."&amp;B523),"")</f>
        <v/>
      </c>
      <c r="D523" s="4"/>
      <c r="E523" s="22"/>
      <c r="F523" s="22"/>
      <c r="G523" s="22"/>
      <c r="H523" s="4"/>
      <c r="I523" s="4"/>
      <c r="J523" s="23" t="str">
        <f aca="false">IF(OR(G523="",H523=""),"","%"&amp;G523&amp;H523)</f>
        <v/>
      </c>
      <c r="K523" s="4"/>
      <c r="L523" s="4"/>
      <c r="M523" s="4"/>
      <c r="N523" s="4"/>
      <c r="O523" s="23" t="str">
        <f aca="false">IF(H523="","",IF(I523="","mot entier","bit "&amp;I523))</f>
        <v/>
      </c>
      <c r="P523" s="4"/>
    </row>
    <row r="524" customFormat="false" ht="15" hidden="false" customHeight="true" outlineLevel="0" collapsed="false">
      <c r="A524" s="22"/>
      <c r="B524" s="22"/>
      <c r="C524" s="23" t="str">
        <f aca="false">IFERROR(IF(OR(A524="",B524=""),"",INDEX(Equipements!$H:$H,MATCH(A524,Equipements!$A:$A,0))&amp;"."&amp;B524),"")</f>
        <v/>
      </c>
      <c r="D524" s="4"/>
      <c r="E524" s="22"/>
      <c r="F524" s="22"/>
      <c r="G524" s="22"/>
      <c r="H524" s="4"/>
      <c r="I524" s="4"/>
      <c r="J524" s="23" t="str">
        <f aca="false">IF(OR(G524="",H524=""),"","%"&amp;G524&amp;H524)</f>
        <v/>
      </c>
      <c r="K524" s="4"/>
      <c r="L524" s="4"/>
      <c r="M524" s="4"/>
      <c r="N524" s="4"/>
      <c r="O524" s="23" t="str">
        <f aca="false">IF(H524="","",IF(I524="","mot entier","bit "&amp;I524))</f>
        <v/>
      </c>
      <c r="P524" s="4"/>
    </row>
    <row r="525" customFormat="false" ht="15" hidden="false" customHeight="true" outlineLevel="0" collapsed="false">
      <c r="A525" s="22"/>
      <c r="B525" s="22"/>
      <c r="C525" s="23" t="str">
        <f aca="false">IFERROR(IF(OR(A525="",B525=""),"",INDEX(Equipements!$H:$H,MATCH(A525,Equipements!$A:$A,0))&amp;"."&amp;B525),"")</f>
        <v/>
      </c>
      <c r="D525" s="4"/>
      <c r="E525" s="22"/>
      <c r="F525" s="22"/>
      <c r="G525" s="22"/>
      <c r="H525" s="4"/>
      <c r="I525" s="4"/>
      <c r="J525" s="23" t="str">
        <f aca="false">IF(OR(G525="",H525=""),"","%"&amp;G525&amp;H525)</f>
        <v/>
      </c>
      <c r="K525" s="4"/>
      <c r="L525" s="4"/>
      <c r="M525" s="4"/>
      <c r="N525" s="4"/>
      <c r="O525" s="23" t="str">
        <f aca="false">IF(H525="","",IF(I525="","mot entier","bit "&amp;I525))</f>
        <v/>
      </c>
      <c r="P525" s="4"/>
    </row>
    <row r="526" customFormat="false" ht="15" hidden="false" customHeight="true" outlineLevel="0" collapsed="false">
      <c r="A526" s="22"/>
      <c r="B526" s="22"/>
      <c r="C526" s="23" t="str">
        <f aca="false">IFERROR(IF(OR(A526="",B526=""),"",INDEX(Equipements!$H:$H,MATCH(A526,Equipements!$A:$A,0))&amp;"."&amp;B526),"")</f>
        <v/>
      </c>
      <c r="D526" s="4"/>
      <c r="E526" s="22"/>
      <c r="F526" s="22"/>
      <c r="G526" s="22"/>
      <c r="H526" s="4"/>
      <c r="I526" s="4"/>
      <c r="J526" s="23" t="str">
        <f aca="false">IF(OR(G526="",H526=""),"","%"&amp;G526&amp;H526)</f>
        <v/>
      </c>
      <c r="K526" s="4"/>
      <c r="L526" s="4"/>
      <c r="M526" s="4"/>
      <c r="N526" s="4"/>
      <c r="O526" s="23" t="str">
        <f aca="false">IF(H526="","",IF(I526="","mot entier","bit "&amp;I526))</f>
        <v/>
      </c>
      <c r="P526" s="4"/>
    </row>
    <row r="527" customFormat="false" ht="15" hidden="false" customHeight="true" outlineLevel="0" collapsed="false">
      <c r="A527" s="22"/>
      <c r="B527" s="22"/>
      <c r="C527" s="23" t="str">
        <f aca="false">IFERROR(IF(OR(A527="",B527=""),"",INDEX(Equipements!$H:$H,MATCH(A527,Equipements!$A:$A,0))&amp;"."&amp;B527),"")</f>
        <v/>
      </c>
      <c r="D527" s="4"/>
      <c r="E527" s="22"/>
      <c r="F527" s="22"/>
      <c r="G527" s="22"/>
      <c r="H527" s="4"/>
      <c r="I527" s="4"/>
      <c r="J527" s="23" t="str">
        <f aca="false">IF(OR(G527="",H527=""),"","%"&amp;G527&amp;H527)</f>
        <v/>
      </c>
      <c r="K527" s="4"/>
      <c r="L527" s="4"/>
      <c r="M527" s="4"/>
      <c r="N527" s="4"/>
      <c r="O527" s="23" t="str">
        <f aca="false">IF(H527="","",IF(I527="","mot entier","bit "&amp;I527))</f>
        <v/>
      </c>
      <c r="P527" s="4"/>
    </row>
    <row r="528" customFormat="false" ht="15" hidden="false" customHeight="true" outlineLevel="0" collapsed="false">
      <c r="A528" s="22"/>
      <c r="B528" s="22"/>
      <c r="C528" s="23" t="str">
        <f aca="false">IFERROR(IF(OR(A528="",B528=""),"",INDEX(Equipements!$H:$H,MATCH(A528,Equipements!$A:$A,0))&amp;"."&amp;B528),"")</f>
        <v/>
      </c>
      <c r="D528" s="4"/>
      <c r="E528" s="22"/>
      <c r="F528" s="22"/>
      <c r="G528" s="22"/>
      <c r="H528" s="4"/>
      <c r="I528" s="4"/>
      <c r="J528" s="23" t="str">
        <f aca="false">IF(OR(G528="",H528=""),"","%"&amp;G528&amp;H528)</f>
        <v/>
      </c>
      <c r="K528" s="4"/>
      <c r="L528" s="4"/>
      <c r="M528" s="4"/>
      <c r="N528" s="4"/>
      <c r="O528" s="23" t="str">
        <f aca="false">IF(H528="","",IF(I528="","mot entier","bit "&amp;I528))</f>
        <v/>
      </c>
      <c r="P528" s="4"/>
    </row>
    <row r="529" customFormat="false" ht="15" hidden="false" customHeight="true" outlineLevel="0" collapsed="false">
      <c r="A529" s="22"/>
      <c r="B529" s="22"/>
      <c r="C529" s="23" t="str">
        <f aca="false">IFERROR(IF(OR(A529="",B529=""),"",INDEX(Equipements!$H:$H,MATCH(A529,Equipements!$A:$A,0))&amp;"."&amp;B529),"")</f>
        <v/>
      </c>
      <c r="D529" s="4"/>
      <c r="E529" s="22"/>
      <c r="F529" s="22"/>
      <c r="G529" s="22"/>
      <c r="H529" s="4"/>
      <c r="I529" s="4"/>
      <c r="J529" s="23" t="str">
        <f aca="false">IF(OR(G529="",H529=""),"","%"&amp;G529&amp;H529)</f>
        <v/>
      </c>
      <c r="K529" s="4"/>
      <c r="L529" s="4"/>
      <c r="M529" s="4"/>
      <c r="N529" s="4"/>
      <c r="O529" s="23" t="str">
        <f aca="false">IF(H529="","",IF(I529="","mot entier","bit "&amp;I529))</f>
        <v/>
      </c>
      <c r="P529" s="4"/>
    </row>
    <row r="530" customFormat="false" ht="15" hidden="false" customHeight="true" outlineLevel="0" collapsed="false">
      <c r="A530" s="22"/>
      <c r="B530" s="22"/>
      <c r="C530" s="23" t="str">
        <f aca="false">IFERROR(IF(OR(A530="",B530=""),"",INDEX(Equipements!$H:$H,MATCH(A530,Equipements!$A:$A,0))&amp;"."&amp;B530),"")</f>
        <v/>
      </c>
      <c r="D530" s="4"/>
      <c r="E530" s="22"/>
      <c r="F530" s="22"/>
      <c r="G530" s="22"/>
      <c r="H530" s="4"/>
      <c r="I530" s="4"/>
      <c r="J530" s="23" t="str">
        <f aca="false">IF(OR(G530="",H530=""),"","%"&amp;G530&amp;H530)</f>
        <v/>
      </c>
      <c r="K530" s="4"/>
      <c r="L530" s="4"/>
      <c r="M530" s="4"/>
      <c r="N530" s="4"/>
      <c r="O530" s="23" t="str">
        <f aca="false">IF(H530="","",IF(I530="","mot entier","bit "&amp;I530))</f>
        <v/>
      </c>
      <c r="P530" s="4"/>
    </row>
    <row r="531" customFormat="false" ht="15" hidden="false" customHeight="true" outlineLevel="0" collapsed="false">
      <c r="A531" s="22"/>
      <c r="B531" s="22"/>
      <c r="C531" s="23" t="str">
        <f aca="false">IFERROR(IF(OR(A531="",B531=""),"",INDEX(Equipements!$H:$H,MATCH(A531,Equipements!$A:$A,0))&amp;"."&amp;B531),"")</f>
        <v/>
      </c>
      <c r="D531" s="4"/>
      <c r="E531" s="22"/>
      <c r="F531" s="22"/>
      <c r="G531" s="22"/>
      <c r="H531" s="4"/>
      <c r="I531" s="4"/>
      <c r="J531" s="23" t="str">
        <f aca="false">IF(OR(G531="",H531=""),"","%"&amp;G531&amp;H531)</f>
        <v/>
      </c>
      <c r="K531" s="4"/>
      <c r="L531" s="4"/>
      <c r="M531" s="4"/>
      <c r="N531" s="4"/>
      <c r="O531" s="23" t="str">
        <f aca="false">IF(H531="","",IF(I531="","mot entier","bit "&amp;I531))</f>
        <v/>
      </c>
      <c r="P531" s="4"/>
    </row>
    <row r="532" customFormat="false" ht="15" hidden="false" customHeight="true" outlineLevel="0" collapsed="false">
      <c r="A532" s="22"/>
      <c r="B532" s="22"/>
      <c r="C532" s="23" t="str">
        <f aca="false">IFERROR(IF(OR(A532="",B532=""),"",INDEX(Equipements!$H:$H,MATCH(A532,Equipements!$A:$A,0))&amp;"."&amp;B532),"")</f>
        <v/>
      </c>
      <c r="D532" s="4"/>
      <c r="E532" s="22"/>
      <c r="F532" s="22"/>
      <c r="G532" s="22"/>
      <c r="H532" s="4"/>
      <c r="I532" s="4"/>
      <c r="J532" s="23" t="str">
        <f aca="false">IF(OR(G532="",H532=""),"","%"&amp;G532&amp;H532)</f>
        <v/>
      </c>
      <c r="K532" s="4"/>
      <c r="L532" s="4"/>
      <c r="M532" s="4"/>
      <c r="N532" s="4"/>
      <c r="O532" s="23" t="str">
        <f aca="false">IF(H532="","",IF(I532="","mot entier","bit "&amp;I532))</f>
        <v/>
      </c>
      <c r="P532" s="4"/>
    </row>
    <row r="533" customFormat="false" ht="15" hidden="false" customHeight="true" outlineLevel="0" collapsed="false">
      <c r="A533" s="22"/>
      <c r="B533" s="22"/>
      <c r="C533" s="23" t="str">
        <f aca="false">IFERROR(IF(OR(A533="",B533=""),"",INDEX(Equipements!$H:$H,MATCH(A533,Equipements!$A:$A,0))&amp;"."&amp;B533),"")</f>
        <v/>
      </c>
      <c r="D533" s="4"/>
      <c r="E533" s="22"/>
      <c r="F533" s="22"/>
      <c r="G533" s="22"/>
      <c r="H533" s="4"/>
      <c r="I533" s="4"/>
      <c r="J533" s="23" t="str">
        <f aca="false">IF(OR(G533="",H533=""),"","%"&amp;G533&amp;H533)</f>
        <v/>
      </c>
      <c r="K533" s="4"/>
      <c r="L533" s="4"/>
      <c r="M533" s="4"/>
      <c r="N533" s="4"/>
      <c r="O533" s="23" t="str">
        <f aca="false">IF(H533="","",IF(I533="","mot entier","bit "&amp;I533))</f>
        <v/>
      </c>
      <c r="P533" s="4"/>
    </row>
    <row r="534" customFormat="false" ht="15" hidden="false" customHeight="true" outlineLevel="0" collapsed="false">
      <c r="A534" s="22"/>
      <c r="B534" s="22"/>
      <c r="C534" s="23" t="str">
        <f aca="false">IFERROR(IF(OR(A534="",B534=""),"",INDEX(Equipements!$H:$H,MATCH(A534,Equipements!$A:$A,0))&amp;"."&amp;B534),"")</f>
        <v/>
      </c>
      <c r="D534" s="4"/>
      <c r="E534" s="22"/>
      <c r="F534" s="22"/>
      <c r="G534" s="22"/>
      <c r="H534" s="4"/>
      <c r="I534" s="4"/>
      <c r="J534" s="23" t="str">
        <f aca="false">IF(OR(G534="",H534=""),"","%"&amp;G534&amp;H534)</f>
        <v/>
      </c>
      <c r="K534" s="4"/>
      <c r="L534" s="4"/>
      <c r="M534" s="4"/>
      <c r="N534" s="4"/>
      <c r="O534" s="23" t="str">
        <f aca="false">IF(H534="","",IF(I534="","mot entier","bit "&amp;I534))</f>
        <v/>
      </c>
      <c r="P534" s="4"/>
    </row>
    <row r="535" customFormat="false" ht="15" hidden="false" customHeight="true" outlineLevel="0" collapsed="false">
      <c r="A535" s="22"/>
      <c r="B535" s="22"/>
      <c r="C535" s="23" t="str">
        <f aca="false">IFERROR(IF(OR(A535="",B535=""),"",INDEX(Equipements!$H:$H,MATCH(A535,Equipements!$A:$A,0))&amp;"."&amp;B535),"")</f>
        <v/>
      </c>
      <c r="D535" s="4"/>
      <c r="E535" s="22"/>
      <c r="F535" s="22"/>
      <c r="G535" s="22"/>
      <c r="H535" s="4"/>
      <c r="I535" s="4"/>
      <c r="J535" s="23" t="str">
        <f aca="false">IF(OR(G535="",H535=""),"","%"&amp;G535&amp;H535)</f>
        <v/>
      </c>
      <c r="K535" s="4"/>
      <c r="L535" s="4"/>
      <c r="M535" s="4"/>
      <c r="N535" s="4"/>
      <c r="O535" s="23" t="str">
        <f aca="false">IF(H535="","",IF(I535="","mot entier","bit "&amp;I535))</f>
        <v/>
      </c>
      <c r="P535" s="4"/>
    </row>
    <row r="536" customFormat="false" ht="15" hidden="false" customHeight="true" outlineLevel="0" collapsed="false">
      <c r="A536" s="22"/>
      <c r="B536" s="22"/>
      <c r="C536" s="23" t="str">
        <f aca="false">IFERROR(IF(OR(A536="",B536=""),"",INDEX(Equipements!$H:$H,MATCH(A536,Equipements!$A:$A,0))&amp;"."&amp;B536),"")</f>
        <v/>
      </c>
      <c r="D536" s="4"/>
      <c r="E536" s="22"/>
      <c r="F536" s="22"/>
      <c r="G536" s="22"/>
      <c r="H536" s="4"/>
      <c r="I536" s="4"/>
      <c r="J536" s="23" t="str">
        <f aca="false">IF(OR(G536="",H536=""),"","%"&amp;G536&amp;H536)</f>
        <v/>
      </c>
      <c r="K536" s="4"/>
      <c r="L536" s="4"/>
      <c r="M536" s="4"/>
      <c r="N536" s="4"/>
      <c r="O536" s="23" t="str">
        <f aca="false">IF(H536="","",IF(I536="","mot entier","bit "&amp;I536))</f>
        <v/>
      </c>
      <c r="P536" s="4"/>
    </row>
    <row r="537" customFormat="false" ht="15" hidden="false" customHeight="true" outlineLevel="0" collapsed="false">
      <c r="A537" s="22"/>
      <c r="B537" s="22"/>
      <c r="C537" s="23" t="str">
        <f aca="false">IFERROR(IF(OR(A537="",B537=""),"",INDEX(Equipements!$H:$H,MATCH(A537,Equipements!$A:$A,0))&amp;"."&amp;B537),"")</f>
        <v/>
      </c>
      <c r="D537" s="4"/>
      <c r="E537" s="22"/>
      <c r="F537" s="22"/>
      <c r="G537" s="22"/>
      <c r="H537" s="4"/>
      <c r="I537" s="4"/>
      <c r="J537" s="23" t="str">
        <f aca="false">IF(OR(G537="",H537=""),"","%"&amp;G537&amp;H537)</f>
        <v/>
      </c>
      <c r="K537" s="4"/>
      <c r="L537" s="4"/>
      <c r="M537" s="4"/>
      <c r="N537" s="4"/>
      <c r="O537" s="23" t="str">
        <f aca="false">IF(H537="","",IF(I537="","mot entier","bit "&amp;I537))</f>
        <v/>
      </c>
      <c r="P537" s="4"/>
    </row>
    <row r="538" customFormat="false" ht="15" hidden="false" customHeight="true" outlineLevel="0" collapsed="false">
      <c r="A538" s="22"/>
      <c r="B538" s="22"/>
      <c r="C538" s="23" t="str">
        <f aca="false">IFERROR(IF(OR(A538="",B538=""),"",INDEX(Equipements!$H:$H,MATCH(A538,Equipements!$A:$A,0))&amp;"."&amp;B538),"")</f>
        <v/>
      </c>
      <c r="D538" s="4"/>
      <c r="E538" s="22"/>
      <c r="F538" s="22"/>
      <c r="G538" s="22"/>
      <c r="H538" s="4"/>
      <c r="I538" s="4"/>
      <c r="J538" s="23" t="str">
        <f aca="false">IF(OR(G538="",H538=""),"","%"&amp;G538&amp;H538)</f>
        <v/>
      </c>
      <c r="K538" s="4"/>
      <c r="L538" s="4"/>
      <c r="M538" s="4"/>
      <c r="N538" s="4"/>
      <c r="O538" s="23" t="str">
        <f aca="false">IF(H538="","",IF(I538="","mot entier","bit "&amp;I538))</f>
        <v/>
      </c>
      <c r="P538" s="4"/>
    </row>
    <row r="539" customFormat="false" ht="15" hidden="false" customHeight="true" outlineLevel="0" collapsed="false">
      <c r="A539" s="22"/>
      <c r="B539" s="22"/>
      <c r="C539" s="23" t="str">
        <f aca="false">IFERROR(IF(OR(A539="",B539=""),"",INDEX(Equipements!$H:$H,MATCH(A539,Equipements!$A:$A,0))&amp;"."&amp;B539),"")</f>
        <v/>
      </c>
      <c r="D539" s="4"/>
      <c r="E539" s="22"/>
      <c r="F539" s="22"/>
      <c r="G539" s="22"/>
      <c r="H539" s="4"/>
      <c r="I539" s="4"/>
      <c r="J539" s="23" t="str">
        <f aca="false">IF(OR(G539="",H539=""),"","%"&amp;G539&amp;H539)</f>
        <v/>
      </c>
      <c r="K539" s="4"/>
      <c r="L539" s="4"/>
      <c r="M539" s="4"/>
      <c r="N539" s="4"/>
      <c r="O539" s="23" t="str">
        <f aca="false">IF(H539="","",IF(I539="","mot entier","bit "&amp;I539))</f>
        <v/>
      </c>
      <c r="P539" s="4"/>
    </row>
    <row r="540" customFormat="false" ht="15" hidden="false" customHeight="true" outlineLevel="0" collapsed="false">
      <c r="A540" s="22"/>
      <c r="B540" s="22"/>
      <c r="C540" s="23" t="str">
        <f aca="false">IFERROR(IF(OR(A540="",B540=""),"",INDEX(Equipements!$H:$H,MATCH(A540,Equipements!$A:$A,0))&amp;"."&amp;B540),"")</f>
        <v/>
      </c>
      <c r="D540" s="4"/>
      <c r="E540" s="22"/>
      <c r="F540" s="22"/>
      <c r="G540" s="22"/>
      <c r="H540" s="4"/>
      <c r="I540" s="4"/>
      <c r="J540" s="23" t="str">
        <f aca="false">IF(OR(G540="",H540=""),"","%"&amp;G540&amp;H540)</f>
        <v/>
      </c>
      <c r="K540" s="4"/>
      <c r="L540" s="4"/>
      <c r="M540" s="4"/>
      <c r="N540" s="4"/>
      <c r="O540" s="23" t="str">
        <f aca="false">IF(H540="","",IF(I540="","mot entier","bit "&amp;I540))</f>
        <v/>
      </c>
      <c r="P540" s="4"/>
    </row>
    <row r="541" customFormat="false" ht="15" hidden="false" customHeight="true" outlineLevel="0" collapsed="false">
      <c r="A541" s="22"/>
      <c r="B541" s="22"/>
      <c r="C541" s="23" t="str">
        <f aca="false">IFERROR(IF(OR(A541="",B541=""),"",INDEX(Equipements!$H:$H,MATCH(A541,Equipements!$A:$A,0))&amp;"."&amp;B541),"")</f>
        <v/>
      </c>
      <c r="D541" s="4"/>
      <c r="E541" s="22"/>
      <c r="F541" s="22"/>
      <c r="G541" s="22"/>
      <c r="H541" s="4"/>
      <c r="I541" s="4"/>
      <c r="J541" s="23" t="str">
        <f aca="false">IF(OR(G541="",H541=""),"","%"&amp;G541&amp;H541)</f>
        <v/>
      </c>
      <c r="K541" s="4"/>
      <c r="L541" s="4"/>
      <c r="M541" s="4"/>
      <c r="N541" s="4"/>
      <c r="O541" s="23" t="str">
        <f aca="false">IF(H541="","",IF(I541="","mot entier","bit "&amp;I541))</f>
        <v/>
      </c>
      <c r="P541" s="4"/>
    </row>
    <row r="542" customFormat="false" ht="15" hidden="false" customHeight="true" outlineLevel="0" collapsed="false">
      <c r="A542" s="22"/>
      <c r="B542" s="22"/>
      <c r="C542" s="23" t="str">
        <f aca="false">IFERROR(IF(OR(A542="",B542=""),"",INDEX(Equipements!$H:$H,MATCH(A542,Equipements!$A:$A,0))&amp;"."&amp;B542),"")</f>
        <v/>
      </c>
      <c r="D542" s="4"/>
      <c r="E542" s="22"/>
      <c r="F542" s="22"/>
      <c r="G542" s="22"/>
      <c r="H542" s="4"/>
      <c r="I542" s="4"/>
      <c r="J542" s="23" t="str">
        <f aca="false">IF(OR(G542="",H542=""),"","%"&amp;G542&amp;H542)</f>
        <v/>
      </c>
      <c r="K542" s="4"/>
      <c r="L542" s="4"/>
      <c r="M542" s="4"/>
      <c r="N542" s="4"/>
      <c r="O542" s="23" t="str">
        <f aca="false">IF(H542="","",IF(I542="","mot entier","bit "&amp;I542))</f>
        <v/>
      </c>
      <c r="P542" s="4"/>
    </row>
    <row r="543" customFormat="false" ht="15" hidden="false" customHeight="true" outlineLevel="0" collapsed="false">
      <c r="A543" s="22"/>
      <c r="B543" s="22"/>
      <c r="C543" s="23" t="str">
        <f aca="false">IFERROR(IF(OR(A543="",B543=""),"",INDEX(Equipements!$H:$H,MATCH(A543,Equipements!$A:$A,0))&amp;"."&amp;B543),"")</f>
        <v/>
      </c>
      <c r="D543" s="4"/>
      <c r="E543" s="22"/>
      <c r="F543" s="22"/>
      <c r="G543" s="22"/>
      <c r="H543" s="4"/>
      <c r="I543" s="4"/>
      <c r="J543" s="23" t="str">
        <f aca="false">IF(OR(G543="",H543=""),"","%"&amp;G543&amp;H543)</f>
        <v/>
      </c>
      <c r="K543" s="4"/>
      <c r="L543" s="4"/>
      <c r="M543" s="4"/>
      <c r="N543" s="4"/>
      <c r="O543" s="23" t="str">
        <f aca="false">IF(H543="","",IF(I543="","mot entier","bit "&amp;I543))</f>
        <v/>
      </c>
      <c r="P543" s="4"/>
    </row>
    <row r="544" customFormat="false" ht="15" hidden="false" customHeight="true" outlineLevel="0" collapsed="false">
      <c r="A544" s="22"/>
      <c r="B544" s="22"/>
      <c r="C544" s="23" t="str">
        <f aca="false">IFERROR(IF(OR(A544="",B544=""),"",INDEX(Equipements!$H:$H,MATCH(A544,Equipements!$A:$A,0))&amp;"."&amp;B544),"")</f>
        <v/>
      </c>
      <c r="D544" s="4"/>
      <c r="E544" s="22"/>
      <c r="F544" s="22"/>
      <c r="G544" s="22"/>
      <c r="H544" s="4"/>
      <c r="I544" s="4"/>
      <c r="J544" s="23" t="str">
        <f aca="false">IF(OR(G544="",H544=""),"","%"&amp;G544&amp;H544)</f>
        <v/>
      </c>
      <c r="K544" s="4"/>
      <c r="L544" s="4"/>
      <c r="M544" s="4"/>
      <c r="N544" s="4"/>
      <c r="O544" s="23" t="str">
        <f aca="false">IF(H544="","",IF(I544="","mot entier","bit "&amp;I544))</f>
        <v/>
      </c>
      <c r="P544" s="4"/>
    </row>
    <row r="545" customFormat="false" ht="15" hidden="false" customHeight="true" outlineLevel="0" collapsed="false">
      <c r="A545" s="22"/>
      <c r="B545" s="22"/>
      <c r="C545" s="23" t="str">
        <f aca="false">IFERROR(IF(OR(A545="",B545=""),"",INDEX(Equipements!$H:$H,MATCH(A545,Equipements!$A:$A,0))&amp;"."&amp;B545),"")</f>
        <v/>
      </c>
      <c r="D545" s="4"/>
      <c r="E545" s="22"/>
      <c r="F545" s="22"/>
      <c r="G545" s="22"/>
      <c r="H545" s="4"/>
      <c r="I545" s="4"/>
      <c r="J545" s="23" t="str">
        <f aca="false">IF(OR(G545="",H545=""),"","%"&amp;G545&amp;H545)</f>
        <v/>
      </c>
      <c r="K545" s="4"/>
      <c r="L545" s="4"/>
      <c r="M545" s="4"/>
      <c r="N545" s="4"/>
      <c r="O545" s="23" t="str">
        <f aca="false">IF(H545="","",IF(I545="","mot entier","bit "&amp;I545))</f>
        <v/>
      </c>
      <c r="P545" s="4"/>
    </row>
    <row r="546" customFormat="false" ht="15" hidden="false" customHeight="true" outlineLevel="0" collapsed="false">
      <c r="A546" s="22"/>
      <c r="B546" s="22"/>
      <c r="C546" s="23" t="str">
        <f aca="false">IFERROR(IF(OR(A546="",B546=""),"",INDEX(Equipements!$H:$H,MATCH(A546,Equipements!$A:$A,0))&amp;"."&amp;B546),"")</f>
        <v/>
      </c>
      <c r="D546" s="4"/>
      <c r="E546" s="22"/>
      <c r="F546" s="22"/>
      <c r="G546" s="22"/>
      <c r="H546" s="4"/>
      <c r="I546" s="4"/>
      <c r="J546" s="23" t="str">
        <f aca="false">IF(OR(G546="",H546=""),"","%"&amp;G546&amp;H546)</f>
        <v/>
      </c>
      <c r="K546" s="4"/>
      <c r="L546" s="4"/>
      <c r="M546" s="4"/>
      <c r="N546" s="4"/>
      <c r="O546" s="23" t="str">
        <f aca="false">IF(H546="","",IF(I546="","mot entier","bit "&amp;I546))</f>
        <v/>
      </c>
      <c r="P546" s="4"/>
    </row>
    <row r="547" customFormat="false" ht="15" hidden="false" customHeight="true" outlineLevel="0" collapsed="false">
      <c r="A547" s="22"/>
      <c r="B547" s="22"/>
      <c r="C547" s="23" t="str">
        <f aca="false">IFERROR(IF(OR(A547="",B547=""),"",INDEX(Equipements!$H:$H,MATCH(A547,Equipements!$A:$A,0))&amp;"."&amp;B547),"")</f>
        <v/>
      </c>
      <c r="D547" s="4"/>
      <c r="E547" s="22"/>
      <c r="F547" s="22"/>
      <c r="G547" s="22"/>
      <c r="H547" s="4"/>
      <c r="I547" s="4"/>
      <c r="J547" s="23" t="str">
        <f aca="false">IF(OR(G547="",H547=""),"","%"&amp;G547&amp;H547)</f>
        <v/>
      </c>
      <c r="K547" s="4"/>
      <c r="L547" s="4"/>
      <c r="M547" s="4"/>
      <c r="N547" s="4"/>
      <c r="O547" s="23" t="str">
        <f aca="false">IF(H547="","",IF(I547="","mot entier","bit "&amp;I547))</f>
        <v/>
      </c>
      <c r="P547" s="4"/>
    </row>
    <row r="548" customFormat="false" ht="15" hidden="false" customHeight="true" outlineLevel="0" collapsed="false">
      <c r="A548" s="22"/>
      <c r="B548" s="22"/>
      <c r="C548" s="23" t="str">
        <f aca="false">IFERROR(IF(OR(A548="",B548=""),"",INDEX(Equipements!$H:$H,MATCH(A548,Equipements!$A:$A,0))&amp;"."&amp;B548),"")</f>
        <v/>
      </c>
      <c r="D548" s="4"/>
      <c r="E548" s="22"/>
      <c r="F548" s="22"/>
      <c r="G548" s="22"/>
      <c r="H548" s="4"/>
      <c r="I548" s="4"/>
      <c r="J548" s="23" t="str">
        <f aca="false">IF(OR(G548="",H548=""),"","%"&amp;G548&amp;H548)</f>
        <v/>
      </c>
      <c r="K548" s="4"/>
      <c r="L548" s="4"/>
      <c r="M548" s="4"/>
      <c r="N548" s="4"/>
      <c r="O548" s="23" t="str">
        <f aca="false">IF(H548="","",IF(I548="","mot entier","bit "&amp;I548))</f>
        <v/>
      </c>
      <c r="P548" s="4"/>
    </row>
    <row r="549" customFormat="false" ht="15" hidden="false" customHeight="true" outlineLevel="0" collapsed="false">
      <c r="A549" s="22"/>
      <c r="B549" s="22"/>
      <c r="C549" s="23" t="str">
        <f aca="false">IFERROR(IF(OR(A549="",B549=""),"",INDEX(Equipements!$H:$H,MATCH(A549,Equipements!$A:$A,0))&amp;"."&amp;B549),"")</f>
        <v/>
      </c>
      <c r="D549" s="4"/>
      <c r="E549" s="22"/>
      <c r="F549" s="22"/>
      <c r="G549" s="22"/>
      <c r="H549" s="4"/>
      <c r="I549" s="4"/>
      <c r="J549" s="23" t="str">
        <f aca="false">IF(OR(G549="",H549=""),"","%"&amp;G549&amp;H549)</f>
        <v/>
      </c>
      <c r="K549" s="4"/>
      <c r="L549" s="4"/>
      <c r="M549" s="4"/>
      <c r="N549" s="4"/>
      <c r="O549" s="23" t="str">
        <f aca="false">IF(H549="","",IF(I549="","mot entier","bit "&amp;I549))</f>
        <v/>
      </c>
      <c r="P549" s="4"/>
    </row>
    <row r="550" customFormat="false" ht="15" hidden="false" customHeight="true" outlineLevel="0" collapsed="false">
      <c r="A550" s="22"/>
      <c r="B550" s="22"/>
      <c r="C550" s="23" t="str">
        <f aca="false">IFERROR(IF(OR(A550="",B550=""),"",INDEX(Equipements!$H:$H,MATCH(A550,Equipements!$A:$A,0))&amp;"."&amp;B550),"")</f>
        <v/>
      </c>
      <c r="D550" s="4"/>
      <c r="E550" s="22"/>
      <c r="F550" s="22"/>
      <c r="G550" s="22"/>
      <c r="H550" s="4"/>
      <c r="I550" s="4"/>
      <c r="J550" s="23" t="str">
        <f aca="false">IF(OR(G550="",H550=""),"","%"&amp;G550&amp;H550)</f>
        <v/>
      </c>
      <c r="K550" s="4"/>
      <c r="L550" s="4"/>
      <c r="M550" s="4"/>
      <c r="N550" s="4"/>
      <c r="O550" s="23" t="str">
        <f aca="false">IF(H550="","",IF(I550="","mot entier","bit "&amp;I550))</f>
        <v/>
      </c>
      <c r="P550" s="4"/>
    </row>
    <row r="551" customFormat="false" ht="15" hidden="false" customHeight="true" outlineLevel="0" collapsed="false">
      <c r="A551" s="22"/>
      <c r="B551" s="22"/>
      <c r="C551" s="23" t="str">
        <f aca="false">IFERROR(IF(OR(A551="",B551=""),"",INDEX(Equipements!$H:$H,MATCH(A551,Equipements!$A:$A,0))&amp;"."&amp;B551),"")</f>
        <v/>
      </c>
      <c r="D551" s="4"/>
      <c r="E551" s="22"/>
      <c r="F551" s="22"/>
      <c r="G551" s="22"/>
      <c r="H551" s="4"/>
      <c r="I551" s="4"/>
      <c r="J551" s="23" t="str">
        <f aca="false">IF(OR(G551="",H551=""),"","%"&amp;G551&amp;H551)</f>
        <v/>
      </c>
      <c r="K551" s="4"/>
      <c r="L551" s="4"/>
      <c r="M551" s="4"/>
      <c r="N551" s="4"/>
      <c r="O551" s="23" t="str">
        <f aca="false">IF(H551="","",IF(I551="","mot entier","bit "&amp;I551))</f>
        <v/>
      </c>
      <c r="P551" s="4"/>
    </row>
    <row r="552" customFormat="false" ht="15" hidden="false" customHeight="true" outlineLevel="0" collapsed="false">
      <c r="A552" s="22"/>
      <c r="B552" s="22"/>
      <c r="C552" s="23" t="str">
        <f aca="false">IFERROR(IF(OR(A552="",B552=""),"",INDEX(Equipements!$H:$H,MATCH(A552,Equipements!$A:$A,0))&amp;"."&amp;B552),"")</f>
        <v/>
      </c>
      <c r="D552" s="4"/>
      <c r="E552" s="22"/>
      <c r="F552" s="22"/>
      <c r="G552" s="22"/>
      <c r="H552" s="4"/>
      <c r="I552" s="4"/>
      <c r="J552" s="23" t="str">
        <f aca="false">IF(OR(G552="",H552=""),"","%"&amp;G552&amp;H552)</f>
        <v/>
      </c>
      <c r="K552" s="4"/>
      <c r="L552" s="4"/>
      <c r="M552" s="4"/>
      <c r="N552" s="4"/>
      <c r="O552" s="23" t="str">
        <f aca="false">IF(H552="","",IF(I552="","mot entier","bit "&amp;I552))</f>
        <v/>
      </c>
      <c r="P552" s="4"/>
    </row>
    <row r="553" customFormat="false" ht="15" hidden="false" customHeight="true" outlineLevel="0" collapsed="false">
      <c r="A553" s="22"/>
      <c r="B553" s="22"/>
      <c r="C553" s="23" t="str">
        <f aca="false">IFERROR(IF(OR(A553="",B553=""),"",INDEX(Equipements!$H:$H,MATCH(A553,Equipements!$A:$A,0))&amp;"."&amp;B553),"")</f>
        <v/>
      </c>
      <c r="D553" s="4"/>
      <c r="E553" s="22"/>
      <c r="F553" s="22"/>
      <c r="G553" s="22"/>
      <c r="H553" s="4"/>
      <c r="I553" s="4"/>
      <c r="J553" s="23" t="str">
        <f aca="false">IF(OR(G553="",H553=""),"","%"&amp;G553&amp;H553)</f>
        <v/>
      </c>
      <c r="K553" s="4"/>
      <c r="L553" s="4"/>
      <c r="M553" s="4"/>
      <c r="N553" s="4"/>
      <c r="O553" s="23" t="str">
        <f aca="false">IF(H553="","",IF(I553="","mot entier","bit "&amp;I553))</f>
        <v/>
      </c>
      <c r="P553" s="4"/>
    </row>
    <row r="554" customFormat="false" ht="15" hidden="false" customHeight="true" outlineLevel="0" collapsed="false">
      <c r="A554" s="22"/>
      <c r="B554" s="22"/>
      <c r="C554" s="23" t="str">
        <f aca="false">IFERROR(IF(OR(A554="",B554=""),"",INDEX(Equipements!$H:$H,MATCH(A554,Equipements!$A:$A,0))&amp;"."&amp;B554),"")</f>
        <v/>
      </c>
      <c r="D554" s="4"/>
      <c r="E554" s="22"/>
      <c r="F554" s="22"/>
      <c r="G554" s="22"/>
      <c r="H554" s="4"/>
      <c r="I554" s="4"/>
      <c r="J554" s="23" t="str">
        <f aca="false">IF(OR(G554="",H554=""),"","%"&amp;G554&amp;H554)</f>
        <v/>
      </c>
      <c r="K554" s="4"/>
      <c r="L554" s="4"/>
      <c r="M554" s="4"/>
      <c r="N554" s="4"/>
      <c r="O554" s="23" t="str">
        <f aca="false">IF(H554="","",IF(I554="","mot entier","bit "&amp;I554))</f>
        <v/>
      </c>
      <c r="P554" s="4"/>
    </row>
    <row r="555" customFormat="false" ht="15" hidden="false" customHeight="true" outlineLevel="0" collapsed="false">
      <c r="A555" s="22"/>
      <c r="B555" s="22"/>
      <c r="C555" s="23" t="str">
        <f aca="false">IFERROR(IF(OR(A555="",B555=""),"",INDEX(Equipements!$H:$H,MATCH(A555,Equipements!$A:$A,0))&amp;"."&amp;B555),"")</f>
        <v/>
      </c>
      <c r="D555" s="4"/>
      <c r="E555" s="22"/>
      <c r="F555" s="22"/>
      <c r="G555" s="22"/>
      <c r="H555" s="4"/>
      <c r="I555" s="4"/>
      <c r="J555" s="23" t="str">
        <f aca="false">IF(OR(G555="",H555=""),"","%"&amp;G555&amp;H555)</f>
        <v/>
      </c>
      <c r="K555" s="4"/>
      <c r="L555" s="4"/>
      <c r="M555" s="4"/>
      <c r="N555" s="4"/>
      <c r="O555" s="23" t="str">
        <f aca="false">IF(H555="","",IF(I555="","mot entier","bit "&amp;I555))</f>
        <v/>
      </c>
      <c r="P555" s="4"/>
    </row>
    <row r="556" customFormat="false" ht="15" hidden="false" customHeight="true" outlineLevel="0" collapsed="false">
      <c r="A556" s="22"/>
      <c r="B556" s="22"/>
      <c r="C556" s="23" t="str">
        <f aca="false">IFERROR(IF(OR(A556="",B556=""),"",INDEX(Equipements!$H:$H,MATCH(A556,Equipements!$A:$A,0))&amp;"."&amp;B556),"")</f>
        <v/>
      </c>
      <c r="D556" s="4"/>
      <c r="E556" s="22"/>
      <c r="F556" s="22"/>
      <c r="G556" s="22"/>
      <c r="H556" s="4"/>
      <c r="I556" s="4"/>
      <c r="J556" s="23" t="str">
        <f aca="false">IF(OR(G556="",H556=""),"","%"&amp;G556&amp;H556)</f>
        <v/>
      </c>
      <c r="K556" s="4"/>
      <c r="L556" s="4"/>
      <c r="M556" s="4"/>
      <c r="N556" s="4"/>
      <c r="O556" s="23" t="str">
        <f aca="false">IF(H556="","",IF(I556="","mot entier","bit "&amp;I556))</f>
        <v/>
      </c>
      <c r="P556" s="4"/>
    </row>
    <row r="557" customFormat="false" ht="15" hidden="false" customHeight="true" outlineLevel="0" collapsed="false">
      <c r="A557" s="22"/>
      <c r="B557" s="22"/>
      <c r="C557" s="23" t="str">
        <f aca="false">IFERROR(IF(OR(A557="",B557=""),"",INDEX(Equipements!$H:$H,MATCH(A557,Equipements!$A:$A,0))&amp;"."&amp;B557),"")</f>
        <v/>
      </c>
      <c r="D557" s="4"/>
      <c r="E557" s="22"/>
      <c r="F557" s="22"/>
      <c r="G557" s="22"/>
      <c r="H557" s="4"/>
      <c r="I557" s="4"/>
      <c r="J557" s="23" t="str">
        <f aca="false">IF(OR(G557="",H557=""),"","%"&amp;G557&amp;H557)</f>
        <v/>
      </c>
      <c r="K557" s="4"/>
      <c r="L557" s="4"/>
      <c r="M557" s="4"/>
      <c r="N557" s="4"/>
      <c r="O557" s="23" t="str">
        <f aca="false">IF(H557="","",IF(I557="","mot entier","bit "&amp;I557))</f>
        <v/>
      </c>
      <c r="P557" s="4"/>
    </row>
    <row r="558" customFormat="false" ht="15" hidden="false" customHeight="true" outlineLevel="0" collapsed="false">
      <c r="A558" s="22"/>
      <c r="B558" s="22"/>
      <c r="C558" s="23" t="str">
        <f aca="false">IFERROR(IF(OR(A558="",B558=""),"",INDEX(Equipements!$H:$H,MATCH(A558,Equipements!$A:$A,0))&amp;"."&amp;B558),"")</f>
        <v/>
      </c>
      <c r="D558" s="4"/>
      <c r="E558" s="22"/>
      <c r="F558" s="22"/>
      <c r="G558" s="22"/>
      <c r="H558" s="4"/>
      <c r="I558" s="4"/>
      <c r="J558" s="23" t="str">
        <f aca="false">IF(OR(G558="",H558=""),"","%"&amp;G558&amp;H558)</f>
        <v/>
      </c>
      <c r="K558" s="4"/>
      <c r="L558" s="4"/>
      <c r="M558" s="4"/>
      <c r="N558" s="4"/>
      <c r="O558" s="23" t="str">
        <f aca="false">IF(H558="","",IF(I558="","mot entier","bit "&amp;I558))</f>
        <v/>
      </c>
      <c r="P558" s="4"/>
    </row>
    <row r="559" customFormat="false" ht="15" hidden="false" customHeight="true" outlineLevel="0" collapsed="false">
      <c r="A559" s="22"/>
      <c r="B559" s="22"/>
      <c r="C559" s="23" t="str">
        <f aca="false">IFERROR(IF(OR(A559="",B559=""),"",INDEX(Equipements!$H:$H,MATCH(A559,Equipements!$A:$A,0))&amp;"."&amp;B559),"")</f>
        <v/>
      </c>
      <c r="D559" s="4"/>
      <c r="E559" s="22"/>
      <c r="F559" s="22"/>
      <c r="G559" s="22"/>
      <c r="H559" s="4"/>
      <c r="I559" s="4"/>
      <c r="J559" s="23" t="str">
        <f aca="false">IF(OR(G559="",H559=""),"","%"&amp;G559&amp;H559)</f>
        <v/>
      </c>
      <c r="K559" s="4"/>
      <c r="L559" s="4"/>
      <c r="M559" s="4"/>
      <c r="N559" s="4"/>
      <c r="O559" s="23" t="str">
        <f aca="false">IF(H559="","",IF(I559="","mot entier","bit "&amp;I559))</f>
        <v/>
      </c>
      <c r="P559" s="4"/>
    </row>
    <row r="560" customFormat="false" ht="15" hidden="false" customHeight="true" outlineLevel="0" collapsed="false">
      <c r="A560" s="22"/>
      <c r="B560" s="22"/>
      <c r="C560" s="23" t="str">
        <f aca="false">IFERROR(IF(OR(A560="",B560=""),"",INDEX(Equipements!$H:$H,MATCH(A560,Equipements!$A:$A,0))&amp;"."&amp;B560),"")</f>
        <v/>
      </c>
      <c r="D560" s="4"/>
      <c r="E560" s="22"/>
      <c r="F560" s="22"/>
      <c r="G560" s="22"/>
      <c r="H560" s="4"/>
      <c r="I560" s="4"/>
      <c r="J560" s="23" t="str">
        <f aca="false">IF(OR(G560="",H560=""),"","%"&amp;G560&amp;H560)</f>
        <v/>
      </c>
      <c r="K560" s="4"/>
      <c r="L560" s="4"/>
      <c r="M560" s="4"/>
      <c r="N560" s="4"/>
      <c r="O560" s="23" t="str">
        <f aca="false">IF(H560="","",IF(I560="","mot entier","bit "&amp;I560))</f>
        <v/>
      </c>
      <c r="P560" s="4"/>
    </row>
    <row r="561" customFormat="false" ht="15" hidden="false" customHeight="true" outlineLevel="0" collapsed="false">
      <c r="A561" s="22"/>
      <c r="B561" s="22"/>
      <c r="C561" s="23" t="str">
        <f aca="false">IFERROR(IF(OR(A561="",B561=""),"",INDEX(Equipements!$H:$H,MATCH(A561,Equipements!$A:$A,0))&amp;"."&amp;B561),"")</f>
        <v/>
      </c>
      <c r="D561" s="4"/>
      <c r="E561" s="22"/>
      <c r="F561" s="22"/>
      <c r="G561" s="22"/>
      <c r="H561" s="4"/>
      <c r="I561" s="4"/>
      <c r="J561" s="23" t="str">
        <f aca="false">IF(OR(G561="",H561=""),"","%"&amp;G561&amp;H561)</f>
        <v/>
      </c>
      <c r="K561" s="4"/>
      <c r="L561" s="4"/>
      <c r="M561" s="4"/>
      <c r="N561" s="4"/>
      <c r="O561" s="23" t="str">
        <f aca="false">IF(H561="","",IF(I561="","mot entier","bit "&amp;I561))</f>
        <v/>
      </c>
      <c r="P561" s="4"/>
    </row>
    <row r="562" customFormat="false" ht="15" hidden="false" customHeight="true" outlineLevel="0" collapsed="false">
      <c r="A562" s="22"/>
      <c r="B562" s="22"/>
      <c r="C562" s="23" t="str">
        <f aca="false">IFERROR(IF(OR(A562="",B562=""),"",INDEX(Equipements!$H:$H,MATCH(A562,Equipements!$A:$A,0))&amp;"."&amp;B562),"")</f>
        <v/>
      </c>
      <c r="D562" s="4"/>
      <c r="E562" s="22"/>
      <c r="F562" s="22"/>
      <c r="G562" s="22"/>
      <c r="H562" s="4"/>
      <c r="I562" s="4"/>
      <c r="J562" s="23" t="str">
        <f aca="false">IF(OR(G562="",H562=""),"","%"&amp;G562&amp;H562)</f>
        <v/>
      </c>
      <c r="K562" s="4"/>
      <c r="L562" s="4"/>
      <c r="M562" s="4"/>
      <c r="N562" s="4"/>
      <c r="O562" s="23" t="str">
        <f aca="false">IF(H562="","",IF(I562="","mot entier","bit "&amp;I562))</f>
        <v/>
      </c>
      <c r="P562" s="4"/>
    </row>
    <row r="563" customFormat="false" ht="15" hidden="false" customHeight="true" outlineLevel="0" collapsed="false">
      <c r="A563" s="22"/>
      <c r="B563" s="22"/>
      <c r="C563" s="23" t="str">
        <f aca="false">IFERROR(IF(OR(A563="",B563=""),"",INDEX(Equipements!$H:$H,MATCH(A563,Equipements!$A:$A,0))&amp;"."&amp;B563),"")</f>
        <v/>
      </c>
      <c r="D563" s="4"/>
      <c r="E563" s="22"/>
      <c r="F563" s="22"/>
      <c r="G563" s="22"/>
      <c r="H563" s="4"/>
      <c r="I563" s="4"/>
      <c r="J563" s="23" t="str">
        <f aca="false">IF(OR(G563="",H563=""),"","%"&amp;G563&amp;H563)</f>
        <v/>
      </c>
      <c r="K563" s="4"/>
      <c r="L563" s="4"/>
      <c r="M563" s="4"/>
      <c r="N563" s="4"/>
      <c r="O563" s="23" t="str">
        <f aca="false">IF(H563="","",IF(I563="","mot entier","bit "&amp;I563))</f>
        <v/>
      </c>
      <c r="P563" s="4"/>
    </row>
    <row r="564" customFormat="false" ht="15" hidden="false" customHeight="true" outlineLevel="0" collapsed="false">
      <c r="A564" s="22"/>
      <c r="B564" s="22"/>
      <c r="C564" s="23" t="str">
        <f aca="false">IFERROR(IF(OR(A564="",B564=""),"",INDEX(Equipements!$H:$H,MATCH(A564,Equipements!$A:$A,0))&amp;"."&amp;B564),"")</f>
        <v/>
      </c>
      <c r="D564" s="4"/>
      <c r="E564" s="22"/>
      <c r="F564" s="22"/>
      <c r="G564" s="22"/>
      <c r="H564" s="4"/>
      <c r="I564" s="4"/>
      <c r="J564" s="23" t="str">
        <f aca="false">IF(OR(G564="",H564=""),"","%"&amp;G564&amp;H564)</f>
        <v/>
      </c>
      <c r="K564" s="4"/>
      <c r="L564" s="4"/>
      <c r="M564" s="4"/>
      <c r="N564" s="4"/>
      <c r="O564" s="23" t="str">
        <f aca="false">IF(H564="","",IF(I564="","mot entier","bit "&amp;I564))</f>
        <v/>
      </c>
      <c r="P564" s="4"/>
    </row>
    <row r="565" customFormat="false" ht="15" hidden="false" customHeight="true" outlineLevel="0" collapsed="false">
      <c r="A565" s="22"/>
      <c r="B565" s="22"/>
      <c r="C565" s="23" t="str">
        <f aca="false">IFERROR(IF(OR(A565="",B565=""),"",INDEX(Equipements!$H:$H,MATCH(A565,Equipements!$A:$A,0))&amp;"."&amp;B565),"")</f>
        <v/>
      </c>
      <c r="D565" s="4"/>
      <c r="E565" s="22"/>
      <c r="F565" s="22"/>
      <c r="G565" s="22"/>
      <c r="H565" s="4"/>
      <c r="I565" s="4"/>
      <c r="J565" s="23" t="str">
        <f aca="false">IF(OR(G565="",H565=""),"","%"&amp;G565&amp;H565)</f>
        <v/>
      </c>
      <c r="K565" s="4"/>
      <c r="L565" s="4"/>
      <c r="M565" s="4"/>
      <c r="N565" s="4"/>
      <c r="O565" s="23" t="str">
        <f aca="false">IF(H565="","",IF(I565="","mot entier","bit "&amp;I565))</f>
        <v/>
      </c>
      <c r="P565" s="4"/>
    </row>
    <row r="566" customFormat="false" ht="15" hidden="false" customHeight="true" outlineLevel="0" collapsed="false">
      <c r="A566" s="22"/>
      <c r="B566" s="22"/>
      <c r="C566" s="23" t="str">
        <f aca="false">IFERROR(IF(OR(A566="",B566=""),"",INDEX(Equipements!$H:$H,MATCH(A566,Equipements!$A:$A,0))&amp;"."&amp;B566),"")</f>
        <v/>
      </c>
      <c r="D566" s="4"/>
      <c r="E566" s="22"/>
      <c r="F566" s="22"/>
      <c r="G566" s="22"/>
      <c r="H566" s="4"/>
      <c r="I566" s="4"/>
      <c r="J566" s="23" t="str">
        <f aca="false">IF(OR(G566="",H566=""),"","%"&amp;G566&amp;H566)</f>
        <v/>
      </c>
      <c r="K566" s="4"/>
      <c r="L566" s="4"/>
      <c r="M566" s="4"/>
      <c r="N566" s="4"/>
      <c r="O566" s="23" t="str">
        <f aca="false">IF(H566="","",IF(I566="","mot entier","bit "&amp;I566))</f>
        <v/>
      </c>
      <c r="P566" s="4"/>
    </row>
    <row r="567" customFormat="false" ht="15" hidden="false" customHeight="true" outlineLevel="0" collapsed="false">
      <c r="A567" s="22"/>
      <c r="B567" s="22"/>
      <c r="C567" s="23" t="str">
        <f aca="false">IFERROR(IF(OR(A567="",B567=""),"",INDEX(Equipements!$H:$H,MATCH(A567,Equipements!$A:$A,0))&amp;"."&amp;B567),"")</f>
        <v/>
      </c>
      <c r="D567" s="4"/>
      <c r="E567" s="22"/>
      <c r="F567" s="22"/>
      <c r="G567" s="22"/>
      <c r="H567" s="4"/>
      <c r="I567" s="4"/>
      <c r="J567" s="23" t="str">
        <f aca="false">IF(OR(G567="",H567=""),"","%"&amp;G567&amp;H567)</f>
        <v/>
      </c>
      <c r="K567" s="4"/>
      <c r="L567" s="4"/>
      <c r="M567" s="4"/>
      <c r="N567" s="4"/>
      <c r="O567" s="23" t="str">
        <f aca="false">IF(H567="","",IF(I567="","mot entier","bit "&amp;I567))</f>
        <v/>
      </c>
      <c r="P567" s="4"/>
    </row>
    <row r="568" customFormat="false" ht="15" hidden="false" customHeight="true" outlineLevel="0" collapsed="false">
      <c r="A568" s="22"/>
      <c r="B568" s="22"/>
      <c r="C568" s="23" t="str">
        <f aca="false">IFERROR(IF(OR(A568="",B568=""),"",INDEX(Equipements!$H:$H,MATCH(A568,Equipements!$A:$A,0))&amp;"."&amp;B568),"")</f>
        <v/>
      </c>
      <c r="D568" s="4"/>
      <c r="E568" s="22"/>
      <c r="F568" s="22"/>
      <c r="G568" s="22"/>
      <c r="H568" s="4"/>
      <c r="I568" s="4"/>
      <c r="J568" s="23" t="str">
        <f aca="false">IF(OR(G568="",H568=""),"","%"&amp;G568&amp;H568)</f>
        <v/>
      </c>
      <c r="K568" s="4"/>
      <c r="L568" s="4"/>
      <c r="M568" s="4"/>
      <c r="N568" s="4"/>
      <c r="O568" s="23" t="str">
        <f aca="false">IF(H568="","",IF(I568="","mot entier","bit "&amp;I568))</f>
        <v/>
      </c>
      <c r="P568" s="4"/>
    </row>
    <row r="569" customFormat="false" ht="15" hidden="false" customHeight="true" outlineLevel="0" collapsed="false">
      <c r="A569" s="22"/>
      <c r="B569" s="22"/>
      <c r="C569" s="23" t="str">
        <f aca="false">IFERROR(IF(OR(A569="",B569=""),"",INDEX(Equipements!$H:$H,MATCH(A569,Equipements!$A:$A,0))&amp;"."&amp;B569),"")</f>
        <v/>
      </c>
      <c r="D569" s="4"/>
      <c r="E569" s="22"/>
      <c r="F569" s="22"/>
      <c r="G569" s="22"/>
      <c r="H569" s="4"/>
      <c r="I569" s="4"/>
      <c r="J569" s="23" t="str">
        <f aca="false">IF(OR(G569="",H569=""),"","%"&amp;G569&amp;H569)</f>
        <v/>
      </c>
      <c r="K569" s="4"/>
      <c r="L569" s="4"/>
      <c r="M569" s="4"/>
      <c r="N569" s="4"/>
      <c r="O569" s="23" t="str">
        <f aca="false">IF(H569="","",IF(I569="","mot entier","bit "&amp;I569))</f>
        <v/>
      </c>
      <c r="P569" s="4"/>
    </row>
    <row r="570" customFormat="false" ht="15" hidden="false" customHeight="true" outlineLevel="0" collapsed="false">
      <c r="A570" s="22"/>
      <c r="B570" s="22"/>
      <c r="C570" s="23" t="str">
        <f aca="false">IFERROR(IF(OR(A570="",B570=""),"",INDEX(Equipements!$H:$H,MATCH(A570,Equipements!$A:$A,0))&amp;"."&amp;B570),"")</f>
        <v/>
      </c>
      <c r="D570" s="4"/>
      <c r="E570" s="22"/>
      <c r="F570" s="22"/>
      <c r="G570" s="22"/>
      <c r="H570" s="4"/>
      <c r="I570" s="4"/>
      <c r="J570" s="23" t="str">
        <f aca="false">IF(OR(G570="",H570=""),"","%"&amp;G570&amp;H570)</f>
        <v/>
      </c>
      <c r="K570" s="4"/>
      <c r="L570" s="4"/>
      <c r="M570" s="4"/>
      <c r="N570" s="4"/>
      <c r="O570" s="23" t="str">
        <f aca="false">IF(H570="","",IF(I570="","mot entier","bit "&amp;I570))</f>
        <v/>
      </c>
      <c r="P570" s="4"/>
    </row>
    <row r="571" customFormat="false" ht="15" hidden="false" customHeight="true" outlineLevel="0" collapsed="false">
      <c r="A571" s="22"/>
      <c r="B571" s="22"/>
      <c r="C571" s="23" t="str">
        <f aca="false">IFERROR(IF(OR(A571="",B571=""),"",INDEX(Equipements!$H:$H,MATCH(A571,Equipements!$A:$A,0))&amp;"."&amp;B571),"")</f>
        <v/>
      </c>
      <c r="D571" s="4"/>
      <c r="E571" s="22"/>
      <c r="F571" s="22"/>
      <c r="G571" s="22"/>
      <c r="H571" s="4"/>
      <c r="I571" s="4"/>
      <c r="J571" s="23" t="str">
        <f aca="false">IF(OR(G571="",H571=""),"","%"&amp;G571&amp;H571)</f>
        <v/>
      </c>
      <c r="K571" s="4"/>
      <c r="L571" s="4"/>
      <c r="M571" s="4"/>
      <c r="N571" s="4"/>
      <c r="O571" s="23" t="str">
        <f aca="false">IF(H571="","",IF(I571="","mot entier","bit "&amp;I571))</f>
        <v/>
      </c>
      <c r="P571" s="4"/>
    </row>
    <row r="572" customFormat="false" ht="15" hidden="false" customHeight="true" outlineLevel="0" collapsed="false">
      <c r="A572" s="22"/>
      <c r="B572" s="22"/>
      <c r="C572" s="23" t="str">
        <f aca="false">IFERROR(IF(OR(A572="",B572=""),"",INDEX(Equipements!$H:$H,MATCH(A572,Equipements!$A:$A,0))&amp;"."&amp;B572),"")</f>
        <v/>
      </c>
      <c r="D572" s="4"/>
      <c r="E572" s="22"/>
      <c r="F572" s="22"/>
      <c r="G572" s="22"/>
      <c r="H572" s="4"/>
      <c r="I572" s="4"/>
      <c r="J572" s="23" t="str">
        <f aca="false">IF(OR(G572="",H572=""),"","%"&amp;G572&amp;H572)</f>
        <v/>
      </c>
      <c r="K572" s="4"/>
      <c r="L572" s="4"/>
      <c r="M572" s="4"/>
      <c r="N572" s="4"/>
      <c r="O572" s="23" t="str">
        <f aca="false">IF(H572="","",IF(I572="","mot entier","bit "&amp;I572))</f>
        <v/>
      </c>
      <c r="P572" s="4"/>
    </row>
    <row r="573" customFormat="false" ht="15" hidden="false" customHeight="true" outlineLevel="0" collapsed="false">
      <c r="A573" s="22"/>
      <c r="B573" s="22"/>
      <c r="C573" s="23" t="str">
        <f aca="false">IFERROR(IF(OR(A573="",B573=""),"",INDEX(Equipements!$H:$H,MATCH(A573,Equipements!$A:$A,0))&amp;"."&amp;B573),"")</f>
        <v/>
      </c>
      <c r="D573" s="4"/>
      <c r="E573" s="22"/>
      <c r="F573" s="22"/>
      <c r="G573" s="22"/>
      <c r="H573" s="4"/>
      <c r="I573" s="4"/>
      <c r="J573" s="23" t="str">
        <f aca="false">IF(OR(G573="",H573=""),"","%"&amp;G573&amp;H573)</f>
        <v/>
      </c>
      <c r="K573" s="4"/>
      <c r="L573" s="4"/>
      <c r="M573" s="4"/>
      <c r="N573" s="4"/>
      <c r="O573" s="23" t="str">
        <f aca="false">IF(H573="","",IF(I573="","mot entier","bit "&amp;I573))</f>
        <v/>
      </c>
      <c r="P573" s="4"/>
    </row>
    <row r="574" customFormat="false" ht="15" hidden="false" customHeight="true" outlineLevel="0" collapsed="false">
      <c r="A574" s="22"/>
      <c r="B574" s="22"/>
      <c r="C574" s="23" t="str">
        <f aca="false">IFERROR(IF(OR(A574="",B574=""),"",INDEX(Equipements!$H:$H,MATCH(A574,Equipements!$A:$A,0))&amp;"."&amp;B574),"")</f>
        <v/>
      </c>
      <c r="D574" s="4"/>
      <c r="E574" s="22"/>
      <c r="F574" s="22"/>
      <c r="G574" s="22"/>
      <c r="H574" s="4"/>
      <c r="I574" s="4"/>
      <c r="J574" s="23" t="str">
        <f aca="false">IF(OR(G574="",H574=""),"","%"&amp;G574&amp;H574)</f>
        <v/>
      </c>
      <c r="K574" s="4"/>
      <c r="L574" s="4"/>
      <c r="M574" s="4"/>
      <c r="N574" s="4"/>
      <c r="O574" s="23" t="str">
        <f aca="false">IF(H574="","",IF(I574="","mot entier","bit "&amp;I574))</f>
        <v/>
      </c>
      <c r="P574" s="4"/>
    </row>
    <row r="575" customFormat="false" ht="15" hidden="false" customHeight="true" outlineLevel="0" collapsed="false">
      <c r="A575" s="22"/>
      <c r="B575" s="22"/>
      <c r="C575" s="23" t="str">
        <f aca="false">IFERROR(IF(OR(A575="",B575=""),"",INDEX(Equipements!$H:$H,MATCH(A575,Equipements!$A:$A,0))&amp;"."&amp;B575),"")</f>
        <v/>
      </c>
      <c r="D575" s="4"/>
      <c r="E575" s="22"/>
      <c r="F575" s="22"/>
      <c r="G575" s="22"/>
      <c r="H575" s="4"/>
      <c r="I575" s="4"/>
      <c r="J575" s="23" t="str">
        <f aca="false">IF(OR(G575="",H575=""),"","%"&amp;G575&amp;H575)</f>
        <v/>
      </c>
      <c r="K575" s="4"/>
      <c r="L575" s="4"/>
      <c r="M575" s="4"/>
      <c r="N575" s="4"/>
      <c r="O575" s="23" t="str">
        <f aca="false">IF(H575="","",IF(I575="","mot entier","bit "&amp;I575))</f>
        <v/>
      </c>
      <c r="P575" s="4"/>
    </row>
    <row r="576" customFormat="false" ht="15" hidden="false" customHeight="true" outlineLevel="0" collapsed="false">
      <c r="A576" s="22"/>
      <c r="B576" s="22"/>
      <c r="C576" s="23" t="str">
        <f aca="false">IFERROR(IF(OR(A576="",B576=""),"",INDEX(Equipements!$H:$H,MATCH(A576,Equipements!$A:$A,0))&amp;"."&amp;B576),"")</f>
        <v/>
      </c>
      <c r="D576" s="4"/>
      <c r="E576" s="22"/>
      <c r="F576" s="22"/>
      <c r="G576" s="22"/>
      <c r="H576" s="4"/>
      <c r="I576" s="4"/>
      <c r="J576" s="23" t="str">
        <f aca="false">IF(OR(G576="",H576=""),"","%"&amp;G576&amp;H576)</f>
        <v/>
      </c>
      <c r="K576" s="4"/>
      <c r="L576" s="4"/>
      <c r="M576" s="4"/>
      <c r="N576" s="4"/>
      <c r="O576" s="23" t="str">
        <f aca="false">IF(H576="","",IF(I576="","mot entier","bit "&amp;I576))</f>
        <v/>
      </c>
      <c r="P576" s="4"/>
    </row>
    <row r="577" customFormat="false" ht="15" hidden="false" customHeight="true" outlineLevel="0" collapsed="false">
      <c r="A577" s="22"/>
      <c r="B577" s="22"/>
      <c r="C577" s="23" t="str">
        <f aca="false">IFERROR(IF(OR(A577="",B577=""),"",INDEX(Equipements!$H:$H,MATCH(A577,Equipements!$A:$A,0))&amp;"."&amp;B577),"")</f>
        <v/>
      </c>
      <c r="D577" s="4"/>
      <c r="E577" s="22"/>
      <c r="F577" s="22"/>
      <c r="G577" s="22"/>
      <c r="H577" s="4"/>
      <c r="I577" s="4"/>
      <c r="J577" s="23" t="str">
        <f aca="false">IF(OR(G577="",H577=""),"","%"&amp;G577&amp;H577)</f>
        <v/>
      </c>
      <c r="K577" s="4"/>
      <c r="L577" s="4"/>
      <c r="M577" s="4"/>
      <c r="N577" s="4"/>
      <c r="O577" s="23" t="str">
        <f aca="false">IF(H577="","",IF(I577="","mot entier","bit "&amp;I577))</f>
        <v/>
      </c>
      <c r="P577" s="4"/>
    </row>
    <row r="578" customFormat="false" ht="15" hidden="false" customHeight="true" outlineLevel="0" collapsed="false">
      <c r="A578" s="22"/>
      <c r="B578" s="22"/>
      <c r="C578" s="23" t="str">
        <f aca="false">IFERROR(IF(OR(A578="",B578=""),"",INDEX(Equipements!$H:$H,MATCH(A578,Equipements!$A:$A,0))&amp;"."&amp;B578),"")</f>
        <v/>
      </c>
      <c r="D578" s="4"/>
      <c r="E578" s="22"/>
      <c r="F578" s="22"/>
      <c r="G578" s="22"/>
      <c r="H578" s="4"/>
      <c r="I578" s="4"/>
      <c r="J578" s="23" t="str">
        <f aca="false">IF(OR(G578="",H578=""),"","%"&amp;G578&amp;H578)</f>
        <v/>
      </c>
      <c r="K578" s="4"/>
      <c r="L578" s="4"/>
      <c r="M578" s="4"/>
      <c r="N578" s="4"/>
      <c r="O578" s="23" t="str">
        <f aca="false">IF(H578="","",IF(I578="","mot entier","bit "&amp;I578))</f>
        <v/>
      </c>
      <c r="P578" s="4"/>
    </row>
    <row r="579" customFormat="false" ht="15" hidden="false" customHeight="true" outlineLevel="0" collapsed="false">
      <c r="A579" s="22"/>
      <c r="B579" s="22"/>
      <c r="C579" s="23" t="str">
        <f aca="false">IFERROR(IF(OR(A579="",B579=""),"",INDEX(Equipements!$H:$H,MATCH(A579,Equipements!$A:$A,0))&amp;"."&amp;B579),"")</f>
        <v/>
      </c>
      <c r="D579" s="4"/>
      <c r="E579" s="22"/>
      <c r="F579" s="22"/>
      <c r="G579" s="22"/>
      <c r="H579" s="4"/>
      <c r="I579" s="4"/>
      <c r="J579" s="23" t="str">
        <f aca="false">IF(OR(G579="",H579=""),"","%"&amp;G579&amp;H579)</f>
        <v/>
      </c>
      <c r="K579" s="4"/>
      <c r="L579" s="4"/>
      <c r="M579" s="4"/>
      <c r="N579" s="4"/>
      <c r="O579" s="23" t="str">
        <f aca="false">IF(H579="","",IF(I579="","mot entier","bit "&amp;I579))</f>
        <v/>
      </c>
      <c r="P579" s="4"/>
    </row>
    <row r="580" customFormat="false" ht="15" hidden="false" customHeight="true" outlineLevel="0" collapsed="false">
      <c r="A580" s="22"/>
      <c r="B580" s="22"/>
      <c r="C580" s="23" t="str">
        <f aca="false">IFERROR(IF(OR(A580="",B580=""),"",INDEX(Equipements!$H:$H,MATCH(A580,Equipements!$A:$A,0))&amp;"."&amp;B580),"")</f>
        <v/>
      </c>
      <c r="D580" s="4"/>
      <c r="E580" s="22"/>
      <c r="F580" s="22"/>
      <c r="G580" s="22"/>
      <c r="H580" s="4"/>
      <c r="I580" s="4"/>
      <c r="J580" s="23" t="str">
        <f aca="false">IF(OR(G580="",H580=""),"","%"&amp;G580&amp;H580)</f>
        <v/>
      </c>
      <c r="K580" s="4"/>
      <c r="L580" s="4"/>
      <c r="M580" s="4"/>
      <c r="N580" s="4"/>
      <c r="O580" s="23" t="str">
        <f aca="false">IF(H580="","",IF(I580="","mot entier","bit "&amp;I580))</f>
        <v/>
      </c>
      <c r="P580" s="4"/>
    </row>
    <row r="581" customFormat="false" ht="15" hidden="false" customHeight="true" outlineLevel="0" collapsed="false">
      <c r="A581" s="22"/>
      <c r="B581" s="22"/>
      <c r="C581" s="23" t="str">
        <f aca="false">IFERROR(IF(OR(A581="",B581=""),"",INDEX(Equipements!$H:$H,MATCH(A581,Equipements!$A:$A,0))&amp;"."&amp;B581),"")</f>
        <v/>
      </c>
      <c r="D581" s="4"/>
      <c r="E581" s="22"/>
      <c r="F581" s="22"/>
      <c r="G581" s="22"/>
      <c r="H581" s="4"/>
      <c r="I581" s="4"/>
      <c r="J581" s="23" t="str">
        <f aca="false">IF(OR(G581="",H581=""),"","%"&amp;G581&amp;H581)</f>
        <v/>
      </c>
      <c r="K581" s="4"/>
      <c r="L581" s="4"/>
      <c r="M581" s="4"/>
      <c r="N581" s="4"/>
      <c r="O581" s="23" t="str">
        <f aca="false">IF(H581="","",IF(I581="","mot entier","bit "&amp;I581))</f>
        <v/>
      </c>
      <c r="P581" s="4"/>
    </row>
    <row r="582" customFormat="false" ht="15" hidden="false" customHeight="true" outlineLevel="0" collapsed="false">
      <c r="A582" s="22"/>
      <c r="B582" s="22"/>
      <c r="C582" s="23" t="str">
        <f aca="false">IFERROR(IF(OR(A582="",B582=""),"",INDEX(Equipements!$H:$H,MATCH(A582,Equipements!$A:$A,0))&amp;"."&amp;B582),"")</f>
        <v/>
      </c>
      <c r="D582" s="4"/>
      <c r="E582" s="22"/>
      <c r="F582" s="22"/>
      <c r="G582" s="22"/>
      <c r="H582" s="4"/>
      <c r="I582" s="4"/>
      <c r="J582" s="23" t="str">
        <f aca="false">IF(OR(G582="",H582=""),"","%"&amp;G582&amp;H582)</f>
        <v/>
      </c>
      <c r="K582" s="4"/>
      <c r="L582" s="4"/>
      <c r="M582" s="4"/>
      <c r="N582" s="4"/>
      <c r="O582" s="23" t="str">
        <f aca="false">IF(H582="","",IF(I582="","mot entier","bit "&amp;I582))</f>
        <v/>
      </c>
      <c r="P582" s="4"/>
    </row>
    <row r="583" customFormat="false" ht="15" hidden="false" customHeight="true" outlineLevel="0" collapsed="false">
      <c r="A583" s="22"/>
      <c r="B583" s="22"/>
      <c r="C583" s="23" t="str">
        <f aca="false">IFERROR(IF(OR(A583="",B583=""),"",INDEX(Equipements!$H:$H,MATCH(A583,Equipements!$A:$A,0))&amp;"."&amp;B583),"")</f>
        <v/>
      </c>
      <c r="D583" s="4"/>
      <c r="E583" s="22"/>
      <c r="F583" s="22"/>
      <c r="G583" s="22"/>
      <c r="H583" s="4"/>
      <c r="I583" s="4"/>
      <c r="J583" s="23" t="str">
        <f aca="false">IF(OR(G583="",H583=""),"","%"&amp;G583&amp;H583)</f>
        <v/>
      </c>
      <c r="K583" s="4"/>
      <c r="L583" s="4"/>
      <c r="M583" s="4"/>
      <c r="N583" s="4"/>
      <c r="O583" s="23" t="str">
        <f aca="false">IF(H583="","",IF(I583="","mot entier","bit "&amp;I583))</f>
        <v/>
      </c>
      <c r="P583" s="4"/>
    </row>
    <row r="584" customFormat="false" ht="15" hidden="false" customHeight="true" outlineLevel="0" collapsed="false">
      <c r="A584" s="22"/>
      <c r="B584" s="22"/>
      <c r="C584" s="23" t="str">
        <f aca="false">IFERROR(IF(OR(A584="",B584=""),"",INDEX(Equipements!$H:$H,MATCH(A584,Equipements!$A:$A,0))&amp;"."&amp;B584),"")</f>
        <v/>
      </c>
      <c r="D584" s="4"/>
      <c r="E584" s="22"/>
      <c r="F584" s="22"/>
      <c r="G584" s="22"/>
      <c r="H584" s="4"/>
      <c r="I584" s="4"/>
      <c r="J584" s="23" t="str">
        <f aca="false">IF(OR(G584="",H584=""),"","%"&amp;G584&amp;H584)</f>
        <v/>
      </c>
      <c r="K584" s="4"/>
      <c r="L584" s="4"/>
      <c r="M584" s="4"/>
      <c r="N584" s="4"/>
      <c r="O584" s="23" t="str">
        <f aca="false">IF(H584="","",IF(I584="","mot entier","bit "&amp;I584))</f>
        <v/>
      </c>
      <c r="P584" s="4"/>
    </row>
    <row r="585" customFormat="false" ht="15" hidden="false" customHeight="true" outlineLevel="0" collapsed="false">
      <c r="A585" s="22"/>
      <c r="B585" s="22"/>
      <c r="C585" s="23" t="str">
        <f aca="false">IFERROR(IF(OR(A585="",B585=""),"",INDEX(Equipements!$H:$H,MATCH(A585,Equipements!$A:$A,0))&amp;"."&amp;B585),"")</f>
        <v/>
      </c>
      <c r="D585" s="4"/>
      <c r="E585" s="22"/>
      <c r="F585" s="22"/>
      <c r="G585" s="22"/>
      <c r="H585" s="4"/>
      <c r="I585" s="4"/>
      <c r="J585" s="23" t="str">
        <f aca="false">IF(OR(G585="",H585=""),"","%"&amp;G585&amp;H585)</f>
        <v/>
      </c>
      <c r="K585" s="4"/>
      <c r="L585" s="4"/>
      <c r="M585" s="4"/>
      <c r="N585" s="4"/>
      <c r="O585" s="23" t="str">
        <f aca="false">IF(H585="","",IF(I585="","mot entier","bit "&amp;I585))</f>
        <v/>
      </c>
      <c r="P585" s="4"/>
    </row>
    <row r="586" customFormat="false" ht="15" hidden="false" customHeight="true" outlineLevel="0" collapsed="false">
      <c r="A586" s="22"/>
      <c r="B586" s="22"/>
      <c r="C586" s="23" t="str">
        <f aca="false">IFERROR(IF(OR(A586="",B586=""),"",INDEX(Equipements!$H:$H,MATCH(A586,Equipements!$A:$A,0))&amp;"."&amp;B586),"")</f>
        <v/>
      </c>
      <c r="D586" s="4"/>
      <c r="E586" s="22"/>
      <c r="F586" s="22"/>
      <c r="G586" s="22"/>
      <c r="H586" s="4"/>
      <c r="I586" s="4"/>
      <c r="J586" s="23" t="str">
        <f aca="false">IF(OR(G586="",H586=""),"","%"&amp;G586&amp;H586)</f>
        <v/>
      </c>
      <c r="K586" s="4"/>
      <c r="L586" s="4"/>
      <c r="M586" s="4"/>
      <c r="N586" s="4"/>
      <c r="O586" s="23" t="str">
        <f aca="false">IF(H586="","",IF(I586="","mot entier","bit "&amp;I586))</f>
        <v/>
      </c>
      <c r="P586" s="4"/>
    </row>
    <row r="587" customFormat="false" ht="15" hidden="false" customHeight="true" outlineLevel="0" collapsed="false">
      <c r="A587" s="22"/>
      <c r="B587" s="22"/>
      <c r="C587" s="23" t="str">
        <f aca="false">IFERROR(IF(OR(A587="",B587=""),"",INDEX(Equipements!$H:$H,MATCH(A587,Equipements!$A:$A,0))&amp;"."&amp;B587),"")</f>
        <v/>
      </c>
      <c r="D587" s="4"/>
      <c r="E587" s="22"/>
      <c r="F587" s="22"/>
      <c r="G587" s="22"/>
      <c r="H587" s="4"/>
      <c r="I587" s="4"/>
      <c r="J587" s="23" t="str">
        <f aca="false">IF(OR(G587="",H587=""),"","%"&amp;G587&amp;H587)</f>
        <v/>
      </c>
      <c r="K587" s="4"/>
      <c r="L587" s="4"/>
      <c r="M587" s="4"/>
      <c r="N587" s="4"/>
      <c r="O587" s="23" t="str">
        <f aca="false">IF(H587="","",IF(I587="","mot entier","bit "&amp;I587))</f>
        <v/>
      </c>
      <c r="P587" s="4"/>
    </row>
    <row r="588" customFormat="false" ht="15" hidden="false" customHeight="true" outlineLevel="0" collapsed="false">
      <c r="A588" s="22"/>
      <c r="B588" s="22"/>
      <c r="C588" s="23" t="str">
        <f aca="false">IFERROR(IF(OR(A588="",B588=""),"",INDEX(Equipements!$H:$H,MATCH(A588,Equipements!$A:$A,0))&amp;"."&amp;B588),"")</f>
        <v/>
      </c>
      <c r="D588" s="4"/>
      <c r="E588" s="22"/>
      <c r="F588" s="22"/>
      <c r="G588" s="22"/>
      <c r="H588" s="4"/>
      <c r="I588" s="4"/>
      <c r="J588" s="23" t="str">
        <f aca="false">IF(OR(G588="",H588=""),"","%"&amp;G588&amp;H588)</f>
        <v/>
      </c>
      <c r="K588" s="4"/>
      <c r="L588" s="4"/>
      <c r="M588" s="4"/>
      <c r="N588" s="4"/>
      <c r="O588" s="23" t="str">
        <f aca="false">IF(H588="","",IF(I588="","mot entier","bit "&amp;I588))</f>
        <v/>
      </c>
      <c r="P588" s="4"/>
    </row>
    <row r="589" customFormat="false" ht="15" hidden="false" customHeight="true" outlineLevel="0" collapsed="false">
      <c r="A589" s="22"/>
      <c r="B589" s="22"/>
      <c r="C589" s="23" t="str">
        <f aca="false">IFERROR(IF(OR(A589="",B589=""),"",INDEX(Equipements!$H:$H,MATCH(A589,Equipements!$A:$A,0))&amp;"."&amp;B589),"")</f>
        <v/>
      </c>
      <c r="D589" s="4"/>
      <c r="E589" s="22"/>
      <c r="F589" s="22"/>
      <c r="G589" s="22"/>
      <c r="H589" s="4"/>
      <c r="I589" s="4"/>
      <c r="J589" s="23" t="str">
        <f aca="false">IF(OR(G589="",H589=""),"","%"&amp;G589&amp;H589)</f>
        <v/>
      </c>
      <c r="K589" s="4"/>
      <c r="L589" s="4"/>
      <c r="M589" s="4"/>
      <c r="N589" s="4"/>
      <c r="O589" s="23" t="str">
        <f aca="false">IF(H589="","",IF(I589="","mot entier","bit "&amp;I589))</f>
        <v/>
      </c>
      <c r="P589" s="4"/>
    </row>
    <row r="590" customFormat="false" ht="15" hidden="false" customHeight="true" outlineLevel="0" collapsed="false">
      <c r="A590" s="22"/>
      <c r="B590" s="22"/>
      <c r="C590" s="23" t="str">
        <f aca="false">IFERROR(IF(OR(A590="",B590=""),"",INDEX(Equipements!$H:$H,MATCH(A590,Equipements!$A:$A,0))&amp;"."&amp;B590),"")</f>
        <v/>
      </c>
      <c r="D590" s="4"/>
      <c r="E590" s="22"/>
      <c r="F590" s="22"/>
      <c r="G590" s="22"/>
      <c r="H590" s="4"/>
      <c r="I590" s="4"/>
      <c r="J590" s="23" t="str">
        <f aca="false">IF(OR(G590="",H590=""),"","%"&amp;G590&amp;H590)</f>
        <v/>
      </c>
      <c r="K590" s="4"/>
      <c r="L590" s="4"/>
      <c r="M590" s="4"/>
      <c r="N590" s="4"/>
      <c r="O590" s="23" t="str">
        <f aca="false">IF(H590="","",IF(I590="","mot entier","bit "&amp;I590))</f>
        <v/>
      </c>
      <c r="P590" s="4"/>
    </row>
    <row r="591" customFormat="false" ht="15" hidden="false" customHeight="true" outlineLevel="0" collapsed="false">
      <c r="A591" s="22"/>
      <c r="B591" s="22"/>
      <c r="C591" s="23" t="str">
        <f aca="false">IFERROR(IF(OR(A591="",B591=""),"",INDEX(Equipements!$H:$H,MATCH(A591,Equipements!$A:$A,0))&amp;"."&amp;B591),"")</f>
        <v/>
      </c>
      <c r="D591" s="4"/>
      <c r="E591" s="22"/>
      <c r="F591" s="22"/>
      <c r="G591" s="22"/>
      <c r="H591" s="4"/>
      <c r="I591" s="4"/>
      <c r="J591" s="23" t="str">
        <f aca="false">IF(OR(G591="",H591=""),"","%"&amp;G591&amp;H591)</f>
        <v/>
      </c>
      <c r="K591" s="4"/>
      <c r="L591" s="4"/>
      <c r="M591" s="4"/>
      <c r="N591" s="4"/>
      <c r="O591" s="23" t="str">
        <f aca="false">IF(H591="","",IF(I591="","mot entier","bit "&amp;I591))</f>
        <v/>
      </c>
      <c r="P591" s="4"/>
    </row>
    <row r="592" customFormat="false" ht="15" hidden="false" customHeight="true" outlineLevel="0" collapsed="false">
      <c r="A592" s="22"/>
      <c r="B592" s="22"/>
      <c r="C592" s="23" t="str">
        <f aca="false">IFERROR(IF(OR(A592="",B592=""),"",INDEX(Equipements!$H:$H,MATCH(A592,Equipements!$A:$A,0))&amp;"."&amp;B592),"")</f>
        <v/>
      </c>
      <c r="D592" s="4"/>
      <c r="E592" s="22"/>
      <c r="F592" s="22"/>
      <c r="G592" s="22"/>
      <c r="H592" s="4"/>
      <c r="I592" s="4"/>
      <c r="J592" s="23" t="str">
        <f aca="false">IF(OR(G592="",H592=""),"","%"&amp;G592&amp;H592)</f>
        <v/>
      </c>
      <c r="K592" s="4"/>
      <c r="L592" s="4"/>
      <c r="M592" s="4"/>
      <c r="N592" s="4"/>
      <c r="O592" s="23" t="str">
        <f aca="false">IF(H592="","",IF(I592="","mot entier","bit "&amp;I592))</f>
        <v/>
      </c>
      <c r="P592" s="4"/>
    </row>
    <row r="593" customFormat="false" ht="15" hidden="false" customHeight="true" outlineLevel="0" collapsed="false">
      <c r="A593" s="22"/>
      <c r="B593" s="22"/>
      <c r="C593" s="23" t="str">
        <f aca="false">IFERROR(IF(OR(A593="",B593=""),"",INDEX(Equipements!$H:$H,MATCH(A593,Equipements!$A:$A,0))&amp;"."&amp;B593),"")</f>
        <v/>
      </c>
      <c r="D593" s="4"/>
      <c r="E593" s="22"/>
      <c r="F593" s="22"/>
      <c r="G593" s="22"/>
      <c r="H593" s="4"/>
      <c r="I593" s="4"/>
      <c r="J593" s="23" t="str">
        <f aca="false">IF(OR(G593="",H593=""),"","%"&amp;G593&amp;H593)</f>
        <v/>
      </c>
      <c r="K593" s="4"/>
      <c r="L593" s="4"/>
      <c r="M593" s="4"/>
      <c r="N593" s="4"/>
      <c r="O593" s="23" t="str">
        <f aca="false">IF(H593="","",IF(I593="","mot entier","bit "&amp;I593))</f>
        <v/>
      </c>
      <c r="P593" s="4"/>
    </row>
    <row r="594" customFormat="false" ht="15" hidden="false" customHeight="true" outlineLevel="0" collapsed="false">
      <c r="A594" s="22"/>
      <c r="B594" s="22"/>
      <c r="C594" s="23" t="str">
        <f aca="false">IFERROR(IF(OR(A594="",B594=""),"",INDEX(Equipements!$H:$H,MATCH(A594,Equipements!$A:$A,0))&amp;"."&amp;B594),"")</f>
        <v/>
      </c>
      <c r="D594" s="4"/>
      <c r="E594" s="22"/>
      <c r="F594" s="22"/>
      <c r="G594" s="22"/>
      <c r="H594" s="4"/>
      <c r="I594" s="4"/>
      <c r="J594" s="23" t="str">
        <f aca="false">IF(OR(G594="",H594=""),"","%"&amp;G594&amp;H594)</f>
        <v/>
      </c>
      <c r="K594" s="4"/>
      <c r="L594" s="4"/>
      <c r="M594" s="4"/>
      <c r="N594" s="4"/>
      <c r="O594" s="23" t="str">
        <f aca="false">IF(H594="","",IF(I594="","mot entier","bit "&amp;I594))</f>
        <v/>
      </c>
      <c r="P594" s="4"/>
    </row>
    <row r="595" customFormat="false" ht="15" hidden="false" customHeight="true" outlineLevel="0" collapsed="false">
      <c r="A595" s="22"/>
      <c r="B595" s="22"/>
      <c r="C595" s="23" t="str">
        <f aca="false">IFERROR(IF(OR(A595="",B595=""),"",INDEX(Equipements!$H:$H,MATCH(A595,Equipements!$A:$A,0))&amp;"."&amp;B595),"")</f>
        <v/>
      </c>
      <c r="D595" s="4"/>
      <c r="E595" s="22"/>
      <c r="F595" s="22"/>
      <c r="G595" s="22"/>
      <c r="H595" s="4"/>
      <c r="I595" s="4"/>
      <c r="J595" s="23" t="str">
        <f aca="false">IF(OR(G595="",H595=""),"","%"&amp;G595&amp;H595)</f>
        <v/>
      </c>
      <c r="K595" s="4"/>
      <c r="L595" s="4"/>
      <c r="M595" s="4"/>
      <c r="N595" s="4"/>
      <c r="O595" s="23" t="str">
        <f aca="false">IF(H595="","",IF(I595="","mot entier","bit "&amp;I595))</f>
        <v/>
      </c>
      <c r="P595" s="4"/>
    </row>
    <row r="596" customFormat="false" ht="15" hidden="false" customHeight="true" outlineLevel="0" collapsed="false">
      <c r="A596" s="22"/>
      <c r="B596" s="22"/>
      <c r="C596" s="23" t="str">
        <f aca="false">IFERROR(IF(OR(A596="",B596=""),"",INDEX(Equipements!$H:$H,MATCH(A596,Equipements!$A:$A,0))&amp;"."&amp;B596),"")</f>
        <v/>
      </c>
      <c r="D596" s="4"/>
      <c r="E596" s="22"/>
      <c r="F596" s="22"/>
      <c r="G596" s="22"/>
      <c r="H596" s="4"/>
      <c r="I596" s="4"/>
      <c r="J596" s="23" t="str">
        <f aca="false">IF(OR(G596="",H596=""),"","%"&amp;G596&amp;H596)</f>
        <v/>
      </c>
      <c r="K596" s="4"/>
      <c r="L596" s="4"/>
      <c r="M596" s="4"/>
      <c r="N596" s="4"/>
      <c r="O596" s="23" t="str">
        <f aca="false">IF(H596="","",IF(I596="","mot entier","bit "&amp;I596))</f>
        <v/>
      </c>
      <c r="P596" s="4"/>
    </row>
    <row r="597" customFormat="false" ht="15" hidden="false" customHeight="true" outlineLevel="0" collapsed="false">
      <c r="A597" s="22"/>
      <c r="B597" s="22"/>
      <c r="C597" s="23" t="str">
        <f aca="false">IFERROR(IF(OR(A597="",B597=""),"",INDEX(Equipements!$H:$H,MATCH(A597,Equipements!$A:$A,0))&amp;"."&amp;B597),"")</f>
        <v/>
      </c>
      <c r="D597" s="4"/>
      <c r="E597" s="22"/>
      <c r="F597" s="22"/>
      <c r="G597" s="22"/>
      <c r="H597" s="4"/>
      <c r="I597" s="4"/>
      <c r="J597" s="23" t="str">
        <f aca="false">IF(OR(G597="",H597=""),"","%"&amp;G597&amp;H597)</f>
        <v/>
      </c>
      <c r="K597" s="4"/>
      <c r="L597" s="4"/>
      <c r="M597" s="4"/>
      <c r="N597" s="4"/>
      <c r="O597" s="23" t="str">
        <f aca="false">IF(H597="","",IF(I597="","mot entier","bit "&amp;I597))</f>
        <v/>
      </c>
      <c r="P597" s="4"/>
    </row>
    <row r="598" customFormat="false" ht="15" hidden="false" customHeight="true" outlineLevel="0" collapsed="false">
      <c r="A598" s="22"/>
      <c r="B598" s="22"/>
      <c r="C598" s="23" t="str">
        <f aca="false">IFERROR(IF(OR(A598="",B598=""),"",INDEX(Equipements!$H:$H,MATCH(A598,Equipements!$A:$A,0))&amp;"."&amp;B598),"")</f>
        <v/>
      </c>
      <c r="D598" s="4"/>
      <c r="E598" s="22"/>
      <c r="F598" s="22"/>
      <c r="G598" s="22"/>
      <c r="H598" s="4"/>
      <c r="I598" s="4"/>
      <c r="J598" s="23" t="str">
        <f aca="false">IF(OR(G598="",H598=""),"","%"&amp;G598&amp;H598)</f>
        <v/>
      </c>
      <c r="K598" s="4"/>
      <c r="L598" s="4"/>
      <c r="M598" s="4"/>
      <c r="N598" s="4"/>
      <c r="O598" s="23" t="str">
        <f aca="false">IF(H598="","",IF(I598="","mot entier","bit "&amp;I598))</f>
        <v/>
      </c>
      <c r="P598" s="4"/>
    </row>
    <row r="599" customFormat="false" ht="15" hidden="false" customHeight="true" outlineLevel="0" collapsed="false">
      <c r="A599" s="22"/>
      <c r="B599" s="22"/>
      <c r="C599" s="23" t="str">
        <f aca="false">IFERROR(IF(OR(A599="",B599=""),"",INDEX(Equipements!$H:$H,MATCH(A599,Equipements!$A:$A,0))&amp;"."&amp;B599),"")</f>
        <v/>
      </c>
      <c r="D599" s="4"/>
      <c r="E599" s="22"/>
      <c r="F599" s="22"/>
      <c r="G599" s="22"/>
      <c r="H599" s="4"/>
      <c r="I599" s="4"/>
      <c r="J599" s="23" t="str">
        <f aca="false">IF(OR(G599="",H599=""),"","%"&amp;G599&amp;H599)</f>
        <v/>
      </c>
      <c r="K599" s="4"/>
      <c r="L599" s="4"/>
      <c r="M599" s="4"/>
      <c r="N599" s="4"/>
      <c r="O599" s="23" t="str">
        <f aca="false">IF(H599="","",IF(I599="","mot entier","bit "&amp;I599))</f>
        <v/>
      </c>
      <c r="P599" s="4"/>
    </row>
    <row r="600" customFormat="false" ht="15" hidden="false" customHeight="true" outlineLevel="0" collapsed="false">
      <c r="A600" s="22"/>
      <c r="B600" s="22"/>
      <c r="C600" s="23" t="str">
        <f aca="false">IFERROR(IF(OR(A600="",B600=""),"",INDEX(Equipements!$H:$H,MATCH(A600,Equipements!$A:$A,0))&amp;"."&amp;B600),"")</f>
        <v/>
      </c>
      <c r="D600" s="4"/>
      <c r="E600" s="22"/>
      <c r="F600" s="22"/>
      <c r="G600" s="22"/>
      <c r="H600" s="4"/>
      <c r="I600" s="4"/>
      <c r="J600" s="23" t="str">
        <f aca="false">IF(OR(G600="",H600=""),"","%"&amp;G600&amp;H600)</f>
        <v/>
      </c>
      <c r="K600" s="4"/>
      <c r="L600" s="4"/>
      <c r="M600" s="4"/>
      <c r="N600" s="4"/>
      <c r="O600" s="23" t="str">
        <f aca="false">IF(H600="","",IF(I600="","mot entier","bit "&amp;I600))</f>
        <v/>
      </c>
      <c r="P600" s="4"/>
    </row>
    <row r="601" customFormat="false" ht="15" hidden="false" customHeight="true" outlineLevel="0" collapsed="false">
      <c r="A601" s="22"/>
      <c r="B601" s="22"/>
      <c r="C601" s="23" t="str">
        <f aca="false">IFERROR(IF(OR(A601="",B601=""),"",INDEX(Equipements!$H:$H,MATCH(A601,Equipements!$A:$A,0))&amp;"."&amp;B601),"")</f>
        <v/>
      </c>
      <c r="D601" s="4"/>
      <c r="E601" s="22"/>
      <c r="F601" s="22"/>
      <c r="G601" s="22"/>
      <c r="H601" s="4"/>
      <c r="I601" s="4"/>
      <c r="J601" s="23" t="str">
        <f aca="false">IF(OR(G601="",H601=""),"","%"&amp;G601&amp;H601)</f>
        <v/>
      </c>
      <c r="K601" s="4"/>
      <c r="L601" s="4"/>
      <c r="M601" s="4"/>
      <c r="N601" s="4"/>
      <c r="O601" s="23" t="str">
        <f aca="false">IF(H601="","",IF(I601="","mot entier","bit "&amp;I601))</f>
        <v/>
      </c>
      <c r="P601" s="4"/>
    </row>
    <row r="602" customFormat="false" ht="15" hidden="false" customHeight="true" outlineLevel="0" collapsed="false">
      <c r="A602" s="22"/>
      <c r="B602" s="22"/>
      <c r="C602" s="23" t="str">
        <f aca="false">IFERROR(IF(OR(A602="",B602=""),"",INDEX(Equipements!$H:$H,MATCH(A602,Equipements!$A:$A,0))&amp;"."&amp;B602),"")</f>
        <v/>
      </c>
      <c r="D602" s="4"/>
      <c r="E602" s="22"/>
      <c r="F602" s="22"/>
      <c r="G602" s="22"/>
      <c r="H602" s="4"/>
      <c r="I602" s="4"/>
      <c r="J602" s="23" t="str">
        <f aca="false">IF(OR(G602="",H602=""),"","%"&amp;G602&amp;H602)</f>
        <v/>
      </c>
      <c r="K602" s="4"/>
      <c r="L602" s="4"/>
      <c r="M602" s="4"/>
      <c r="N602" s="4"/>
      <c r="O602" s="23" t="str">
        <f aca="false">IF(H602="","",IF(I602="","mot entier","bit "&amp;I602))</f>
        <v/>
      </c>
      <c r="P602" s="4"/>
    </row>
    <row r="603" customFormat="false" ht="15" hidden="false" customHeight="true" outlineLevel="0" collapsed="false">
      <c r="A603" s="22"/>
      <c r="B603" s="22"/>
      <c r="C603" s="23" t="str">
        <f aca="false">IFERROR(IF(OR(A603="",B603=""),"",INDEX(Equipements!$H:$H,MATCH(A603,Equipements!$A:$A,0))&amp;"."&amp;B603),"")</f>
        <v/>
      </c>
      <c r="D603" s="4"/>
      <c r="E603" s="22"/>
      <c r="F603" s="22"/>
      <c r="G603" s="22"/>
      <c r="H603" s="4"/>
      <c r="I603" s="4"/>
      <c r="J603" s="23" t="str">
        <f aca="false">IF(OR(G603="",H603=""),"","%"&amp;G603&amp;H603)</f>
        <v/>
      </c>
      <c r="K603" s="4"/>
      <c r="L603" s="4"/>
      <c r="M603" s="4"/>
      <c r="N603" s="4"/>
      <c r="O603" s="23" t="str">
        <f aca="false">IF(H603="","",IF(I603="","mot entier","bit "&amp;I603))</f>
        <v/>
      </c>
      <c r="P603" s="4"/>
    </row>
    <row r="604" customFormat="false" ht="15" hidden="false" customHeight="true" outlineLevel="0" collapsed="false">
      <c r="A604" s="22"/>
      <c r="B604" s="22"/>
      <c r="C604" s="23" t="str">
        <f aca="false">IFERROR(IF(OR(A604="",B604=""),"",INDEX(Equipements!$H:$H,MATCH(A604,Equipements!$A:$A,0))&amp;"."&amp;B604),"")</f>
        <v/>
      </c>
      <c r="D604" s="4"/>
      <c r="E604" s="22"/>
      <c r="F604" s="22"/>
      <c r="G604" s="22"/>
      <c r="H604" s="4"/>
      <c r="I604" s="4"/>
      <c r="J604" s="23" t="str">
        <f aca="false">IF(OR(G604="",H604=""),"","%"&amp;G604&amp;H604)</f>
        <v/>
      </c>
      <c r="K604" s="4"/>
      <c r="L604" s="4"/>
      <c r="M604" s="4"/>
      <c r="N604" s="4"/>
      <c r="O604" s="23" t="str">
        <f aca="false">IF(H604="","",IF(I604="","mot entier","bit "&amp;I604))</f>
        <v/>
      </c>
      <c r="P604" s="4"/>
    </row>
    <row r="605" customFormat="false" ht="15" hidden="false" customHeight="true" outlineLevel="0" collapsed="false">
      <c r="A605" s="22"/>
      <c r="B605" s="22"/>
      <c r="C605" s="23" t="str">
        <f aca="false">IFERROR(IF(OR(A605="",B605=""),"",INDEX(Equipements!$H:$H,MATCH(A605,Equipements!$A:$A,0))&amp;"."&amp;B605),"")</f>
        <v/>
      </c>
      <c r="D605" s="4"/>
      <c r="E605" s="22"/>
      <c r="F605" s="22"/>
      <c r="G605" s="22"/>
      <c r="H605" s="4"/>
      <c r="I605" s="4"/>
      <c r="J605" s="23" t="str">
        <f aca="false">IF(OR(G605="",H605=""),"","%"&amp;G605&amp;H605)</f>
        <v/>
      </c>
      <c r="K605" s="4"/>
      <c r="L605" s="4"/>
      <c r="M605" s="4"/>
      <c r="N605" s="4"/>
      <c r="O605" s="23" t="str">
        <f aca="false">IF(H605="","",IF(I605="","mot entier","bit "&amp;I605))</f>
        <v/>
      </c>
      <c r="P605" s="4"/>
    </row>
    <row r="606" customFormat="false" ht="15" hidden="false" customHeight="true" outlineLevel="0" collapsed="false">
      <c r="A606" s="22"/>
      <c r="B606" s="22"/>
      <c r="C606" s="23" t="str">
        <f aca="false">IFERROR(IF(OR(A606="",B606=""),"",INDEX(Equipements!$H:$H,MATCH(A606,Equipements!$A:$A,0))&amp;"."&amp;B606),"")</f>
        <v/>
      </c>
      <c r="D606" s="4"/>
      <c r="E606" s="22"/>
      <c r="F606" s="22"/>
      <c r="G606" s="22"/>
      <c r="H606" s="4"/>
      <c r="I606" s="4"/>
      <c r="J606" s="23" t="str">
        <f aca="false">IF(OR(G606="",H606=""),"","%"&amp;G606&amp;H606)</f>
        <v/>
      </c>
      <c r="K606" s="4"/>
      <c r="L606" s="4"/>
      <c r="M606" s="4"/>
      <c r="N606" s="4"/>
      <c r="O606" s="23" t="str">
        <f aca="false">IF(H606="","",IF(I606="","mot entier","bit "&amp;I606))</f>
        <v/>
      </c>
      <c r="P606" s="4"/>
    </row>
    <row r="607" customFormat="false" ht="15" hidden="false" customHeight="true" outlineLevel="0" collapsed="false">
      <c r="A607" s="22"/>
      <c r="B607" s="22"/>
      <c r="C607" s="23" t="str">
        <f aca="false">IFERROR(IF(OR(A607="",B607=""),"",INDEX(Equipements!$H:$H,MATCH(A607,Equipements!$A:$A,0))&amp;"."&amp;B607),"")</f>
        <v/>
      </c>
      <c r="D607" s="4"/>
      <c r="E607" s="22"/>
      <c r="F607" s="22"/>
      <c r="G607" s="22"/>
      <c r="H607" s="4"/>
      <c r="I607" s="4"/>
      <c r="J607" s="23" t="str">
        <f aca="false">IF(OR(G607="",H607=""),"","%"&amp;G607&amp;H607)</f>
        <v/>
      </c>
      <c r="K607" s="4"/>
      <c r="L607" s="4"/>
      <c r="M607" s="4"/>
      <c r="N607" s="4"/>
      <c r="O607" s="23" t="str">
        <f aca="false">IF(H607="","",IF(I607="","mot entier","bit "&amp;I607))</f>
        <v/>
      </c>
      <c r="P607" s="4"/>
    </row>
    <row r="608" customFormat="false" ht="15" hidden="false" customHeight="true" outlineLevel="0" collapsed="false">
      <c r="A608" s="22"/>
      <c r="B608" s="22"/>
      <c r="C608" s="23" t="str">
        <f aca="false">IFERROR(IF(OR(A608="",B608=""),"",INDEX(Equipements!$H:$H,MATCH(A608,Equipements!$A:$A,0))&amp;"."&amp;B608),"")</f>
        <v/>
      </c>
      <c r="D608" s="4"/>
      <c r="E608" s="22"/>
      <c r="F608" s="22"/>
      <c r="G608" s="22"/>
      <c r="H608" s="4"/>
      <c r="I608" s="4"/>
      <c r="J608" s="23" t="str">
        <f aca="false">IF(OR(G608="",H608=""),"","%"&amp;G608&amp;H608)</f>
        <v/>
      </c>
      <c r="K608" s="4"/>
      <c r="L608" s="4"/>
      <c r="M608" s="4"/>
      <c r="N608" s="4"/>
      <c r="O608" s="23" t="str">
        <f aca="false">IF(H608="","",IF(I608="","mot entier","bit "&amp;I608))</f>
        <v/>
      </c>
      <c r="P608" s="4"/>
    </row>
    <row r="609" customFormat="false" ht="15" hidden="false" customHeight="true" outlineLevel="0" collapsed="false">
      <c r="A609" s="22"/>
      <c r="B609" s="22"/>
      <c r="C609" s="23" t="str">
        <f aca="false">IFERROR(IF(OR(A609="",B609=""),"",INDEX(Equipements!$H:$H,MATCH(A609,Equipements!$A:$A,0))&amp;"."&amp;B609),"")</f>
        <v/>
      </c>
      <c r="D609" s="4"/>
      <c r="E609" s="22"/>
      <c r="F609" s="22"/>
      <c r="G609" s="22"/>
      <c r="H609" s="4"/>
      <c r="I609" s="4"/>
      <c r="J609" s="23" t="str">
        <f aca="false">IF(OR(G609="",H609=""),"","%"&amp;G609&amp;H609)</f>
        <v/>
      </c>
      <c r="K609" s="4"/>
      <c r="L609" s="4"/>
      <c r="M609" s="4"/>
      <c r="N609" s="4"/>
      <c r="O609" s="23" t="str">
        <f aca="false">IF(H609="","",IF(I609="","mot entier","bit "&amp;I609))</f>
        <v/>
      </c>
      <c r="P609" s="4"/>
    </row>
    <row r="610" customFormat="false" ht="15" hidden="false" customHeight="true" outlineLevel="0" collapsed="false">
      <c r="A610" s="22"/>
      <c r="B610" s="22"/>
      <c r="C610" s="23" t="str">
        <f aca="false">IFERROR(IF(OR(A610="",B610=""),"",INDEX(Equipements!$H:$H,MATCH(A610,Equipements!$A:$A,0))&amp;"."&amp;B610),"")</f>
        <v/>
      </c>
      <c r="D610" s="4"/>
      <c r="E610" s="22"/>
      <c r="F610" s="22"/>
      <c r="G610" s="22"/>
      <c r="H610" s="4"/>
      <c r="I610" s="4"/>
      <c r="J610" s="23" t="str">
        <f aca="false">IF(OR(G610="",H610=""),"","%"&amp;G610&amp;H610)</f>
        <v/>
      </c>
      <c r="K610" s="4"/>
      <c r="L610" s="4"/>
      <c r="M610" s="4"/>
      <c r="N610" s="4"/>
      <c r="O610" s="23" t="str">
        <f aca="false">IF(H610="","",IF(I610="","mot entier","bit "&amp;I610))</f>
        <v/>
      </c>
      <c r="P610" s="4"/>
    </row>
    <row r="611" customFormat="false" ht="15" hidden="false" customHeight="true" outlineLevel="0" collapsed="false">
      <c r="A611" s="22"/>
      <c r="B611" s="22"/>
      <c r="C611" s="23" t="str">
        <f aca="false">IFERROR(IF(OR(A611="",B611=""),"",INDEX(Equipements!$H:$H,MATCH(A611,Equipements!$A:$A,0))&amp;"."&amp;B611),"")</f>
        <v/>
      </c>
      <c r="D611" s="4"/>
      <c r="E611" s="22"/>
      <c r="F611" s="22"/>
      <c r="G611" s="22"/>
      <c r="H611" s="4"/>
      <c r="I611" s="4"/>
      <c r="J611" s="23" t="str">
        <f aca="false">IF(OR(G611="",H611=""),"","%"&amp;G611&amp;H611)</f>
        <v/>
      </c>
      <c r="K611" s="4"/>
      <c r="L611" s="4"/>
      <c r="M611" s="4"/>
      <c r="N611" s="4"/>
      <c r="O611" s="23" t="str">
        <f aca="false">IF(H611="","",IF(I611="","mot entier","bit "&amp;I611))</f>
        <v/>
      </c>
      <c r="P611" s="4"/>
    </row>
    <row r="612" customFormat="false" ht="15" hidden="false" customHeight="true" outlineLevel="0" collapsed="false">
      <c r="A612" s="22"/>
      <c r="B612" s="22"/>
      <c r="C612" s="23" t="str">
        <f aca="false">IFERROR(IF(OR(A612="",B612=""),"",INDEX(Equipements!$H:$H,MATCH(A612,Equipements!$A:$A,0))&amp;"."&amp;B612),"")</f>
        <v/>
      </c>
      <c r="D612" s="4"/>
      <c r="E612" s="22"/>
      <c r="F612" s="22"/>
      <c r="G612" s="22"/>
      <c r="H612" s="4"/>
      <c r="I612" s="4"/>
      <c r="J612" s="23" t="str">
        <f aca="false">IF(OR(G612="",H612=""),"","%"&amp;G612&amp;H612)</f>
        <v/>
      </c>
      <c r="K612" s="4"/>
      <c r="L612" s="4"/>
      <c r="M612" s="4"/>
      <c r="N612" s="4"/>
      <c r="O612" s="23" t="str">
        <f aca="false">IF(H612="","",IF(I612="","mot entier","bit "&amp;I612))</f>
        <v/>
      </c>
      <c r="P612" s="4"/>
    </row>
    <row r="613" customFormat="false" ht="15" hidden="false" customHeight="true" outlineLevel="0" collapsed="false">
      <c r="A613" s="22"/>
      <c r="B613" s="22"/>
      <c r="C613" s="23" t="str">
        <f aca="false">IFERROR(IF(OR(A613="",B613=""),"",INDEX(Equipements!$H:$H,MATCH(A613,Equipements!$A:$A,0))&amp;"."&amp;B613),"")</f>
        <v/>
      </c>
      <c r="D613" s="4"/>
      <c r="E613" s="22"/>
      <c r="F613" s="22"/>
      <c r="G613" s="22"/>
      <c r="H613" s="4"/>
      <c r="I613" s="4"/>
      <c r="J613" s="23" t="str">
        <f aca="false">IF(OR(G613="",H613=""),"","%"&amp;G613&amp;H613)</f>
        <v/>
      </c>
      <c r="K613" s="4"/>
      <c r="L613" s="4"/>
      <c r="M613" s="4"/>
      <c r="N613" s="4"/>
      <c r="O613" s="23" t="str">
        <f aca="false">IF(H613="","",IF(I613="","mot entier","bit "&amp;I613))</f>
        <v/>
      </c>
      <c r="P613" s="4"/>
    </row>
    <row r="614" customFormat="false" ht="15" hidden="false" customHeight="true" outlineLevel="0" collapsed="false">
      <c r="A614" s="22"/>
      <c r="B614" s="22"/>
      <c r="C614" s="23" t="str">
        <f aca="false">IFERROR(IF(OR(A614="",B614=""),"",INDEX(Equipements!$H:$H,MATCH(A614,Equipements!$A:$A,0))&amp;"."&amp;B614),"")</f>
        <v/>
      </c>
      <c r="D614" s="4"/>
      <c r="E614" s="22"/>
      <c r="F614" s="22"/>
      <c r="G614" s="22"/>
      <c r="H614" s="4"/>
      <c r="I614" s="4"/>
      <c r="J614" s="23" t="str">
        <f aca="false">IF(OR(G614="",H614=""),"","%"&amp;G614&amp;H614)</f>
        <v/>
      </c>
      <c r="K614" s="4"/>
      <c r="L614" s="4"/>
      <c r="M614" s="4"/>
      <c r="N614" s="4"/>
      <c r="O614" s="23" t="str">
        <f aca="false">IF(H614="","",IF(I614="","mot entier","bit "&amp;I614))</f>
        <v/>
      </c>
      <c r="P614" s="4"/>
    </row>
    <row r="615" customFormat="false" ht="15" hidden="false" customHeight="true" outlineLevel="0" collapsed="false">
      <c r="A615" s="22"/>
      <c r="B615" s="22"/>
      <c r="C615" s="23" t="str">
        <f aca="false">IFERROR(IF(OR(A615="",B615=""),"",INDEX(Equipements!$H:$H,MATCH(A615,Equipements!$A:$A,0))&amp;"."&amp;B615),"")</f>
        <v/>
      </c>
      <c r="D615" s="4"/>
      <c r="E615" s="22"/>
      <c r="F615" s="22"/>
      <c r="G615" s="22"/>
      <c r="H615" s="4"/>
      <c r="I615" s="4"/>
      <c r="J615" s="23" t="str">
        <f aca="false">IF(OR(G615="",H615=""),"","%"&amp;G615&amp;H615)</f>
        <v/>
      </c>
      <c r="K615" s="4"/>
      <c r="L615" s="4"/>
      <c r="M615" s="4"/>
      <c r="N615" s="4"/>
      <c r="O615" s="23" t="str">
        <f aca="false">IF(H615="","",IF(I615="","mot entier","bit "&amp;I615))</f>
        <v/>
      </c>
      <c r="P615" s="4"/>
    </row>
    <row r="616" customFormat="false" ht="15" hidden="false" customHeight="true" outlineLevel="0" collapsed="false">
      <c r="A616" s="22"/>
      <c r="B616" s="22"/>
      <c r="C616" s="23" t="str">
        <f aca="false">IFERROR(IF(OR(A616="",B616=""),"",INDEX(Equipements!$H:$H,MATCH(A616,Equipements!$A:$A,0))&amp;"."&amp;B616),"")</f>
        <v/>
      </c>
      <c r="D616" s="4"/>
      <c r="E616" s="22"/>
      <c r="F616" s="22"/>
      <c r="G616" s="22"/>
      <c r="H616" s="4"/>
      <c r="I616" s="4"/>
      <c r="J616" s="23" t="str">
        <f aca="false">IF(OR(G616="",H616=""),"","%"&amp;G616&amp;H616)</f>
        <v/>
      </c>
      <c r="K616" s="4"/>
      <c r="L616" s="4"/>
      <c r="M616" s="4"/>
      <c r="N616" s="4"/>
      <c r="O616" s="23" t="str">
        <f aca="false">IF(H616="","",IF(I616="","mot entier","bit "&amp;I616))</f>
        <v/>
      </c>
      <c r="P616" s="4"/>
    </row>
    <row r="617" customFormat="false" ht="15" hidden="false" customHeight="true" outlineLevel="0" collapsed="false">
      <c r="A617" s="22"/>
      <c r="B617" s="22"/>
      <c r="C617" s="23" t="str">
        <f aca="false">IFERROR(IF(OR(A617="",B617=""),"",INDEX(Equipements!$H:$H,MATCH(A617,Equipements!$A:$A,0))&amp;"."&amp;B617),"")</f>
        <v/>
      </c>
      <c r="D617" s="4"/>
      <c r="E617" s="22"/>
      <c r="F617" s="22"/>
      <c r="G617" s="22"/>
      <c r="H617" s="4"/>
      <c r="I617" s="4"/>
      <c r="J617" s="23" t="str">
        <f aca="false">IF(OR(G617="",H617=""),"","%"&amp;G617&amp;H617)</f>
        <v/>
      </c>
      <c r="K617" s="4"/>
      <c r="L617" s="4"/>
      <c r="M617" s="4"/>
      <c r="N617" s="4"/>
      <c r="O617" s="23" t="str">
        <f aca="false">IF(H617="","",IF(I617="","mot entier","bit "&amp;I617))</f>
        <v/>
      </c>
      <c r="P617" s="4"/>
    </row>
    <row r="618" customFormat="false" ht="15" hidden="false" customHeight="true" outlineLevel="0" collapsed="false">
      <c r="A618" s="22"/>
      <c r="B618" s="22"/>
      <c r="C618" s="23" t="str">
        <f aca="false">IFERROR(IF(OR(A618="",B618=""),"",INDEX(Equipements!$H:$H,MATCH(A618,Equipements!$A:$A,0))&amp;"."&amp;B618),"")</f>
        <v/>
      </c>
      <c r="D618" s="4"/>
      <c r="E618" s="22"/>
      <c r="F618" s="22"/>
      <c r="G618" s="22"/>
      <c r="H618" s="4"/>
      <c r="I618" s="4"/>
      <c r="J618" s="23" t="str">
        <f aca="false">IF(OR(G618="",H618=""),"","%"&amp;G618&amp;H618)</f>
        <v/>
      </c>
      <c r="K618" s="4"/>
      <c r="L618" s="4"/>
      <c r="M618" s="4"/>
      <c r="N618" s="4"/>
      <c r="O618" s="23" t="str">
        <f aca="false">IF(H618="","",IF(I618="","mot entier","bit "&amp;I618))</f>
        <v/>
      </c>
      <c r="P618" s="4"/>
    </row>
    <row r="619" customFormat="false" ht="15" hidden="false" customHeight="true" outlineLevel="0" collapsed="false">
      <c r="A619" s="22"/>
      <c r="B619" s="22"/>
      <c r="C619" s="23" t="str">
        <f aca="false">IFERROR(IF(OR(A619="",B619=""),"",INDEX(Equipements!$H:$H,MATCH(A619,Equipements!$A:$A,0))&amp;"."&amp;B619),"")</f>
        <v/>
      </c>
      <c r="D619" s="4"/>
      <c r="E619" s="22"/>
      <c r="F619" s="22"/>
      <c r="G619" s="22"/>
      <c r="H619" s="4"/>
      <c r="I619" s="4"/>
      <c r="J619" s="23" t="str">
        <f aca="false">IF(OR(G619="",H619=""),"","%"&amp;G619&amp;H619)</f>
        <v/>
      </c>
      <c r="K619" s="4"/>
      <c r="L619" s="4"/>
      <c r="M619" s="4"/>
      <c r="N619" s="4"/>
      <c r="O619" s="23" t="str">
        <f aca="false">IF(H619="","",IF(I619="","mot entier","bit "&amp;I619))</f>
        <v/>
      </c>
      <c r="P619" s="4"/>
    </row>
    <row r="620" customFormat="false" ht="15" hidden="false" customHeight="true" outlineLevel="0" collapsed="false">
      <c r="A620" s="22"/>
      <c r="B620" s="22"/>
      <c r="C620" s="23" t="str">
        <f aca="false">IFERROR(IF(OR(A620="",B620=""),"",INDEX(Equipements!$H:$H,MATCH(A620,Equipements!$A:$A,0))&amp;"."&amp;B620),"")</f>
        <v/>
      </c>
      <c r="D620" s="4"/>
      <c r="E620" s="22"/>
      <c r="F620" s="22"/>
      <c r="G620" s="22"/>
      <c r="H620" s="4"/>
      <c r="I620" s="4"/>
      <c r="J620" s="23" t="str">
        <f aca="false">IF(OR(G620="",H620=""),"","%"&amp;G620&amp;H620)</f>
        <v/>
      </c>
      <c r="K620" s="4"/>
      <c r="L620" s="4"/>
      <c r="M620" s="4"/>
      <c r="N620" s="4"/>
      <c r="O620" s="23" t="str">
        <f aca="false">IF(H620="","",IF(I620="","mot entier","bit "&amp;I620))</f>
        <v/>
      </c>
      <c r="P620" s="4"/>
    </row>
    <row r="621" customFormat="false" ht="15" hidden="false" customHeight="true" outlineLevel="0" collapsed="false">
      <c r="A621" s="22"/>
      <c r="B621" s="22"/>
      <c r="C621" s="23" t="str">
        <f aca="false">IFERROR(IF(OR(A621="",B621=""),"",INDEX(Equipements!$H:$H,MATCH(A621,Equipements!$A:$A,0))&amp;"."&amp;B621),"")</f>
        <v/>
      </c>
      <c r="D621" s="4"/>
      <c r="E621" s="22"/>
      <c r="F621" s="22"/>
      <c r="G621" s="22"/>
      <c r="H621" s="4"/>
      <c r="I621" s="4"/>
      <c r="J621" s="23" t="str">
        <f aca="false">IF(OR(G621="",H621=""),"","%"&amp;G621&amp;H621)</f>
        <v/>
      </c>
      <c r="K621" s="4"/>
      <c r="L621" s="4"/>
      <c r="M621" s="4"/>
      <c r="N621" s="4"/>
      <c r="O621" s="23" t="str">
        <f aca="false">IF(H621="","",IF(I621="","mot entier","bit "&amp;I621))</f>
        <v/>
      </c>
      <c r="P621" s="4"/>
    </row>
    <row r="622" customFormat="false" ht="15" hidden="false" customHeight="true" outlineLevel="0" collapsed="false">
      <c r="A622" s="22"/>
      <c r="B622" s="22"/>
      <c r="C622" s="23" t="str">
        <f aca="false">IFERROR(IF(OR(A622="",B622=""),"",INDEX(Equipements!$H:$H,MATCH(A622,Equipements!$A:$A,0))&amp;"."&amp;B622),"")</f>
        <v/>
      </c>
      <c r="D622" s="4"/>
      <c r="E622" s="22"/>
      <c r="F622" s="22"/>
      <c r="G622" s="22"/>
      <c r="H622" s="4"/>
      <c r="I622" s="4"/>
      <c r="J622" s="23" t="str">
        <f aca="false">IF(OR(G622="",H622=""),"","%"&amp;G622&amp;H622)</f>
        <v/>
      </c>
      <c r="K622" s="4"/>
      <c r="L622" s="4"/>
      <c r="M622" s="4"/>
      <c r="N622" s="4"/>
      <c r="O622" s="23" t="str">
        <f aca="false">IF(H622="","",IF(I622="","mot entier","bit "&amp;I622))</f>
        <v/>
      </c>
      <c r="P622" s="4"/>
    </row>
    <row r="623" customFormat="false" ht="15" hidden="false" customHeight="true" outlineLevel="0" collapsed="false">
      <c r="A623" s="22"/>
      <c r="B623" s="22"/>
      <c r="C623" s="23" t="str">
        <f aca="false">IFERROR(IF(OR(A623="",B623=""),"",INDEX(Equipements!$H:$H,MATCH(A623,Equipements!$A:$A,0))&amp;"."&amp;B623),"")</f>
        <v/>
      </c>
      <c r="D623" s="4"/>
      <c r="E623" s="22"/>
      <c r="F623" s="22"/>
      <c r="G623" s="22"/>
      <c r="H623" s="4"/>
      <c r="I623" s="4"/>
      <c r="J623" s="23" t="str">
        <f aca="false">IF(OR(G623="",H623=""),"","%"&amp;G623&amp;H623)</f>
        <v/>
      </c>
      <c r="K623" s="4"/>
      <c r="L623" s="4"/>
      <c r="M623" s="4"/>
      <c r="N623" s="4"/>
      <c r="O623" s="23" t="str">
        <f aca="false">IF(H623="","",IF(I623="","mot entier","bit "&amp;I623))</f>
        <v/>
      </c>
      <c r="P623" s="4"/>
    </row>
    <row r="624" customFormat="false" ht="15" hidden="false" customHeight="true" outlineLevel="0" collapsed="false">
      <c r="A624" s="22"/>
      <c r="B624" s="22"/>
      <c r="C624" s="23" t="str">
        <f aca="false">IFERROR(IF(OR(A624="",B624=""),"",INDEX(Equipements!$H:$H,MATCH(A624,Equipements!$A:$A,0))&amp;"."&amp;B624),"")</f>
        <v/>
      </c>
      <c r="D624" s="4"/>
      <c r="E624" s="22"/>
      <c r="F624" s="22"/>
      <c r="G624" s="22"/>
      <c r="H624" s="4"/>
      <c r="I624" s="4"/>
      <c r="J624" s="23" t="str">
        <f aca="false">IF(OR(G624="",H624=""),"","%"&amp;G624&amp;H624)</f>
        <v/>
      </c>
      <c r="K624" s="4"/>
      <c r="L624" s="4"/>
      <c r="M624" s="4"/>
      <c r="N624" s="4"/>
      <c r="O624" s="23" t="str">
        <f aca="false">IF(H624="","",IF(I624="","mot entier","bit "&amp;I624))</f>
        <v/>
      </c>
      <c r="P624" s="4"/>
    </row>
    <row r="625" customFormat="false" ht="15" hidden="false" customHeight="true" outlineLevel="0" collapsed="false">
      <c r="A625" s="22"/>
      <c r="B625" s="22"/>
      <c r="C625" s="23" t="str">
        <f aca="false">IFERROR(IF(OR(A625="",B625=""),"",INDEX(Equipements!$H:$H,MATCH(A625,Equipements!$A:$A,0))&amp;"."&amp;B625),"")</f>
        <v/>
      </c>
      <c r="D625" s="4"/>
      <c r="E625" s="22"/>
      <c r="F625" s="22"/>
      <c r="G625" s="22"/>
      <c r="H625" s="4"/>
      <c r="I625" s="4"/>
      <c r="J625" s="23" t="str">
        <f aca="false">IF(OR(G625="",H625=""),"","%"&amp;G625&amp;H625)</f>
        <v/>
      </c>
      <c r="K625" s="4"/>
      <c r="L625" s="4"/>
      <c r="M625" s="4"/>
      <c r="N625" s="4"/>
      <c r="O625" s="23" t="str">
        <f aca="false">IF(H625="","",IF(I625="","mot entier","bit "&amp;I625))</f>
        <v/>
      </c>
      <c r="P625" s="4"/>
    </row>
    <row r="626" customFormat="false" ht="15" hidden="false" customHeight="true" outlineLevel="0" collapsed="false">
      <c r="A626" s="22"/>
      <c r="B626" s="22"/>
      <c r="C626" s="23" t="str">
        <f aca="false">IFERROR(IF(OR(A626="",B626=""),"",INDEX(Equipements!$H:$H,MATCH(A626,Equipements!$A:$A,0))&amp;"."&amp;B626),"")</f>
        <v/>
      </c>
      <c r="D626" s="4"/>
      <c r="E626" s="22"/>
      <c r="F626" s="22"/>
      <c r="G626" s="22"/>
      <c r="H626" s="4"/>
      <c r="I626" s="4"/>
      <c r="J626" s="23" t="str">
        <f aca="false">IF(OR(G626="",H626=""),"","%"&amp;G626&amp;H626)</f>
        <v/>
      </c>
      <c r="K626" s="4"/>
      <c r="L626" s="4"/>
      <c r="M626" s="4"/>
      <c r="N626" s="4"/>
      <c r="O626" s="23" t="str">
        <f aca="false">IF(H626="","",IF(I626="","mot entier","bit "&amp;I626))</f>
        <v/>
      </c>
      <c r="P626" s="4"/>
    </row>
    <row r="627" customFormat="false" ht="15" hidden="false" customHeight="true" outlineLevel="0" collapsed="false">
      <c r="A627" s="22"/>
      <c r="B627" s="22"/>
      <c r="C627" s="23" t="str">
        <f aca="false">IFERROR(IF(OR(A627="",B627=""),"",INDEX(Equipements!$H:$H,MATCH(A627,Equipements!$A:$A,0))&amp;"."&amp;B627),"")</f>
        <v/>
      </c>
      <c r="D627" s="4"/>
      <c r="E627" s="22"/>
      <c r="F627" s="22"/>
      <c r="G627" s="22"/>
      <c r="H627" s="4"/>
      <c r="I627" s="4"/>
      <c r="J627" s="23" t="str">
        <f aca="false">IF(OR(G627="",H627=""),"","%"&amp;G627&amp;H627)</f>
        <v/>
      </c>
      <c r="K627" s="4"/>
      <c r="L627" s="4"/>
      <c r="M627" s="4"/>
      <c r="N627" s="4"/>
      <c r="O627" s="23" t="str">
        <f aca="false">IF(H627="","",IF(I627="","mot entier","bit "&amp;I627))</f>
        <v/>
      </c>
      <c r="P627" s="4"/>
    </row>
    <row r="628" customFormat="false" ht="15" hidden="false" customHeight="true" outlineLevel="0" collapsed="false">
      <c r="A628" s="22"/>
      <c r="B628" s="22"/>
      <c r="C628" s="23" t="str">
        <f aca="false">IFERROR(IF(OR(A628="",B628=""),"",INDEX(Equipements!$H:$H,MATCH(A628,Equipements!$A:$A,0))&amp;"."&amp;B628),"")</f>
        <v/>
      </c>
      <c r="D628" s="4"/>
      <c r="E628" s="22"/>
      <c r="F628" s="22"/>
      <c r="G628" s="22"/>
      <c r="H628" s="4"/>
      <c r="I628" s="4"/>
      <c r="J628" s="23" t="str">
        <f aca="false">IF(OR(G628="",H628=""),"","%"&amp;G628&amp;H628)</f>
        <v/>
      </c>
      <c r="K628" s="4"/>
      <c r="L628" s="4"/>
      <c r="M628" s="4"/>
      <c r="N628" s="4"/>
      <c r="O628" s="23" t="str">
        <f aca="false">IF(H628="","",IF(I628="","mot entier","bit "&amp;I628))</f>
        <v/>
      </c>
      <c r="P628" s="4"/>
    </row>
    <row r="629" customFormat="false" ht="15" hidden="false" customHeight="true" outlineLevel="0" collapsed="false">
      <c r="A629" s="22"/>
      <c r="B629" s="22"/>
      <c r="C629" s="23" t="str">
        <f aca="false">IFERROR(IF(OR(A629="",B629=""),"",INDEX(Equipements!$H:$H,MATCH(A629,Equipements!$A:$A,0))&amp;"."&amp;B629),"")</f>
        <v/>
      </c>
      <c r="D629" s="4"/>
      <c r="E629" s="22"/>
      <c r="F629" s="22"/>
      <c r="G629" s="22"/>
      <c r="H629" s="4"/>
      <c r="I629" s="4"/>
      <c r="J629" s="23" t="str">
        <f aca="false">IF(OR(G629="",H629=""),"","%"&amp;G629&amp;H629)</f>
        <v/>
      </c>
      <c r="K629" s="4"/>
      <c r="L629" s="4"/>
      <c r="M629" s="4"/>
      <c r="N629" s="4"/>
      <c r="O629" s="23" t="str">
        <f aca="false">IF(H629="","",IF(I629="","mot entier","bit "&amp;I629))</f>
        <v/>
      </c>
      <c r="P629" s="4"/>
    </row>
    <row r="630" customFormat="false" ht="15" hidden="false" customHeight="true" outlineLevel="0" collapsed="false">
      <c r="A630" s="22"/>
      <c r="B630" s="22"/>
      <c r="C630" s="23" t="str">
        <f aca="false">IFERROR(IF(OR(A630="",B630=""),"",INDEX(Equipements!$H:$H,MATCH(A630,Equipements!$A:$A,0))&amp;"."&amp;B630),"")</f>
        <v/>
      </c>
      <c r="D630" s="4"/>
      <c r="E630" s="22"/>
      <c r="F630" s="22"/>
      <c r="G630" s="22"/>
      <c r="H630" s="4"/>
      <c r="I630" s="4"/>
      <c r="J630" s="23" t="str">
        <f aca="false">IF(OR(G630="",H630=""),"","%"&amp;G630&amp;H630)</f>
        <v/>
      </c>
      <c r="K630" s="4"/>
      <c r="L630" s="4"/>
      <c r="M630" s="4"/>
      <c r="N630" s="4"/>
      <c r="O630" s="23" t="str">
        <f aca="false">IF(H630="","",IF(I630="","mot entier","bit "&amp;I630))</f>
        <v/>
      </c>
      <c r="P630" s="4"/>
    </row>
    <row r="631" customFormat="false" ht="15" hidden="false" customHeight="true" outlineLevel="0" collapsed="false">
      <c r="A631" s="22"/>
      <c r="B631" s="22"/>
      <c r="C631" s="23" t="str">
        <f aca="false">IFERROR(IF(OR(A631="",B631=""),"",INDEX(Equipements!$H:$H,MATCH(A631,Equipements!$A:$A,0))&amp;"."&amp;B631),"")</f>
        <v/>
      </c>
      <c r="D631" s="4"/>
      <c r="E631" s="22"/>
      <c r="F631" s="22"/>
      <c r="G631" s="22"/>
      <c r="H631" s="4"/>
      <c r="I631" s="4"/>
      <c r="J631" s="23" t="str">
        <f aca="false">IF(OR(G631="",H631=""),"","%"&amp;G631&amp;H631)</f>
        <v/>
      </c>
      <c r="K631" s="4"/>
      <c r="L631" s="4"/>
      <c r="M631" s="4"/>
      <c r="N631" s="4"/>
      <c r="O631" s="23" t="str">
        <f aca="false">IF(H631="","",IF(I631="","mot entier","bit "&amp;I631))</f>
        <v/>
      </c>
      <c r="P631" s="4"/>
    </row>
    <row r="632" customFormat="false" ht="15" hidden="false" customHeight="true" outlineLevel="0" collapsed="false">
      <c r="A632" s="22"/>
      <c r="B632" s="22"/>
      <c r="C632" s="23" t="str">
        <f aca="false">IFERROR(IF(OR(A632="",B632=""),"",INDEX(Equipements!$H:$H,MATCH(A632,Equipements!$A:$A,0))&amp;"."&amp;B632),"")</f>
        <v/>
      </c>
      <c r="D632" s="4"/>
      <c r="E632" s="22"/>
      <c r="F632" s="22"/>
      <c r="G632" s="22"/>
      <c r="H632" s="4"/>
      <c r="I632" s="4"/>
      <c r="J632" s="23" t="str">
        <f aca="false">IF(OR(G632="",H632=""),"","%"&amp;G632&amp;H632)</f>
        <v/>
      </c>
      <c r="K632" s="4"/>
      <c r="L632" s="4"/>
      <c r="M632" s="4"/>
      <c r="N632" s="4"/>
      <c r="O632" s="23" t="str">
        <f aca="false">IF(H632="","",IF(I632="","mot entier","bit "&amp;I632))</f>
        <v/>
      </c>
      <c r="P632" s="4"/>
    </row>
    <row r="633" customFormat="false" ht="15" hidden="false" customHeight="true" outlineLevel="0" collapsed="false">
      <c r="A633" s="22"/>
      <c r="B633" s="22"/>
      <c r="C633" s="23" t="str">
        <f aca="false">IFERROR(IF(OR(A633="",B633=""),"",INDEX(Equipements!$H:$H,MATCH(A633,Equipements!$A:$A,0))&amp;"."&amp;B633),"")</f>
        <v/>
      </c>
      <c r="D633" s="4"/>
      <c r="E633" s="22"/>
      <c r="F633" s="22"/>
      <c r="G633" s="22"/>
      <c r="H633" s="4"/>
      <c r="I633" s="4"/>
      <c r="J633" s="23" t="str">
        <f aca="false">IF(OR(G633="",H633=""),"","%"&amp;G633&amp;H633)</f>
        <v/>
      </c>
      <c r="K633" s="4"/>
      <c r="L633" s="4"/>
      <c r="M633" s="4"/>
      <c r="N633" s="4"/>
      <c r="O633" s="23" t="str">
        <f aca="false">IF(H633="","",IF(I633="","mot entier","bit "&amp;I633))</f>
        <v/>
      </c>
      <c r="P633" s="4"/>
    </row>
    <row r="634" customFormat="false" ht="15" hidden="false" customHeight="true" outlineLevel="0" collapsed="false">
      <c r="A634" s="22"/>
      <c r="B634" s="22"/>
      <c r="C634" s="23" t="str">
        <f aca="false">IFERROR(IF(OR(A634="",B634=""),"",INDEX(Equipements!$H:$H,MATCH(A634,Equipements!$A:$A,0))&amp;"."&amp;B634),"")</f>
        <v/>
      </c>
      <c r="D634" s="4"/>
      <c r="E634" s="22"/>
      <c r="F634" s="22"/>
      <c r="G634" s="22"/>
      <c r="H634" s="4"/>
      <c r="I634" s="4"/>
      <c r="J634" s="23" t="str">
        <f aca="false">IF(OR(G634="",H634=""),"","%"&amp;G634&amp;H634)</f>
        <v/>
      </c>
      <c r="K634" s="4"/>
      <c r="L634" s="4"/>
      <c r="M634" s="4"/>
      <c r="N634" s="4"/>
      <c r="O634" s="23" t="str">
        <f aca="false">IF(H634="","",IF(I634="","mot entier","bit "&amp;I634))</f>
        <v/>
      </c>
      <c r="P634" s="4"/>
    </row>
    <row r="635" customFormat="false" ht="15" hidden="false" customHeight="true" outlineLevel="0" collapsed="false">
      <c r="A635" s="22"/>
      <c r="B635" s="22"/>
      <c r="C635" s="23" t="str">
        <f aca="false">IFERROR(IF(OR(A635="",B635=""),"",INDEX(Equipements!$H:$H,MATCH(A635,Equipements!$A:$A,0))&amp;"."&amp;B635),"")</f>
        <v/>
      </c>
      <c r="D635" s="4"/>
      <c r="E635" s="22"/>
      <c r="F635" s="22"/>
      <c r="G635" s="22"/>
      <c r="H635" s="4"/>
      <c r="I635" s="4"/>
      <c r="J635" s="23" t="str">
        <f aca="false">IF(OR(G635="",H635=""),"","%"&amp;G635&amp;H635)</f>
        <v/>
      </c>
      <c r="K635" s="4"/>
      <c r="L635" s="4"/>
      <c r="M635" s="4"/>
      <c r="N635" s="4"/>
      <c r="O635" s="23" t="str">
        <f aca="false">IF(H635="","",IF(I635="","mot entier","bit "&amp;I635))</f>
        <v/>
      </c>
      <c r="P635" s="4"/>
    </row>
    <row r="636" customFormat="false" ht="15" hidden="false" customHeight="true" outlineLevel="0" collapsed="false">
      <c r="A636" s="22"/>
      <c r="B636" s="22"/>
      <c r="C636" s="23" t="str">
        <f aca="false">IFERROR(IF(OR(A636="",B636=""),"",INDEX(Equipements!$H:$H,MATCH(A636,Equipements!$A:$A,0))&amp;"."&amp;B636),"")</f>
        <v/>
      </c>
      <c r="D636" s="4"/>
      <c r="E636" s="22"/>
      <c r="F636" s="22"/>
      <c r="G636" s="22"/>
      <c r="H636" s="4"/>
      <c r="I636" s="4"/>
      <c r="J636" s="23" t="str">
        <f aca="false">IF(OR(G636="",H636=""),"","%"&amp;G636&amp;H636)</f>
        <v/>
      </c>
      <c r="K636" s="4"/>
      <c r="L636" s="4"/>
      <c r="M636" s="4"/>
      <c r="N636" s="4"/>
      <c r="O636" s="23" t="str">
        <f aca="false">IF(H636="","",IF(I636="","mot entier","bit "&amp;I636))</f>
        <v/>
      </c>
      <c r="P636" s="4"/>
    </row>
    <row r="637" customFormat="false" ht="15" hidden="false" customHeight="true" outlineLevel="0" collapsed="false">
      <c r="A637" s="22"/>
      <c r="B637" s="22"/>
      <c r="C637" s="23" t="str">
        <f aca="false">IFERROR(IF(OR(A637="",B637=""),"",INDEX(Equipements!$H:$H,MATCH(A637,Equipements!$A:$A,0))&amp;"."&amp;B637),"")</f>
        <v/>
      </c>
      <c r="D637" s="4"/>
      <c r="E637" s="22"/>
      <c r="F637" s="22"/>
      <c r="G637" s="22"/>
      <c r="H637" s="4"/>
      <c r="I637" s="4"/>
      <c r="J637" s="23" t="str">
        <f aca="false">IF(OR(G637="",H637=""),"","%"&amp;G637&amp;H637)</f>
        <v/>
      </c>
      <c r="K637" s="4"/>
      <c r="L637" s="4"/>
      <c r="M637" s="4"/>
      <c r="N637" s="4"/>
      <c r="O637" s="23" t="str">
        <f aca="false">IF(H637="","",IF(I637="","mot entier","bit "&amp;I637))</f>
        <v/>
      </c>
      <c r="P637" s="4"/>
    </row>
    <row r="638" customFormat="false" ht="15" hidden="false" customHeight="true" outlineLevel="0" collapsed="false">
      <c r="A638" s="22"/>
      <c r="B638" s="22"/>
      <c r="C638" s="23" t="str">
        <f aca="false">IFERROR(IF(OR(A638="",B638=""),"",INDEX(Equipements!$H:$H,MATCH(A638,Equipements!$A:$A,0))&amp;"."&amp;B638),"")</f>
        <v/>
      </c>
      <c r="D638" s="4"/>
      <c r="E638" s="22"/>
      <c r="F638" s="22"/>
      <c r="G638" s="22"/>
      <c r="H638" s="4"/>
      <c r="I638" s="4"/>
      <c r="J638" s="23" t="str">
        <f aca="false">IF(OR(G638="",H638=""),"","%"&amp;G638&amp;H638)</f>
        <v/>
      </c>
      <c r="K638" s="4"/>
      <c r="L638" s="4"/>
      <c r="M638" s="4"/>
      <c r="N638" s="4"/>
      <c r="O638" s="23" t="str">
        <f aca="false">IF(H638="","",IF(I638="","mot entier","bit "&amp;I638))</f>
        <v/>
      </c>
      <c r="P638" s="4"/>
    </row>
    <row r="639" customFormat="false" ht="15" hidden="false" customHeight="true" outlineLevel="0" collapsed="false">
      <c r="A639" s="22"/>
      <c r="B639" s="22"/>
      <c r="C639" s="23" t="str">
        <f aca="false">IFERROR(IF(OR(A639="",B639=""),"",INDEX(Equipements!$H:$H,MATCH(A639,Equipements!$A:$A,0))&amp;"."&amp;B639),"")</f>
        <v/>
      </c>
      <c r="D639" s="4"/>
      <c r="E639" s="22"/>
      <c r="F639" s="22"/>
      <c r="G639" s="22"/>
      <c r="H639" s="4"/>
      <c r="I639" s="4"/>
      <c r="J639" s="23" t="str">
        <f aca="false">IF(OR(G639="",H639=""),"","%"&amp;G639&amp;H639)</f>
        <v/>
      </c>
      <c r="K639" s="4"/>
      <c r="L639" s="4"/>
      <c r="M639" s="4"/>
      <c r="N639" s="4"/>
      <c r="O639" s="23" t="str">
        <f aca="false">IF(H639="","",IF(I639="","mot entier","bit "&amp;I639))</f>
        <v/>
      </c>
      <c r="P639" s="4"/>
    </row>
    <row r="640" customFormat="false" ht="15" hidden="false" customHeight="true" outlineLevel="0" collapsed="false">
      <c r="A640" s="22"/>
      <c r="B640" s="22"/>
      <c r="C640" s="23" t="str">
        <f aca="false">IFERROR(IF(OR(A640="",B640=""),"",INDEX(Equipements!$H:$H,MATCH(A640,Equipements!$A:$A,0))&amp;"."&amp;B640),"")</f>
        <v/>
      </c>
      <c r="D640" s="4"/>
      <c r="E640" s="22"/>
      <c r="F640" s="22"/>
      <c r="G640" s="22"/>
      <c r="H640" s="4"/>
      <c r="I640" s="4"/>
      <c r="J640" s="23" t="str">
        <f aca="false">IF(OR(G640="",H640=""),"","%"&amp;G640&amp;H640)</f>
        <v/>
      </c>
      <c r="K640" s="4"/>
      <c r="L640" s="4"/>
      <c r="M640" s="4"/>
      <c r="N640" s="4"/>
      <c r="O640" s="23" t="str">
        <f aca="false">IF(H640="","",IF(I640="","mot entier","bit "&amp;I640))</f>
        <v/>
      </c>
      <c r="P640" s="4"/>
    </row>
    <row r="641" customFormat="false" ht="15" hidden="false" customHeight="true" outlineLevel="0" collapsed="false">
      <c r="A641" s="22"/>
      <c r="B641" s="22"/>
      <c r="C641" s="23" t="str">
        <f aca="false">IFERROR(IF(OR(A641="",B641=""),"",INDEX(Equipements!$H:$H,MATCH(A641,Equipements!$A:$A,0))&amp;"."&amp;B641),"")</f>
        <v/>
      </c>
      <c r="D641" s="4"/>
      <c r="E641" s="22"/>
      <c r="F641" s="22"/>
      <c r="G641" s="22"/>
      <c r="H641" s="4"/>
      <c r="I641" s="4"/>
      <c r="J641" s="23" t="str">
        <f aca="false">IF(OR(G641="",H641=""),"","%"&amp;G641&amp;H641)</f>
        <v/>
      </c>
      <c r="K641" s="4"/>
      <c r="L641" s="4"/>
      <c r="M641" s="4"/>
      <c r="N641" s="4"/>
      <c r="O641" s="23" t="str">
        <f aca="false">IF(H641="","",IF(I641="","mot entier","bit "&amp;I641))</f>
        <v/>
      </c>
      <c r="P641" s="4"/>
    </row>
    <row r="642" customFormat="false" ht="15" hidden="false" customHeight="true" outlineLevel="0" collapsed="false">
      <c r="A642" s="22"/>
      <c r="B642" s="22"/>
      <c r="C642" s="23" t="str">
        <f aca="false">IFERROR(IF(OR(A642="",B642=""),"",INDEX(Equipements!$H:$H,MATCH(A642,Equipements!$A:$A,0))&amp;"."&amp;B642),"")</f>
        <v/>
      </c>
      <c r="D642" s="4"/>
      <c r="E642" s="22"/>
      <c r="F642" s="22"/>
      <c r="G642" s="22"/>
      <c r="H642" s="4"/>
      <c r="I642" s="4"/>
      <c r="J642" s="23" t="str">
        <f aca="false">IF(OR(G642="",H642=""),"","%"&amp;G642&amp;H642)</f>
        <v/>
      </c>
      <c r="K642" s="4"/>
      <c r="L642" s="4"/>
      <c r="M642" s="4"/>
      <c r="N642" s="4"/>
      <c r="O642" s="23" t="str">
        <f aca="false">IF(H642="","",IF(I642="","mot entier","bit "&amp;I642))</f>
        <v/>
      </c>
      <c r="P642" s="4"/>
    </row>
    <row r="643" customFormat="false" ht="15" hidden="false" customHeight="true" outlineLevel="0" collapsed="false">
      <c r="A643" s="22"/>
      <c r="B643" s="22"/>
      <c r="C643" s="23" t="str">
        <f aca="false">IFERROR(IF(OR(A643="",B643=""),"",INDEX(Equipements!$H:$H,MATCH(A643,Equipements!$A:$A,0))&amp;"."&amp;B643),"")</f>
        <v/>
      </c>
      <c r="D643" s="4"/>
      <c r="E643" s="22"/>
      <c r="F643" s="22"/>
      <c r="G643" s="22"/>
      <c r="H643" s="4"/>
      <c r="I643" s="4"/>
      <c r="J643" s="23" t="str">
        <f aca="false">IF(OR(G643="",H643=""),"","%"&amp;G643&amp;H643)</f>
        <v/>
      </c>
      <c r="K643" s="4"/>
      <c r="L643" s="4"/>
      <c r="M643" s="4"/>
      <c r="N643" s="4"/>
      <c r="O643" s="23" t="str">
        <f aca="false">IF(H643="","",IF(I643="","mot entier","bit "&amp;I643))</f>
        <v/>
      </c>
      <c r="P643" s="4"/>
    </row>
    <row r="644" customFormat="false" ht="15" hidden="false" customHeight="true" outlineLevel="0" collapsed="false">
      <c r="A644" s="22"/>
      <c r="B644" s="22"/>
      <c r="C644" s="23" t="str">
        <f aca="false">IFERROR(IF(OR(A644="",B644=""),"",INDEX(Equipements!$H:$H,MATCH(A644,Equipements!$A:$A,0))&amp;"."&amp;B644),"")</f>
        <v/>
      </c>
      <c r="D644" s="4"/>
      <c r="E644" s="22"/>
      <c r="F644" s="22"/>
      <c r="G644" s="22"/>
      <c r="H644" s="4"/>
      <c r="I644" s="4"/>
      <c r="J644" s="23" t="str">
        <f aca="false">IF(OR(G644="",H644=""),"","%"&amp;G644&amp;H644)</f>
        <v/>
      </c>
      <c r="K644" s="4"/>
      <c r="L644" s="4"/>
      <c r="M644" s="4"/>
      <c r="N644" s="4"/>
      <c r="O644" s="23" t="str">
        <f aca="false">IF(H644="","",IF(I644="","mot entier","bit "&amp;I644))</f>
        <v/>
      </c>
      <c r="P644" s="4"/>
    </row>
    <row r="645" customFormat="false" ht="15" hidden="false" customHeight="true" outlineLevel="0" collapsed="false">
      <c r="A645" s="22"/>
      <c r="B645" s="22"/>
      <c r="C645" s="23" t="str">
        <f aca="false">IFERROR(IF(OR(A645="",B645=""),"",INDEX(Equipements!$H:$H,MATCH(A645,Equipements!$A:$A,0))&amp;"."&amp;B645),"")</f>
        <v/>
      </c>
      <c r="D645" s="4"/>
      <c r="E645" s="22"/>
      <c r="F645" s="22"/>
      <c r="G645" s="22"/>
      <c r="H645" s="4"/>
      <c r="I645" s="4"/>
      <c r="J645" s="23" t="str">
        <f aca="false">IF(OR(G645="",H645=""),"","%"&amp;G645&amp;H645)</f>
        <v/>
      </c>
      <c r="K645" s="4"/>
      <c r="L645" s="4"/>
      <c r="M645" s="4"/>
      <c r="N645" s="4"/>
      <c r="O645" s="23" t="str">
        <f aca="false">IF(H645="","",IF(I645="","mot entier","bit "&amp;I645))</f>
        <v/>
      </c>
      <c r="P645" s="4"/>
    </row>
    <row r="646" customFormat="false" ht="15" hidden="false" customHeight="true" outlineLevel="0" collapsed="false">
      <c r="A646" s="22"/>
      <c r="B646" s="22"/>
      <c r="C646" s="23" t="str">
        <f aca="false">IFERROR(IF(OR(A646="",B646=""),"",INDEX(Equipements!$H:$H,MATCH(A646,Equipements!$A:$A,0))&amp;"."&amp;B646),"")</f>
        <v/>
      </c>
      <c r="D646" s="4"/>
      <c r="E646" s="22"/>
      <c r="F646" s="22"/>
      <c r="G646" s="22"/>
      <c r="H646" s="4"/>
      <c r="I646" s="4"/>
      <c r="J646" s="23" t="str">
        <f aca="false">IF(OR(G646="",H646=""),"","%"&amp;G646&amp;H646)</f>
        <v/>
      </c>
      <c r="K646" s="4"/>
      <c r="L646" s="4"/>
      <c r="M646" s="4"/>
      <c r="N646" s="4"/>
      <c r="O646" s="23" t="str">
        <f aca="false">IF(H646="","",IF(I646="","mot entier","bit "&amp;I646))</f>
        <v/>
      </c>
      <c r="P646" s="4"/>
    </row>
    <row r="647" customFormat="false" ht="15" hidden="false" customHeight="true" outlineLevel="0" collapsed="false">
      <c r="A647" s="22"/>
      <c r="B647" s="22"/>
      <c r="C647" s="23" t="str">
        <f aca="false">IFERROR(IF(OR(A647="",B647=""),"",INDEX(Equipements!$H:$H,MATCH(A647,Equipements!$A:$A,0))&amp;"."&amp;B647),"")</f>
        <v/>
      </c>
      <c r="D647" s="4"/>
      <c r="E647" s="22"/>
      <c r="F647" s="22"/>
      <c r="G647" s="22"/>
      <c r="H647" s="4"/>
      <c r="I647" s="4"/>
      <c r="J647" s="23" t="str">
        <f aca="false">IF(OR(G647="",H647=""),"","%"&amp;G647&amp;H647)</f>
        <v/>
      </c>
      <c r="K647" s="4"/>
      <c r="L647" s="4"/>
      <c r="M647" s="4"/>
      <c r="N647" s="4"/>
      <c r="O647" s="23" t="str">
        <f aca="false">IF(H647="","",IF(I647="","mot entier","bit "&amp;I647))</f>
        <v/>
      </c>
      <c r="P647" s="4"/>
    </row>
    <row r="648" customFormat="false" ht="15" hidden="false" customHeight="true" outlineLevel="0" collapsed="false">
      <c r="A648" s="22"/>
      <c r="B648" s="22"/>
      <c r="C648" s="23" t="str">
        <f aca="false">IFERROR(IF(OR(A648="",B648=""),"",INDEX(Equipements!$H:$H,MATCH(A648,Equipements!$A:$A,0))&amp;"."&amp;B648),"")</f>
        <v/>
      </c>
      <c r="D648" s="4"/>
      <c r="E648" s="22"/>
      <c r="F648" s="22"/>
      <c r="G648" s="22"/>
      <c r="H648" s="4"/>
      <c r="I648" s="4"/>
      <c r="J648" s="23" t="str">
        <f aca="false">IF(OR(G648="",H648=""),"","%"&amp;G648&amp;H648)</f>
        <v/>
      </c>
      <c r="K648" s="4"/>
      <c r="L648" s="4"/>
      <c r="M648" s="4"/>
      <c r="N648" s="4"/>
      <c r="O648" s="23" t="str">
        <f aca="false">IF(H648="","",IF(I648="","mot entier","bit "&amp;I648))</f>
        <v/>
      </c>
      <c r="P648" s="4"/>
    </row>
    <row r="649" customFormat="false" ht="15" hidden="false" customHeight="true" outlineLevel="0" collapsed="false">
      <c r="A649" s="22"/>
      <c r="B649" s="22"/>
      <c r="C649" s="23" t="str">
        <f aca="false">IFERROR(IF(OR(A649="",B649=""),"",INDEX(Equipements!$H:$H,MATCH(A649,Equipements!$A:$A,0))&amp;"."&amp;B649),"")</f>
        <v/>
      </c>
      <c r="D649" s="4"/>
      <c r="E649" s="22"/>
      <c r="F649" s="22"/>
      <c r="G649" s="22"/>
      <c r="H649" s="4"/>
      <c r="I649" s="4"/>
      <c r="J649" s="23" t="str">
        <f aca="false">IF(OR(G649="",H649=""),"","%"&amp;G649&amp;H649)</f>
        <v/>
      </c>
      <c r="K649" s="4"/>
      <c r="L649" s="4"/>
      <c r="M649" s="4"/>
      <c r="N649" s="4"/>
      <c r="O649" s="23" t="str">
        <f aca="false">IF(H649="","",IF(I649="","mot entier","bit "&amp;I649))</f>
        <v/>
      </c>
      <c r="P649" s="4"/>
    </row>
    <row r="650" customFormat="false" ht="15" hidden="false" customHeight="true" outlineLevel="0" collapsed="false">
      <c r="A650" s="22"/>
      <c r="B650" s="22"/>
      <c r="C650" s="23" t="str">
        <f aca="false">IFERROR(IF(OR(A650="",B650=""),"",INDEX(Equipements!$H:$H,MATCH(A650,Equipements!$A:$A,0))&amp;"."&amp;B650),"")</f>
        <v/>
      </c>
      <c r="D650" s="4"/>
      <c r="E650" s="22"/>
      <c r="F650" s="22"/>
      <c r="G650" s="22"/>
      <c r="H650" s="4"/>
      <c r="I650" s="4"/>
      <c r="J650" s="23" t="str">
        <f aca="false">IF(OR(G650="",H650=""),"","%"&amp;G650&amp;H650)</f>
        <v/>
      </c>
      <c r="K650" s="4"/>
      <c r="L650" s="4"/>
      <c r="M650" s="4"/>
      <c r="N650" s="4"/>
      <c r="O650" s="23" t="str">
        <f aca="false">IF(H650="","",IF(I650="","mot entier","bit "&amp;I650))</f>
        <v/>
      </c>
      <c r="P650" s="4"/>
    </row>
    <row r="651" customFormat="false" ht="15" hidden="false" customHeight="true" outlineLevel="0" collapsed="false">
      <c r="A651" s="22"/>
      <c r="B651" s="22"/>
      <c r="C651" s="23" t="str">
        <f aca="false">IFERROR(IF(OR(A651="",B651=""),"",INDEX(Equipements!$H:$H,MATCH(A651,Equipements!$A:$A,0))&amp;"."&amp;B651),"")</f>
        <v/>
      </c>
      <c r="D651" s="4"/>
      <c r="E651" s="22"/>
      <c r="F651" s="22"/>
      <c r="G651" s="22"/>
      <c r="H651" s="4"/>
      <c r="I651" s="4"/>
      <c r="J651" s="23" t="str">
        <f aca="false">IF(OR(G651="",H651=""),"","%"&amp;G651&amp;H651)</f>
        <v/>
      </c>
      <c r="K651" s="4"/>
      <c r="L651" s="4"/>
      <c r="M651" s="4"/>
      <c r="N651" s="4"/>
      <c r="O651" s="23" t="str">
        <f aca="false">IF(H651="","",IF(I651="","mot entier","bit "&amp;I651))</f>
        <v/>
      </c>
      <c r="P651" s="4"/>
    </row>
    <row r="652" customFormat="false" ht="15" hidden="false" customHeight="true" outlineLevel="0" collapsed="false">
      <c r="A652" s="22"/>
      <c r="B652" s="22"/>
      <c r="C652" s="23" t="str">
        <f aca="false">IFERROR(IF(OR(A652="",B652=""),"",INDEX(Equipements!$H:$H,MATCH(A652,Equipements!$A:$A,0))&amp;"."&amp;B652),"")</f>
        <v/>
      </c>
      <c r="D652" s="4"/>
      <c r="E652" s="22"/>
      <c r="F652" s="22"/>
      <c r="G652" s="22"/>
      <c r="H652" s="4"/>
      <c r="I652" s="4"/>
      <c r="J652" s="23" t="str">
        <f aca="false">IF(OR(G652="",H652=""),"","%"&amp;G652&amp;H652)</f>
        <v/>
      </c>
      <c r="K652" s="4"/>
      <c r="L652" s="4"/>
      <c r="M652" s="4"/>
      <c r="N652" s="4"/>
      <c r="O652" s="23" t="str">
        <f aca="false">IF(H652="","",IF(I652="","mot entier","bit "&amp;I652))</f>
        <v/>
      </c>
      <c r="P652" s="4"/>
    </row>
    <row r="653" customFormat="false" ht="15" hidden="false" customHeight="true" outlineLevel="0" collapsed="false">
      <c r="A653" s="22"/>
      <c r="B653" s="22"/>
      <c r="C653" s="23" t="str">
        <f aca="false">IFERROR(IF(OR(A653="",B653=""),"",INDEX(Equipements!$H:$H,MATCH(A653,Equipements!$A:$A,0))&amp;"."&amp;B653),"")</f>
        <v/>
      </c>
      <c r="D653" s="4"/>
      <c r="E653" s="22"/>
      <c r="F653" s="22"/>
      <c r="G653" s="22"/>
      <c r="H653" s="4"/>
      <c r="I653" s="4"/>
      <c r="J653" s="23" t="str">
        <f aca="false">IF(OR(G653="",H653=""),"","%"&amp;G653&amp;H653)</f>
        <v/>
      </c>
      <c r="K653" s="4"/>
      <c r="L653" s="4"/>
      <c r="M653" s="4"/>
      <c r="N653" s="4"/>
      <c r="O653" s="23" t="str">
        <f aca="false">IF(H653="","",IF(I653="","mot entier","bit "&amp;I653))</f>
        <v/>
      </c>
      <c r="P653" s="4"/>
    </row>
    <row r="654" customFormat="false" ht="15" hidden="false" customHeight="true" outlineLevel="0" collapsed="false">
      <c r="A654" s="22"/>
      <c r="B654" s="22"/>
      <c r="C654" s="23" t="str">
        <f aca="false">IFERROR(IF(OR(A654="",B654=""),"",INDEX(Equipements!$H:$H,MATCH(A654,Equipements!$A:$A,0))&amp;"."&amp;B654),"")</f>
        <v/>
      </c>
      <c r="D654" s="4"/>
      <c r="E654" s="22"/>
      <c r="F654" s="22"/>
      <c r="G654" s="22"/>
      <c r="H654" s="4"/>
      <c r="I654" s="4"/>
      <c r="J654" s="23" t="str">
        <f aca="false">IF(OR(G654="",H654=""),"","%"&amp;G654&amp;H654)</f>
        <v/>
      </c>
      <c r="K654" s="4"/>
      <c r="L654" s="4"/>
      <c r="M654" s="4"/>
      <c r="N654" s="4"/>
      <c r="O654" s="23" t="str">
        <f aca="false">IF(H654="","",IF(I654="","mot entier","bit "&amp;I654))</f>
        <v/>
      </c>
      <c r="P654" s="4"/>
    </row>
    <row r="655" customFormat="false" ht="15" hidden="false" customHeight="true" outlineLevel="0" collapsed="false">
      <c r="A655" s="22"/>
      <c r="B655" s="22"/>
      <c r="C655" s="23" t="str">
        <f aca="false">IFERROR(IF(OR(A655="",B655=""),"",INDEX(Equipements!$H:$H,MATCH(A655,Equipements!$A:$A,0))&amp;"."&amp;B655),"")</f>
        <v/>
      </c>
      <c r="D655" s="4"/>
      <c r="E655" s="22"/>
      <c r="F655" s="22"/>
      <c r="G655" s="22"/>
      <c r="H655" s="4"/>
      <c r="I655" s="4"/>
      <c r="J655" s="23" t="str">
        <f aca="false">IF(OR(G655="",H655=""),"","%"&amp;G655&amp;H655)</f>
        <v/>
      </c>
      <c r="K655" s="4"/>
      <c r="L655" s="4"/>
      <c r="M655" s="4"/>
      <c r="N655" s="4"/>
      <c r="O655" s="23" t="str">
        <f aca="false">IF(H655="","",IF(I655="","mot entier","bit "&amp;I655))</f>
        <v/>
      </c>
      <c r="P655" s="4"/>
    </row>
    <row r="656" customFormat="false" ht="15" hidden="false" customHeight="true" outlineLevel="0" collapsed="false">
      <c r="A656" s="22"/>
      <c r="B656" s="22"/>
      <c r="C656" s="23" t="str">
        <f aca="false">IFERROR(IF(OR(A656="",B656=""),"",INDEX(Equipements!$H:$H,MATCH(A656,Equipements!$A:$A,0))&amp;"."&amp;B656),"")</f>
        <v/>
      </c>
      <c r="D656" s="4"/>
      <c r="E656" s="22"/>
      <c r="F656" s="22"/>
      <c r="G656" s="22"/>
      <c r="H656" s="4"/>
      <c r="I656" s="4"/>
      <c r="J656" s="23" t="str">
        <f aca="false">IF(OR(G656="",H656=""),"","%"&amp;G656&amp;H656)</f>
        <v/>
      </c>
      <c r="K656" s="4"/>
      <c r="L656" s="4"/>
      <c r="M656" s="4"/>
      <c r="N656" s="4"/>
      <c r="O656" s="23" t="str">
        <f aca="false">IF(H656="","",IF(I656="","mot entier","bit "&amp;I656))</f>
        <v/>
      </c>
      <c r="P656" s="4"/>
    </row>
    <row r="657" customFormat="false" ht="15" hidden="false" customHeight="true" outlineLevel="0" collapsed="false">
      <c r="A657" s="22"/>
      <c r="B657" s="22"/>
      <c r="C657" s="23" t="str">
        <f aca="false">IFERROR(IF(OR(A657="",B657=""),"",INDEX(Equipements!$H:$H,MATCH(A657,Equipements!$A:$A,0))&amp;"."&amp;B657),"")</f>
        <v/>
      </c>
      <c r="D657" s="4"/>
      <c r="E657" s="22"/>
      <c r="F657" s="22"/>
      <c r="G657" s="22"/>
      <c r="H657" s="4"/>
      <c r="I657" s="4"/>
      <c r="J657" s="23" t="str">
        <f aca="false">IF(OR(G657="",H657=""),"","%"&amp;G657&amp;H657)</f>
        <v/>
      </c>
      <c r="K657" s="4"/>
      <c r="L657" s="4"/>
      <c r="M657" s="4"/>
      <c r="N657" s="4"/>
      <c r="O657" s="23" t="str">
        <f aca="false">IF(H657="","",IF(I657="","mot entier","bit "&amp;I657))</f>
        <v/>
      </c>
      <c r="P657" s="4"/>
    </row>
    <row r="658" customFormat="false" ht="15" hidden="false" customHeight="true" outlineLevel="0" collapsed="false">
      <c r="A658" s="22"/>
      <c r="B658" s="22"/>
      <c r="C658" s="23" t="str">
        <f aca="false">IFERROR(IF(OR(A658="",B658=""),"",INDEX(Equipements!$H:$H,MATCH(A658,Equipements!$A:$A,0))&amp;"."&amp;B658),"")</f>
        <v/>
      </c>
      <c r="D658" s="4"/>
      <c r="E658" s="22"/>
      <c r="F658" s="22"/>
      <c r="G658" s="22"/>
      <c r="H658" s="4"/>
      <c r="I658" s="4"/>
      <c r="J658" s="23" t="str">
        <f aca="false">IF(OR(G658="",H658=""),"","%"&amp;G658&amp;H658)</f>
        <v/>
      </c>
      <c r="K658" s="4"/>
      <c r="L658" s="4"/>
      <c r="M658" s="4"/>
      <c r="N658" s="4"/>
      <c r="O658" s="23" t="str">
        <f aca="false">IF(H658="","",IF(I658="","mot entier","bit "&amp;I658))</f>
        <v/>
      </c>
      <c r="P658" s="4"/>
    </row>
    <row r="659" customFormat="false" ht="15" hidden="false" customHeight="true" outlineLevel="0" collapsed="false">
      <c r="A659" s="22"/>
      <c r="B659" s="22"/>
      <c r="C659" s="23" t="str">
        <f aca="false">IFERROR(IF(OR(A659="",B659=""),"",INDEX(Equipements!$H:$H,MATCH(A659,Equipements!$A:$A,0))&amp;"."&amp;B659),"")</f>
        <v/>
      </c>
      <c r="D659" s="4"/>
      <c r="E659" s="22"/>
      <c r="F659" s="22"/>
      <c r="G659" s="22"/>
      <c r="H659" s="4"/>
      <c r="I659" s="4"/>
      <c r="J659" s="23" t="str">
        <f aca="false">IF(OR(G659="",H659=""),"","%"&amp;G659&amp;H659)</f>
        <v/>
      </c>
      <c r="K659" s="4"/>
      <c r="L659" s="4"/>
      <c r="M659" s="4"/>
      <c r="N659" s="4"/>
      <c r="O659" s="23" t="str">
        <f aca="false">IF(H659="","",IF(I659="","mot entier","bit "&amp;I659))</f>
        <v/>
      </c>
      <c r="P659" s="4"/>
    </row>
    <row r="660" customFormat="false" ht="15" hidden="false" customHeight="true" outlineLevel="0" collapsed="false">
      <c r="A660" s="22"/>
      <c r="B660" s="22"/>
      <c r="C660" s="23" t="str">
        <f aca="false">IFERROR(IF(OR(A660="",B660=""),"",INDEX(Equipements!$H:$H,MATCH(A660,Equipements!$A:$A,0))&amp;"."&amp;B660),"")</f>
        <v/>
      </c>
      <c r="D660" s="4"/>
      <c r="E660" s="22"/>
      <c r="F660" s="22"/>
      <c r="G660" s="22"/>
      <c r="H660" s="4"/>
      <c r="I660" s="4"/>
      <c r="J660" s="23" t="str">
        <f aca="false">IF(OR(G660="",H660=""),"","%"&amp;G660&amp;H660)</f>
        <v/>
      </c>
      <c r="K660" s="4"/>
      <c r="L660" s="4"/>
      <c r="M660" s="4"/>
      <c r="N660" s="4"/>
      <c r="O660" s="23" t="str">
        <f aca="false">IF(H660="","",IF(I660="","mot entier","bit "&amp;I660))</f>
        <v/>
      </c>
      <c r="P660" s="4"/>
    </row>
    <row r="661" customFormat="false" ht="15" hidden="false" customHeight="true" outlineLevel="0" collapsed="false">
      <c r="A661" s="22"/>
      <c r="B661" s="22"/>
      <c r="C661" s="23" t="str">
        <f aca="false">IFERROR(IF(OR(A661="",B661=""),"",INDEX(Equipements!$H:$H,MATCH(A661,Equipements!$A:$A,0))&amp;"."&amp;B661),"")</f>
        <v/>
      </c>
      <c r="D661" s="4"/>
      <c r="E661" s="22"/>
      <c r="F661" s="22"/>
      <c r="G661" s="22"/>
      <c r="H661" s="4"/>
      <c r="I661" s="4"/>
      <c r="J661" s="23" t="str">
        <f aca="false">IF(OR(G661="",H661=""),"","%"&amp;G661&amp;H661)</f>
        <v/>
      </c>
      <c r="K661" s="4"/>
      <c r="L661" s="4"/>
      <c r="M661" s="4"/>
      <c r="N661" s="4"/>
      <c r="O661" s="23" t="str">
        <f aca="false">IF(H661="","",IF(I661="","mot entier","bit "&amp;I661))</f>
        <v/>
      </c>
      <c r="P661" s="4"/>
    </row>
    <row r="662" customFormat="false" ht="15" hidden="false" customHeight="true" outlineLevel="0" collapsed="false">
      <c r="A662" s="22"/>
      <c r="B662" s="22"/>
      <c r="C662" s="23" t="str">
        <f aca="false">IFERROR(IF(OR(A662="",B662=""),"",INDEX(Equipements!$H:$H,MATCH(A662,Equipements!$A:$A,0))&amp;"."&amp;B662),"")</f>
        <v/>
      </c>
      <c r="D662" s="4"/>
      <c r="E662" s="22"/>
      <c r="F662" s="22"/>
      <c r="G662" s="22"/>
      <c r="H662" s="4"/>
      <c r="I662" s="4"/>
      <c r="J662" s="23" t="str">
        <f aca="false">IF(OR(G662="",H662=""),"","%"&amp;G662&amp;H662)</f>
        <v/>
      </c>
      <c r="K662" s="4"/>
      <c r="L662" s="4"/>
      <c r="M662" s="4"/>
      <c r="N662" s="4"/>
      <c r="O662" s="23" t="str">
        <f aca="false">IF(H662="","",IF(I662="","mot entier","bit "&amp;I662))</f>
        <v/>
      </c>
      <c r="P662" s="4"/>
    </row>
    <row r="663" customFormat="false" ht="15" hidden="false" customHeight="true" outlineLevel="0" collapsed="false">
      <c r="A663" s="22"/>
      <c r="B663" s="22"/>
      <c r="C663" s="23" t="str">
        <f aca="false">IFERROR(IF(OR(A663="",B663=""),"",INDEX(Equipements!$H:$H,MATCH(A663,Equipements!$A:$A,0))&amp;"."&amp;B663),"")</f>
        <v/>
      </c>
      <c r="D663" s="4"/>
      <c r="E663" s="22"/>
      <c r="F663" s="22"/>
      <c r="G663" s="22"/>
      <c r="H663" s="4"/>
      <c r="I663" s="4"/>
      <c r="J663" s="23" t="str">
        <f aca="false">IF(OR(G663="",H663=""),"","%"&amp;G663&amp;H663)</f>
        <v/>
      </c>
      <c r="K663" s="4"/>
      <c r="L663" s="4"/>
      <c r="M663" s="4"/>
      <c r="N663" s="4"/>
      <c r="O663" s="23" t="str">
        <f aca="false">IF(H663="","",IF(I663="","mot entier","bit "&amp;I663))</f>
        <v/>
      </c>
      <c r="P663" s="4"/>
    </row>
    <row r="664" customFormat="false" ht="15" hidden="false" customHeight="true" outlineLevel="0" collapsed="false">
      <c r="A664" s="22"/>
      <c r="B664" s="22"/>
      <c r="C664" s="23" t="str">
        <f aca="false">IFERROR(IF(OR(A664="",B664=""),"",INDEX(Equipements!$H:$H,MATCH(A664,Equipements!$A:$A,0))&amp;"."&amp;B664),"")</f>
        <v/>
      </c>
      <c r="D664" s="4"/>
      <c r="E664" s="22"/>
      <c r="F664" s="22"/>
      <c r="G664" s="22"/>
      <c r="H664" s="4"/>
      <c r="I664" s="4"/>
      <c r="J664" s="23" t="str">
        <f aca="false">IF(OR(G664="",H664=""),"","%"&amp;G664&amp;H664)</f>
        <v/>
      </c>
      <c r="K664" s="4"/>
      <c r="L664" s="4"/>
      <c r="M664" s="4"/>
      <c r="N664" s="4"/>
      <c r="O664" s="23" t="str">
        <f aca="false">IF(H664="","",IF(I664="","mot entier","bit "&amp;I664))</f>
        <v/>
      </c>
      <c r="P664" s="4"/>
    </row>
    <row r="665" customFormat="false" ht="15" hidden="false" customHeight="true" outlineLevel="0" collapsed="false">
      <c r="A665" s="22"/>
      <c r="B665" s="22"/>
      <c r="C665" s="23" t="str">
        <f aca="false">IFERROR(IF(OR(A665="",B665=""),"",INDEX(Equipements!$H:$H,MATCH(A665,Equipements!$A:$A,0))&amp;"."&amp;B665),"")</f>
        <v/>
      </c>
      <c r="D665" s="4"/>
      <c r="E665" s="22"/>
      <c r="F665" s="22"/>
      <c r="G665" s="22"/>
      <c r="H665" s="4"/>
      <c r="I665" s="4"/>
      <c r="J665" s="23" t="str">
        <f aca="false">IF(OR(G665="",H665=""),"","%"&amp;G665&amp;H665)</f>
        <v/>
      </c>
      <c r="K665" s="4"/>
      <c r="L665" s="4"/>
      <c r="M665" s="4"/>
      <c r="N665" s="4"/>
      <c r="O665" s="23" t="str">
        <f aca="false">IF(H665="","",IF(I665="","mot entier","bit "&amp;I665))</f>
        <v/>
      </c>
      <c r="P665" s="4"/>
    </row>
    <row r="666" customFormat="false" ht="15" hidden="false" customHeight="true" outlineLevel="0" collapsed="false">
      <c r="A666" s="22"/>
      <c r="B666" s="22"/>
      <c r="C666" s="23" t="str">
        <f aca="false">IFERROR(IF(OR(A666="",B666=""),"",INDEX(Equipements!$H:$H,MATCH(A666,Equipements!$A:$A,0))&amp;"."&amp;B666),"")</f>
        <v/>
      </c>
      <c r="D666" s="4"/>
      <c r="E666" s="22"/>
      <c r="F666" s="22"/>
      <c r="G666" s="22"/>
      <c r="H666" s="4"/>
      <c r="I666" s="4"/>
      <c r="J666" s="23" t="str">
        <f aca="false">IF(OR(G666="",H666=""),"","%"&amp;G666&amp;H666)</f>
        <v/>
      </c>
      <c r="K666" s="4"/>
      <c r="L666" s="4"/>
      <c r="M666" s="4"/>
      <c r="N666" s="4"/>
      <c r="O666" s="23" t="str">
        <f aca="false">IF(H666="","",IF(I666="","mot entier","bit "&amp;I666))</f>
        <v/>
      </c>
      <c r="P666" s="4"/>
    </row>
    <row r="667" customFormat="false" ht="15" hidden="false" customHeight="true" outlineLevel="0" collapsed="false">
      <c r="A667" s="22"/>
      <c r="B667" s="22"/>
      <c r="C667" s="23" t="str">
        <f aca="false">IFERROR(IF(OR(A667="",B667=""),"",INDEX(Equipements!$H:$H,MATCH(A667,Equipements!$A:$A,0))&amp;"."&amp;B667),"")</f>
        <v/>
      </c>
      <c r="D667" s="4"/>
      <c r="E667" s="22"/>
      <c r="F667" s="22"/>
      <c r="G667" s="22"/>
      <c r="H667" s="4"/>
      <c r="I667" s="4"/>
      <c r="J667" s="23" t="str">
        <f aca="false">IF(OR(G667="",H667=""),"","%"&amp;G667&amp;H667)</f>
        <v/>
      </c>
      <c r="K667" s="4"/>
      <c r="L667" s="4"/>
      <c r="M667" s="4"/>
      <c r="N667" s="4"/>
      <c r="O667" s="23" t="str">
        <f aca="false">IF(H667="","",IF(I667="","mot entier","bit "&amp;I667))</f>
        <v/>
      </c>
      <c r="P667" s="4"/>
    </row>
    <row r="668" customFormat="false" ht="15" hidden="false" customHeight="true" outlineLevel="0" collapsed="false">
      <c r="A668" s="22"/>
      <c r="B668" s="22"/>
      <c r="C668" s="23" t="str">
        <f aca="false">IFERROR(IF(OR(A668="",B668=""),"",INDEX(Equipements!$H:$H,MATCH(A668,Equipements!$A:$A,0))&amp;"."&amp;B668),"")</f>
        <v/>
      </c>
      <c r="D668" s="4"/>
      <c r="E668" s="22"/>
      <c r="F668" s="22"/>
      <c r="G668" s="22"/>
      <c r="H668" s="4"/>
      <c r="I668" s="4"/>
      <c r="J668" s="23" t="str">
        <f aca="false">IF(OR(G668="",H668=""),"","%"&amp;G668&amp;H668)</f>
        <v/>
      </c>
      <c r="K668" s="4"/>
      <c r="L668" s="4"/>
      <c r="M668" s="4"/>
      <c r="N668" s="4"/>
      <c r="O668" s="23" t="str">
        <f aca="false">IF(H668="","",IF(I668="","mot entier","bit "&amp;I668))</f>
        <v/>
      </c>
      <c r="P668" s="4"/>
    </row>
    <row r="669" customFormat="false" ht="15" hidden="false" customHeight="true" outlineLevel="0" collapsed="false">
      <c r="A669" s="22"/>
      <c r="B669" s="22"/>
      <c r="C669" s="23" t="str">
        <f aca="false">IFERROR(IF(OR(A669="",B669=""),"",INDEX(Equipements!$H:$H,MATCH(A669,Equipements!$A:$A,0))&amp;"."&amp;B669),"")</f>
        <v/>
      </c>
      <c r="D669" s="4"/>
      <c r="E669" s="22"/>
      <c r="F669" s="22"/>
      <c r="G669" s="22"/>
      <c r="H669" s="4"/>
      <c r="I669" s="4"/>
      <c r="J669" s="23" t="str">
        <f aca="false">IF(OR(G669="",H669=""),"","%"&amp;G669&amp;H669)</f>
        <v/>
      </c>
      <c r="K669" s="4"/>
      <c r="L669" s="4"/>
      <c r="M669" s="4"/>
      <c r="N669" s="4"/>
      <c r="O669" s="23" t="str">
        <f aca="false">IF(H669="","",IF(I669="","mot entier","bit "&amp;I669))</f>
        <v/>
      </c>
      <c r="P669" s="4"/>
    </row>
    <row r="670" customFormat="false" ht="15" hidden="false" customHeight="true" outlineLevel="0" collapsed="false">
      <c r="A670" s="22"/>
      <c r="B670" s="22"/>
      <c r="C670" s="23" t="str">
        <f aca="false">IFERROR(IF(OR(A670="",B670=""),"",INDEX(Equipements!$H:$H,MATCH(A670,Equipements!$A:$A,0))&amp;"."&amp;B670),"")</f>
        <v/>
      </c>
      <c r="D670" s="4"/>
      <c r="E670" s="22"/>
      <c r="F670" s="22"/>
      <c r="G670" s="22"/>
      <c r="H670" s="4"/>
      <c r="I670" s="4"/>
      <c r="J670" s="23" t="str">
        <f aca="false">IF(OR(G670="",H670=""),"","%"&amp;G670&amp;H670)</f>
        <v/>
      </c>
      <c r="K670" s="4"/>
      <c r="L670" s="4"/>
      <c r="M670" s="4"/>
      <c r="N670" s="4"/>
      <c r="O670" s="23" t="str">
        <f aca="false">IF(H670="","",IF(I670="","mot entier","bit "&amp;I670))</f>
        <v/>
      </c>
      <c r="P670" s="4"/>
    </row>
    <row r="671" customFormat="false" ht="15" hidden="false" customHeight="true" outlineLevel="0" collapsed="false">
      <c r="A671" s="22"/>
      <c r="B671" s="22"/>
      <c r="C671" s="23" t="str">
        <f aca="false">IFERROR(IF(OR(A671="",B671=""),"",INDEX(Equipements!$H:$H,MATCH(A671,Equipements!$A:$A,0))&amp;"."&amp;B671),"")</f>
        <v/>
      </c>
      <c r="D671" s="4"/>
      <c r="E671" s="22"/>
      <c r="F671" s="22"/>
      <c r="G671" s="22"/>
      <c r="H671" s="4"/>
      <c r="I671" s="4"/>
      <c r="J671" s="23" t="str">
        <f aca="false">IF(OR(G671="",H671=""),"","%"&amp;G671&amp;H671)</f>
        <v/>
      </c>
      <c r="K671" s="4"/>
      <c r="L671" s="4"/>
      <c r="M671" s="4"/>
      <c r="N671" s="4"/>
      <c r="O671" s="23" t="str">
        <f aca="false">IF(H671="","",IF(I671="","mot entier","bit "&amp;I671))</f>
        <v/>
      </c>
      <c r="P671" s="4"/>
    </row>
    <row r="672" customFormat="false" ht="15" hidden="false" customHeight="true" outlineLevel="0" collapsed="false">
      <c r="A672" s="22"/>
      <c r="B672" s="22"/>
      <c r="C672" s="23" t="str">
        <f aca="false">IFERROR(IF(OR(A672="",B672=""),"",INDEX(Equipements!$H:$H,MATCH(A672,Equipements!$A:$A,0))&amp;"."&amp;B672),"")</f>
        <v/>
      </c>
      <c r="D672" s="4"/>
      <c r="E672" s="22"/>
      <c r="F672" s="22"/>
      <c r="G672" s="22"/>
      <c r="H672" s="4"/>
      <c r="I672" s="4"/>
      <c r="J672" s="23" t="str">
        <f aca="false">IF(OR(G672="",H672=""),"","%"&amp;G672&amp;H672)</f>
        <v/>
      </c>
      <c r="K672" s="4"/>
      <c r="L672" s="4"/>
      <c r="M672" s="4"/>
      <c r="N672" s="4"/>
      <c r="O672" s="23" t="str">
        <f aca="false">IF(H672="","",IF(I672="","mot entier","bit "&amp;I672))</f>
        <v/>
      </c>
      <c r="P672" s="4"/>
    </row>
    <row r="673" customFormat="false" ht="15" hidden="false" customHeight="true" outlineLevel="0" collapsed="false">
      <c r="A673" s="22"/>
      <c r="B673" s="22"/>
      <c r="C673" s="23" t="str">
        <f aca="false">IFERROR(IF(OR(A673="",B673=""),"",INDEX(Equipements!$H:$H,MATCH(A673,Equipements!$A:$A,0))&amp;"."&amp;B673),"")</f>
        <v/>
      </c>
      <c r="D673" s="4"/>
      <c r="E673" s="22"/>
      <c r="F673" s="22"/>
      <c r="G673" s="22"/>
      <c r="H673" s="4"/>
      <c r="I673" s="4"/>
      <c r="J673" s="23" t="str">
        <f aca="false">IF(OR(G673="",H673=""),"","%"&amp;G673&amp;H673)</f>
        <v/>
      </c>
      <c r="K673" s="4"/>
      <c r="L673" s="4"/>
      <c r="M673" s="4"/>
      <c r="N673" s="4"/>
      <c r="O673" s="23" t="str">
        <f aca="false">IF(H673="","",IF(I673="","mot entier","bit "&amp;I673))</f>
        <v/>
      </c>
      <c r="P673" s="4"/>
    </row>
    <row r="674" customFormat="false" ht="15" hidden="false" customHeight="true" outlineLevel="0" collapsed="false">
      <c r="A674" s="22"/>
      <c r="B674" s="22"/>
      <c r="C674" s="23" t="str">
        <f aca="false">IFERROR(IF(OR(A674="",B674=""),"",INDEX(Equipements!$H:$H,MATCH(A674,Equipements!$A:$A,0))&amp;"."&amp;B674),"")</f>
        <v/>
      </c>
      <c r="D674" s="4"/>
      <c r="E674" s="22"/>
      <c r="F674" s="22"/>
      <c r="G674" s="22"/>
      <c r="H674" s="4"/>
      <c r="I674" s="4"/>
      <c r="J674" s="23" t="str">
        <f aca="false">IF(OR(G674="",H674=""),"","%"&amp;G674&amp;H674)</f>
        <v/>
      </c>
      <c r="K674" s="4"/>
      <c r="L674" s="4"/>
      <c r="M674" s="4"/>
      <c r="N674" s="4"/>
      <c r="O674" s="23" t="str">
        <f aca="false">IF(H674="","",IF(I674="","mot entier","bit "&amp;I674))</f>
        <v/>
      </c>
      <c r="P674" s="4"/>
    </row>
    <row r="675" customFormat="false" ht="15" hidden="false" customHeight="true" outlineLevel="0" collapsed="false">
      <c r="A675" s="22"/>
      <c r="B675" s="22"/>
      <c r="C675" s="23" t="str">
        <f aca="false">IFERROR(IF(OR(A675="",B675=""),"",INDEX(Equipements!$H:$H,MATCH(A675,Equipements!$A:$A,0))&amp;"."&amp;B675),"")</f>
        <v/>
      </c>
      <c r="D675" s="4"/>
      <c r="E675" s="22"/>
      <c r="F675" s="22"/>
      <c r="G675" s="22"/>
      <c r="H675" s="4"/>
      <c r="I675" s="4"/>
      <c r="J675" s="23" t="str">
        <f aca="false">IF(OR(G675="",H675=""),"","%"&amp;G675&amp;H675)</f>
        <v/>
      </c>
      <c r="K675" s="4"/>
      <c r="L675" s="4"/>
      <c r="M675" s="4"/>
      <c r="N675" s="4"/>
      <c r="O675" s="23" t="str">
        <f aca="false">IF(H675="","",IF(I675="","mot entier","bit "&amp;I675))</f>
        <v/>
      </c>
      <c r="P675" s="4"/>
    </row>
    <row r="676" customFormat="false" ht="15" hidden="false" customHeight="true" outlineLevel="0" collapsed="false">
      <c r="A676" s="22"/>
      <c r="B676" s="22"/>
      <c r="C676" s="23" t="str">
        <f aca="false">IFERROR(IF(OR(A676="",B676=""),"",INDEX(Equipements!$H:$H,MATCH(A676,Equipements!$A:$A,0))&amp;"."&amp;B676),"")</f>
        <v/>
      </c>
      <c r="D676" s="4"/>
      <c r="E676" s="22"/>
      <c r="F676" s="22"/>
      <c r="G676" s="22"/>
      <c r="H676" s="4"/>
      <c r="I676" s="4"/>
      <c r="J676" s="23" t="str">
        <f aca="false">IF(OR(G676="",H676=""),"","%"&amp;G676&amp;H676)</f>
        <v/>
      </c>
      <c r="K676" s="4"/>
      <c r="L676" s="4"/>
      <c r="M676" s="4"/>
      <c r="N676" s="4"/>
      <c r="O676" s="23" t="str">
        <f aca="false">IF(H676="","",IF(I676="","mot entier","bit "&amp;I676))</f>
        <v/>
      </c>
      <c r="P676" s="4"/>
    </row>
    <row r="677" customFormat="false" ht="15" hidden="false" customHeight="true" outlineLevel="0" collapsed="false">
      <c r="A677" s="22"/>
      <c r="B677" s="22"/>
      <c r="C677" s="23" t="str">
        <f aca="false">IFERROR(IF(OR(A677="",B677=""),"",INDEX(Equipements!$H:$H,MATCH(A677,Equipements!$A:$A,0))&amp;"."&amp;B677),"")</f>
        <v/>
      </c>
      <c r="D677" s="4"/>
      <c r="E677" s="22"/>
      <c r="F677" s="22"/>
      <c r="G677" s="22"/>
      <c r="H677" s="4"/>
      <c r="I677" s="4"/>
      <c r="J677" s="23" t="str">
        <f aca="false">IF(OR(G677="",H677=""),"","%"&amp;G677&amp;H677)</f>
        <v/>
      </c>
      <c r="K677" s="4"/>
      <c r="L677" s="4"/>
      <c r="M677" s="4"/>
      <c r="N677" s="4"/>
      <c r="O677" s="23" t="str">
        <f aca="false">IF(H677="","",IF(I677="","mot entier","bit "&amp;I677))</f>
        <v/>
      </c>
      <c r="P677" s="4"/>
    </row>
    <row r="678" customFormat="false" ht="15" hidden="false" customHeight="true" outlineLevel="0" collapsed="false">
      <c r="A678" s="22"/>
      <c r="B678" s="22"/>
      <c r="C678" s="23" t="str">
        <f aca="false">IFERROR(IF(OR(A678="",B678=""),"",INDEX(Equipements!$H:$H,MATCH(A678,Equipements!$A:$A,0))&amp;"."&amp;B678),"")</f>
        <v/>
      </c>
      <c r="D678" s="4"/>
      <c r="E678" s="22"/>
      <c r="F678" s="22"/>
      <c r="G678" s="22"/>
      <c r="H678" s="4"/>
      <c r="I678" s="4"/>
      <c r="J678" s="23" t="str">
        <f aca="false">IF(OR(G678="",H678=""),"","%"&amp;G678&amp;H678)</f>
        <v/>
      </c>
      <c r="K678" s="4"/>
      <c r="L678" s="4"/>
      <c r="M678" s="4"/>
      <c r="N678" s="4"/>
      <c r="O678" s="23" t="str">
        <f aca="false">IF(H678="","",IF(I678="","mot entier","bit "&amp;I678))</f>
        <v/>
      </c>
      <c r="P678" s="4"/>
    </row>
    <row r="679" customFormat="false" ht="15" hidden="false" customHeight="true" outlineLevel="0" collapsed="false">
      <c r="A679" s="22"/>
      <c r="B679" s="22"/>
      <c r="C679" s="23" t="str">
        <f aca="false">IFERROR(IF(OR(A679="",B679=""),"",INDEX(Equipements!$H:$H,MATCH(A679,Equipements!$A:$A,0))&amp;"."&amp;B679),"")</f>
        <v/>
      </c>
      <c r="D679" s="4"/>
      <c r="E679" s="22"/>
      <c r="F679" s="22"/>
      <c r="G679" s="22"/>
      <c r="H679" s="4"/>
      <c r="I679" s="4"/>
      <c r="J679" s="23" t="str">
        <f aca="false">IF(OR(G679="",H679=""),"","%"&amp;G679&amp;H679)</f>
        <v/>
      </c>
      <c r="K679" s="4"/>
      <c r="L679" s="4"/>
      <c r="M679" s="4"/>
      <c r="N679" s="4"/>
      <c r="O679" s="23" t="str">
        <f aca="false">IF(H679="","",IF(I679="","mot entier","bit "&amp;I679))</f>
        <v/>
      </c>
      <c r="P679" s="4"/>
    </row>
    <row r="680" customFormat="false" ht="15" hidden="false" customHeight="true" outlineLevel="0" collapsed="false">
      <c r="A680" s="22"/>
      <c r="B680" s="22"/>
      <c r="C680" s="23" t="str">
        <f aca="false">IFERROR(IF(OR(A680="",B680=""),"",INDEX(Equipements!$H:$H,MATCH(A680,Equipements!$A:$A,0))&amp;"."&amp;B680),"")</f>
        <v/>
      </c>
      <c r="D680" s="4"/>
      <c r="E680" s="22"/>
      <c r="F680" s="22"/>
      <c r="G680" s="22"/>
      <c r="H680" s="4"/>
      <c r="I680" s="4"/>
      <c r="J680" s="23" t="str">
        <f aca="false">IF(OR(G680="",H680=""),"","%"&amp;G680&amp;H680)</f>
        <v/>
      </c>
      <c r="K680" s="4"/>
      <c r="L680" s="4"/>
      <c r="M680" s="4"/>
      <c r="N680" s="4"/>
      <c r="O680" s="23" t="str">
        <f aca="false">IF(H680="","",IF(I680="","mot entier","bit "&amp;I680))</f>
        <v/>
      </c>
      <c r="P680" s="4"/>
    </row>
    <row r="681" customFormat="false" ht="15" hidden="false" customHeight="true" outlineLevel="0" collapsed="false">
      <c r="A681" s="22"/>
      <c r="B681" s="22"/>
      <c r="C681" s="23" t="str">
        <f aca="false">IFERROR(IF(OR(A681="",B681=""),"",INDEX(Equipements!$H:$H,MATCH(A681,Equipements!$A:$A,0))&amp;"."&amp;B681),"")</f>
        <v/>
      </c>
      <c r="D681" s="4"/>
      <c r="E681" s="22"/>
      <c r="F681" s="22"/>
      <c r="G681" s="22"/>
      <c r="H681" s="4"/>
      <c r="I681" s="4"/>
      <c r="J681" s="23" t="str">
        <f aca="false">IF(OR(G681="",H681=""),"","%"&amp;G681&amp;H681)</f>
        <v/>
      </c>
      <c r="K681" s="4"/>
      <c r="L681" s="4"/>
      <c r="M681" s="4"/>
      <c r="N681" s="4"/>
      <c r="O681" s="23" t="str">
        <f aca="false">IF(H681="","",IF(I681="","mot entier","bit "&amp;I681))</f>
        <v/>
      </c>
      <c r="P681" s="4"/>
    </row>
    <row r="682" customFormat="false" ht="15" hidden="false" customHeight="true" outlineLevel="0" collapsed="false">
      <c r="A682" s="22"/>
      <c r="B682" s="22"/>
      <c r="C682" s="23" t="str">
        <f aca="false">IFERROR(IF(OR(A682="",B682=""),"",INDEX(Equipements!$H:$H,MATCH(A682,Equipements!$A:$A,0))&amp;"."&amp;B682),"")</f>
        <v/>
      </c>
      <c r="D682" s="4"/>
      <c r="E682" s="22"/>
      <c r="F682" s="22"/>
      <c r="G682" s="22"/>
      <c r="H682" s="4"/>
      <c r="I682" s="4"/>
      <c r="J682" s="23" t="str">
        <f aca="false">IF(OR(G682="",H682=""),"","%"&amp;G682&amp;H682)</f>
        <v/>
      </c>
      <c r="K682" s="4"/>
      <c r="L682" s="4"/>
      <c r="M682" s="4"/>
      <c r="N682" s="4"/>
      <c r="O682" s="23" t="str">
        <f aca="false">IF(H682="","",IF(I682="","mot entier","bit "&amp;I682))</f>
        <v/>
      </c>
      <c r="P682" s="4"/>
    </row>
    <row r="683" customFormat="false" ht="15" hidden="false" customHeight="true" outlineLevel="0" collapsed="false">
      <c r="A683" s="22"/>
      <c r="B683" s="22"/>
      <c r="C683" s="23" t="str">
        <f aca="false">IFERROR(IF(OR(A683="",B683=""),"",INDEX(Equipements!$H:$H,MATCH(A683,Equipements!$A:$A,0))&amp;"."&amp;B683),"")</f>
        <v/>
      </c>
      <c r="D683" s="4"/>
      <c r="E683" s="22"/>
      <c r="F683" s="22"/>
      <c r="G683" s="22"/>
      <c r="H683" s="4"/>
      <c r="I683" s="4"/>
      <c r="J683" s="23" t="str">
        <f aca="false">IF(OR(G683="",H683=""),"","%"&amp;G683&amp;H683)</f>
        <v/>
      </c>
      <c r="K683" s="4"/>
      <c r="L683" s="4"/>
      <c r="M683" s="4"/>
      <c r="N683" s="4"/>
      <c r="O683" s="23" t="str">
        <f aca="false">IF(H683="","",IF(I683="","mot entier","bit "&amp;I683))</f>
        <v/>
      </c>
      <c r="P683" s="4"/>
    </row>
    <row r="684" customFormat="false" ht="15" hidden="false" customHeight="true" outlineLevel="0" collapsed="false">
      <c r="A684" s="22"/>
      <c r="B684" s="22"/>
      <c r="C684" s="23" t="str">
        <f aca="false">IFERROR(IF(OR(A684="",B684=""),"",INDEX(Equipements!$H:$H,MATCH(A684,Equipements!$A:$A,0))&amp;"."&amp;B684),"")</f>
        <v/>
      </c>
      <c r="D684" s="4"/>
      <c r="E684" s="22"/>
      <c r="F684" s="22"/>
      <c r="G684" s="22"/>
      <c r="H684" s="4"/>
      <c r="I684" s="4"/>
      <c r="J684" s="23" t="str">
        <f aca="false">IF(OR(G684="",H684=""),"","%"&amp;G684&amp;H684)</f>
        <v/>
      </c>
      <c r="K684" s="4"/>
      <c r="L684" s="4"/>
      <c r="M684" s="4"/>
      <c r="N684" s="4"/>
      <c r="O684" s="23" t="str">
        <f aca="false">IF(H684="","",IF(I684="","mot entier","bit "&amp;I684))</f>
        <v/>
      </c>
      <c r="P684" s="4"/>
    </row>
    <row r="685" customFormat="false" ht="15" hidden="false" customHeight="true" outlineLevel="0" collapsed="false">
      <c r="A685" s="22"/>
      <c r="B685" s="22"/>
      <c r="C685" s="23" t="str">
        <f aca="false">IFERROR(IF(OR(A685="",B685=""),"",INDEX(Equipements!$H:$H,MATCH(A685,Equipements!$A:$A,0))&amp;"."&amp;B685),"")</f>
        <v/>
      </c>
      <c r="D685" s="4"/>
      <c r="E685" s="22"/>
      <c r="F685" s="22"/>
      <c r="G685" s="22"/>
      <c r="H685" s="4"/>
      <c r="I685" s="4"/>
      <c r="J685" s="23" t="str">
        <f aca="false">IF(OR(G685="",H685=""),"","%"&amp;G685&amp;H685)</f>
        <v/>
      </c>
      <c r="K685" s="4"/>
      <c r="L685" s="4"/>
      <c r="M685" s="4"/>
      <c r="N685" s="4"/>
      <c r="O685" s="23" t="str">
        <f aca="false">IF(H685="","",IF(I685="","mot entier","bit "&amp;I685))</f>
        <v/>
      </c>
      <c r="P685" s="4"/>
    </row>
    <row r="686" customFormat="false" ht="15" hidden="false" customHeight="true" outlineLevel="0" collapsed="false">
      <c r="A686" s="22"/>
      <c r="B686" s="22"/>
      <c r="C686" s="23" t="str">
        <f aca="false">IFERROR(IF(OR(A686="",B686=""),"",INDEX(Equipements!$H:$H,MATCH(A686,Equipements!$A:$A,0))&amp;"."&amp;B686),"")</f>
        <v/>
      </c>
      <c r="D686" s="4"/>
      <c r="E686" s="22"/>
      <c r="F686" s="22"/>
      <c r="G686" s="22"/>
      <c r="H686" s="4"/>
      <c r="I686" s="4"/>
      <c r="J686" s="23" t="str">
        <f aca="false">IF(OR(G686="",H686=""),"","%"&amp;G686&amp;H686)</f>
        <v/>
      </c>
      <c r="K686" s="4"/>
      <c r="L686" s="4"/>
      <c r="M686" s="4"/>
      <c r="N686" s="4"/>
      <c r="O686" s="23" t="str">
        <f aca="false">IF(H686="","",IF(I686="","mot entier","bit "&amp;I686))</f>
        <v/>
      </c>
      <c r="P686" s="4"/>
    </row>
    <row r="687" customFormat="false" ht="15" hidden="false" customHeight="true" outlineLevel="0" collapsed="false">
      <c r="A687" s="22"/>
      <c r="B687" s="22"/>
      <c r="C687" s="23" t="str">
        <f aca="false">IFERROR(IF(OR(A687="",B687=""),"",INDEX(Equipements!$H:$H,MATCH(A687,Equipements!$A:$A,0))&amp;"."&amp;B687),"")</f>
        <v/>
      </c>
      <c r="D687" s="4"/>
      <c r="E687" s="22"/>
      <c r="F687" s="22"/>
      <c r="G687" s="22"/>
      <c r="H687" s="4"/>
      <c r="I687" s="4"/>
      <c r="J687" s="23" t="str">
        <f aca="false">IF(OR(G687="",H687=""),"","%"&amp;G687&amp;H687)</f>
        <v/>
      </c>
      <c r="K687" s="4"/>
      <c r="L687" s="4"/>
      <c r="M687" s="4"/>
      <c r="N687" s="4"/>
      <c r="O687" s="23" t="str">
        <f aca="false">IF(H687="","",IF(I687="","mot entier","bit "&amp;I687))</f>
        <v/>
      </c>
      <c r="P687" s="4"/>
    </row>
    <row r="688" customFormat="false" ht="15" hidden="false" customHeight="true" outlineLevel="0" collapsed="false">
      <c r="A688" s="22"/>
      <c r="B688" s="22"/>
      <c r="C688" s="23" t="str">
        <f aca="false">IFERROR(IF(OR(A688="",B688=""),"",INDEX(Equipements!$H:$H,MATCH(A688,Equipements!$A:$A,0))&amp;"."&amp;B688),"")</f>
        <v/>
      </c>
      <c r="D688" s="4"/>
      <c r="E688" s="22"/>
      <c r="F688" s="22"/>
      <c r="G688" s="22"/>
      <c r="H688" s="4"/>
      <c r="I688" s="4"/>
      <c r="J688" s="23" t="str">
        <f aca="false">IF(OR(G688="",H688=""),"","%"&amp;G688&amp;H688)</f>
        <v/>
      </c>
      <c r="K688" s="4"/>
      <c r="L688" s="4"/>
      <c r="M688" s="4"/>
      <c r="N688" s="4"/>
      <c r="O688" s="23" t="str">
        <f aca="false">IF(H688="","",IF(I688="","mot entier","bit "&amp;I688))</f>
        <v/>
      </c>
      <c r="P688" s="4"/>
    </row>
    <row r="689" customFormat="false" ht="15" hidden="false" customHeight="true" outlineLevel="0" collapsed="false">
      <c r="A689" s="22"/>
      <c r="B689" s="22"/>
      <c r="C689" s="23" t="str">
        <f aca="false">IFERROR(IF(OR(A689="",B689=""),"",INDEX(Equipements!$H:$H,MATCH(A689,Equipements!$A:$A,0))&amp;"."&amp;B689),"")</f>
        <v/>
      </c>
      <c r="D689" s="4"/>
      <c r="E689" s="22"/>
      <c r="F689" s="22"/>
      <c r="G689" s="22"/>
      <c r="H689" s="4"/>
      <c r="I689" s="4"/>
      <c r="J689" s="23" t="str">
        <f aca="false">IF(OR(G689="",H689=""),"","%"&amp;G689&amp;H689)</f>
        <v/>
      </c>
      <c r="K689" s="4"/>
      <c r="L689" s="4"/>
      <c r="M689" s="4"/>
      <c r="N689" s="4"/>
      <c r="O689" s="23" t="str">
        <f aca="false">IF(H689="","",IF(I689="","mot entier","bit "&amp;I689))</f>
        <v/>
      </c>
      <c r="P689" s="4"/>
    </row>
    <row r="690" customFormat="false" ht="15" hidden="false" customHeight="true" outlineLevel="0" collapsed="false">
      <c r="A690" s="22"/>
      <c r="B690" s="22"/>
      <c r="C690" s="23" t="str">
        <f aca="false">IFERROR(IF(OR(A690="",B690=""),"",INDEX(Equipements!$H:$H,MATCH(A690,Equipements!$A:$A,0))&amp;"."&amp;B690),"")</f>
        <v/>
      </c>
      <c r="D690" s="4"/>
      <c r="E690" s="22"/>
      <c r="F690" s="22"/>
      <c r="G690" s="22"/>
      <c r="H690" s="4"/>
      <c r="I690" s="4"/>
      <c r="J690" s="23" t="str">
        <f aca="false">IF(OR(G690="",H690=""),"","%"&amp;G690&amp;H690)</f>
        <v/>
      </c>
      <c r="K690" s="4"/>
      <c r="L690" s="4"/>
      <c r="M690" s="4"/>
      <c r="N690" s="4"/>
      <c r="O690" s="23" t="str">
        <f aca="false">IF(H690="","",IF(I690="","mot entier","bit "&amp;I690))</f>
        <v/>
      </c>
      <c r="P690" s="4"/>
    </row>
    <row r="691" customFormat="false" ht="15" hidden="false" customHeight="true" outlineLevel="0" collapsed="false">
      <c r="A691" s="22"/>
      <c r="B691" s="22"/>
      <c r="C691" s="23" t="str">
        <f aca="false">IFERROR(IF(OR(A691="",B691=""),"",INDEX(Equipements!$H:$H,MATCH(A691,Equipements!$A:$A,0))&amp;"."&amp;B691),"")</f>
        <v/>
      </c>
      <c r="D691" s="4"/>
      <c r="E691" s="22"/>
      <c r="F691" s="22"/>
      <c r="G691" s="22"/>
      <c r="H691" s="4"/>
      <c r="I691" s="4"/>
      <c r="J691" s="23" t="str">
        <f aca="false">IF(OR(G691="",H691=""),"","%"&amp;G691&amp;H691)</f>
        <v/>
      </c>
      <c r="K691" s="4"/>
      <c r="L691" s="4"/>
      <c r="M691" s="4"/>
      <c r="N691" s="4"/>
      <c r="O691" s="23" t="str">
        <f aca="false">IF(H691="","",IF(I691="","mot entier","bit "&amp;I691))</f>
        <v/>
      </c>
      <c r="P691" s="4"/>
    </row>
    <row r="692" customFormat="false" ht="15" hidden="false" customHeight="true" outlineLevel="0" collapsed="false">
      <c r="A692" s="22"/>
      <c r="B692" s="22"/>
      <c r="C692" s="23" t="str">
        <f aca="false">IFERROR(IF(OR(A692="",B692=""),"",INDEX(Equipements!$H:$H,MATCH(A692,Equipements!$A:$A,0))&amp;"."&amp;B692),"")</f>
        <v/>
      </c>
      <c r="D692" s="4"/>
      <c r="E692" s="22"/>
      <c r="F692" s="22"/>
      <c r="G692" s="22"/>
      <c r="H692" s="4"/>
      <c r="I692" s="4"/>
      <c r="J692" s="23" t="str">
        <f aca="false">IF(OR(G692="",H692=""),"","%"&amp;G692&amp;H692)</f>
        <v/>
      </c>
      <c r="K692" s="4"/>
      <c r="L692" s="4"/>
      <c r="M692" s="4"/>
      <c r="N692" s="4"/>
      <c r="O692" s="23" t="str">
        <f aca="false">IF(H692="","",IF(I692="","mot entier","bit "&amp;I692))</f>
        <v/>
      </c>
      <c r="P692" s="4"/>
    </row>
    <row r="693" customFormat="false" ht="15" hidden="false" customHeight="true" outlineLevel="0" collapsed="false">
      <c r="A693" s="22"/>
      <c r="B693" s="22"/>
      <c r="C693" s="23" t="str">
        <f aca="false">IFERROR(IF(OR(A693="",B693=""),"",INDEX(Equipements!$H:$H,MATCH(A693,Equipements!$A:$A,0))&amp;"."&amp;B693),"")</f>
        <v/>
      </c>
      <c r="D693" s="4"/>
      <c r="E693" s="22"/>
      <c r="F693" s="22"/>
      <c r="G693" s="22"/>
      <c r="H693" s="4"/>
      <c r="I693" s="4"/>
      <c r="J693" s="23" t="str">
        <f aca="false">IF(OR(G693="",H693=""),"","%"&amp;G693&amp;H693)</f>
        <v/>
      </c>
      <c r="K693" s="4"/>
      <c r="L693" s="4"/>
      <c r="M693" s="4"/>
      <c r="N693" s="4"/>
      <c r="O693" s="23" t="str">
        <f aca="false">IF(H693="","",IF(I693="","mot entier","bit "&amp;I693))</f>
        <v/>
      </c>
      <c r="P693" s="4"/>
    </row>
    <row r="694" customFormat="false" ht="15" hidden="false" customHeight="true" outlineLevel="0" collapsed="false">
      <c r="A694" s="22"/>
      <c r="B694" s="22"/>
      <c r="C694" s="23" t="str">
        <f aca="false">IFERROR(IF(OR(A694="",B694=""),"",INDEX(Equipements!$H:$H,MATCH(A694,Equipements!$A:$A,0))&amp;"."&amp;B694),"")</f>
        <v/>
      </c>
      <c r="D694" s="4"/>
      <c r="E694" s="22"/>
      <c r="F694" s="22"/>
      <c r="G694" s="22"/>
      <c r="H694" s="4"/>
      <c r="I694" s="4"/>
      <c r="J694" s="23" t="str">
        <f aca="false">IF(OR(G694="",H694=""),"","%"&amp;G694&amp;H694)</f>
        <v/>
      </c>
      <c r="K694" s="4"/>
      <c r="L694" s="4"/>
      <c r="M694" s="4"/>
      <c r="N694" s="4"/>
      <c r="O694" s="23" t="str">
        <f aca="false">IF(H694="","",IF(I694="","mot entier","bit "&amp;I694))</f>
        <v/>
      </c>
      <c r="P694" s="4"/>
    </row>
    <row r="695" customFormat="false" ht="15" hidden="false" customHeight="true" outlineLevel="0" collapsed="false">
      <c r="A695" s="22"/>
      <c r="B695" s="22"/>
      <c r="C695" s="23" t="str">
        <f aca="false">IFERROR(IF(OR(A695="",B695=""),"",INDEX(Equipements!$H:$H,MATCH(A695,Equipements!$A:$A,0))&amp;"."&amp;B695),"")</f>
        <v/>
      </c>
      <c r="D695" s="4"/>
      <c r="E695" s="22"/>
      <c r="F695" s="22"/>
      <c r="G695" s="22"/>
      <c r="H695" s="4"/>
      <c r="I695" s="4"/>
      <c r="J695" s="23" t="str">
        <f aca="false">IF(OR(G695="",H695=""),"","%"&amp;G695&amp;H695)</f>
        <v/>
      </c>
      <c r="K695" s="4"/>
      <c r="L695" s="4"/>
      <c r="M695" s="4"/>
      <c r="N695" s="4"/>
      <c r="O695" s="23" t="str">
        <f aca="false">IF(H695="","",IF(I695="","mot entier","bit "&amp;I695))</f>
        <v/>
      </c>
      <c r="P695" s="4"/>
    </row>
    <row r="696" customFormat="false" ht="15" hidden="false" customHeight="true" outlineLevel="0" collapsed="false">
      <c r="A696" s="22"/>
      <c r="B696" s="22"/>
      <c r="C696" s="23" t="str">
        <f aca="false">IFERROR(IF(OR(A696="",B696=""),"",INDEX(Equipements!$H:$H,MATCH(A696,Equipements!$A:$A,0))&amp;"."&amp;B696),"")</f>
        <v/>
      </c>
      <c r="D696" s="4"/>
      <c r="E696" s="22"/>
      <c r="F696" s="22"/>
      <c r="G696" s="22"/>
      <c r="H696" s="4"/>
      <c r="I696" s="4"/>
      <c r="J696" s="23" t="str">
        <f aca="false">IF(OR(G696="",H696=""),"","%"&amp;G696&amp;H696)</f>
        <v/>
      </c>
      <c r="K696" s="4"/>
      <c r="L696" s="4"/>
      <c r="M696" s="4"/>
      <c r="N696" s="4"/>
      <c r="O696" s="23" t="str">
        <f aca="false">IF(H696="","",IF(I696="","mot entier","bit "&amp;I696))</f>
        <v/>
      </c>
      <c r="P696" s="4"/>
    </row>
    <row r="697" customFormat="false" ht="15" hidden="false" customHeight="true" outlineLevel="0" collapsed="false">
      <c r="A697" s="22"/>
      <c r="B697" s="22"/>
      <c r="C697" s="23" t="str">
        <f aca="false">IFERROR(IF(OR(A697="",B697=""),"",INDEX(Equipements!$H:$H,MATCH(A697,Equipements!$A:$A,0))&amp;"."&amp;B697),"")</f>
        <v/>
      </c>
      <c r="D697" s="4"/>
      <c r="E697" s="22"/>
      <c r="F697" s="22"/>
      <c r="G697" s="22"/>
      <c r="H697" s="4"/>
      <c r="I697" s="4"/>
      <c r="J697" s="23" t="str">
        <f aca="false">IF(OR(G697="",H697=""),"","%"&amp;G697&amp;H697)</f>
        <v/>
      </c>
      <c r="K697" s="4"/>
      <c r="L697" s="4"/>
      <c r="M697" s="4"/>
      <c r="N697" s="4"/>
      <c r="O697" s="23" t="str">
        <f aca="false">IF(H697="","",IF(I697="","mot entier","bit "&amp;I697))</f>
        <v/>
      </c>
      <c r="P697" s="4"/>
    </row>
    <row r="698" customFormat="false" ht="15" hidden="false" customHeight="true" outlineLevel="0" collapsed="false">
      <c r="A698" s="22"/>
      <c r="B698" s="22"/>
      <c r="C698" s="23" t="str">
        <f aca="false">IFERROR(IF(OR(A698="",B698=""),"",INDEX(Equipements!$H:$H,MATCH(A698,Equipements!$A:$A,0))&amp;"."&amp;B698),"")</f>
        <v/>
      </c>
      <c r="D698" s="4"/>
      <c r="E698" s="22"/>
      <c r="F698" s="22"/>
      <c r="G698" s="22"/>
      <c r="H698" s="4"/>
      <c r="I698" s="4"/>
      <c r="J698" s="23" t="str">
        <f aca="false">IF(OR(G698="",H698=""),"","%"&amp;G698&amp;H698)</f>
        <v/>
      </c>
      <c r="K698" s="4"/>
      <c r="L698" s="4"/>
      <c r="M698" s="4"/>
      <c r="N698" s="4"/>
      <c r="O698" s="23" t="str">
        <f aca="false">IF(H698="","",IF(I698="","mot entier","bit "&amp;I698))</f>
        <v/>
      </c>
      <c r="P698" s="4"/>
    </row>
    <row r="699" customFormat="false" ht="15" hidden="false" customHeight="true" outlineLevel="0" collapsed="false">
      <c r="A699" s="22"/>
      <c r="B699" s="22"/>
      <c r="C699" s="23" t="str">
        <f aca="false">IFERROR(IF(OR(A699="",B699=""),"",INDEX(Equipements!$H:$H,MATCH(A699,Equipements!$A:$A,0))&amp;"."&amp;B699),"")</f>
        <v/>
      </c>
      <c r="D699" s="4"/>
      <c r="E699" s="22"/>
      <c r="F699" s="22"/>
      <c r="G699" s="22"/>
      <c r="H699" s="4"/>
      <c r="I699" s="4"/>
      <c r="J699" s="23" t="str">
        <f aca="false">IF(OR(G699="",H699=""),"","%"&amp;G699&amp;H699)</f>
        <v/>
      </c>
      <c r="K699" s="4"/>
      <c r="L699" s="4"/>
      <c r="M699" s="4"/>
      <c r="N699" s="4"/>
      <c r="O699" s="23" t="str">
        <f aca="false">IF(H699="","",IF(I699="","mot entier","bit "&amp;I699))</f>
        <v/>
      </c>
      <c r="P699" s="4"/>
    </row>
    <row r="700" customFormat="false" ht="15" hidden="false" customHeight="true" outlineLevel="0" collapsed="false">
      <c r="A700" s="22"/>
      <c r="B700" s="22"/>
      <c r="C700" s="23" t="str">
        <f aca="false">IFERROR(IF(OR(A700="",B700=""),"",INDEX(Equipements!$H:$H,MATCH(A700,Equipements!$A:$A,0))&amp;"."&amp;B700),"")</f>
        <v/>
      </c>
      <c r="D700" s="4"/>
      <c r="E700" s="22"/>
      <c r="F700" s="22"/>
      <c r="G700" s="22"/>
      <c r="H700" s="4"/>
      <c r="I700" s="4"/>
      <c r="J700" s="23" t="str">
        <f aca="false">IF(OR(G700="",H700=""),"","%"&amp;G700&amp;H700)</f>
        <v/>
      </c>
      <c r="K700" s="4"/>
      <c r="L700" s="4"/>
      <c r="M700" s="4"/>
      <c r="N700" s="4"/>
      <c r="O700" s="23" t="str">
        <f aca="false">IF(H700="","",IF(I700="","mot entier","bit "&amp;I700))</f>
        <v/>
      </c>
      <c r="P700" s="4"/>
    </row>
    <row r="701" customFormat="false" ht="15" hidden="false" customHeight="true" outlineLevel="0" collapsed="false">
      <c r="A701" s="22"/>
      <c r="B701" s="22"/>
      <c r="C701" s="23" t="str">
        <f aca="false">IFERROR(IF(OR(A701="",B701=""),"",INDEX(Equipements!$H:$H,MATCH(A701,Equipements!$A:$A,0))&amp;"."&amp;B701),"")</f>
        <v/>
      </c>
      <c r="D701" s="4"/>
      <c r="E701" s="22"/>
      <c r="F701" s="22"/>
      <c r="G701" s="22"/>
      <c r="H701" s="4"/>
      <c r="I701" s="4"/>
      <c r="J701" s="23" t="str">
        <f aca="false">IF(OR(G701="",H701=""),"","%"&amp;G701&amp;H701)</f>
        <v/>
      </c>
      <c r="K701" s="4"/>
      <c r="L701" s="4"/>
      <c r="M701" s="4"/>
      <c r="N701" s="4"/>
      <c r="O701" s="23" t="str">
        <f aca="false">IF(H701="","",IF(I701="","mot entier","bit "&amp;I701))</f>
        <v/>
      </c>
      <c r="P701" s="4"/>
    </row>
    <row r="702" customFormat="false" ht="15" hidden="false" customHeight="true" outlineLevel="0" collapsed="false">
      <c r="A702" s="22"/>
      <c r="B702" s="22"/>
      <c r="C702" s="23" t="str">
        <f aca="false">IFERROR(IF(OR(A702="",B702=""),"",INDEX(Equipements!$H:$H,MATCH(A702,Equipements!$A:$A,0))&amp;"."&amp;B702),"")</f>
        <v/>
      </c>
      <c r="D702" s="4"/>
      <c r="E702" s="22"/>
      <c r="F702" s="22"/>
      <c r="G702" s="22"/>
      <c r="H702" s="4"/>
      <c r="I702" s="4"/>
      <c r="J702" s="23" t="str">
        <f aca="false">IF(OR(G702="",H702=""),"","%"&amp;G702&amp;H702)</f>
        <v/>
      </c>
      <c r="K702" s="4"/>
      <c r="L702" s="4"/>
      <c r="M702" s="4"/>
      <c r="N702" s="4"/>
      <c r="O702" s="23" t="str">
        <f aca="false">IF(H702="","",IF(I702="","mot entier","bit "&amp;I702))</f>
        <v/>
      </c>
      <c r="P702" s="4"/>
    </row>
    <row r="703" customFormat="false" ht="15" hidden="false" customHeight="true" outlineLevel="0" collapsed="false">
      <c r="A703" s="22"/>
      <c r="B703" s="22"/>
      <c r="C703" s="23" t="str">
        <f aca="false">IFERROR(IF(OR(A703="",B703=""),"",INDEX(Equipements!$H:$H,MATCH(A703,Equipements!$A:$A,0))&amp;"."&amp;B703),"")</f>
        <v/>
      </c>
      <c r="D703" s="4"/>
      <c r="E703" s="22"/>
      <c r="F703" s="22"/>
      <c r="G703" s="22"/>
      <c r="H703" s="4"/>
      <c r="I703" s="4"/>
      <c r="J703" s="23" t="str">
        <f aca="false">IF(OR(G703="",H703=""),"","%"&amp;G703&amp;H703)</f>
        <v/>
      </c>
      <c r="K703" s="4"/>
      <c r="L703" s="4"/>
      <c r="M703" s="4"/>
      <c r="N703" s="4"/>
      <c r="O703" s="23" t="str">
        <f aca="false">IF(H703="","",IF(I703="","mot entier","bit "&amp;I703))</f>
        <v/>
      </c>
      <c r="P703" s="4"/>
    </row>
    <row r="704" customFormat="false" ht="15" hidden="false" customHeight="true" outlineLevel="0" collapsed="false">
      <c r="A704" s="22"/>
      <c r="B704" s="22"/>
      <c r="C704" s="23" t="str">
        <f aca="false">IFERROR(IF(OR(A704="",B704=""),"",INDEX(Equipements!$H:$H,MATCH(A704,Equipements!$A:$A,0))&amp;"."&amp;B704),"")</f>
        <v/>
      </c>
      <c r="D704" s="4"/>
      <c r="E704" s="22"/>
      <c r="F704" s="22"/>
      <c r="G704" s="22"/>
      <c r="H704" s="4"/>
      <c r="I704" s="4"/>
      <c r="J704" s="23" t="str">
        <f aca="false">IF(OR(G704="",H704=""),"","%"&amp;G704&amp;H704)</f>
        <v/>
      </c>
      <c r="K704" s="4"/>
      <c r="L704" s="4"/>
      <c r="M704" s="4"/>
      <c r="N704" s="4"/>
      <c r="O704" s="23" t="str">
        <f aca="false">IF(H704="","",IF(I704="","mot entier","bit "&amp;I704))</f>
        <v/>
      </c>
      <c r="P704" s="4"/>
    </row>
    <row r="705" customFormat="false" ht="15" hidden="false" customHeight="true" outlineLevel="0" collapsed="false">
      <c r="A705" s="22"/>
      <c r="B705" s="22"/>
      <c r="C705" s="23" t="str">
        <f aca="false">IFERROR(IF(OR(A705="",B705=""),"",INDEX(Equipements!$H:$H,MATCH(A705,Equipements!$A:$A,0))&amp;"."&amp;B705),"")</f>
        <v/>
      </c>
      <c r="D705" s="4"/>
      <c r="E705" s="22"/>
      <c r="F705" s="22"/>
      <c r="G705" s="22"/>
      <c r="H705" s="4"/>
      <c r="I705" s="4"/>
      <c r="J705" s="23" t="str">
        <f aca="false">IF(OR(G705="",H705=""),"","%"&amp;G705&amp;H705)</f>
        <v/>
      </c>
      <c r="K705" s="4"/>
      <c r="L705" s="4"/>
      <c r="M705" s="4"/>
      <c r="N705" s="4"/>
      <c r="O705" s="23" t="str">
        <f aca="false">IF(H705="","",IF(I705="","mot entier","bit "&amp;I705))</f>
        <v/>
      </c>
      <c r="P705" s="4"/>
    </row>
    <row r="706" customFormat="false" ht="15" hidden="false" customHeight="true" outlineLevel="0" collapsed="false">
      <c r="A706" s="22"/>
      <c r="B706" s="22"/>
      <c r="C706" s="23" t="str">
        <f aca="false">IFERROR(IF(OR(A706="",B706=""),"",INDEX(Equipements!$H:$H,MATCH(A706,Equipements!$A:$A,0))&amp;"."&amp;B706),"")</f>
        <v/>
      </c>
      <c r="D706" s="4"/>
      <c r="E706" s="22"/>
      <c r="F706" s="22"/>
      <c r="G706" s="22"/>
      <c r="H706" s="4"/>
      <c r="I706" s="4"/>
      <c r="J706" s="23" t="str">
        <f aca="false">IF(OR(G706="",H706=""),"","%"&amp;G706&amp;H706)</f>
        <v/>
      </c>
      <c r="K706" s="4"/>
      <c r="L706" s="4"/>
      <c r="M706" s="4"/>
      <c r="N706" s="4"/>
      <c r="O706" s="23" t="str">
        <f aca="false">IF(H706="","",IF(I706="","mot entier","bit "&amp;I706))</f>
        <v/>
      </c>
      <c r="P706" s="4"/>
    </row>
    <row r="707" customFormat="false" ht="15" hidden="false" customHeight="true" outlineLevel="0" collapsed="false">
      <c r="A707" s="22"/>
      <c r="B707" s="22"/>
      <c r="C707" s="23" t="str">
        <f aca="false">IFERROR(IF(OR(A707="",B707=""),"",INDEX(Equipements!$H:$H,MATCH(A707,Equipements!$A:$A,0))&amp;"."&amp;B707),"")</f>
        <v/>
      </c>
      <c r="D707" s="4"/>
      <c r="E707" s="22"/>
      <c r="F707" s="22"/>
      <c r="G707" s="22"/>
      <c r="H707" s="4"/>
      <c r="I707" s="4"/>
      <c r="J707" s="23" t="str">
        <f aca="false">IF(OR(G707="",H707=""),"","%"&amp;G707&amp;H707)</f>
        <v/>
      </c>
      <c r="K707" s="4"/>
      <c r="L707" s="4"/>
      <c r="M707" s="4"/>
      <c r="N707" s="4"/>
      <c r="O707" s="23" t="str">
        <f aca="false">IF(H707="","",IF(I707="","mot entier","bit "&amp;I707))</f>
        <v/>
      </c>
      <c r="P707" s="4"/>
    </row>
    <row r="708" customFormat="false" ht="15" hidden="false" customHeight="true" outlineLevel="0" collapsed="false">
      <c r="A708" s="22"/>
      <c r="B708" s="22"/>
      <c r="C708" s="23" t="str">
        <f aca="false">IFERROR(IF(OR(A708="",B708=""),"",INDEX(Equipements!$H:$H,MATCH(A708,Equipements!$A:$A,0))&amp;"."&amp;B708),"")</f>
        <v/>
      </c>
      <c r="D708" s="4"/>
      <c r="E708" s="22"/>
      <c r="F708" s="22"/>
      <c r="G708" s="22"/>
      <c r="H708" s="4"/>
      <c r="I708" s="4"/>
      <c r="J708" s="23" t="str">
        <f aca="false">IF(OR(G708="",H708=""),"","%"&amp;G708&amp;H708)</f>
        <v/>
      </c>
      <c r="K708" s="4"/>
      <c r="L708" s="4"/>
      <c r="M708" s="4"/>
      <c r="N708" s="4"/>
      <c r="O708" s="23" t="str">
        <f aca="false">IF(H708="","",IF(I708="","mot entier","bit "&amp;I708))</f>
        <v/>
      </c>
      <c r="P708" s="4"/>
    </row>
    <row r="709" customFormat="false" ht="15" hidden="false" customHeight="true" outlineLevel="0" collapsed="false">
      <c r="A709" s="22"/>
      <c r="B709" s="22"/>
      <c r="C709" s="23" t="str">
        <f aca="false">IFERROR(IF(OR(A709="",B709=""),"",INDEX(Equipements!$H:$H,MATCH(A709,Equipements!$A:$A,0))&amp;"."&amp;B709),"")</f>
        <v/>
      </c>
      <c r="D709" s="4"/>
      <c r="E709" s="22"/>
      <c r="F709" s="22"/>
      <c r="G709" s="22"/>
      <c r="H709" s="4"/>
      <c r="I709" s="4"/>
      <c r="J709" s="23" t="str">
        <f aca="false">IF(OR(G709="",H709=""),"","%"&amp;G709&amp;H709)</f>
        <v/>
      </c>
      <c r="K709" s="4"/>
      <c r="L709" s="4"/>
      <c r="M709" s="4"/>
      <c r="N709" s="4"/>
      <c r="O709" s="23" t="str">
        <f aca="false">IF(H709="","",IF(I709="","mot entier","bit "&amp;I709))</f>
        <v/>
      </c>
      <c r="P709" s="4"/>
    </row>
    <row r="710" customFormat="false" ht="15" hidden="false" customHeight="true" outlineLevel="0" collapsed="false">
      <c r="A710" s="22"/>
      <c r="B710" s="22"/>
      <c r="C710" s="23" t="str">
        <f aca="false">IFERROR(IF(OR(A710="",B710=""),"",INDEX(Equipements!$H:$H,MATCH(A710,Equipements!$A:$A,0))&amp;"."&amp;B710),"")</f>
        <v/>
      </c>
      <c r="D710" s="4"/>
      <c r="E710" s="22"/>
      <c r="F710" s="22"/>
      <c r="G710" s="22"/>
      <c r="H710" s="4"/>
      <c r="I710" s="4"/>
      <c r="J710" s="23" t="str">
        <f aca="false">IF(OR(G710="",H710=""),"","%"&amp;G710&amp;H710)</f>
        <v/>
      </c>
      <c r="K710" s="4"/>
      <c r="L710" s="4"/>
      <c r="M710" s="4"/>
      <c r="N710" s="4"/>
      <c r="O710" s="23" t="str">
        <f aca="false">IF(H710="","",IF(I710="","mot entier","bit "&amp;I710))</f>
        <v/>
      </c>
      <c r="P710" s="4"/>
    </row>
    <row r="711" customFormat="false" ht="15" hidden="false" customHeight="true" outlineLevel="0" collapsed="false">
      <c r="A711" s="22"/>
      <c r="B711" s="22"/>
      <c r="C711" s="23" t="str">
        <f aca="false">IFERROR(IF(OR(A711="",B711=""),"",INDEX(Equipements!$H:$H,MATCH(A711,Equipements!$A:$A,0))&amp;"."&amp;B711),"")</f>
        <v/>
      </c>
      <c r="D711" s="4"/>
      <c r="E711" s="22"/>
      <c r="F711" s="22"/>
      <c r="G711" s="22"/>
      <c r="H711" s="4"/>
      <c r="I711" s="4"/>
      <c r="J711" s="23" t="str">
        <f aca="false">IF(OR(G711="",H711=""),"","%"&amp;G711&amp;H711)</f>
        <v/>
      </c>
      <c r="K711" s="4"/>
      <c r="L711" s="4"/>
      <c r="M711" s="4"/>
      <c r="N711" s="4"/>
      <c r="O711" s="23" t="str">
        <f aca="false">IF(H711="","",IF(I711="","mot entier","bit "&amp;I711))</f>
        <v/>
      </c>
      <c r="P711" s="4"/>
    </row>
    <row r="712" customFormat="false" ht="15" hidden="false" customHeight="true" outlineLevel="0" collapsed="false">
      <c r="A712" s="22"/>
      <c r="B712" s="22"/>
      <c r="C712" s="23" t="str">
        <f aca="false">IFERROR(IF(OR(A712="",B712=""),"",INDEX(Equipements!$H:$H,MATCH(A712,Equipements!$A:$A,0))&amp;"."&amp;B712),"")</f>
        <v/>
      </c>
      <c r="D712" s="4"/>
      <c r="E712" s="22"/>
      <c r="F712" s="22"/>
      <c r="G712" s="22"/>
      <c r="H712" s="4"/>
      <c r="I712" s="4"/>
      <c r="J712" s="23" t="str">
        <f aca="false">IF(OR(G712="",H712=""),"","%"&amp;G712&amp;H712)</f>
        <v/>
      </c>
      <c r="K712" s="4"/>
      <c r="L712" s="4"/>
      <c r="M712" s="4"/>
      <c r="N712" s="4"/>
      <c r="O712" s="23" t="str">
        <f aca="false">IF(H712="","",IF(I712="","mot entier","bit "&amp;I712))</f>
        <v/>
      </c>
      <c r="P712" s="4"/>
    </row>
    <row r="713" customFormat="false" ht="15" hidden="false" customHeight="true" outlineLevel="0" collapsed="false">
      <c r="A713" s="22"/>
      <c r="B713" s="22"/>
      <c r="C713" s="23" t="str">
        <f aca="false">IFERROR(IF(OR(A713="",B713=""),"",INDEX(Equipements!$H:$H,MATCH(A713,Equipements!$A:$A,0))&amp;"."&amp;B713),"")</f>
        <v/>
      </c>
      <c r="D713" s="4"/>
      <c r="E713" s="22"/>
      <c r="F713" s="22"/>
      <c r="G713" s="22"/>
      <c r="H713" s="4"/>
      <c r="I713" s="4"/>
      <c r="J713" s="23" t="str">
        <f aca="false">IF(OR(G713="",H713=""),"","%"&amp;G713&amp;H713)</f>
        <v/>
      </c>
      <c r="K713" s="4"/>
      <c r="L713" s="4"/>
      <c r="M713" s="4"/>
      <c r="N713" s="4"/>
      <c r="O713" s="23" t="str">
        <f aca="false">IF(H713="","",IF(I713="","mot entier","bit "&amp;I713))</f>
        <v/>
      </c>
      <c r="P713" s="4"/>
    </row>
    <row r="714" customFormat="false" ht="15" hidden="false" customHeight="true" outlineLevel="0" collapsed="false">
      <c r="A714" s="22"/>
      <c r="B714" s="22"/>
      <c r="C714" s="23" t="str">
        <f aca="false">IFERROR(IF(OR(A714="",B714=""),"",INDEX(Equipements!$H:$H,MATCH(A714,Equipements!$A:$A,0))&amp;"."&amp;B714),"")</f>
        <v/>
      </c>
      <c r="D714" s="4"/>
      <c r="E714" s="22"/>
      <c r="F714" s="22"/>
      <c r="G714" s="22"/>
      <c r="H714" s="4"/>
      <c r="I714" s="4"/>
      <c r="J714" s="23" t="str">
        <f aca="false">IF(OR(G714="",H714=""),"","%"&amp;G714&amp;H714)</f>
        <v/>
      </c>
      <c r="K714" s="4"/>
      <c r="L714" s="4"/>
      <c r="M714" s="4"/>
      <c r="N714" s="4"/>
      <c r="O714" s="23" t="str">
        <f aca="false">IF(H714="","",IF(I714="","mot entier","bit "&amp;I714))</f>
        <v/>
      </c>
      <c r="P714" s="4"/>
    </row>
    <row r="715" customFormat="false" ht="15" hidden="false" customHeight="true" outlineLevel="0" collapsed="false">
      <c r="A715" s="22"/>
      <c r="B715" s="22"/>
      <c r="C715" s="23" t="str">
        <f aca="false">IFERROR(IF(OR(A715="",B715=""),"",INDEX(Equipements!$H:$H,MATCH(A715,Equipements!$A:$A,0))&amp;"."&amp;B715),"")</f>
        <v/>
      </c>
      <c r="D715" s="4"/>
      <c r="E715" s="22"/>
      <c r="F715" s="22"/>
      <c r="G715" s="22"/>
      <c r="H715" s="4"/>
      <c r="I715" s="4"/>
      <c r="J715" s="23" t="str">
        <f aca="false">IF(OR(G715="",H715=""),"","%"&amp;G715&amp;H715)</f>
        <v/>
      </c>
      <c r="K715" s="4"/>
      <c r="L715" s="4"/>
      <c r="M715" s="4"/>
      <c r="N715" s="4"/>
      <c r="O715" s="23" t="str">
        <f aca="false">IF(H715="","",IF(I715="","mot entier","bit "&amp;I715))</f>
        <v/>
      </c>
      <c r="P715" s="4"/>
    </row>
    <row r="716" customFormat="false" ht="15" hidden="false" customHeight="true" outlineLevel="0" collapsed="false">
      <c r="A716" s="22"/>
      <c r="B716" s="22"/>
      <c r="C716" s="23" t="str">
        <f aca="false">IFERROR(IF(OR(A716="",B716=""),"",INDEX(Equipements!$H:$H,MATCH(A716,Equipements!$A:$A,0))&amp;"."&amp;B716),"")</f>
        <v/>
      </c>
      <c r="D716" s="4"/>
      <c r="E716" s="22"/>
      <c r="F716" s="22"/>
      <c r="G716" s="22"/>
      <c r="H716" s="4"/>
      <c r="I716" s="4"/>
      <c r="J716" s="23" t="str">
        <f aca="false">IF(OR(G716="",H716=""),"","%"&amp;G716&amp;H716)</f>
        <v/>
      </c>
      <c r="K716" s="4"/>
      <c r="L716" s="4"/>
      <c r="M716" s="4"/>
      <c r="N716" s="4"/>
      <c r="O716" s="23" t="str">
        <f aca="false">IF(H716="","",IF(I716="","mot entier","bit "&amp;I716))</f>
        <v/>
      </c>
      <c r="P716" s="4"/>
    </row>
    <row r="717" customFormat="false" ht="15" hidden="false" customHeight="true" outlineLevel="0" collapsed="false">
      <c r="A717" s="22"/>
      <c r="B717" s="22"/>
      <c r="C717" s="23" t="str">
        <f aca="false">IFERROR(IF(OR(A717="",B717=""),"",INDEX(Equipements!$H:$H,MATCH(A717,Equipements!$A:$A,0))&amp;"."&amp;B717),"")</f>
        <v/>
      </c>
      <c r="D717" s="4"/>
      <c r="E717" s="22"/>
      <c r="F717" s="22"/>
      <c r="G717" s="22"/>
      <c r="H717" s="4"/>
      <c r="I717" s="4"/>
      <c r="J717" s="23" t="str">
        <f aca="false">IF(OR(G717="",H717=""),"","%"&amp;G717&amp;H717)</f>
        <v/>
      </c>
      <c r="K717" s="4"/>
      <c r="L717" s="4"/>
      <c r="M717" s="4"/>
      <c r="N717" s="4"/>
      <c r="O717" s="23" t="str">
        <f aca="false">IF(H717="","",IF(I717="","mot entier","bit "&amp;I717))</f>
        <v/>
      </c>
      <c r="P717" s="4"/>
    </row>
    <row r="718" customFormat="false" ht="15" hidden="false" customHeight="true" outlineLevel="0" collapsed="false">
      <c r="A718" s="22"/>
      <c r="B718" s="22"/>
      <c r="C718" s="23" t="str">
        <f aca="false">IFERROR(IF(OR(A718="",B718=""),"",INDEX(Equipements!$H:$H,MATCH(A718,Equipements!$A:$A,0))&amp;"."&amp;B718),"")</f>
        <v/>
      </c>
      <c r="D718" s="4"/>
      <c r="E718" s="22"/>
      <c r="F718" s="22"/>
      <c r="G718" s="22"/>
      <c r="H718" s="4"/>
      <c r="I718" s="4"/>
      <c r="J718" s="23" t="str">
        <f aca="false">IF(OR(G718="",H718=""),"","%"&amp;G718&amp;H718)</f>
        <v/>
      </c>
      <c r="K718" s="4"/>
      <c r="L718" s="4"/>
      <c r="M718" s="4"/>
      <c r="N718" s="4"/>
      <c r="O718" s="23" t="str">
        <f aca="false">IF(H718="","",IF(I718="","mot entier","bit "&amp;I718))</f>
        <v/>
      </c>
      <c r="P718" s="4"/>
    </row>
    <row r="719" customFormat="false" ht="15" hidden="false" customHeight="true" outlineLevel="0" collapsed="false">
      <c r="A719" s="22"/>
      <c r="B719" s="22"/>
      <c r="C719" s="23" t="str">
        <f aca="false">IFERROR(IF(OR(A719="",B719=""),"",INDEX(Equipements!$H:$H,MATCH(A719,Equipements!$A:$A,0))&amp;"."&amp;B719),"")</f>
        <v/>
      </c>
      <c r="D719" s="4"/>
      <c r="E719" s="22"/>
      <c r="F719" s="22"/>
      <c r="G719" s="22"/>
      <c r="H719" s="4"/>
      <c r="I719" s="4"/>
      <c r="J719" s="23" t="str">
        <f aca="false">IF(OR(G719="",H719=""),"","%"&amp;G719&amp;H719)</f>
        <v/>
      </c>
      <c r="K719" s="4"/>
      <c r="L719" s="4"/>
      <c r="M719" s="4"/>
      <c r="N719" s="4"/>
      <c r="O719" s="23" t="str">
        <f aca="false">IF(H719="","",IF(I719="","mot entier","bit "&amp;I719))</f>
        <v/>
      </c>
      <c r="P719" s="4"/>
    </row>
    <row r="720" customFormat="false" ht="15" hidden="false" customHeight="true" outlineLevel="0" collapsed="false">
      <c r="A720" s="22"/>
      <c r="B720" s="22"/>
      <c r="C720" s="23" t="str">
        <f aca="false">IFERROR(IF(OR(A720="",B720=""),"",INDEX(Equipements!$H:$H,MATCH(A720,Equipements!$A:$A,0))&amp;"."&amp;B720),"")</f>
        <v/>
      </c>
      <c r="D720" s="4"/>
      <c r="E720" s="22"/>
      <c r="F720" s="22"/>
      <c r="G720" s="22"/>
      <c r="H720" s="4"/>
      <c r="I720" s="4"/>
      <c r="J720" s="23" t="str">
        <f aca="false">IF(OR(G720="",H720=""),"","%"&amp;G720&amp;H720)</f>
        <v/>
      </c>
      <c r="K720" s="4"/>
      <c r="L720" s="4"/>
      <c r="M720" s="4"/>
      <c r="N720" s="4"/>
      <c r="O720" s="23" t="str">
        <f aca="false">IF(H720="","",IF(I720="","mot entier","bit "&amp;I720))</f>
        <v/>
      </c>
      <c r="P720" s="4"/>
    </row>
    <row r="721" customFormat="false" ht="15" hidden="false" customHeight="true" outlineLevel="0" collapsed="false">
      <c r="A721" s="22"/>
      <c r="B721" s="22"/>
      <c r="C721" s="23" t="str">
        <f aca="false">IFERROR(IF(OR(A721="",B721=""),"",INDEX(Equipements!$H:$H,MATCH(A721,Equipements!$A:$A,0))&amp;"."&amp;B721),"")</f>
        <v/>
      </c>
      <c r="D721" s="4"/>
      <c r="E721" s="22"/>
      <c r="F721" s="22"/>
      <c r="G721" s="22"/>
      <c r="H721" s="4"/>
      <c r="I721" s="4"/>
      <c r="J721" s="23" t="str">
        <f aca="false">IF(OR(G721="",H721=""),"","%"&amp;G721&amp;H721)</f>
        <v/>
      </c>
      <c r="K721" s="4"/>
      <c r="L721" s="4"/>
      <c r="M721" s="4"/>
      <c r="N721" s="4"/>
      <c r="O721" s="23" t="str">
        <f aca="false">IF(H721="","",IF(I721="","mot entier","bit "&amp;I721))</f>
        <v/>
      </c>
      <c r="P721" s="4"/>
    </row>
    <row r="722" customFormat="false" ht="15" hidden="false" customHeight="true" outlineLevel="0" collapsed="false">
      <c r="A722" s="22"/>
      <c r="B722" s="22"/>
      <c r="C722" s="23" t="str">
        <f aca="false">IFERROR(IF(OR(A722="",B722=""),"",INDEX(Equipements!$H:$H,MATCH(A722,Equipements!$A:$A,0))&amp;"."&amp;B722),"")</f>
        <v/>
      </c>
      <c r="D722" s="4"/>
      <c r="E722" s="22"/>
      <c r="F722" s="22"/>
      <c r="G722" s="22"/>
      <c r="H722" s="4"/>
      <c r="I722" s="4"/>
      <c r="J722" s="23" t="str">
        <f aca="false">IF(OR(G722="",H722=""),"","%"&amp;G722&amp;H722)</f>
        <v/>
      </c>
      <c r="K722" s="4"/>
      <c r="L722" s="4"/>
      <c r="M722" s="4"/>
      <c r="N722" s="4"/>
      <c r="O722" s="23" t="str">
        <f aca="false">IF(H722="","",IF(I722="","mot entier","bit "&amp;I722))</f>
        <v/>
      </c>
      <c r="P722" s="4"/>
    </row>
    <row r="723" customFormat="false" ht="15" hidden="false" customHeight="true" outlineLevel="0" collapsed="false">
      <c r="A723" s="22"/>
      <c r="B723" s="22"/>
      <c r="C723" s="23" t="str">
        <f aca="false">IFERROR(IF(OR(A723="",B723=""),"",INDEX(Equipements!$H:$H,MATCH(A723,Equipements!$A:$A,0))&amp;"."&amp;B723),"")</f>
        <v/>
      </c>
      <c r="D723" s="4"/>
      <c r="E723" s="22"/>
      <c r="F723" s="22"/>
      <c r="G723" s="22"/>
      <c r="H723" s="4"/>
      <c r="I723" s="4"/>
      <c r="J723" s="23" t="str">
        <f aca="false">IF(OR(G723="",H723=""),"","%"&amp;G723&amp;H723)</f>
        <v/>
      </c>
      <c r="K723" s="4"/>
      <c r="L723" s="4"/>
      <c r="M723" s="4"/>
      <c r="N723" s="4"/>
      <c r="O723" s="23" t="str">
        <f aca="false">IF(H723="","",IF(I723="","mot entier","bit "&amp;I723))</f>
        <v/>
      </c>
      <c r="P723" s="4"/>
    </row>
    <row r="724" customFormat="false" ht="15" hidden="false" customHeight="true" outlineLevel="0" collapsed="false">
      <c r="A724" s="22"/>
      <c r="B724" s="22"/>
      <c r="C724" s="23" t="str">
        <f aca="false">IFERROR(IF(OR(A724="",B724=""),"",INDEX(Equipements!$H:$H,MATCH(A724,Equipements!$A:$A,0))&amp;"."&amp;B724),"")</f>
        <v/>
      </c>
      <c r="D724" s="4"/>
      <c r="E724" s="22"/>
      <c r="F724" s="22"/>
      <c r="G724" s="22"/>
      <c r="H724" s="4"/>
      <c r="I724" s="4"/>
      <c r="J724" s="23" t="str">
        <f aca="false">IF(OR(G724="",H724=""),"","%"&amp;G724&amp;H724)</f>
        <v/>
      </c>
      <c r="K724" s="4"/>
      <c r="L724" s="4"/>
      <c r="M724" s="4"/>
      <c r="N724" s="4"/>
      <c r="O724" s="23" t="str">
        <f aca="false">IF(H724="","",IF(I724="","mot entier","bit "&amp;I724))</f>
        <v/>
      </c>
      <c r="P724" s="4"/>
    </row>
    <row r="725" customFormat="false" ht="15" hidden="false" customHeight="true" outlineLevel="0" collapsed="false">
      <c r="A725" s="22"/>
      <c r="B725" s="22"/>
      <c r="C725" s="23" t="str">
        <f aca="false">IFERROR(IF(OR(A725="",B725=""),"",INDEX(Equipements!$H:$H,MATCH(A725,Equipements!$A:$A,0))&amp;"."&amp;B725),"")</f>
        <v/>
      </c>
      <c r="D725" s="4"/>
      <c r="E725" s="22"/>
      <c r="F725" s="22"/>
      <c r="G725" s="22"/>
      <c r="H725" s="4"/>
      <c r="I725" s="4"/>
      <c r="J725" s="23" t="str">
        <f aca="false">IF(OR(G725="",H725=""),"","%"&amp;G725&amp;H725)</f>
        <v/>
      </c>
      <c r="K725" s="4"/>
      <c r="L725" s="4"/>
      <c r="M725" s="4"/>
      <c r="N725" s="4"/>
      <c r="O725" s="23" t="str">
        <f aca="false">IF(H725="","",IF(I725="","mot entier","bit "&amp;I725))</f>
        <v/>
      </c>
      <c r="P725" s="4"/>
    </row>
    <row r="726" customFormat="false" ht="15" hidden="false" customHeight="true" outlineLevel="0" collapsed="false">
      <c r="A726" s="22"/>
      <c r="B726" s="22"/>
      <c r="C726" s="23" t="str">
        <f aca="false">IFERROR(IF(OR(A726="",B726=""),"",INDEX(Equipements!$H:$H,MATCH(A726,Equipements!$A:$A,0))&amp;"."&amp;B726),"")</f>
        <v/>
      </c>
      <c r="D726" s="4"/>
      <c r="E726" s="22"/>
      <c r="F726" s="22"/>
      <c r="G726" s="22"/>
      <c r="H726" s="4"/>
      <c r="I726" s="4"/>
      <c r="J726" s="23" t="str">
        <f aca="false">IF(OR(G726="",H726=""),"","%"&amp;G726&amp;H726)</f>
        <v/>
      </c>
      <c r="K726" s="4"/>
      <c r="L726" s="4"/>
      <c r="M726" s="4"/>
      <c r="N726" s="4"/>
      <c r="O726" s="23" t="str">
        <f aca="false">IF(H726="","",IF(I726="","mot entier","bit "&amp;I726))</f>
        <v/>
      </c>
      <c r="P726" s="4"/>
    </row>
    <row r="727" customFormat="false" ht="15" hidden="false" customHeight="true" outlineLevel="0" collapsed="false">
      <c r="A727" s="22"/>
      <c r="B727" s="22"/>
      <c r="C727" s="23" t="str">
        <f aca="false">IFERROR(IF(OR(A727="",B727=""),"",INDEX(Equipements!$H:$H,MATCH(A727,Equipements!$A:$A,0))&amp;"."&amp;B727),"")</f>
        <v/>
      </c>
      <c r="D727" s="4"/>
      <c r="E727" s="22"/>
      <c r="F727" s="22"/>
      <c r="G727" s="22"/>
      <c r="H727" s="4"/>
      <c r="I727" s="4"/>
      <c r="J727" s="23" t="str">
        <f aca="false">IF(OR(G727="",H727=""),"","%"&amp;G727&amp;H727)</f>
        <v/>
      </c>
      <c r="K727" s="4"/>
      <c r="L727" s="4"/>
      <c r="M727" s="4"/>
      <c r="N727" s="4"/>
      <c r="O727" s="23" t="str">
        <f aca="false">IF(H727="","",IF(I727="","mot entier","bit "&amp;I727))</f>
        <v/>
      </c>
      <c r="P727" s="4"/>
    </row>
    <row r="728" customFormat="false" ht="15" hidden="false" customHeight="true" outlineLevel="0" collapsed="false">
      <c r="A728" s="22"/>
      <c r="B728" s="22"/>
      <c r="C728" s="23" t="str">
        <f aca="false">IFERROR(IF(OR(A728="",B728=""),"",INDEX(Equipements!$H:$H,MATCH(A728,Equipements!$A:$A,0))&amp;"."&amp;B728),"")</f>
        <v/>
      </c>
      <c r="D728" s="4"/>
      <c r="E728" s="22"/>
      <c r="F728" s="22"/>
      <c r="G728" s="22"/>
      <c r="H728" s="4"/>
      <c r="I728" s="4"/>
      <c r="J728" s="23" t="str">
        <f aca="false">IF(OR(G728="",H728=""),"","%"&amp;G728&amp;H728)</f>
        <v/>
      </c>
      <c r="K728" s="4"/>
      <c r="L728" s="4"/>
      <c r="M728" s="4"/>
      <c r="N728" s="4"/>
      <c r="O728" s="23" t="str">
        <f aca="false">IF(H728="","",IF(I728="","mot entier","bit "&amp;I728))</f>
        <v/>
      </c>
      <c r="P728" s="4"/>
    </row>
    <row r="729" customFormat="false" ht="15" hidden="false" customHeight="true" outlineLevel="0" collapsed="false">
      <c r="A729" s="22"/>
      <c r="B729" s="22"/>
      <c r="C729" s="23" t="str">
        <f aca="false">IFERROR(IF(OR(A729="",B729=""),"",INDEX(Equipements!$H:$H,MATCH(A729,Equipements!$A:$A,0))&amp;"."&amp;B729),"")</f>
        <v/>
      </c>
      <c r="D729" s="4"/>
      <c r="E729" s="22"/>
      <c r="F729" s="22"/>
      <c r="G729" s="22"/>
      <c r="H729" s="4"/>
      <c r="I729" s="4"/>
      <c r="J729" s="23" t="str">
        <f aca="false">IF(OR(G729="",H729=""),"","%"&amp;G729&amp;H729)</f>
        <v/>
      </c>
      <c r="K729" s="4"/>
      <c r="L729" s="4"/>
      <c r="M729" s="4"/>
      <c r="N729" s="4"/>
      <c r="O729" s="23" t="str">
        <f aca="false">IF(H729="","",IF(I729="","mot entier","bit "&amp;I729))</f>
        <v/>
      </c>
      <c r="P729" s="4"/>
    </row>
    <row r="730" customFormat="false" ht="15" hidden="false" customHeight="true" outlineLevel="0" collapsed="false">
      <c r="A730" s="22"/>
      <c r="B730" s="22"/>
      <c r="C730" s="23" t="str">
        <f aca="false">IFERROR(IF(OR(A730="",B730=""),"",INDEX(Equipements!$H:$H,MATCH(A730,Equipements!$A:$A,0))&amp;"."&amp;B730),"")</f>
        <v/>
      </c>
      <c r="D730" s="4"/>
      <c r="E730" s="22"/>
      <c r="F730" s="22"/>
      <c r="G730" s="22"/>
      <c r="H730" s="4"/>
      <c r="I730" s="4"/>
      <c r="J730" s="23" t="str">
        <f aca="false">IF(OR(G730="",H730=""),"","%"&amp;G730&amp;H730)</f>
        <v/>
      </c>
      <c r="K730" s="4"/>
      <c r="L730" s="4"/>
      <c r="M730" s="4"/>
      <c r="N730" s="4"/>
      <c r="O730" s="23" t="str">
        <f aca="false">IF(H730="","",IF(I730="","mot entier","bit "&amp;I730))</f>
        <v/>
      </c>
      <c r="P730" s="4"/>
    </row>
    <row r="731" customFormat="false" ht="15" hidden="false" customHeight="true" outlineLevel="0" collapsed="false">
      <c r="A731" s="22"/>
      <c r="B731" s="22"/>
      <c r="C731" s="23" t="str">
        <f aca="false">IFERROR(IF(OR(A731="",B731=""),"",INDEX(Equipements!$H:$H,MATCH(A731,Equipements!$A:$A,0))&amp;"."&amp;B731),"")</f>
        <v/>
      </c>
      <c r="D731" s="4"/>
      <c r="E731" s="22"/>
      <c r="F731" s="22"/>
      <c r="G731" s="22"/>
      <c r="H731" s="4"/>
      <c r="I731" s="4"/>
      <c r="J731" s="23" t="str">
        <f aca="false">IF(OR(G731="",H731=""),"","%"&amp;G731&amp;H731)</f>
        <v/>
      </c>
      <c r="K731" s="4"/>
      <c r="L731" s="4"/>
      <c r="M731" s="4"/>
      <c r="N731" s="4"/>
      <c r="O731" s="23" t="str">
        <f aca="false">IF(H731="","",IF(I731="","mot entier","bit "&amp;I731))</f>
        <v/>
      </c>
      <c r="P731" s="4"/>
    </row>
    <row r="732" customFormat="false" ht="15" hidden="false" customHeight="true" outlineLevel="0" collapsed="false">
      <c r="A732" s="22"/>
      <c r="B732" s="22"/>
      <c r="C732" s="23" t="str">
        <f aca="false">IFERROR(IF(OR(A732="",B732=""),"",INDEX(Equipements!$H:$H,MATCH(A732,Equipements!$A:$A,0))&amp;"."&amp;B732),"")</f>
        <v/>
      </c>
      <c r="D732" s="4"/>
      <c r="E732" s="22"/>
      <c r="F732" s="22"/>
      <c r="G732" s="22"/>
      <c r="H732" s="4"/>
      <c r="I732" s="4"/>
      <c r="J732" s="23" t="str">
        <f aca="false">IF(OR(G732="",H732=""),"","%"&amp;G732&amp;H732)</f>
        <v/>
      </c>
      <c r="K732" s="4"/>
      <c r="L732" s="4"/>
      <c r="M732" s="4"/>
      <c r="N732" s="4"/>
      <c r="O732" s="23" t="str">
        <f aca="false">IF(H732="","",IF(I732="","mot entier","bit "&amp;I732))</f>
        <v/>
      </c>
      <c r="P732" s="4"/>
    </row>
    <row r="733" customFormat="false" ht="15" hidden="false" customHeight="true" outlineLevel="0" collapsed="false">
      <c r="A733" s="22"/>
      <c r="B733" s="22"/>
      <c r="C733" s="23" t="str">
        <f aca="false">IFERROR(IF(OR(A733="",B733=""),"",INDEX(Equipements!$H:$H,MATCH(A733,Equipements!$A:$A,0))&amp;"."&amp;B733),"")</f>
        <v/>
      </c>
      <c r="D733" s="4"/>
      <c r="E733" s="22"/>
      <c r="F733" s="22"/>
      <c r="G733" s="22"/>
      <c r="H733" s="4"/>
      <c r="I733" s="4"/>
      <c r="J733" s="23" t="str">
        <f aca="false">IF(OR(G733="",H733=""),"","%"&amp;G733&amp;H733)</f>
        <v/>
      </c>
      <c r="K733" s="4"/>
      <c r="L733" s="4"/>
      <c r="M733" s="4"/>
      <c r="N733" s="4"/>
      <c r="O733" s="23" t="str">
        <f aca="false">IF(H733="","",IF(I733="","mot entier","bit "&amp;I733))</f>
        <v/>
      </c>
      <c r="P733" s="4"/>
    </row>
    <row r="734" customFormat="false" ht="15" hidden="false" customHeight="true" outlineLevel="0" collapsed="false">
      <c r="A734" s="22"/>
      <c r="B734" s="22"/>
      <c r="C734" s="23" t="str">
        <f aca="false">IFERROR(IF(OR(A734="",B734=""),"",INDEX(Equipements!$H:$H,MATCH(A734,Equipements!$A:$A,0))&amp;"."&amp;B734),"")</f>
        <v/>
      </c>
      <c r="D734" s="4"/>
      <c r="E734" s="22"/>
      <c r="F734" s="22"/>
      <c r="G734" s="22"/>
      <c r="H734" s="4"/>
      <c r="I734" s="4"/>
      <c r="J734" s="23" t="str">
        <f aca="false">IF(OR(G734="",H734=""),"","%"&amp;G734&amp;H734)</f>
        <v/>
      </c>
      <c r="K734" s="4"/>
      <c r="L734" s="4"/>
      <c r="M734" s="4"/>
      <c r="N734" s="4"/>
      <c r="O734" s="23" t="str">
        <f aca="false">IF(H734="","",IF(I734="","mot entier","bit "&amp;I734))</f>
        <v/>
      </c>
      <c r="P734" s="4"/>
    </row>
    <row r="735" customFormat="false" ht="15" hidden="false" customHeight="true" outlineLevel="0" collapsed="false">
      <c r="A735" s="22"/>
      <c r="B735" s="22"/>
      <c r="C735" s="23" t="str">
        <f aca="false">IFERROR(IF(OR(A735="",B735=""),"",INDEX(Equipements!$H:$H,MATCH(A735,Equipements!$A:$A,0))&amp;"."&amp;B735),"")</f>
        <v/>
      </c>
      <c r="D735" s="4"/>
      <c r="E735" s="22"/>
      <c r="F735" s="22"/>
      <c r="G735" s="22"/>
      <c r="H735" s="4"/>
      <c r="I735" s="4"/>
      <c r="J735" s="23" t="str">
        <f aca="false">IF(OR(G735="",H735=""),"","%"&amp;G735&amp;H735)</f>
        <v/>
      </c>
      <c r="K735" s="4"/>
      <c r="L735" s="4"/>
      <c r="M735" s="4"/>
      <c r="N735" s="4"/>
      <c r="O735" s="23" t="str">
        <f aca="false">IF(H735="","",IF(I735="","mot entier","bit "&amp;I735))</f>
        <v/>
      </c>
      <c r="P735" s="4"/>
    </row>
    <row r="736" customFormat="false" ht="15" hidden="false" customHeight="true" outlineLevel="0" collapsed="false">
      <c r="A736" s="22"/>
      <c r="B736" s="22"/>
      <c r="C736" s="23" t="str">
        <f aca="false">IFERROR(IF(OR(A736="",B736=""),"",INDEX(Equipements!$H:$H,MATCH(A736,Equipements!$A:$A,0))&amp;"."&amp;B736),"")</f>
        <v/>
      </c>
      <c r="D736" s="4"/>
      <c r="E736" s="22"/>
      <c r="F736" s="22"/>
      <c r="G736" s="22"/>
      <c r="H736" s="4"/>
      <c r="I736" s="4"/>
      <c r="J736" s="23" t="str">
        <f aca="false">IF(OR(G736="",H736=""),"","%"&amp;G736&amp;H736)</f>
        <v/>
      </c>
      <c r="K736" s="4"/>
      <c r="L736" s="4"/>
      <c r="M736" s="4"/>
      <c r="N736" s="4"/>
      <c r="O736" s="23" t="str">
        <f aca="false">IF(H736="","",IF(I736="","mot entier","bit "&amp;I736))</f>
        <v/>
      </c>
      <c r="P736" s="4"/>
    </row>
    <row r="737" customFormat="false" ht="15" hidden="false" customHeight="true" outlineLevel="0" collapsed="false">
      <c r="A737" s="22"/>
      <c r="B737" s="22"/>
      <c r="C737" s="23" t="str">
        <f aca="false">IFERROR(IF(OR(A737="",B737=""),"",INDEX(Equipements!$H:$H,MATCH(A737,Equipements!$A:$A,0))&amp;"."&amp;B737),"")</f>
        <v/>
      </c>
      <c r="D737" s="4"/>
      <c r="E737" s="22"/>
      <c r="F737" s="22"/>
      <c r="G737" s="22"/>
      <c r="H737" s="4"/>
      <c r="I737" s="4"/>
      <c r="J737" s="23" t="str">
        <f aca="false">IF(OR(G737="",H737=""),"","%"&amp;G737&amp;H737)</f>
        <v/>
      </c>
      <c r="K737" s="4"/>
      <c r="L737" s="4"/>
      <c r="M737" s="4"/>
      <c r="N737" s="4"/>
      <c r="O737" s="23" t="str">
        <f aca="false">IF(H737="","",IF(I737="","mot entier","bit "&amp;I737))</f>
        <v/>
      </c>
      <c r="P737" s="4"/>
    </row>
    <row r="738" customFormat="false" ht="15" hidden="false" customHeight="true" outlineLevel="0" collapsed="false">
      <c r="A738" s="22"/>
      <c r="B738" s="22"/>
      <c r="C738" s="23" t="str">
        <f aca="false">IFERROR(IF(OR(A738="",B738=""),"",INDEX(Equipements!$H:$H,MATCH(A738,Equipements!$A:$A,0))&amp;"."&amp;B738),"")</f>
        <v/>
      </c>
      <c r="D738" s="4"/>
      <c r="E738" s="22"/>
      <c r="F738" s="22"/>
      <c r="G738" s="22"/>
      <c r="H738" s="4"/>
      <c r="I738" s="4"/>
      <c r="J738" s="23" t="str">
        <f aca="false">IF(OR(G738="",H738=""),"","%"&amp;G738&amp;H738)</f>
        <v/>
      </c>
      <c r="K738" s="4"/>
      <c r="L738" s="4"/>
      <c r="M738" s="4"/>
      <c r="N738" s="4"/>
      <c r="O738" s="23" t="str">
        <f aca="false">IF(H738="","",IF(I738="","mot entier","bit "&amp;I738))</f>
        <v/>
      </c>
      <c r="P738" s="4"/>
    </row>
    <row r="739" customFormat="false" ht="15" hidden="false" customHeight="true" outlineLevel="0" collapsed="false">
      <c r="A739" s="22"/>
      <c r="B739" s="22"/>
      <c r="C739" s="23" t="str">
        <f aca="false">IFERROR(IF(OR(A739="",B739=""),"",INDEX(Equipements!$H:$H,MATCH(A739,Equipements!$A:$A,0))&amp;"."&amp;B739),"")</f>
        <v/>
      </c>
      <c r="D739" s="4"/>
      <c r="E739" s="22"/>
      <c r="F739" s="22"/>
      <c r="G739" s="22"/>
      <c r="H739" s="4"/>
      <c r="I739" s="4"/>
      <c r="J739" s="23" t="str">
        <f aca="false">IF(OR(G739="",H739=""),"","%"&amp;G739&amp;H739)</f>
        <v/>
      </c>
      <c r="K739" s="4"/>
      <c r="L739" s="4"/>
      <c r="M739" s="4"/>
      <c r="N739" s="4"/>
      <c r="O739" s="23" t="str">
        <f aca="false">IF(H739="","",IF(I739="","mot entier","bit "&amp;I739))</f>
        <v/>
      </c>
      <c r="P739" s="4"/>
    </row>
    <row r="740" customFormat="false" ht="15" hidden="false" customHeight="true" outlineLevel="0" collapsed="false">
      <c r="A740" s="22"/>
      <c r="B740" s="22"/>
      <c r="C740" s="23" t="str">
        <f aca="false">IFERROR(IF(OR(A740="",B740=""),"",INDEX(Equipements!$H:$H,MATCH(A740,Equipements!$A:$A,0))&amp;"."&amp;B740),"")</f>
        <v/>
      </c>
      <c r="D740" s="4"/>
      <c r="E740" s="22"/>
      <c r="F740" s="22"/>
      <c r="G740" s="22"/>
      <c r="H740" s="4"/>
      <c r="I740" s="4"/>
      <c r="J740" s="23" t="str">
        <f aca="false">IF(OR(G740="",H740=""),"","%"&amp;G740&amp;H740)</f>
        <v/>
      </c>
      <c r="K740" s="4"/>
      <c r="L740" s="4"/>
      <c r="M740" s="4"/>
      <c r="N740" s="4"/>
      <c r="O740" s="23" t="str">
        <f aca="false">IF(H740="","",IF(I740="","mot entier","bit "&amp;I740))</f>
        <v/>
      </c>
      <c r="P740" s="4"/>
    </row>
    <row r="741" customFormat="false" ht="15" hidden="false" customHeight="true" outlineLevel="0" collapsed="false">
      <c r="A741" s="22"/>
      <c r="B741" s="22"/>
      <c r="C741" s="23" t="str">
        <f aca="false">IFERROR(IF(OR(A741="",B741=""),"",INDEX(Equipements!$H:$H,MATCH(A741,Equipements!$A:$A,0))&amp;"."&amp;B741),"")</f>
        <v/>
      </c>
      <c r="D741" s="4"/>
      <c r="E741" s="22"/>
      <c r="F741" s="22"/>
      <c r="G741" s="22"/>
      <c r="H741" s="4"/>
      <c r="I741" s="4"/>
      <c r="J741" s="23" t="str">
        <f aca="false">IF(OR(G741="",H741=""),"","%"&amp;G741&amp;H741)</f>
        <v/>
      </c>
      <c r="K741" s="4"/>
      <c r="L741" s="4"/>
      <c r="M741" s="4"/>
      <c r="N741" s="4"/>
      <c r="O741" s="23" t="str">
        <f aca="false">IF(H741="","",IF(I741="","mot entier","bit "&amp;I741))</f>
        <v/>
      </c>
      <c r="P741" s="4"/>
    </row>
    <row r="742" customFormat="false" ht="15" hidden="false" customHeight="true" outlineLevel="0" collapsed="false">
      <c r="A742" s="22"/>
      <c r="B742" s="22"/>
      <c r="C742" s="23" t="str">
        <f aca="false">IFERROR(IF(OR(A742="",B742=""),"",INDEX(Equipements!$H:$H,MATCH(A742,Equipements!$A:$A,0))&amp;"."&amp;B742),"")</f>
        <v/>
      </c>
      <c r="D742" s="4"/>
      <c r="E742" s="22"/>
      <c r="F742" s="22"/>
      <c r="G742" s="22"/>
      <c r="H742" s="4"/>
      <c r="I742" s="4"/>
      <c r="J742" s="23" t="str">
        <f aca="false">IF(OR(G742="",H742=""),"","%"&amp;G742&amp;H742)</f>
        <v/>
      </c>
      <c r="K742" s="4"/>
      <c r="L742" s="4"/>
      <c r="M742" s="4"/>
      <c r="N742" s="4"/>
      <c r="O742" s="23" t="str">
        <f aca="false">IF(H742="","",IF(I742="","mot entier","bit "&amp;I742))</f>
        <v/>
      </c>
      <c r="P742" s="4"/>
    </row>
    <row r="743" customFormat="false" ht="15" hidden="false" customHeight="true" outlineLevel="0" collapsed="false">
      <c r="A743" s="22"/>
      <c r="B743" s="22"/>
      <c r="C743" s="23" t="str">
        <f aca="false">IFERROR(IF(OR(A743="",B743=""),"",INDEX(Equipements!$H:$H,MATCH(A743,Equipements!$A:$A,0))&amp;"."&amp;B743),"")</f>
        <v/>
      </c>
      <c r="D743" s="4"/>
      <c r="E743" s="22"/>
      <c r="F743" s="22"/>
      <c r="G743" s="22"/>
      <c r="H743" s="4"/>
      <c r="I743" s="4"/>
      <c r="J743" s="23" t="str">
        <f aca="false">IF(OR(G743="",H743=""),"","%"&amp;G743&amp;H743)</f>
        <v/>
      </c>
      <c r="K743" s="4"/>
      <c r="L743" s="4"/>
      <c r="M743" s="4"/>
      <c r="N743" s="4"/>
      <c r="O743" s="23" t="str">
        <f aca="false">IF(H743="","",IF(I743="","mot entier","bit "&amp;I743))</f>
        <v/>
      </c>
      <c r="P743" s="4"/>
    </row>
    <row r="744" customFormat="false" ht="15" hidden="false" customHeight="true" outlineLevel="0" collapsed="false">
      <c r="A744" s="22"/>
      <c r="B744" s="22"/>
      <c r="C744" s="23" t="str">
        <f aca="false">IFERROR(IF(OR(A744="",B744=""),"",INDEX(Equipements!$H:$H,MATCH(A744,Equipements!$A:$A,0))&amp;"."&amp;B744),"")</f>
        <v/>
      </c>
      <c r="D744" s="4"/>
      <c r="E744" s="22"/>
      <c r="F744" s="22"/>
      <c r="G744" s="22"/>
      <c r="H744" s="4"/>
      <c r="I744" s="4"/>
      <c r="J744" s="23" t="str">
        <f aca="false">IF(OR(G744="",H744=""),"","%"&amp;G744&amp;H744)</f>
        <v/>
      </c>
      <c r="K744" s="4"/>
      <c r="L744" s="4"/>
      <c r="M744" s="4"/>
      <c r="N744" s="4"/>
      <c r="O744" s="23" t="str">
        <f aca="false">IF(H744="","",IF(I744="","mot entier","bit "&amp;I744))</f>
        <v/>
      </c>
      <c r="P744" s="4"/>
    </row>
    <row r="745" customFormat="false" ht="15" hidden="false" customHeight="true" outlineLevel="0" collapsed="false">
      <c r="A745" s="22"/>
      <c r="B745" s="22"/>
      <c r="C745" s="23" t="str">
        <f aca="false">IFERROR(IF(OR(A745="",B745=""),"",INDEX(Equipements!$H:$H,MATCH(A745,Equipements!$A:$A,0))&amp;"."&amp;B745),"")</f>
        <v/>
      </c>
      <c r="D745" s="4"/>
      <c r="E745" s="22"/>
      <c r="F745" s="22"/>
      <c r="G745" s="22"/>
      <c r="H745" s="4"/>
      <c r="I745" s="4"/>
      <c r="J745" s="23" t="str">
        <f aca="false">IF(OR(G745="",H745=""),"","%"&amp;G745&amp;H745)</f>
        <v/>
      </c>
      <c r="K745" s="4"/>
      <c r="L745" s="4"/>
      <c r="M745" s="4"/>
      <c r="N745" s="4"/>
      <c r="O745" s="23" t="str">
        <f aca="false">IF(H745="","",IF(I745="","mot entier","bit "&amp;I745))</f>
        <v/>
      </c>
      <c r="P745" s="4"/>
    </row>
    <row r="746" customFormat="false" ht="15" hidden="false" customHeight="true" outlineLevel="0" collapsed="false">
      <c r="A746" s="22"/>
      <c r="B746" s="22"/>
      <c r="C746" s="23" t="str">
        <f aca="false">IFERROR(IF(OR(A746="",B746=""),"",INDEX(Equipements!$H:$H,MATCH(A746,Equipements!$A:$A,0))&amp;"."&amp;B746),"")</f>
        <v/>
      </c>
      <c r="D746" s="4"/>
      <c r="E746" s="22"/>
      <c r="F746" s="22"/>
      <c r="G746" s="22"/>
      <c r="H746" s="4"/>
      <c r="I746" s="4"/>
      <c r="J746" s="23" t="str">
        <f aca="false">IF(OR(G746="",H746=""),"","%"&amp;G746&amp;H746)</f>
        <v/>
      </c>
      <c r="K746" s="4"/>
      <c r="L746" s="4"/>
      <c r="M746" s="4"/>
      <c r="N746" s="4"/>
      <c r="O746" s="23" t="str">
        <f aca="false">IF(H746="","",IF(I746="","mot entier","bit "&amp;I746))</f>
        <v/>
      </c>
      <c r="P746" s="4"/>
    </row>
    <row r="747" customFormat="false" ht="15" hidden="false" customHeight="true" outlineLevel="0" collapsed="false">
      <c r="A747" s="22"/>
      <c r="B747" s="22"/>
      <c r="C747" s="23" t="str">
        <f aca="false">IFERROR(IF(OR(A747="",B747=""),"",INDEX(Equipements!$H:$H,MATCH(A747,Equipements!$A:$A,0))&amp;"."&amp;B747),"")</f>
        <v/>
      </c>
      <c r="D747" s="4"/>
      <c r="E747" s="22"/>
      <c r="F747" s="22"/>
      <c r="G747" s="22"/>
      <c r="H747" s="4"/>
      <c r="I747" s="4"/>
      <c r="J747" s="23" t="str">
        <f aca="false">IF(OR(G747="",H747=""),"","%"&amp;G747&amp;H747)</f>
        <v/>
      </c>
      <c r="K747" s="4"/>
      <c r="L747" s="4"/>
      <c r="M747" s="4"/>
      <c r="N747" s="4"/>
      <c r="O747" s="23" t="str">
        <f aca="false">IF(H747="","",IF(I747="","mot entier","bit "&amp;I747))</f>
        <v/>
      </c>
      <c r="P747" s="4"/>
    </row>
    <row r="748" customFormat="false" ht="15" hidden="false" customHeight="true" outlineLevel="0" collapsed="false">
      <c r="A748" s="22"/>
      <c r="B748" s="22"/>
      <c r="C748" s="23" t="str">
        <f aca="false">IFERROR(IF(OR(A748="",B748=""),"",INDEX(Equipements!$H:$H,MATCH(A748,Equipements!$A:$A,0))&amp;"."&amp;B748),"")</f>
        <v/>
      </c>
      <c r="D748" s="4"/>
      <c r="E748" s="22"/>
      <c r="F748" s="22"/>
      <c r="G748" s="22"/>
      <c r="H748" s="4"/>
      <c r="I748" s="4"/>
      <c r="J748" s="23" t="str">
        <f aca="false">IF(OR(G748="",H748=""),"","%"&amp;G748&amp;H748)</f>
        <v/>
      </c>
      <c r="K748" s="4"/>
      <c r="L748" s="4"/>
      <c r="M748" s="4"/>
      <c r="N748" s="4"/>
      <c r="O748" s="23" t="str">
        <f aca="false">IF(H748="","",IF(I748="","mot entier","bit "&amp;I748))</f>
        <v/>
      </c>
      <c r="P748" s="4"/>
    </row>
    <row r="749" customFormat="false" ht="15" hidden="false" customHeight="true" outlineLevel="0" collapsed="false">
      <c r="A749" s="22"/>
      <c r="B749" s="22"/>
      <c r="C749" s="23" t="str">
        <f aca="false">IFERROR(IF(OR(A749="",B749=""),"",INDEX(Equipements!$H:$H,MATCH(A749,Equipements!$A:$A,0))&amp;"."&amp;B749),"")</f>
        <v/>
      </c>
      <c r="D749" s="4"/>
      <c r="E749" s="22"/>
      <c r="F749" s="22"/>
      <c r="G749" s="22"/>
      <c r="H749" s="4"/>
      <c r="I749" s="4"/>
      <c r="J749" s="23" t="str">
        <f aca="false">IF(OR(G749="",H749=""),"","%"&amp;G749&amp;H749)</f>
        <v/>
      </c>
      <c r="K749" s="4"/>
      <c r="L749" s="4"/>
      <c r="M749" s="4"/>
      <c r="N749" s="4"/>
      <c r="O749" s="23" t="str">
        <f aca="false">IF(H749="","",IF(I749="","mot entier","bit "&amp;I749))</f>
        <v/>
      </c>
      <c r="P749" s="4"/>
    </row>
    <row r="750" customFormat="false" ht="15" hidden="false" customHeight="true" outlineLevel="0" collapsed="false">
      <c r="A750" s="22"/>
      <c r="B750" s="22"/>
      <c r="C750" s="23" t="str">
        <f aca="false">IFERROR(IF(OR(A750="",B750=""),"",INDEX(Equipements!$H:$H,MATCH(A750,Equipements!$A:$A,0))&amp;"."&amp;B750),"")</f>
        <v/>
      </c>
      <c r="D750" s="4"/>
      <c r="E750" s="22"/>
      <c r="F750" s="22"/>
      <c r="G750" s="22"/>
      <c r="H750" s="4"/>
      <c r="I750" s="4"/>
      <c r="J750" s="23" t="str">
        <f aca="false">IF(OR(G750="",H750=""),"","%"&amp;G750&amp;H750)</f>
        <v/>
      </c>
      <c r="K750" s="4"/>
      <c r="L750" s="4"/>
      <c r="M750" s="4"/>
      <c r="N750" s="4"/>
      <c r="O750" s="23" t="str">
        <f aca="false">IF(H750="","",IF(I750="","mot entier","bit "&amp;I750))</f>
        <v/>
      </c>
      <c r="P750" s="4"/>
    </row>
    <row r="751" customFormat="false" ht="15" hidden="false" customHeight="true" outlineLevel="0" collapsed="false">
      <c r="A751" s="22"/>
      <c r="B751" s="22"/>
      <c r="C751" s="23" t="str">
        <f aca="false">IFERROR(IF(OR(A751="",B751=""),"",INDEX(Equipements!$H:$H,MATCH(A751,Equipements!$A:$A,0))&amp;"."&amp;B751),"")</f>
        <v/>
      </c>
      <c r="D751" s="4"/>
      <c r="E751" s="22"/>
      <c r="F751" s="22"/>
      <c r="G751" s="22"/>
      <c r="H751" s="4"/>
      <c r="I751" s="4"/>
      <c r="J751" s="23" t="str">
        <f aca="false">IF(OR(G751="",H751=""),"","%"&amp;G751&amp;H751)</f>
        <v/>
      </c>
      <c r="K751" s="4"/>
      <c r="L751" s="4"/>
      <c r="M751" s="4"/>
      <c r="N751" s="4"/>
      <c r="O751" s="23" t="str">
        <f aca="false">IF(H751="","",IF(I751="","mot entier","bit "&amp;I751))</f>
        <v/>
      </c>
      <c r="P751" s="4"/>
    </row>
    <row r="752" customFormat="false" ht="15" hidden="false" customHeight="true" outlineLevel="0" collapsed="false">
      <c r="A752" s="22"/>
      <c r="B752" s="22"/>
      <c r="C752" s="23" t="str">
        <f aca="false">IFERROR(IF(OR(A752="",B752=""),"",INDEX(Equipements!$H:$H,MATCH(A752,Equipements!$A:$A,0))&amp;"."&amp;B752),"")</f>
        <v/>
      </c>
      <c r="D752" s="4"/>
      <c r="E752" s="22"/>
      <c r="F752" s="22"/>
      <c r="G752" s="22"/>
      <c r="H752" s="4"/>
      <c r="I752" s="4"/>
      <c r="J752" s="23" t="str">
        <f aca="false">IF(OR(G752="",H752=""),"","%"&amp;G752&amp;H752)</f>
        <v/>
      </c>
      <c r="K752" s="4"/>
      <c r="L752" s="4"/>
      <c r="M752" s="4"/>
      <c r="N752" s="4"/>
      <c r="O752" s="23" t="str">
        <f aca="false">IF(H752="","",IF(I752="","mot entier","bit "&amp;I752))</f>
        <v/>
      </c>
      <c r="P752" s="4"/>
    </row>
    <row r="753" customFormat="false" ht="15" hidden="false" customHeight="true" outlineLevel="0" collapsed="false">
      <c r="A753" s="22"/>
      <c r="B753" s="22"/>
      <c r="C753" s="23" t="str">
        <f aca="false">IFERROR(IF(OR(A753="",B753=""),"",INDEX(Equipements!$H:$H,MATCH(A753,Equipements!$A:$A,0))&amp;"."&amp;B753),"")</f>
        <v/>
      </c>
      <c r="D753" s="4"/>
      <c r="E753" s="22"/>
      <c r="F753" s="22"/>
      <c r="G753" s="22"/>
      <c r="H753" s="4"/>
      <c r="I753" s="4"/>
      <c r="J753" s="23" t="str">
        <f aca="false">IF(OR(G753="",H753=""),"","%"&amp;G753&amp;H753)</f>
        <v/>
      </c>
      <c r="K753" s="4"/>
      <c r="L753" s="4"/>
      <c r="M753" s="4"/>
      <c r="N753" s="4"/>
      <c r="O753" s="23" t="str">
        <f aca="false">IF(H753="","",IF(I753="","mot entier","bit "&amp;I753))</f>
        <v/>
      </c>
      <c r="P753" s="4"/>
    </row>
    <row r="754" customFormat="false" ht="15" hidden="false" customHeight="true" outlineLevel="0" collapsed="false">
      <c r="A754" s="22"/>
      <c r="B754" s="22"/>
      <c r="C754" s="23" t="str">
        <f aca="false">IFERROR(IF(OR(A754="",B754=""),"",INDEX(Equipements!$H:$H,MATCH(A754,Equipements!$A:$A,0))&amp;"."&amp;B754),"")</f>
        <v/>
      </c>
      <c r="D754" s="4"/>
      <c r="E754" s="22"/>
      <c r="F754" s="22"/>
      <c r="G754" s="22"/>
      <c r="H754" s="4"/>
      <c r="I754" s="4"/>
      <c r="J754" s="23" t="str">
        <f aca="false">IF(OR(G754="",H754=""),"","%"&amp;G754&amp;H754)</f>
        <v/>
      </c>
      <c r="K754" s="4"/>
      <c r="L754" s="4"/>
      <c r="M754" s="4"/>
      <c r="N754" s="4"/>
      <c r="O754" s="23" t="str">
        <f aca="false">IF(H754="","",IF(I754="","mot entier","bit "&amp;I754))</f>
        <v/>
      </c>
      <c r="P754" s="4"/>
    </row>
    <row r="755" customFormat="false" ht="15" hidden="false" customHeight="true" outlineLevel="0" collapsed="false">
      <c r="A755" s="22"/>
      <c r="B755" s="22"/>
      <c r="C755" s="23" t="str">
        <f aca="false">IFERROR(IF(OR(A755="",B755=""),"",INDEX(Equipements!$H:$H,MATCH(A755,Equipements!$A:$A,0))&amp;"."&amp;B755),"")</f>
        <v/>
      </c>
      <c r="D755" s="4"/>
      <c r="E755" s="22"/>
      <c r="F755" s="22"/>
      <c r="G755" s="22"/>
      <c r="H755" s="4"/>
      <c r="I755" s="4"/>
      <c r="J755" s="23" t="str">
        <f aca="false">IF(OR(G755="",H755=""),"","%"&amp;G755&amp;H755)</f>
        <v/>
      </c>
      <c r="K755" s="4"/>
      <c r="L755" s="4"/>
      <c r="M755" s="4"/>
      <c r="N755" s="4"/>
      <c r="O755" s="23" t="str">
        <f aca="false">IF(H755="","",IF(I755="","mot entier","bit "&amp;I755))</f>
        <v/>
      </c>
      <c r="P755" s="4"/>
    </row>
    <row r="756" customFormat="false" ht="15" hidden="false" customHeight="true" outlineLevel="0" collapsed="false">
      <c r="A756" s="22"/>
      <c r="B756" s="22"/>
      <c r="C756" s="23" t="str">
        <f aca="false">IFERROR(IF(OR(A756="",B756=""),"",INDEX(Equipements!$H:$H,MATCH(A756,Equipements!$A:$A,0))&amp;"."&amp;B756),"")</f>
        <v/>
      </c>
      <c r="D756" s="4"/>
      <c r="E756" s="22"/>
      <c r="F756" s="22"/>
      <c r="G756" s="22"/>
      <c r="H756" s="4"/>
      <c r="I756" s="4"/>
      <c r="J756" s="23" t="str">
        <f aca="false">IF(OR(G756="",H756=""),"","%"&amp;G756&amp;H756)</f>
        <v/>
      </c>
      <c r="K756" s="4"/>
      <c r="L756" s="4"/>
      <c r="M756" s="4"/>
      <c r="N756" s="4"/>
      <c r="O756" s="23" t="str">
        <f aca="false">IF(H756="","",IF(I756="","mot entier","bit "&amp;I756))</f>
        <v/>
      </c>
      <c r="P756" s="4"/>
    </row>
    <row r="757" customFormat="false" ht="15" hidden="false" customHeight="true" outlineLevel="0" collapsed="false">
      <c r="A757" s="22"/>
      <c r="B757" s="22"/>
      <c r="C757" s="23" t="str">
        <f aca="false">IFERROR(IF(OR(A757="",B757=""),"",INDEX(Equipements!$H:$H,MATCH(A757,Equipements!$A:$A,0))&amp;"."&amp;B757),"")</f>
        <v/>
      </c>
      <c r="D757" s="4"/>
      <c r="E757" s="22"/>
      <c r="F757" s="22"/>
      <c r="G757" s="22"/>
      <c r="H757" s="4"/>
      <c r="I757" s="4"/>
      <c r="J757" s="23" t="str">
        <f aca="false">IF(OR(G757="",H757=""),"","%"&amp;G757&amp;H757)</f>
        <v/>
      </c>
      <c r="K757" s="4"/>
      <c r="L757" s="4"/>
      <c r="M757" s="4"/>
      <c r="N757" s="4"/>
      <c r="O757" s="23" t="str">
        <f aca="false">IF(H757="","",IF(I757="","mot entier","bit "&amp;I757))</f>
        <v/>
      </c>
      <c r="P757" s="4"/>
    </row>
    <row r="758" customFormat="false" ht="15" hidden="false" customHeight="true" outlineLevel="0" collapsed="false">
      <c r="A758" s="22"/>
      <c r="B758" s="22"/>
      <c r="C758" s="23" t="str">
        <f aca="false">IFERROR(IF(OR(A758="",B758=""),"",INDEX(Equipements!$H:$H,MATCH(A758,Equipements!$A:$A,0))&amp;"."&amp;B758),"")</f>
        <v/>
      </c>
      <c r="D758" s="4"/>
      <c r="E758" s="22"/>
      <c r="F758" s="22"/>
      <c r="G758" s="22"/>
      <c r="H758" s="4"/>
      <c r="I758" s="4"/>
      <c r="J758" s="23" t="str">
        <f aca="false">IF(OR(G758="",H758=""),"","%"&amp;G758&amp;H758)</f>
        <v/>
      </c>
      <c r="K758" s="4"/>
      <c r="L758" s="4"/>
      <c r="M758" s="4"/>
      <c r="N758" s="4"/>
      <c r="O758" s="23" t="str">
        <f aca="false">IF(H758="","",IF(I758="","mot entier","bit "&amp;I758))</f>
        <v/>
      </c>
      <c r="P758" s="4"/>
    </row>
    <row r="759" customFormat="false" ht="15" hidden="false" customHeight="true" outlineLevel="0" collapsed="false">
      <c r="A759" s="22"/>
      <c r="B759" s="22"/>
      <c r="C759" s="23" t="str">
        <f aca="false">IFERROR(IF(OR(A759="",B759=""),"",INDEX(Equipements!$H:$H,MATCH(A759,Equipements!$A:$A,0))&amp;"."&amp;B759),"")</f>
        <v/>
      </c>
      <c r="D759" s="4"/>
      <c r="E759" s="22"/>
      <c r="F759" s="22"/>
      <c r="G759" s="22"/>
      <c r="H759" s="4"/>
      <c r="I759" s="4"/>
      <c r="J759" s="23" t="str">
        <f aca="false">IF(OR(G759="",H759=""),"","%"&amp;G759&amp;H759)</f>
        <v/>
      </c>
      <c r="K759" s="4"/>
      <c r="L759" s="4"/>
      <c r="M759" s="4"/>
      <c r="N759" s="4"/>
      <c r="O759" s="23" t="str">
        <f aca="false">IF(H759="","",IF(I759="","mot entier","bit "&amp;I759))</f>
        <v/>
      </c>
      <c r="P759" s="4"/>
    </row>
    <row r="760" customFormat="false" ht="15" hidden="false" customHeight="true" outlineLevel="0" collapsed="false">
      <c r="A760" s="22"/>
      <c r="B760" s="22"/>
      <c r="C760" s="23" t="str">
        <f aca="false">IFERROR(IF(OR(A760="",B760=""),"",INDEX(Equipements!$H:$H,MATCH(A760,Equipements!$A:$A,0))&amp;"."&amp;B760),"")</f>
        <v/>
      </c>
      <c r="D760" s="4"/>
      <c r="E760" s="22"/>
      <c r="F760" s="22"/>
      <c r="G760" s="22"/>
      <c r="H760" s="4"/>
      <c r="I760" s="4"/>
      <c r="J760" s="23" t="str">
        <f aca="false">IF(OR(G760="",H760=""),"","%"&amp;G760&amp;H760)</f>
        <v/>
      </c>
      <c r="K760" s="4"/>
      <c r="L760" s="4"/>
      <c r="M760" s="4"/>
      <c r="N760" s="4"/>
      <c r="O760" s="23" t="str">
        <f aca="false">IF(H760="","",IF(I760="","mot entier","bit "&amp;I760))</f>
        <v/>
      </c>
      <c r="P760" s="4"/>
    </row>
    <row r="761" customFormat="false" ht="15" hidden="false" customHeight="true" outlineLevel="0" collapsed="false">
      <c r="A761" s="22"/>
      <c r="B761" s="22"/>
      <c r="C761" s="23" t="str">
        <f aca="false">IFERROR(IF(OR(A761="",B761=""),"",INDEX(Equipements!$H:$H,MATCH(A761,Equipements!$A:$A,0))&amp;"."&amp;B761),"")</f>
        <v/>
      </c>
      <c r="D761" s="4"/>
      <c r="E761" s="22"/>
      <c r="F761" s="22"/>
      <c r="G761" s="22"/>
      <c r="H761" s="4"/>
      <c r="I761" s="4"/>
      <c r="J761" s="23" t="str">
        <f aca="false">IF(OR(G761="",H761=""),"","%"&amp;G761&amp;H761)</f>
        <v/>
      </c>
      <c r="K761" s="4"/>
      <c r="L761" s="4"/>
      <c r="M761" s="4"/>
      <c r="N761" s="4"/>
      <c r="O761" s="23" t="str">
        <f aca="false">IF(H761="","",IF(I761="","mot entier","bit "&amp;I761))</f>
        <v/>
      </c>
      <c r="P761" s="4"/>
    </row>
    <row r="762" customFormat="false" ht="15" hidden="false" customHeight="true" outlineLevel="0" collapsed="false">
      <c r="A762" s="22"/>
      <c r="B762" s="22"/>
      <c r="C762" s="23" t="str">
        <f aca="false">IFERROR(IF(OR(A762="",B762=""),"",INDEX(Equipements!$H:$H,MATCH(A762,Equipements!$A:$A,0))&amp;"."&amp;B762),"")</f>
        <v/>
      </c>
      <c r="D762" s="4"/>
      <c r="E762" s="22"/>
      <c r="F762" s="22"/>
      <c r="G762" s="22"/>
      <c r="H762" s="4"/>
      <c r="I762" s="4"/>
      <c r="J762" s="23" t="str">
        <f aca="false">IF(OR(G762="",H762=""),"","%"&amp;G762&amp;H762)</f>
        <v/>
      </c>
      <c r="K762" s="4"/>
      <c r="L762" s="4"/>
      <c r="M762" s="4"/>
      <c r="N762" s="4"/>
      <c r="O762" s="23" t="str">
        <f aca="false">IF(H762="","",IF(I762="","mot entier","bit "&amp;I762))</f>
        <v/>
      </c>
      <c r="P762" s="4"/>
    </row>
    <row r="763" customFormat="false" ht="15" hidden="false" customHeight="true" outlineLevel="0" collapsed="false">
      <c r="A763" s="22"/>
      <c r="B763" s="22"/>
      <c r="C763" s="23" t="str">
        <f aca="false">IFERROR(IF(OR(A763="",B763=""),"",INDEX(Equipements!$H:$H,MATCH(A763,Equipements!$A:$A,0))&amp;"."&amp;B763),"")</f>
        <v/>
      </c>
      <c r="D763" s="4"/>
      <c r="E763" s="22"/>
      <c r="F763" s="22"/>
      <c r="G763" s="22"/>
      <c r="H763" s="4"/>
      <c r="I763" s="4"/>
      <c r="J763" s="23" t="str">
        <f aca="false">IF(OR(G763="",H763=""),"","%"&amp;G763&amp;H763)</f>
        <v/>
      </c>
      <c r="K763" s="4"/>
      <c r="L763" s="4"/>
      <c r="M763" s="4"/>
      <c r="N763" s="4"/>
      <c r="O763" s="23" t="str">
        <f aca="false">IF(H763="","",IF(I763="","mot entier","bit "&amp;I763))</f>
        <v/>
      </c>
      <c r="P763" s="4"/>
    </row>
    <row r="764" customFormat="false" ht="15" hidden="false" customHeight="true" outlineLevel="0" collapsed="false">
      <c r="A764" s="22"/>
      <c r="B764" s="22"/>
      <c r="C764" s="23" t="str">
        <f aca="false">IFERROR(IF(OR(A764="",B764=""),"",INDEX(Equipements!$H:$H,MATCH(A764,Equipements!$A:$A,0))&amp;"."&amp;B764),"")</f>
        <v/>
      </c>
      <c r="D764" s="4"/>
      <c r="E764" s="22"/>
      <c r="F764" s="22"/>
      <c r="G764" s="22"/>
      <c r="H764" s="4"/>
      <c r="I764" s="4"/>
      <c r="J764" s="23" t="str">
        <f aca="false">IF(OR(G764="",H764=""),"","%"&amp;G764&amp;H764)</f>
        <v/>
      </c>
      <c r="K764" s="4"/>
      <c r="L764" s="4"/>
      <c r="M764" s="4"/>
      <c r="N764" s="4"/>
      <c r="O764" s="23" t="str">
        <f aca="false">IF(H764="","",IF(I764="","mot entier","bit "&amp;I764))</f>
        <v/>
      </c>
      <c r="P764" s="4"/>
    </row>
    <row r="765" customFormat="false" ht="15" hidden="false" customHeight="true" outlineLevel="0" collapsed="false">
      <c r="A765" s="22"/>
      <c r="B765" s="22"/>
      <c r="C765" s="23" t="str">
        <f aca="false">IFERROR(IF(OR(A765="",B765=""),"",INDEX(Equipements!$H:$H,MATCH(A765,Equipements!$A:$A,0))&amp;"."&amp;B765),"")</f>
        <v/>
      </c>
      <c r="D765" s="4"/>
      <c r="E765" s="22"/>
      <c r="F765" s="22"/>
      <c r="G765" s="22"/>
      <c r="H765" s="4"/>
      <c r="I765" s="4"/>
      <c r="J765" s="23" t="str">
        <f aca="false">IF(OR(G765="",H765=""),"","%"&amp;G765&amp;H765)</f>
        <v/>
      </c>
      <c r="K765" s="4"/>
      <c r="L765" s="4"/>
      <c r="M765" s="4"/>
      <c r="N765" s="4"/>
      <c r="O765" s="23" t="str">
        <f aca="false">IF(H765="","",IF(I765="","mot entier","bit "&amp;I765))</f>
        <v/>
      </c>
      <c r="P765" s="4"/>
    </row>
    <row r="766" customFormat="false" ht="15" hidden="false" customHeight="true" outlineLevel="0" collapsed="false">
      <c r="A766" s="22"/>
      <c r="B766" s="22"/>
      <c r="C766" s="23" t="str">
        <f aca="false">IFERROR(IF(OR(A766="",B766=""),"",INDEX(Equipements!$H:$H,MATCH(A766,Equipements!$A:$A,0))&amp;"."&amp;B766),"")</f>
        <v/>
      </c>
      <c r="D766" s="4"/>
      <c r="E766" s="22"/>
      <c r="F766" s="22"/>
      <c r="G766" s="22"/>
      <c r="H766" s="4"/>
      <c r="I766" s="4"/>
      <c r="J766" s="23" t="str">
        <f aca="false">IF(OR(G766="",H766=""),"","%"&amp;G766&amp;H766)</f>
        <v/>
      </c>
      <c r="K766" s="4"/>
      <c r="L766" s="4"/>
      <c r="M766" s="4"/>
      <c r="N766" s="4"/>
      <c r="O766" s="23" t="str">
        <f aca="false">IF(H766="","",IF(I766="","mot entier","bit "&amp;I766))</f>
        <v/>
      </c>
      <c r="P766" s="4"/>
    </row>
    <row r="767" customFormat="false" ht="15" hidden="false" customHeight="true" outlineLevel="0" collapsed="false">
      <c r="A767" s="22"/>
      <c r="B767" s="22"/>
      <c r="C767" s="23" t="str">
        <f aca="false">IFERROR(IF(OR(A767="",B767=""),"",INDEX(Equipements!$H:$H,MATCH(A767,Equipements!$A:$A,0))&amp;"."&amp;B767),"")</f>
        <v/>
      </c>
      <c r="D767" s="4"/>
      <c r="E767" s="22"/>
      <c r="F767" s="22"/>
      <c r="G767" s="22"/>
      <c r="H767" s="4"/>
      <c r="I767" s="4"/>
      <c r="J767" s="23" t="str">
        <f aca="false">IF(OR(G767="",H767=""),"","%"&amp;G767&amp;H767)</f>
        <v/>
      </c>
      <c r="K767" s="4"/>
      <c r="L767" s="4"/>
      <c r="M767" s="4"/>
      <c r="N767" s="4"/>
      <c r="O767" s="23" t="str">
        <f aca="false">IF(H767="","",IF(I767="","mot entier","bit "&amp;I767))</f>
        <v/>
      </c>
      <c r="P767" s="4"/>
    </row>
    <row r="768" customFormat="false" ht="15" hidden="false" customHeight="true" outlineLevel="0" collapsed="false">
      <c r="A768" s="22"/>
      <c r="B768" s="22"/>
      <c r="C768" s="23" t="str">
        <f aca="false">IFERROR(IF(OR(A768="",B768=""),"",INDEX(Equipements!$H:$H,MATCH(A768,Equipements!$A:$A,0))&amp;"."&amp;B768),"")</f>
        <v/>
      </c>
      <c r="D768" s="4"/>
      <c r="E768" s="22"/>
      <c r="F768" s="22"/>
      <c r="G768" s="22"/>
      <c r="H768" s="4"/>
      <c r="I768" s="4"/>
      <c r="J768" s="23" t="str">
        <f aca="false">IF(OR(G768="",H768=""),"","%"&amp;G768&amp;H768)</f>
        <v/>
      </c>
      <c r="K768" s="4"/>
      <c r="L768" s="4"/>
      <c r="M768" s="4"/>
      <c r="N768" s="4"/>
      <c r="O768" s="23" t="str">
        <f aca="false">IF(H768="","",IF(I768="","mot entier","bit "&amp;I768))</f>
        <v/>
      </c>
      <c r="P768" s="4"/>
    </row>
    <row r="769" customFormat="false" ht="15" hidden="false" customHeight="true" outlineLevel="0" collapsed="false">
      <c r="A769" s="22"/>
      <c r="B769" s="22"/>
      <c r="C769" s="23" t="str">
        <f aca="false">IFERROR(IF(OR(A769="",B769=""),"",INDEX(Equipements!$H:$H,MATCH(A769,Equipements!$A:$A,0))&amp;"."&amp;B769),"")</f>
        <v/>
      </c>
      <c r="D769" s="4"/>
      <c r="E769" s="22"/>
      <c r="F769" s="22"/>
      <c r="G769" s="22"/>
      <c r="H769" s="4"/>
      <c r="I769" s="4"/>
      <c r="J769" s="23" t="str">
        <f aca="false">IF(OR(G769="",H769=""),"","%"&amp;G769&amp;H769)</f>
        <v/>
      </c>
      <c r="K769" s="4"/>
      <c r="L769" s="4"/>
      <c r="M769" s="4"/>
      <c r="N769" s="4"/>
      <c r="O769" s="23" t="str">
        <f aca="false">IF(H769="","",IF(I769="","mot entier","bit "&amp;I769))</f>
        <v/>
      </c>
      <c r="P769" s="4"/>
    </row>
    <row r="770" customFormat="false" ht="15" hidden="false" customHeight="true" outlineLevel="0" collapsed="false">
      <c r="A770" s="22"/>
      <c r="B770" s="22"/>
      <c r="C770" s="23" t="str">
        <f aca="false">IFERROR(IF(OR(A770="",B770=""),"",INDEX(Equipements!$H:$H,MATCH(A770,Equipements!$A:$A,0))&amp;"."&amp;B770),"")</f>
        <v/>
      </c>
      <c r="D770" s="4"/>
      <c r="E770" s="22"/>
      <c r="F770" s="22"/>
      <c r="G770" s="22"/>
      <c r="H770" s="4"/>
      <c r="I770" s="4"/>
      <c r="J770" s="23" t="str">
        <f aca="false">IF(OR(G770="",H770=""),"","%"&amp;G770&amp;H770)</f>
        <v/>
      </c>
      <c r="K770" s="4"/>
      <c r="L770" s="4"/>
      <c r="M770" s="4"/>
      <c r="N770" s="4"/>
      <c r="O770" s="23" t="str">
        <f aca="false">IF(H770="","",IF(I770="","mot entier","bit "&amp;I770))</f>
        <v/>
      </c>
      <c r="P770" s="4"/>
    </row>
    <row r="771" customFormat="false" ht="15" hidden="false" customHeight="true" outlineLevel="0" collapsed="false">
      <c r="A771" s="22"/>
      <c r="B771" s="22"/>
      <c r="C771" s="23" t="str">
        <f aca="false">IFERROR(IF(OR(A771="",B771=""),"",INDEX(Equipements!$H:$H,MATCH(A771,Equipements!$A:$A,0))&amp;"."&amp;B771),"")</f>
        <v/>
      </c>
      <c r="D771" s="4"/>
      <c r="E771" s="22"/>
      <c r="F771" s="22"/>
      <c r="G771" s="22"/>
      <c r="H771" s="4"/>
      <c r="I771" s="4"/>
      <c r="J771" s="23" t="str">
        <f aca="false">IF(OR(G771="",H771=""),"","%"&amp;G771&amp;H771)</f>
        <v/>
      </c>
      <c r="K771" s="4"/>
      <c r="L771" s="4"/>
      <c r="M771" s="4"/>
      <c r="N771" s="4"/>
      <c r="O771" s="23" t="str">
        <f aca="false">IF(H771="","",IF(I771="","mot entier","bit "&amp;I771))</f>
        <v/>
      </c>
      <c r="P771" s="4"/>
    </row>
    <row r="772" customFormat="false" ht="15" hidden="false" customHeight="true" outlineLevel="0" collapsed="false">
      <c r="A772" s="22"/>
      <c r="B772" s="22"/>
      <c r="C772" s="23" t="str">
        <f aca="false">IFERROR(IF(OR(A772="",B772=""),"",INDEX(Equipements!$H:$H,MATCH(A772,Equipements!$A:$A,0))&amp;"."&amp;B772),"")</f>
        <v/>
      </c>
      <c r="D772" s="4"/>
      <c r="E772" s="22"/>
      <c r="F772" s="22"/>
      <c r="G772" s="22"/>
      <c r="H772" s="4"/>
      <c r="I772" s="4"/>
      <c r="J772" s="23" t="str">
        <f aca="false">IF(OR(G772="",H772=""),"","%"&amp;G772&amp;H772)</f>
        <v/>
      </c>
      <c r="K772" s="4"/>
      <c r="L772" s="4"/>
      <c r="M772" s="4"/>
      <c r="N772" s="4"/>
      <c r="O772" s="23" t="str">
        <f aca="false">IF(H772="","",IF(I772="","mot entier","bit "&amp;I772))</f>
        <v/>
      </c>
      <c r="P772" s="4"/>
    </row>
    <row r="773" customFormat="false" ht="15" hidden="false" customHeight="true" outlineLevel="0" collapsed="false">
      <c r="A773" s="22"/>
      <c r="B773" s="22"/>
      <c r="C773" s="23" t="str">
        <f aca="false">IFERROR(IF(OR(A773="",B773=""),"",INDEX(Equipements!$H:$H,MATCH(A773,Equipements!$A:$A,0))&amp;"."&amp;B773),"")</f>
        <v/>
      </c>
      <c r="D773" s="4"/>
      <c r="E773" s="22"/>
      <c r="F773" s="22"/>
      <c r="G773" s="22"/>
      <c r="H773" s="4"/>
      <c r="I773" s="4"/>
      <c r="J773" s="23" t="str">
        <f aca="false">IF(OR(G773="",H773=""),"","%"&amp;G773&amp;H773)</f>
        <v/>
      </c>
      <c r="K773" s="4"/>
      <c r="L773" s="4"/>
      <c r="M773" s="4"/>
      <c r="N773" s="4"/>
      <c r="O773" s="23" t="str">
        <f aca="false">IF(H773="","",IF(I773="","mot entier","bit "&amp;I773))</f>
        <v/>
      </c>
      <c r="P773" s="4"/>
    </row>
    <row r="774" customFormat="false" ht="15" hidden="false" customHeight="true" outlineLevel="0" collapsed="false">
      <c r="A774" s="22"/>
      <c r="B774" s="22"/>
      <c r="C774" s="23" t="str">
        <f aca="false">IFERROR(IF(OR(A774="",B774=""),"",INDEX(Equipements!$H:$H,MATCH(A774,Equipements!$A:$A,0))&amp;"."&amp;B774),"")</f>
        <v/>
      </c>
      <c r="D774" s="4"/>
      <c r="E774" s="22"/>
      <c r="F774" s="22"/>
      <c r="G774" s="22"/>
      <c r="H774" s="4"/>
      <c r="I774" s="4"/>
      <c r="J774" s="23" t="str">
        <f aca="false">IF(OR(G774="",H774=""),"","%"&amp;G774&amp;H774)</f>
        <v/>
      </c>
      <c r="K774" s="4"/>
      <c r="L774" s="4"/>
      <c r="M774" s="4"/>
      <c r="N774" s="4"/>
      <c r="O774" s="23" t="str">
        <f aca="false">IF(H774="","",IF(I774="","mot entier","bit "&amp;I774))</f>
        <v/>
      </c>
      <c r="P774" s="4"/>
    </row>
    <row r="775" customFormat="false" ht="15" hidden="false" customHeight="true" outlineLevel="0" collapsed="false">
      <c r="A775" s="22"/>
      <c r="B775" s="22"/>
      <c r="C775" s="23" t="str">
        <f aca="false">IFERROR(IF(OR(A775="",B775=""),"",INDEX(Equipements!$H:$H,MATCH(A775,Equipements!$A:$A,0))&amp;"."&amp;B775),"")</f>
        <v/>
      </c>
      <c r="D775" s="4"/>
      <c r="E775" s="22"/>
      <c r="F775" s="22"/>
      <c r="G775" s="22"/>
      <c r="H775" s="4"/>
      <c r="I775" s="4"/>
      <c r="J775" s="23" t="str">
        <f aca="false">IF(OR(G775="",H775=""),"","%"&amp;G775&amp;H775)</f>
        <v/>
      </c>
      <c r="K775" s="4"/>
      <c r="L775" s="4"/>
      <c r="M775" s="4"/>
      <c r="N775" s="4"/>
      <c r="O775" s="23" t="str">
        <f aca="false">IF(H775="","",IF(I775="","mot entier","bit "&amp;I775))</f>
        <v/>
      </c>
      <c r="P775" s="4"/>
    </row>
    <row r="776" customFormat="false" ht="15" hidden="false" customHeight="true" outlineLevel="0" collapsed="false">
      <c r="A776" s="22"/>
      <c r="B776" s="22"/>
      <c r="C776" s="23" t="str">
        <f aca="false">IFERROR(IF(OR(A776="",B776=""),"",INDEX(Equipements!$H:$H,MATCH(A776,Equipements!$A:$A,0))&amp;"."&amp;B776),"")</f>
        <v/>
      </c>
      <c r="D776" s="4"/>
      <c r="E776" s="22"/>
      <c r="F776" s="22"/>
      <c r="G776" s="22"/>
      <c r="H776" s="4"/>
      <c r="I776" s="4"/>
      <c r="J776" s="23" t="str">
        <f aca="false">IF(OR(G776="",H776=""),"","%"&amp;G776&amp;H776)</f>
        <v/>
      </c>
      <c r="K776" s="4"/>
      <c r="L776" s="4"/>
      <c r="M776" s="4"/>
      <c r="N776" s="4"/>
      <c r="O776" s="23" t="str">
        <f aca="false">IF(H776="","",IF(I776="","mot entier","bit "&amp;I776))</f>
        <v/>
      </c>
      <c r="P776" s="4"/>
    </row>
    <row r="777" customFormat="false" ht="15" hidden="false" customHeight="true" outlineLevel="0" collapsed="false">
      <c r="A777" s="22"/>
      <c r="B777" s="22"/>
      <c r="C777" s="23" t="str">
        <f aca="false">IFERROR(IF(OR(A777="",B777=""),"",INDEX(Equipements!$H:$H,MATCH(A777,Equipements!$A:$A,0))&amp;"."&amp;B777),"")</f>
        <v/>
      </c>
      <c r="D777" s="4"/>
      <c r="E777" s="22"/>
      <c r="F777" s="22"/>
      <c r="G777" s="22"/>
      <c r="H777" s="4"/>
      <c r="I777" s="4"/>
      <c r="J777" s="23" t="str">
        <f aca="false">IF(OR(G777="",H777=""),"","%"&amp;G777&amp;H777)</f>
        <v/>
      </c>
      <c r="K777" s="4"/>
      <c r="L777" s="4"/>
      <c r="M777" s="4"/>
      <c r="N777" s="4"/>
      <c r="O777" s="23" t="str">
        <f aca="false">IF(H777="","",IF(I777="","mot entier","bit "&amp;I777))</f>
        <v/>
      </c>
      <c r="P777" s="4"/>
    </row>
    <row r="778" customFormat="false" ht="15" hidden="false" customHeight="true" outlineLevel="0" collapsed="false">
      <c r="A778" s="22"/>
      <c r="B778" s="22"/>
      <c r="C778" s="23" t="str">
        <f aca="false">IFERROR(IF(OR(A778="",B778=""),"",INDEX(Equipements!$H:$H,MATCH(A778,Equipements!$A:$A,0))&amp;"."&amp;B778),"")</f>
        <v/>
      </c>
      <c r="D778" s="4"/>
      <c r="E778" s="22"/>
      <c r="F778" s="22"/>
      <c r="G778" s="22"/>
      <c r="H778" s="4"/>
      <c r="I778" s="4"/>
      <c r="J778" s="23" t="str">
        <f aca="false">IF(OR(G778="",H778=""),"","%"&amp;G778&amp;H778)</f>
        <v/>
      </c>
      <c r="K778" s="4"/>
      <c r="L778" s="4"/>
      <c r="M778" s="4"/>
      <c r="N778" s="4"/>
      <c r="O778" s="23" t="str">
        <f aca="false">IF(H778="","",IF(I778="","mot entier","bit "&amp;I778))</f>
        <v/>
      </c>
      <c r="P778" s="4"/>
    </row>
    <row r="779" customFormat="false" ht="15" hidden="false" customHeight="true" outlineLevel="0" collapsed="false">
      <c r="A779" s="22"/>
      <c r="B779" s="22"/>
      <c r="C779" s="23" t="str">
        <f aca="false">IFERROR(IF(OR(A779="",B779=""),"",INDEX(Equipements!$H:$H,MATCH(A779,Equipements!$A:$A,0))&amp;"."&amp;B779),"")</f>
        <v/>
      </c>
      <c r="D779" s="4"/>
      <c r="E779" s="22"/>
      <c r="F779" s="22"/>
      <c r="G779" s="22"/>
      <c r="H779" s="4"/>
      <c r="I779" s="4"/>
      <c r="J779" s="23" t="str">
        <f aca="false">IF(OR(G779="",H779=""),"","%"&amp;G779&amp;H779)</f>
        <v/>
      </c>
      <c r="K779" s="4"/>
      <c r="L779" s="4"/>
      <c r="M779" s="4"/>
      <c r="N779" s="4"/>
      <c r="O779" s="23" t="str">
        <f aca="false">IF(H779="","",IF(I779="","mot entier","bit "&amp;I779))</f>
        <v/>
      </c>
      <c r="P779" s="4"/>
    </row>
    <row r="780" customFormat="false" ht="15" hidden="false" customHeight="true" outlineLevel="0" collapsed="false">
      <c r="A780" s="22"/>
      <c r="B780" s="22"/>
      <c r="C780" s="23" t="str">
        <f aca="false">IFERROR(IF(OR(A780="",B780=""),"",INDEX(Equipements!$H:$H,MATCH(A780,Equipements!$A:$A,0))&amp;"."&amp;B780),"")</f>
        <v/>
      </c>
      <c r="D780" s="4"/>
      <c r="E780" s="22"/>
      <c r="F780" s="22"/>
      <c r="G780" s="22"/>
      <c r="H780" s="4"/>
      <c r="I780" s="4"/>
      <c r="J780" s="23" t="str">
        <f aca="false">IF(OR(G780="",H780=""),"","%"&amp;G780&amp;H780)</f>
        <v/>
      </c>
      <c r="K780" s="4"/>
      <c r="L780" s="4"/>
      <c r="M780" s="4"/>
      <c r="N780" s="4"/>
      <c r="O780" s="23" t="str">
        <f aca="false">IF(H780="","",IF(I780="","mot entier","bit "&amp;I780))</f>
        <v/>
      </c>
      <c r="P780" s="4"/>
    </row>
    <row r="781" customFormat="false" ht="15" hidden="false" customHeight="true" outlineLevel="0" collapsed="false">
      <c r="A781" s="22"/>
      <c r="B781" s="22"/>
      <c r="C781" s="23" t="str">
        <f aca="false">IFERROR(IF(OR(A781="",B781=""),"",INDEX(Equipements!$H:$H,MATCH(A781,Equipements!$A:$A,0))&amp;"."&amp;B781),"")</f>
        <v/>
      </c>
      <c r="D781" s="4"/>
      <c r="E781" s="22"/>
      <c r="F781" s="22"/>
      <c r="G781" s="22"/>
      <c r="H781" s="4"/>
      <c r="I781" s="4"/>
      <c r="J781" s="23" t="str">
        <f aca="false">IF(OR(G781="",H781=""),"","%"&amp;G781&amp;H781)</f>
        <v/>
      </c>
      <c r="K781" s="4"/>
      <c r="L781" s="4"/>
      <c r="M781" s="4"/>
      <c r="N781" s="4"/>
      <c r="O781" s="23" t="str">
        <f aca="false">IF(H781="","",IF(I781="","mot entier","bit "&amp;I781))</f>
        <v/>
      </c>
      <c r="P781" s="4"/>
    </row>
    <row r="782" customFormat="false" ht="15" hidden="false" customHeight="true" outlineLevel="0" collapsed="false">
      <c r="A782" s="22"/>
      <c r="B782" s="22"/>
      <c r="C782" s="23" t="str">
        <f aca="false">IFERROR(IF(OR(A782="",B782=""),"",INDEX(Equipements!$H:$H,MATCH(A782,Equipements!$A:$A,0))&amp;"."&amp;B782),"")</f>
        <v/>
      </c>
      <c r="D782" s="4"/>
      <c r="E782" s="22"/>
      <c r="F782" s="22"/>
      <c r="G782" s="22"/>
      <c r="H782" s="4"/>
      <c r="I782" s="4"/>
      <c r="J782" s="23" t="str">
        <f aca="false">IF(OR(G782="",H782=""),"","%"&amp;G782&amp;H782)</f>
        <v/>
      </c>
      <c r="K782" s="4"/>
      <c r="L782" s="4"/>
      <c r="M782" s="4"/>
      <c r="N782" s="4"/>
      <c r="O782" s="23" t="str">
        <f aca="false">IF(H782="","",IF(I782="","mot entier","bit "&amp;I782))</f>
        <v/>
      </c>
      <c r="P782" s="4"/>
    </row>
    <row r="783" customFormat="false" ht="15" hidden="false" customHeight="true" outlineLevel="0" collapsed="false">
      <c r="A783" s="22"/>
      <c r="B783" s="22"/>
      <c r="C783" s="23" t="str">
        <f aca="false">IFERROR(IF(OR(A783="",B783=""),"",INDEX(Equipements!$H:$H,MATCH(A783,Equipements!$A:$A,0))&amp;"."&amp;B783),"")</f>
        <v/>
      </c>
      <c r="D783" s="4"/>
      <c r="E783" s="22"/>
      <c r="F783" s="22"/>
      <c r="G783" s="22"/>
      <c r="H783" s="4"/>
      <c r="I783" s="4"/>
      <c r="J783" s="23" t="str">
        <f aca="false">IF(OR(G783="",H783=""),"","%"&amp;G783&amp;H783)</f>
        <v/>
      </c>
      <c r="K783" s="4"/>
      <c r="L783" s="4"/>
      <c r="M783" s="4"/>
      <c r="N783" s="4"/>
      <c r="O783" s="23" t="str">
        <f aca="false">IF(H783="","",IF(I783="","mot entier","bit "&amp;I783))</f>
        <v/>
      </c>
      <c r="P783" s="4"/>
    </row>
    <row r="784" customFormat="false" ht="15" hidden="false" customHeight="true" outlineLevel="0" collapsed="false">
      <c r="A784" s="22"/>
      <c r="B784" s="22"/>
      <c r="C784" s="23" t="str">
        <f aca="false">IFERROR(IF(OR(A784="",B784=""),"",INDEX(Equipements!$H:$H,MATCH(A784,Equipements!$A:$A,0))&amp;"."&amp;B784),"")</f>
        <v/>
      </c>
      <c r="D784" s="4"/>
      <c r="E784" s="22"/>
      <c r="F784" s="22"/>
      <c r="G784" s="22"/>
      <c r="H784" s="4"/>
      <c r="I784" s="4"/>
      <c r="J784" s="23" t="str">
        <f aca="false">IF(OR(G784="",H784=""),"","%"&amp;G784&amp;H784)</f>
        <v/>
      </c>
      <c r="K784" s="4"/>
      <c r="L784" s="4"/>
      <c r="M784" s="4"/>
      <c r="N784" s="4"/>
      <c r="O784" s="23" t="str">
        <f aca="false">IF(H784="","",IF(I784="","mot entier","bit "&amp;I784))</f>
        <v/>
      </c>
      <c r="P784" s="4"/>
    </row>
    <row r="785" customFormat="false" ht="15" hidden="false" customHeight="true" outlineLevel="0" collapsed="false">
      <c r="A785" s="22"/>
      <c r="B785" s="22"/>
      <c r="C785" s="23" t="str">
        <f aca="false">IFERROR(IF(OR(A785="",B785=""),"",INDEX(Equipements!$H:$H,MATCH(A785,Equipements!$A:$A,0))&amp;"."&amp;B785),"")</f>
        <v/>
      </c>
      <c r="D785" s="4"/>
      <c r="E785" s="22"/>
      <c r="F785" s="22"/>
      <c r="G785" s="22"/>
      <c r="H785" s="4"/>
      <c r="I785" s="4"/>
      <c r="J785" s="23" t="str">
        <f aca="false">IF(OR(G785="",H785=""),"","%"&amp;G785&amp;H785)</f>
        <v/>
      </c>
      <c r="K785" s="4"/>
      <c r="L785" s="4"/>
      <c r="M785" s="4"/>
      <c r="N785" s="4"/>
      <c r="O785" s="23" t="str">
        <f aca="false">IF(H785="","",IF(I785="","mot entier","bit "&amp;I785))</f>
        <v/>
      </c>
      <c r="P785" s="4"/>
    </row>
    <row r="786" customFormat="false" ht="15" hidden="false" customHeight="true" outlineLevel="0" collapsed="false">
      <c r="A786" s="22"/>
      <c r="B786" s="22"/>
      <c r="C786" s="23" t="str">
        <f aca="false">IFERROR(IF(OR(A786="",B786=""),"",INDEX(Equipements!$H:$H,MATCH(A786,Equipements!$A:$A,0))&amp;"."&amp;B786),"")</f>
        <v/>
      </c>
      <c r="D786" s="4"/>
      <c r="E786" s="22"/>
      <c r="F786" s="22"/>
      <c r="G786" s="22"/>
      <c r="H786" s="4"/>
      <c r="I786" s="4"/>
      <c r="J786" s="23" t="str">
        <f aca="false">IF(OR(G786="",H786=""),"","%"&amp;G786&amp;H786)</f>
        <v/>
      </c>
      <c r="K786" s="4"/>
      <c r="L786" s="4"/>
      <c r="M786" s="4"/>
      <c r="N786" s="4"/>
      <c r="O786" s="23" t="str">
        <f aca="false">IF(H786="","",IF(I786="","mot entier","bit "&amp;I786))</f>
        <v/>
      </c>
      <c r="P786" s="4"/>
    </row>
    <row r="787" customFormat="false" ht="15" hidden="false" customHeight="true" outlineLevel="0" collapsed="false">
      <c r="A787" s="22"/>
      <c r="B787" s="22"/>
      <c r="C787" s="23" t="str">
        <f aca="false">IFERROR(IF(OR(A787="",B787=""),"",INDEX(Equipements!$H:$H,MATCH(A787,Equipements!$A:$A,0))&amp;"."&amp;B787),"")</f>
        <v/>
      </c>
      <c r="D787" s="4"/>
      <c r="E787" s="22"/>
      <c r="F787" s="22"/>
      <c r="G787" s="22"/>
      <c r="H787" s="4"/>
      <c r="I787" s="4"/>
      <c r="J787" s="23" t="str">
        <f aca="false">IF(OR(G787="",H787=""),"","%"&amp;G787&amp;H787)</f>
        <v/>
      </c>
      <c r="K787" s="4"/>
      <c r="L787" s="4"/>
      <c r="M787" s="4"/>
      <c r="N787" s="4"/>
      <c r="O787" s="23" t="str">
        <f aca="false">IF(H787="","",IF(I787="","mot entier","bit "&amp;I787))</f>
        <v/>
      </c>
      <c r="P787" s="4"/>
    </row>
    <row r="788" customFormat="false" ht="15" hidden="false" customHeight="true" outlineLevel="0" collapsed="false">
      <c r="A788" s="22"/>
      <c r="B788" s="22"/>
      <c r="C788" s="23" t="str">
        <f aca="false">IFERROR(IF(OR(A788="",B788=""),"",INDEX(Equipements!$H:$H,MATCH(A788,Equipements!$A:$A,0))&amp;"."&amp;B788),"")</f>
        <v/>
      </c>
      <c r="D788" s="4"/>
      <c r="E788" s="22"/>
      <c r="F788" s="22"/>
      <c r="G788" s="22"/>
      <c r="H788" s="4"/>
      <c r="I788" s="4"/>
      <c r="J788" s="23" t="str">
        <f aca="false">IF(OR(G788="",H788=""),"","%"&amp;G788&amp;H788)</f>
        <v/>
      </c>
      <c r="K788" s="4"/>
      <c r="L788" s="4"/>
      <c r="M788" s="4"/>
      <c r="N788" s="4"/>
      <c r="O788" s="23" t="str">
        <f aca="false">IF(H788="","",IF(I788="","mot entier","bit "&amp;I788))</f>
        <v/>
      </c>
      <c r="P788" s="4"/>
    </row>
    <row r="789" customFormat="false" ht="15" hidden="false" customHeight="true" outlineLevel="0" collapsed="false">
      <c r="A789" s="22"/>
      <c r="B789" s="22"/>
      <c r="C789" s="23" t="str">
        <f aca="false">IFERROR(IF(OR(A789="",B789=""),"",INDEX(Equipements!$H:$H,MATCH(A789,Equipements!$A:$A,0))&amp;"."&amp;B789),"")</f>
        <v/>
      </c>
      <c r="D789" s="4"/>
      <c r="E789" s="22"/>
      <c r="F789" s="22"/>
      <c r="G789" s="22"/>
      <c r="H789" s="4"/>
      <c r="I789" s="4"/>
      <c r="J789" s="23" t="str">
        <f aca="false">IF(OR(G789="",H789=""),"","%"&amp;G789&amp;H789)</f>
        <v/>
      </c>
      <c r="K789" s="4"/>
      <c r="L789" s="4"/>
      <c r="M789" s="4"/>
      <c r="N789" s="4"/>
      <c r="O789" s="23" t="str">
        <f aca="false">IF(H789="","",IF(I789="","mot entier","bit "&amp;I789))</f>
        <v/>
      </c>
      <c r="P789" s="4"/>
    </row>
    <row r="790" customFormat="false" ht="15" hidden="false" customHeight="true" outlineLevel="0" collapsed="false">
      <c r="A790" s="22"/>
      <c r="B790" s="22"/>
      <c r="C790" s="23" t="str">
        <f aca="false">IFERROR(IF(OR(A790="",B790=""),"",INDEX(Equipements!$H:$H,MATCH(A790,Equipements!$A:$A,0))&amp;"."&amp;B790),"")</f>
        <v/>
      </c>
      <c r="D790" s="4"/>
      <c r="E790" s="22"/>
      <c r="F790" s="22"/>
      <c r="G790" s="22"/>
      <c r="H790" s="4"/>
      <c r="I790" s="4"/>
      <c r="J790" s="23" t="str">
        <f aca="false">IF(OR(G790="",H790=""),"","%"&amp;G790&amp;H790)</f>
        <v/>
      </c>
      <c r="K790" s="4"/>
      <c r="L790" s="4"/>
      <c r="M790" s="4"/>
      <c r="N790" s="4"/>
      <c r="O790" s="23" t="str">
        <f aca="false">IF(H790="","",IF(I790="","mot entier","bit "&amp;I790))</f>
        <v/>
      </c>
      <c r="P790" s="4"/>
    </row>
    <row r="791" customFormat="false" ht="15" hidden="false" customHeight="true" outlineLevel="0" collapsed="false">
      <c r="A791" s="22"/>
      <c r="B791" s="22"/>
      <c r="C791" s="23" t="str">
        <f aca="false">IFERROR(IF(OR(A791="",B791=""),"",INDEX(Equipements!$H:$H,MATCH(A791,Equipements!$A:$A,0))&amp;"."&amp;B791),"")</f>
        <v/>
      </c>
      <c r="D791" s="4"/>
      <c r="E791" s="22"/>
      <c r="F791" s="22"/>
      <c r="G791" s="22"/>
      <c r="H791" s="4"/>
      <c r="I791" s="4"/>
      <c r="J791" s="23" t="str">
        <f aca="false">IF(OR(G791="",H791=""),"","%"&amp;G791&amp;H791)</f>
        <v/>
      </c>
      <c r="K791" s="4"/>
      <c r="L791" s="4"/>
      <c r="M791" s="4"/>
      <c r="N791" s="4"/>
      <c r="O791" s="23" t="str">
        <f aca="false">IF(H791="","",IF(I791="","mot entier","bit "&amp;I791))</f>
        <v/>
      </c>
      <c r="P791" s="4"/>
    </row>
    <row r="792" customFormat="false" ht="15" hidden="false" customHeight="true" outlineLevel="0" collapsed="false">
      <c r="A792" s="22"/>
      <c r="B792" s="22"/>
      <c r="C792" s="23" t="str">
        <f aca="false">IFERROR(IF(OR(A792="",B792=""),"",INDEX(Equipements!$H:$H,MATCH(A792,Equipements!$A:$A,0))&amp;"."&amp;B792),"")</f>
        <v/>
      </c>
      <c r="D792" s="4"/>
      <c r="E792" s="22"/>
      <c r="F792" s="22"/>
      <c r="G792" s="22"/>
      <c r="H792" s="4"/>
      <c r="I792" s="4"/>
      <c r="J792" s="23" t="str">
        <f aca="false">IF(OR(G792="",H792=""),"","%"&amp;G792&amp;H792)</f>
        <v/>
      </c>
      <c r="K792" s="4"/>
      <c r="L792" s="4"/>
      <c r="M792" s="4"/>
      <c r="N792" s="4"/>
      <c r="O792" s="23" t="str">
        <f aca="false">IF(H792="","",IF(I792="","mot entier","bit "&amp;I792))</f>
        <v/>
      </c>
      <c r="P792" s="4"/>
    </row>
    <row r="793" customFormat="false" ht="15" hidden="false" customHeight="true" outlineLevel="0" collapsed="false">
      <c r="A793" s="22"/>
      <c r="B793" s="22"/>
      <c r="C793" s="23" t="str">
        <f aca="false">IFERROR(IF(OR(A793="",B793=""),"",INDEX(Equipements!$H:$H,MATCH(A793,Equipements!$A:$A,0))&amp;"."&amp;B793),"")</f>
        <v/>
      </c>
      <c r="D793" s="4"/>
      <c r="E793" s="22"/>
      <c r="F793" s="22"/>
      <c r="G793" s="22"/>
      <c r="H793" s="4"/>
      <c r="I793" s="4"/>
      <c r="J793" s="23" t="str">
        <f aca="false">IF(OR(G793="",H793=""),"","%"&amp;G793&amp;H793)</f>
        <v/>
      </c>
      <c r="K793" s="4"/>
      <c r="L793" s="4"/>
      <c r="M793" s="4"/>
      <c r="N793" s="4"/>
      <c r="O793" s="23" t="str">
        <f aca="false">IF(H793="","",IF(I793="","mot entier","bit "&amp;I793))</f>
        <v/>
      </c>
      <c r="P793" s="4"/>
    </row>
    <row r="794" customFormat="false" ht="15" hidden="false" customHeight="true" outlineLevel="0" collapsed="false">
      <c r="A794" s="22"/>
      <c r="B794" s="22"/>
      <c r="C794" s="23" t="str">
        <f aca="false">IFERROR(IF(OR(A794="",B794=""),"",INDEX(Equipements!$H:$H,MATCH(A794,Equipements!$A:$A,0))&amp;"."&amp;B794),"")</f>
        <v/>
      </c>
      <c r="D794" s="4"/>
      <c r="E794" s="22"/>
      <c r="F794" s="22"/>
      <c r="G794" s="22"/>
      <c r="H794" s="4"/>
      <c r="I794" s="4"/>
      <c r="J794" s="23" t="str">
        <f aca="false">IF(OR(G794="",H794=""),"","%"&amp;G794&amp;H794)</f>
        <v/>
      </c>
      <c r="K794" s="4"/>
      <c r="L794" s="4"/>
      <c r="M794" s="4"/>
      <c r="N794" s="4"/>
      <c r="O794" s="23" t="str">
        <f aca="false">IF(H794="","",IF(I794="","mot entier","bit "&amp;I794))</f>
        <v/>
      </c>
      <c r="P794" s="4"/>
    </row>
    <row r="795" customFormat="false" ht="15" hidden="false" customHeight="true" outlineLevel="0" collapsed="false">
      <c r="A795" s="22"/>
      <c r="B795" s="22"/>
      <c r="C795" s="23" t="str">
        <f aca="false">IFERROR(IF(OR(A795="",B795=""),"",INDEX(Equipements!$H:$H,MATCH(A795,Equipements!$A:$A,0))&amp;"."&amp;B795),"")</f>
        <v/>
      </c>
      <c r="D795" s="4"/>
      <c r="E795" s="22"/>
      <c r="F795" s="22"/>
      <c r="G795" s="22"/>
      <c r="H795" s="4"/>
      <c r="I795" s="4"/>
      <c r="J795" s="23" t="str">
        <f aca="false">IF(OR(G795="",H795=""),"","%"&amp;G795&amp;H795)</f>
        <v/>
      </c>
      <c r="K795" s="4"/>
      <c r="L795" s="4"/>
      <c r="M795" s="4"/>
      <c r="N795" s="4"/>
      <c r="O795" s="23" t="str">
        <f aca="false">IF(H795="","",IF(I795="","mot entier","bit "&amp;I795))</f>
        <v/>
      </c>
      <c r="P795" s="4"/>
    </row>
    <row r="796" customFormat="false" ht="15" hidden="false" customHeight="true" outlineLevel="0" collapsed="false">
      <c r="A796" s="22"/>
      <c r="B796" s="22"/>
      <c r="C796" s="23" t="str">
        <f aca="false">IFERROR(IF(OR(A796="",B796=""),"",INDEX(Equipements!$H:$H,MATCH(A796,Equipements!$A:$A,0))&amp;"."&amp;B796),"")</f>
        <v/>
      </c>
      <c r="D796" s="4"/>
      <c r="E796" s="22"/>
      <c r="F796" s="22"/>
      <c r="G796" s="22"/>
      <c r="H796" s="4"/>
      <c r="I796" s="4"/>
      <c r="J796" s="23" t="str">
        <f aca="false">IF(OR(G796="",H796=""),"","%"&amp;G796&amp;H796)</f>
        <v/>
      </c>
      <c r="K796" s="4"/>
      <c r="L796" s="4"/>
      <c r="M796" s="4"/>
      <c r="N796" s="4"/>
      <c r="O796" s="23" t="str">
        <f aca="false">IF(H796="","",IF(I796="","mot entier","bit "&amp;I796))</f>
        <v/>
      </c>
      <c r="P796" s="4"/>
    </row>
    <row r="797" customFormat="false" ht="15" hidden="false" customHeight="true" outlineLevel="0" collapsed="false">
      <c r="A797" s="22"/>
      <c r="B797" s="22"/>
      <c r="C797" s="23" t="str">
        <f aca="false">IFERROR(IF(OR(A797="",B797=""),"",INDEX(Equipements!$H:$H,MATCH(A797,Equipements!$A:$A,0))&amp;"."&amp;B797),"")</f>
        <v/>
      </c>
      <c r="D797" s="4"/>
      <c r="E797" s="22"/>
      <c r="F797" s="22"/>
      <c r="G797" s="22"/>
      <c r="H797" s="4"/>
      <c r="I797" s="4"/>
      <c r="J797" s="23" t="str">
        <f aca="false">IF(OR(G797="",H797=""),"","%"&amp;G797&amp;H797)</f>
        <v/>
      </c>
      <c r="K797" s="4"/>
      <c r="L797" s="4"/>
      <c r="M797" s="4"/>
      <c r="N797" s="4"/>
      <c r="O797" s="23" t="str">
        <f aca="false">IF(H797="","",IF(I797="","mot entier","bit "&amp;I797))</f>
        <v/>
      </c>
      <c r="P797" s="4"/>
    </row>
    <row r="798" customFormat="false" ht="15" hidden="false" customHeight="true" outlineLevel="0" collapsed="false">
      <c r="A798" s="22"/>
      <c r="B798" s="22"/>
      <c r="C798" s="23" t="str">
        <f aca="false">IFERROR(IF(OR(A798="",B798=""),"",INDEX(Equipements!$H:$H,MATCH(A798,Equipements!$A:$A,0))&amp;"."&amp;B798),"")</f>
        <v/>
      </c>
      <c r="D798" s="4"/>
      <c r="E798" s="22"/>
      <c r="F798" s="22"/>
      <c r="G798" s="22"/>
      <c r="H798" s="4"/>
      <c r="I798" s="4"/>
      <c r="J798" s="23" t="str">
        <f aca="false">IF(OR(G798="",H798=""),"","%"&amp;G798&amp;H798)</f>
        <v/>
      </c>
      <c r="K798" s="4"/>
      <c r="L798" s="4"/>
      <c r="M798" s="4"/>
      <c r="N798" s="4"/>
      <c r="O798" s="23" t="str">
        <f aca="false">IF(H798="","",IF(I798="","mot entier","bit "&amp;I798))</f>
        <v/>
      </c>
      <c r="P798" s="4"/>
    </row>
    <row r="799" customFormat="false" ht="15" hidden="false" customHeight="true" outlineLevel="0" collapsed="false">
      <c r="A799" s="22"/>
      <c r="B799" s="22"/>
      <c r="C799" s="23" t="str">
        <f aca="false">IFERROR(IF(OR(A799="",B799=""),"",INDEX(Equipements!$H:$H,MATCH(A799,Equipements!$A:$A,0))&amp;"."&amp;B799),"")</f>
        <v/>
      </c>
      <c r="D799" s="4"/>
      <c r="E799" s="22"/>
      <c r="F799" s="22"/>
      <c r="G799" s="22"/>
      <c r="H799" s="4"/>
      <c r="I799" s="4"/>
      <c r="J799" s="23" t="str">
        <f aca="false">IF(OR(G799="",H799=""),"","%"&amp;G799&amp;H799)</f>
        <v/>
      </c>
      <c r="K799" s="4"/>
      <c r="L799" s="4"/>
      <c r="M799" s="4"/>
      <c r="N799" s="4"/>
      <c r="O799" s="23" t="str">
        <f aca="false">IF(H799="","",IF(I799="","mot entier","bit "&amp;I799))</f>
        <v/>
      </c>
      <c r="P799" s="4"/>
    </row>
    <row r="800" customFormat="false" ht="15" hidden="false" customHeight="true" outlineLevel="0" collapsed="false">
      <c r="A800" s="22"/>
      <c r="B800" s="22"/>
      <c r="C800" s="23" t="str">
        <f aca="false">IFERROR(IF(OR(A800="",B800=""),"",INDEX(Equipements!$H:$H,MATCH(A800,Equipements!$A:$A,0))&amp;"."&amp;B800),"")</f>
        <v/>
      </c>
      <c r="D800" s="4"/>
      <c r="E800" s="22"/>
      <c r="F800" s="22"/>
      <c r="G800" s="22"/>
      <c r="H800" s="4"/>
      <c r="I800" s="4"/>
      <c r="J800" s="23" t="str">
        <f aca="false">IF(OR(G800="",H800=""),"","%"&amp;G800&amp;H800)</f>
        <v/>
      </c>
      <c r="K800" s="4"/>
      <c r="L800" s="4"/>
      <c r="M800" s="4"/>
      <c r="N800" s="4"/>
      <c r="O800" s="23" t="str">
        <f aca="false">IF(H800="","",IF(I800="","mot entier","bit "&amp;I800))</f>
        <v/>
      </c>
      <c r="P800" s="4"/>
    </row>
    <row r="801" customFormat="false" ht="15" hidden="false" customHeight="true" outlineLevel="0" collapsed="false">
      <c r="A801" s="22"/>
      <c r="B801" s="22"/>
      <c r="C801" s="23" t="str">
        <f aca="false">IFERROR(IF(OR(A801="",B801=""),"",INDEX(Equipements!$H:$H,MATCH(A801,Equipements!$A:$A,0))&amp;"."&amp;B801),"")</f>
        <v/>
      </c>
      <c r="D801" s="4"/>
      <c r="E801" s="22"/>
      <c r="F801" s="22"/>
      <c r="G801" s="22"/>
      <c r="H801" s="4"/>
      <c r="I801" s="4"/>
      <c r="J801" s="23" t="str">
        <f aca="false">IF(OR(G801="",H801=""),"","%"&amp;G801&amp;H801)</f>
        <v/>
      </c>
      <c r="K801" s="4"/>
      <c r="L801" s="4"/>
      <c r="M801" s="4"/>
      <c r="N801" s="4"/>
      <c r="O801" s="23" t="str">
        <f aca="false">IF(H801="","",IF(I801="","mot entier","bit "&amp;I801))</f>
        <v/>
      </c>
      <c r="P801" s="4"/>
    </row>
    <row r="802" customFormat="false" ht="15" hidden="false" customHeight="true" outlineLevel="0" collapsed="false">
      <c r="A802" s="22"/>
      <c r="B802" s="22"/>
      <c r="C802" s="23" t="str">
        <f aca="false">IFERROR(IF(OR(A802="",B802=""),"",INDEX(Equipements!$H:$H,MATCH(A802,Equipements!$A:$A,0))&amp;"."&amp;B802),"")</f>
        <v/>
      </c>
      <c r="D802" s="4"/>
      <c r="E802" s="22"/>
      <c r="F802" s="22"/>
      <c r="G802" s="22"/>
      <c r="H802" s="4"/>
      <c r="I802" s="4"/>
      <c r="J802" s="23" t="str">
        <f aca="false">IF(OR(G802="",H802=""),"","%"&amp;G802&amp;H802)</f>
        <v/>
      </c>
      <c r="K802" s="4"/>
      <c r="L802" s="4"/>
      <c r="M802" s="4"/>
      <c r="N802" s="4"/>
      <c r="O802" s="23" t="str">
        <f aca="false">IF(H802="","",IF(I802="","mot entier","bit "&amp;I802))</f>
        <v/>
      </c>
      <c r="P802" s="4"/>
    </row>
    <row r="803" customFormat="false" ht="15" hidden="false" customHeight="true" outlineLevel="0" collapsed="false">
      <c r="A803" s="22"/>
      <c r="B803" s="22"/>
      <c r="C803" s="23" t="str">
        <f aca="false">IFERROR(IF(OR(A803="",B803=""),"",INDEX(Equipements!$H:$H,MATCH(A803,Equipements!$A:$A,0))&amp;"."&amp;B803),"")</f>
        <v/>
      </c>
      <c r="D803" s="4"/>
      <c r="E803" s="22"/>
      <c r="F803" s="22"/>
      <c r="G803" s="22"/>
      <c r="H803" s="4"/>
      <c r="I803" s="4"/>
      <c r="J803" s="23" t="str">
        <f aca="false">IF(OR(G803="",H803=""),"","%"&amp;G803&amp;H803)</f>
        <v/>
      </c>
      <c r="K803" s="4"/>
      <c r="L803" s="4"/>
      <c r="M803" s="4"/>
      <c r="N803" s="4"/>
      <c r="O803" s="23" t="str">
        <f aca="false">IF(H803="","",IF(I803="","mot entier","bit "&amp;I803))</f>
        <v/>
      </c>
      <c r="P803" s="4"/>
    </row>
    <row r="804" customFormat="false" ht="15" hidden="false" customHeight="true" outlineLevel="0" collapsed="false">
      <c r="A804" s="22"/>
      <c r="B804" s="22"/>
      <c r="C804" s="23" t="str">
        <f aca="false">IFERROR(IF(OR(A804="",B804=""),"",INDEX(Equipements!$H:$H,MATCH(A804,Equipements!$A:$A,0))&amp;"."&amp;B804),"")</f>
        <v/>
      </c>
      <c r="D804" s="4"/>
      <c r="E804" s="22"/>
      <c r="F804" s="22"/>
      <c r="G804" s="22"/>
      <c r="H804" s="4"/>
      <c r="I804" s="4"/>
      <c r="J804" s="23" t="str">
        <f aca="false">IF(OR(G804="",H804=""),"","%"&amp;G804&amp;H804)</f>
        <v/>
      </c>
      <c r="K804" s="4"/>
      <c r="L804" s="4"/>
      <c r="M804" s="4"/>
      <c r="N804" s="4"/>
      <c r="O804" s="23" t="str">
        <f aca="false">IF(H804="","",IF(I804="","mot entier","bit "&amp;I804))</f>
        <v/>
      </c>
      <c r="P804" s="4"/>
    </row>
    <row r="805" customFormat="false" ht="15" hidden="false" customHeight="true" outlineLevel="0" collapsed="false">
      <c r="A805" s="22"/>
      <c r="B805" s="22"/>
      <c r="C805" s="23" t="str">
        <f aca="false">IFERROR(IF(OR(A805="",B805=""),"",INDEX(Equipements!$H:$H,MATCH(A805,Equipements!$A:$A,0))&amp;"."&amp;B805),"")</f>
        <v/>
      </c>
      <c r="D805" s="4"/>
      <c r="E805" s="22"/>
      <c r="F805" s="22"/>
      <c r="G805" s="22"/>
      <c r="H805" s="4"/>
      <c r="I805" s="4"/>
      <c r="J805" s="23" t="str">
        <f aca="false">IF(OR(G805="",H805=""),"","%"&amp;G805&amp;H805)</f>
        <v/>
      </c>
      <c r="K805" s="4"/>
      <c r="L805" s="4"/>
      <c r="M805" s="4"/>
      <c r="N805" s="4"/>
      <c r="O805" s="23" t="str">
        <f aca="false">IF(H805="","",IF(I805="","mot entier","bit "&amp;I805))</f>
        <v/>
      </c>
      <c r="P805" s="4"/>
    </row>
    <row r="806" customFormat="false" ht="15" hidden="false" customHeight="true" outlineLevel="0" collapsed="false">
      <c r="A806" s="22"/>
      <c r="B806" s="22"/>
      <c r="C806" s="23" t="str">
        <f aca="false">IFERROR(IF(OR(A806="",B806=""),"",INDEX(Equipements!$H:$H,MATCH(A806,Equipements!$A:$A,0))&amp;"."&amp;B806),"")</f>
        <v/>
      </c>
      <c r="D806" s="4"/>
      <c r="E806" s="22"/>
      <c r="F806" s="22"/>
      <c r="G806" s="22"/>
      <c r="H806" s="4"/>
      <c r="I806" s="4"/>
      <c r="J806" s="23" t="str">
        <f aca="false">IF(OR(G806="",H806=""),"","%"&amp;G806&amp;H806)</f>
        <v/>
      </c>
      <c r="K806" s="4"/>
      <c r="L806" s="4"/>
      <c r="M806" s="4"/>
      <c r="N806" s="4"/>
      <c r="O806" s="23" t="str">
        <f aca="false">IF(H806="","",IF(I806="","mot entier","bit "&amp;I806))</f>
        <v/>
      </c>
      <c r="P806" s="4"/>
    </row>
    <row r="807" customFormat="false" ht="15" hidden="false" customHeight="true" outlineLevel="0" collapsed="false">
      <c r="A807" s="22"/>
      <c r="B807" s="22"/>
      <c r="C807" s="23" t="str">
        <f aca="false">IFERROR(IF(OR(A807="",B807=""),"",INDEX(Equipements!$H:$H,MATCH(A807,Equipements!$A:$A,0))&amp;"."&amp;B807),"")</f>
        <v/>
      </c>
      <c r="D807" s="4"/>
      <c r="E807" s="22"/>
      <c r="F807" s="22"/>
      <c r="G807" s="22"/>
      <c r="H807" s="4"/>
      <c r="I807" s="4"/>
      <c r="J807" s="23" t="str">
        <f aca="false">IF(OR(G807="",H807=""),"","%"&amp;G807&amp;H807)</f>
        <v/>
      </c>
      <c r="K807" s="4"/>
      <c r="L807" s="4"/>
      <c r="M807" s="4"/>
      <c r="N807" s="4"/>
      <c r="O807" s="23" t="str">
        <f aca="false">IF(H807="","",IF(I807="","mot entier","bit "&amp;I807))</f>
        <v/>
      </c>
      <c r="P807" s="4"/>
    </row>
    <row r="808" customFormat="false" ht="15" hidden="false" customHeight="true" outlineLevel="0" collapsed="false">
      <c r="A808" s="22"/>
      <c r="B808" s="22"/>
      <c r="C808" s="23" t="str">
        <f aca="false">IFERROR(IF(OR(A808="",B808=""),"",INDEX(Equipements!$H:$H,MATCH(A808,Equipements!$A:$A,0))&amp;"."&amp;B808),"")</f>
        <v/>
      </c>
      <c r="D808" s="4"/>
      <c r="E808" s="22"/>
      <c r="F808" s="22"/>
      <c r="G808" s="22"/>
      <c r="H808" s="4"/>
      <c r="I808" s="4"/>
      <c r="J808" s="23" t="str">
        <f aca="false">IF(OR(G808="",H808=""),"","%"&amp;G808&amp;H808)</f>
        <v/>
      </c>
      <c r="K808" s="4"/>
      <c r="L808" s="4"/>
      <c r="M808" s="4"/>
      <c r="N808" s="4"/>
      <c r="O808" s="23" t="str">
        <f aca="false">IF(H808="","",IF(I808="","mot entier","bit "&amp;I808))</f>
        <v/>
      </c>
      <c r="P808" s="4"/>
    </row>
    <row r="810" customFormat="false" ht="15" hidden="false" customHeight="false" outlineLevel="0" collapsed="false">
      <c r="BR810" s="11" t="s">
        <v>273</v>
      </c>
    </row>
  </sheetData>
  <autoFilter ref="A7:P7"/>
  <mergeCells count="6">
    <mergeCell ref="A1:P1"/>
    <mergeCell ref="A2:P2"/>
    <mergeCell ref="A6:C6"/>
    <mergeCell ref="D6:F6"/>
    <mergeCell ref="G6:J6"/>
    <mergeCell ref="K6:N6"/>
  </mergeCells>
  <dataValidations count="5">
    <dataValidation allowBlank="true" errorStyle="stop" operator="between" showDropDown="false" showErrorMessage="false" showInputMessage="false" sqref="A9:A808" type="list">
      <formula1>EqNoms</formula1>
      <formula2>0</formula2>
    </dataValidation>
    <dataValidation allowBlank="true" errorStyle="stop" operator="between" showDropDown="false" showErrorMessage="false" showInputMessage="false" sqref="B9:B808" type="list">
      <formula1>CatParams</formula1>
      <formula2>0</formula2>
    </dataValidation>
    <dataValidation allowBlank="true" errorStyle="stop" operator="between" showDropDown="false" showErrorMessage="false" showInputMessage="false" sqref="E9:E808" type="list">
      <formula1>"R,W,RW"</formula1>
      <formula2>0</formula2>
    </dataValidation>
    <dataValidation allowBlank="true" errorStyle="stop" operator="between" showDropDown="false" showErrorMessage="false" showInputMessage="false" sqref="F9:F808" type="list">
      <formula1>"TM,TA,TC"</formula1>
      <formula2>0</formula2>
    </dataValidation>
    <dataValidation allowBlank="true" errorStyle="stop" operator="between" showDropDown="false" showErrorMessage="false" showInputMessage="false" sqref="G9:G808" type="list">
      <formula1>"MW,MX"</formula1>
      <formula2>0</formula2>
    </dataValidation>
  </dataValidations>
  <printOptions headings="false" gridLines="false" gridLinesSet="true" horizontalCentered="true" verticalCentered="false"/>
  <pageMargins left="0.35" right="0.35" top="0.4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Affaire 2024_06_264 - Reports&amp;C&amp;7 &amp;D&amp;R&amp;7 page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.4"/>
    <col collapsed="false" customWidth="true" hidden="false" outlineLevel="0" max="3" min="3" style="0" width="6"/>
    <col collapsed="false" customWidth="true" hidden="false" outlineLevel="0" max="4" min="4" style="0" width="46"/>
  </cols>
  <sheetData>
    <row r="1" customFormat="false" ht="25.5" hidden="false" customHeight="true" outlineLevel="0" collapsed="false">
      <c r="A1" s="1" t="s">
        <v>274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275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.75" hidden="false" customHeight="true" outlineLevel="0" collapsed="false">
      <c r="A4" s="3" t="s">
        <v>6</v>
      </c>
      <c r="B4" s="4" t="s">
        <v>7</v>
      </c>
      <c r="D4" s="3" t="s">
        <v>8</v>
      </c>
      <c r="E4" s="4" t="s">
        <v>9</v>
      </c>
    </row>
    <row r="6" customFormat="false" ht="15" hidden="false" customHeight="true" outlineLevel="0" collapsed="false">
      <c r="A6" s="16" t="s">
        <v>6</v>
      </c>
      <c r="B6" s="16"/>
      <c r="C6" s="16"/>
      <c r="D6" s="16"/>
    </row>
    <row r="7" customFormat="false" ht="30" hidden="false" customHeight="true" outlineLevel="0" collapsed="false">
      <c r="A7" s="20" t="s">
        <v>6</v>
      </c>
      <c r="B7" s="20" t="s">
        <v>276</v>
      </c>
      <c r="C7" s="20" t="s">
        <v>277</v>
      </c>
      <c r="D7" s="20" t="s">
        <v>278</v>
      </c>
    </row>
    <row r="8" customFormat="false" ht="12.75" hidden="false" customHeight="true" outlineLevel="0" collapsed="false">
      <c r="A8" s="21" t="s">
        <v>279</v>
      </c>
      <c r="B8" s="21"/>
      <c r="C8" s="21"/>
      <c r="D8" s="21"/>
    </row>
    <row r="9" customFormat="false" ht="15" hidden="false" customHeight="true" outlineLevel="0" collapsed="false">
      <c r="A9" s="4" t="s">
        <v>7</v>
      </c>
      <c r="B9" s="4" t="s">
        <v>9</v>
      </c>
      <c r="C9" s="4"/>
      <c r="D9" s="4" t="s">
        <v>280</v>
      </c>
    </row>
    <row r="10" customFormat="false" ht="15" hidden="false" customHeight="true" outlineLevel="0" collapsed="false">
      <c r="A10" s="4"/>
      <c r="B10" s="4"/>
      <c r="C10" s="4"/>
      <c r="D10" s="4"/>
    </row>
    <row r="11" customFormat="false" ht="15" hidden="false" customHeight="true" outlineLevel="0" collapsed="false">
      <c r="A11" s="4"/>
      <c r="B11" s="4"/>
      <c r="C11" s="4"/>
      <c r="D11" s="4"/>
    </row>
    <row r="12" customFormat="false" ht="15" hidden="false" customHeight="true" outlineLevel="0" collapsed="false">
      <c r="A12" s="4"/>
      <c r="B12" s="4"/>
      <c r="C12" s="4"/>
      <c r="D12" s="4"/>
    </row>
    <row r="13" customFormat="false" ht="15" hidden="false" customHeight="true" outlineLevel="0" collapsed="false">
      <c r="A13" s="4"/>
      <c r="B13" s="4"/>
      <c r="C13" s="4"/>
      <c r="D13" s="4"/>
    </row>
    <row r="14" customFormat="false" ht="15" hidden="false" customHeight="true" outlineLevel="0" collapsed="false">
      <c r="A14" s="4"/>
      <c r="B14" s="4"/>
      <c r="C14" s="4"/>
      <c r="D14" s="4"/>
    </row>
    <row r="15" customFormat="false" ht="15" hidden="false" customHeight="true" outlineLevel="0" collapsed="false">
      <c r="A15" s="4"/>
      <c r="B15" s="4"/>
      <c r="C15" s="4"/>
      <c r="D15" s="4"/>
    </row>
    <row r="16" customFormat="false" ht="15" hidden="false" customHeight="true" outlineLevel="0" collapsed="false">
      <c r="A16" s="4"/>
      <c r="B16" s="4"/>
      <c r="C16" s="4"/>
      <c r="D16" s="4"/>
    </row>
    <row r="17" customFormat="false" ht="15" hidden="false" customHeight="true" outlineLevel="0" collapsed="false">
      <c r="A17" s="4"/>
      <c r="B17" s="4"/>
      <c r="C17" s="4"/>
      <c r="D17" s="4"/>
    </row>
    <row r="18" customFormat="false" ht="15" hidden="false" customHeight="true" outlineLevel="0" collapsed="false">
      <c r="A18" s="4"/>
      <c r="B18" s="4"/>
      <c r="C18" s="4"/>
      <c r="D18" s="4"/>
    </row>
    <row r="19" customFormat="false" ht="15" hidden="false" customHeight="true" outlineLevel="0" collapsed="false">
      <c r="A19" s="4"/>
      <c r="B19" s="4"/>
      <c r="C19" s="4"/>
      <c r="D19" s="4"/>
    </row>
    <row r="20" customFormat="false" ht="15" hidden="false" customHeight="true" outlineLevel="0" collapsed="false">
      <c r="A20" s="4"/>
      <c r="B20" s="4"/>
      <c r="C20" s="4"/>
      <c r="D20" s="4"/>
    </row>
    <row r="21" customFormat="false" ht="15" hidden="false" customHeight="true" outlineLevel="0" collapsed="false">
      <c r="A21" s="4"/>
      <c r="B21" s="4"/>
      <c r="C21" s="4"/>
      <c r="D21" s="4"/>
    </row>
    <row r="22" customFormat="false" ht="15" hidden="false" customHeight="true" outlineLevel="0" collapsed="false">
      <c r="A22" s="4"/>
      <c r="B22" s="4"/>
      <c r="C22" s="4"/>
      <c r="D22" s="4"/>
    </row>
    <row r="23" customFormat="false" ht="15" hidden="false" customHeight="true" outlineLevel="0" collapsed="false">
      <c r="A23" s="4"/>
      <c r="B23" s="4"/>
      <c r="C23" s="4"/>
      <c r="D23" s="4"/>
    </row>
    <row r="24" customFormat="false" ht="15" hidden="false" customHeight="true" outlineLevel="0" collapsed="false">
      <c r="A24" s="4"/>
      <c r="B24" s="4"/>
      <c r="C24" s="4"/>
      <c r="D24" s="4"/>
    </row>
    <row r="25" customFormat="false" ht="15" hidden="false" customHeight="true" outlineLevel="0" collapsed="false">
      <c r="A25" s="4"/>
      <c r="B25" s="4"/>
      <c r="C25" s="4"/>
      <c r="D25" s="4"/>
    </row>
    <row r="26" customFormat="false" ht="15" hidden="false" customHeight="true" outlineLevel="0" collapsed="false">
      <c r="A26" s="4"/>
      <c r="B26" s="4"/>
      <c r="C26" s="4"/>
      <c r="D26" s="4"/>
    </row>
    <row r="27" customFormat="false" ht="15" hidden="false" customHeight="true" outlineLevel="0" collapsed="false">
      <c r="A27" s="4"/>
      <c r="B27" s="4"/>
      <c r="C27" s="4"/>
      <c r="D27" s="4"/>
    </row>
    <row r="28" customFormat="false" ht="15" hidden="false" customHeight="true" outlineLevel="0" collapsed="false">
      <c r="A28" s="4"/>
      <c r="B28" s="4"/>
      <c r="C28" s="4"/>
      <c r="D28" s="4"/>
    </row>
    <row r="29" customFormat="false" ht="15" hidden="false" customHeight="true" outlineLevel="0" collapsed="false">
      <c r="A29" s="4"/>
      <c r="B29" s="4"/>
      <c r="C29" s="4"/>
      <c r="D29" s="4"/>
    </row>
    <row r="30" customFormat="false" ht="15" hidden="false" customHeight="true" outlineLevel="0" collapsed="false">
      <c r="A30" s="4"/>
      <c r="B30" s="4"/>
      <c r="C30" s="4"/>
      <c r="D30" s="4"/>
    </row>
    <row r="31" customFormat="false" ht="15" hidden="false" customHeight="true" outlineLevel="0" collapsed="false">
      <c r="A31" s="4"/>
      <c r="B31" s="4"/>
      <c r="C31" s="4"/>
      <c r="D31" s="4"/>
    </row>
    <row r="32" customFormat="false" ht="15" hidden="false" customHeight="true" outlineLevel="0" collapsed="false">
      <c r="A32" s="4"/>
      <c r="B32" s="4"/>
      <c r="C32" s="4"/>
      <c r="D32" s="4"/>
    </row>
    <row r="33" customFormat="false" ht="15" hidden="false" customHeight="true" outlineLevel="0" collapsed="false">
      <c r="A33" s="4"/>
      <c r="B33" s="4"/>
      <c r="C33" s="4"/>
      <c r="D33" s="4"/>
    </row>
    <row r="34" customFormat="false" ht="15" hidden="false" customHeight="true" outlineLevel="0" collapsed="false">
      <c r="A34" s="4"/>
      <c r="B34" s="4"/>
      <c r="C34" s="4"/>
      <c r="D34" s="4"/>
    </row>
    <row r="35" customFormat="false" ht="15" hidden="false" customHeight="true" outlineLevel="0" collapsed="false">
      <c r="A35" s="4"/>
      <c r="B35" s="4"/>
      <c r="C35" s="4"/>
      <c r="D35" s="4"/>
    </row>
    <row r="36" customFormat="false" ht="15" hidden="false" customHeight="true" outlineLevel="0" collapsed="false">
      <c r="A36" s="4"/>
      <c r="B36" s="4"/>
      <c r="C36" s="4"/>
      <c r="D36" s="4"/>
    </row>
    <row r="37" customFormat="false" ht="15" hidden="false" customHeight="true" outlineLevel="0" collapsed="false">
      <c r="A37" s="4"/>
      <c r="B37" s="4"/>
      <c r="C37" s="4"/>
      <c r="D37" s="4"/>
    </row>
    <row r="38" customFormat="false" ht="15" hidden="false" customHeight="true" outlineLevel="0" collapsed="false">
      <c r="A38" s="4"/>
      <c r="B38" s="4"/>
      <c r="C38" s="4"/>
      <c r="D38" s="4"/>
    </row>
    <row r="39" customFormat="false" ht="15" hidden="false" customHeight="true" outlineLevel="0" collapsed="false">
      <c r="A39" s="4"/>
      <c r="B39" s="4"/>
      <c r="C39" s="4"/>
      <c r="D39" s="4"/>
    </row>
    <row r="40" customFormat="false" ht="15" hidden="false" customHeight="true" outlineLevel="0" collapsed="false">
      <c r="A40" s="4"/>
      <c r="B40" s="4"/>
      <c r="C40" s="4"/>
      <c r="D40" s="4"/>
    </row>
    <row r="41" customFormat="false" ht="15" hidden="false" customHeight="true" outlineLevel="0" collapsed="false">
      <c r="A41" s="4"/>
      <c r="B41" s="4"/>
      <c r="C41" s="4"/>
      <c r="D41" s="4"/>
    </row>
    <row r="42" customFormat="false" ht="15" hidden="false" customHeight="true" outlineLevel="0" collapsed="false">
      <c r="A42" s="4"/>
      <c r="B42" s="4"/>
      <c r="C42" s="4"/>
      <c r="D42" s="4"/>
    </row>
    <row r="43" customFormat="false" ht="15" hidden="false" customHeight="true" outlineLevel="0" collapsed="false">
      <c r="A43" s="4"/>
      <c r="B43" s="4"/>
      <c r="C43" s="4"/>
      <c r="D43" s="4"/>
    </row>
    <row r="44" customFormat="false" ht="15" hidden="false" customHeight="true" outlineLevel="0" collapsed="false">
      <c r="A44" s="4"/>
      <c r="B44" s="4"/>
      <c r="C44" s="4"/>
      <c r="D44" s="4"/>
    </row>
    <row r="45" customFormat="false" ht="15" hidden="false" customHeight="true" outlineLevel="0" collapsed="false">
      <c r="A45" s="4"/>
      <c r="B45" s="4"/>
      <c r="C45" s="4"/>
      <c r="D45" s="4"/>
    </row>
    <row r="46" customFormat="false" ht="15" hidden="false" customHeight="true" outlineLevel="0" collapsed="false">
      <c r="A46" s="4"/>
      <c r="B46" s="4"/>
      <c r="C46" s="4"/>
      <c r="D46" s="4"/>
    </row>
    <row r="47" customFormat="false" ht="15" hidden="false" customHeight="true" outlineLevel="0" collapsed="false">
      <c r="A47" s="4"/>
      <c r="B47" s="4"/>
      <c r="C47" s="4"/>
      <c r="D47" s="4"/>
    </row>
    <row r="48" customFormat="false" ht="15" hidden="false" customHeight="true" outlineLevel="0" collapsed="false">
      <c r="A48" s="4"/>
      <c r="B48" s="4"/>
      <c r="C48" s="4"/>
      <c r="D48" s="4"/>
    </row>
    <row r="50" customFormat="false" ht="15" hidden="false" customHeight="false" outlineLevel="0" collapsed="false">
      <c r="BR50" s="11" t="s">
        <v>281</v>
      </c>
    </row>
    <row r="51" customFormat="false" ht="15" hidden="false" customHeight="false" outlineLevel="0" collapsed="false">
      <c r="A51" s="8" t="s">
        <v>282</v>
      </c>
    </row>
    <row r="52" customFormat="false" ht="19.5" hidden="false" customHeight="true" outlineLevel="0" collapsed="false">
      <c r="A52" s="38" t="s">
        <v>283</v>
      </c>
      <c r="B52" s="38" t="s">
        <v>284</v>
      </c>
      <c r="C52" s="38" t="s">
        <v>285</v>
      </c>
      <c r="D52" s="38" t="s">
        <v>277</v>
      </c>
    </row>
  </sheetData>
  <autoFilter ref="A7:D7"/>
  <mergeCells count="3">
    <mergeCell ref="A1:H1"/>
    <mergeCell ref="A2:H2"/>
    <mergeCell ref="A6:D6"/>
  </mergeCells>
  <printOptions headings="false" gridLines="false" gridLinesSet="true" horizontalCentered="true" verticalCentered="false"/>
  <pageMargins left="0.35" right="0.35" top="0.4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Affaire 2024_06_264 - Indices et journal&amp;C&amp;7 &amp;D&amp;R&amp;7 page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4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.4"/>
    <col collapsed="false" customWidth="true" hidden="false" outlineLevel="0" max="7" min="3" style="0" width="6"/>
    <col collapsed="false" customWidth="true" hidden="false" outlineLevel="0" max="10" min="8" style="0" width="6.9"/>
    <col collapsed="false" customWidth="true" hidden="false" outlineLevel="0" max="11" min="11" style="0" width="6"/>
    <col collapsed="false" customWidth="true" hidden="false" outlineLevel="0" max="12" min="12" style="0" width="28"/>
  </cols>
  <sheetData>
    <row r="1" customFormat="false" ht="25.5" hidden="false" customHeight="true" outlineLevel="0" collapsed="false">
      <c r="A1" s="1" t="s">
        <v>286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287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.75" hidden="false" customHeight="true" outlineLevel="0" collapsed="false">
      <c r="A4" s="3" t="s">
        <v>6</v>
      </c>
      <c r="B4" s="4" t="s">
        <v>7</v>
      </c>
      <c r="D4" s="3" t="s">
        <v>8</v>
      </c>
      <c r="E4" s="4" t="s">
        <v>9</v>
      </c>
    </row>
    <row r="6" customFormat="false" ht="15" hidden="false" customHeight="true" outlineLevel="0" collapsed="false">
      <c r="B6" s="16" t="s">
        <v>265</v>
      </c>
      <c r="C6" s="16"/>
      <c r="D6" s="16"/>
      <c r="E6" s="17" t="s">
        <v>221</v>
      </c>
      <c r="F6" s="17"/>
      <c r="G6" s="17"/>
      <c r="H6" s="18" t="s">
        <v>288</v>
      </c>
      <c r="I6" s="18"/>
      <c r="J6" s="33" t="s">
        <v>289</v>
      </c>
      <c r="K6" s="33"/>
    </row>
    <row r="7" customFormat="false" ht="30" hidden="false" customHeight="true" outlineLevel="0" collapsed="false">
      <c r="A7" s="20" t="s">
        <v>151</v>
      </c>
      <c r="B7" s="20" t="s">
        <v>265</v>
      </c>
      <c r="C7" s="20" t="s">
        <v>290</v>
      </c>
      <c r="D7" s="20" t="s">
        <v>291</v>
      </c>
      <c r="E7" s="20" t="s">
        <v>292</v>
      </c>
      <c r="F7" s="20" t="s">
        <v>293</v>
      </c>
      <c r="G7" s="20" t="s">
        <v>294</v>
      </c>
      <c r="H7" s="20" t="s">
        <v>295</v>
      </c>
      <c r="I7" s="20" t="s">
        <v>296</v>
      </c>
      <c r="J7" s="20" t="s">
        <v>295</v>
      </c>
      <c r="K7" s="20" t="s">
        <v>297</v>
      </c>
      <c r="L7" s="20" t="s">
        <v>81</v>
      </c>
    </row>
    <row r="8" customFormat="false" ht="12.75" hidden="false" customHeight="true" outlineLevel="0" collapsed="false">
      <c r="A8" s="21"/>
      <c r="B8" s="21" t="s">
        <v>298</v>
      </c>
      <c r="C8" s="21"/>
      <c r="D8" s="21"/>
      <c r="E8" s="21"/>
      <c r="F8" s="21"/>
      <c r="G8" s="21"/>
      <c r="H8" s="21"/>
      <c r="I8" s="21"/>
      <c r="J8" s="21"/>
      <c r="K8" s="21"/>
      <c r="L8" s="21"/>
    </row>
    <row r="9" customFormat="false" ht="15" hidden="false" customHeight="true" outlineLevel="0" collapsed="false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customFormat="false" ht="15" hidden="false" customHeight="true" outlineLevel="0" collapsed="false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customFormat="false" ht="15" hidden="false" customHeight="true" outlineLevel="0" collapsed="false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customFormat="false" ht="15" hidden="false" customHeight="true" outlineLevel="0" collapsed="false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customFormat="false" ht="15" hidden="false" customHeight="true" outlineLevel="0" collapsed="false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customFormat="false" ht="15" hidden="false" customHeight="true" outlineLevel="0" collapsed="false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customFormat="false" ht="15" hidden="false" customHeight="true" outlineLevel="0" collapsed="false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customFormat="false" ht="15" hidden="false" customHeight="true" outlineLevel="0" collapsed="false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customFormat="false" ht="15" hidden="false" customHeight="true" outlineLevel="0" collapsed="false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customFormat="false" ht="15" hidden="false" customHeight="true" outlineLevel="0" collapsed="false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customFormat="false" ht="15" hidden="false" customHeight="true" outlineLevel="0" collapsed="false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customFormat="false" ht="15" hidden="false" customHeight="true" outlineLevel="0" collapsed="false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customFormat="false" ht="15" hidden="false" customHeight="true" outlineLevel="0" collapsed="false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customFormat="false" ht="15" hidden="false" customHeight="true" outlineLevel="0" collapsed="false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customFormat="false" ht="15" hidden="false" customHeight="true" outlineLevel="0" collapsed="false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customFormat="false" ht="15" hidden="false" customHeight="true" outlineLevel="0" collapsed="false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customFormat="false" ht="15" hidden="false" customHeight="true" outlineLevel="0" collapsed="false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customFormat="false" ht="15" hidden="false" customHeight="true" outlineLevel="0" collapsed="false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customFormat="false" ht="15" hidden="false" customHeight="true" outlineLevel="0" collapsed="false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customFormat="false" ht="15" hidden="false" customHeight="true" outlineLevel="0" collapsed="false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customFormat="false" ht="15" hidden="false" customHeight="true" outlineLevel="0" collapsed="false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customFormat="false" ht="15" hidden="false" customHeight="true" outlineLevel="0" collapsed="false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customFormat="false" ht="15" hidden="false" customHeight="true" outlineLevel="0" collapsed="false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customFormat="false" ht="15" hidden="false" customHeight="true" outlineLevel="0" collapsed="false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customFormat="false" ht="15" hidden="false" customHeight="true" outlineLevel="0" collapsed="false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customFormat="false" ht="15" hidden="false" customHeight="true" outlineLevel="0" collapsed="false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customFormat="false" ht="15" hidden="false" customHeight="true" outlineLevel="0" collapsed="false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customFormat="false" ht="15" hidden="false" customHeight="true" outlineLevel="0" collapsed="false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customFormat="false" ht="15" hidden="false" customHeight="true" outlineLevel="0" collapsed="false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customFormat="false" ht="1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customFormat="false" ht="15" hidden="false" customHeight="true" outlineLevel="0" collapsed="false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customFormat="false" ht="15" hidden="false" customHeight="true" outlineLevel="0" collapsed="false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customFormat="false" ht="15" hidden="false" customHeight="true" outlineLevel="0" collapsed="false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customFormat="false" ht="15" hidden="false" customHeight="true" outlineLevel="0" collapsed="false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customFormat="false" ht="15" hidden="false" customHeight="true" outlineLevel="0" collapsed="false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customFormat="false" ht="15" hidden="false" customHeight="true" outlineLevel="0" collapsed="false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customFormat="false" ht="15" hidden="false" customHeight="tru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customFormat="false" ht="15" hidden="false" customHeight="tru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customFormat="false" ht="15" hidden="false" customHeight="tru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customFormat="false" ht="15" hidden="false" customHeight="true" outlineLevel="0" collapsed="false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customFormat="false" ht="15" hidden="false" customHeight="true" outlineLevel="0" collapsed="false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customFormat="false" ht="15" hidden="false" customHeight="true" outlineLevel="0" collapsed="false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customFormat="false" ht="15" hidden="false" customHeight="true" outlineLevel="0" collapsed="false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customFormat="false" ht="15" hidden="false" customHeight="true" outlineLevel="0" collapsed="false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customFormat="false" ht="15" hidden="false" customHeight="true" outlineLevel="0" collapsed="false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customFormat="false" ht="15" hidden="false" customHeight="true" outlineLevel="0" collapsed="false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customFormat="false" ht="15" hidden="false" customHeight="true" outlineLevel="0" collapsed="false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customFormat="false" ht="15" hidden="false" customHeight="true" outlineLevel="0" collapsed="false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customFormat="false" ht="15" hidden="false" customHeight="true" outlineLevel="0" collapsed="false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customFormat="false" ht="15" hidden="false" customHeight="true" outlineLevel="0" collapsed="false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customFormat="false" ht="15" hidden="false" customHeight="true" outlineLevel="0" collapsed="false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customFormat="false" ht="15" hidden="false" customHeight="true" outlineLevel="0" collapsed="false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customFormat="false" ht="15" hidden="false" customHeight="true" outlineLevel="0" collapsed="false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customFormat="false" ht="15" hidden="false" customHeight="true" outlineLevel="0" collapsed="false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customFormat="false" ht="15" hidden="false" customHeight="true" outlineLevel="0" collapsed="false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customFormat="false" ht="15" hidden="false" customHeight="true" outlineLevel="0" collapsed="false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customFormat="false" ht="15" hidden="false" customHeight="true" outlineLevel="0" collapsed="false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customFormat="false" ht="15" hidden="false" customHeight="true" outlineLevel="0" collapsed="false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customFormat="false" ht="15" hidden="false" customHeight="true" outlineLevel="0" collapsed="false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customFormat="false" ht="15" hidden="false" customHeight="true" outlineLevel="0" collapsed="false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customFormat="false" ht="15" hidden="false" customHeight="true" outlineLevel="0" collapsed="false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 customFormat="false" ht="15" hidden="false" customHeight="true" outlineLevel="0" collapsed="false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customFormat="false" ht="15" hidden="false" customHeight="true" outlineLevel="0" collapsed="false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customFormat="false" ht="15" hidden="false" customHeight="true" outlineLevel="0" collapsed="false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customFormat="false" ht="15" hidden="false" customHeight="true" outlineLevel="0" collapsed="false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customFormat="false" ht="15" hidden="false" customHeight="true" outlineLevel="0" collapsed="false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customFormat="false" ht="15" hidden="false" customHeight="true" outlineLevel="0" collapsed="false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customFormat="false" ht="15" hidden="false" customHeight="true" outlineLevel="0" collapsed="false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customFormat="false" ht="15" hidden="false" customHeight="true" outlineLevel="0" collapsed="false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customFormat="false" ht="15" hidden="false" customHeight="tru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customFormat="false" ht="15" hidden="false" customHeight="true" outlineLevel="0" collapsed="false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customFormat="false" ht="15" hidden="false" customHeight="true" outlineLevel="0" collapsed="false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customFormat="false" ht="15" hidden="false" customHeight="true" outlineLevel="0" collapsed="false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customFormat="false" ht="15" hidden="false" customHeight="true" outlineLevel="0" collapsed="false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 customFormat="false" ht="15" hidden="false" customHeight="true" outlineLevel="0" collapsed="false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customFormat="false" ht="15" hidden="false" customHeight="true" outlineLevel="0" collapsed="false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customFormat="false" ht="15" hidden="false" customHeight="true" outlineLevel="0" collapsed="false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customFormat="false" ht="15" hidden="false" customHeight="true" outlineLevel="0" collapsed="false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customFormat="false" ht="15" hidden="false" customHeight="true" outlineLevel="0" collapsed="false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customFormat="false" ht="15" hidden="false" customHeight="true" outlineLevel="0" collapsed="false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customFormat="false" ht="15" hidden="false" customHeight="true" outlineLevel="0" collapsed="false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customFormat="false" ht="15" hidden="false" customHeight="true" outlineLevel="0" collapsed="false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customFormat="false" ht="15" hidden="false" customHeight="true" outlineLevel="0" collapsed="false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customFormat="false" ht="15" hidden="false" customHeight="true" outlineLevel="0" collapsed="false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customFormat="false" ht="15" hidden="false" customHeight="true" outlineLevel="0" collapsed="false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customFormat="false" ht="15" hidden="false" customHeight="true" outlineLevel="0" collapsed="false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customFormat="false" ht="15" hidden="false" customHeight="true" outlineLevel="0" collapsed="false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customFormat="false" ht="15" hidden="false" customHeight="true" outlineLevel="0" collapsed="false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customFormat="false" ht="15" hidden="false" customHeight="true" outlineLevel="0" collapsed="false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customFormat="false" ht="15" hidden="false" customHeight="true" outlineLevel="0" collapsed="false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customFormat="false" ht="15" hidden="false" customHeight="true" outlineLevel="0" collapsed="false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customFormat="false" ht="15" hidden="false" customHeight="true" outlineLevel="0" collapsed="false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customFormat="false" ht="15" hidden="false" customHeight="true" outlineLevel="0" collapsed="false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customFormat="false" ht="15" hidden="false" customHeight="true" outlineLevel="0" collapsed="false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customFormat="false" ht="15" hidden="false" customHeight="true" outlineLevel="0" collapsed="false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customFormat="false" ht="15" hidden="false" customHeight="true" outlineLevel="0" collapsed="false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customFormat="false" ht="15" hidden="false" customHeight="true" outlineLevel="0" collapsed="false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customFormat="false" ht="15" hidden="false" customHeight="true" outlineLevel="0" collapsed="false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customFormat="false" ht="15" hidden="false" customHeight="true" outlineLevel="0" collapsed="false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customFormat="false" ht="15" hidden="false" customHeight="true" outlineLevel="0" collapsed="false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customFormat="false" ht="15" hidden="false" customHeight="true" outlineLevel="0" collapsed="false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customFormat="false" ht="15" hidden="false" customHeight="true" outlineLevel="0" collapsed="false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customFormat="false" ht="15" hidden="false" customHeight="true" outlineLevel="0" collapsed="false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customFormat="false" ht="15" hidden="false" customHeight="true" outlineLevel="0" collapsed="false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customFormat="false" ht="15" hidden="false" customHeight="true" outlineLevel="0" collapsed="false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customFormat="false" ht="15" hidden="false" customHeight="true" outlineLevel="0" collapsed="false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customFormat="false" ht="15" hidden="false" customHeight="true" outlineLevel="0" collapsed="false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customFormat="false" ht="15" hidden="false" customHeight="true" outlineLevel="0" collapsed="false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customFormat="false" ht="15" hidden="false" customHeight="true" outlineLevel="0" collapsed="false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customFormat="false" ht="15" hidden="false" customHeight="true" outlineLevel="0" collapsed="false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customFormat="false" ht="15" hidden="false" customHeight="true" outlineLevel="0" collapsed="false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customFormat="false" ht="15" hidden="false" customHeight="true" outlineLevel="0" collapsed="false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customFormat="false" ht="15" hidden="false" customHeight="true" outlineLevel="0" collapsed="false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customFormat="false" ht="15" hidden="false" customHeight="true" outlineLevel="0" collapsed="false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customFormat="false" ht="15" hidden="false" customHeight="true" outlineLevel="0" collapsed="false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customFormat="false" ht="15" hidden="false" customHeight="true" outlineLevel="0" collapsed="false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customFormat="false" ht="15" hidden="false" customHeight="true" outlineLevel="0" collapsed="false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customFormat="false" ht="15" hidden="false" customHeight="true" outlineLevel="0" collapsed="false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customFormat="false" ht="15" hidden="false" customHeight="true" outlineLevel="0" collapsed="false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customFormat="false" ht="15" hidden="false" customHeight="true" outlineLevel="0" collapsed="false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customFormat="false" ht="15" hidden="false" customHeight="true" outlineLevel="0" collapsed="false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customFormat="false" ht="15" hidden="false" customHeight="true" outlineLevel="0" collapsed="false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customFormat="false" ht="15" hidden="false" customHeight="true" outlineLevel="0" collapsed="false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customFormat="false" ht="15" hidden="false" customHeight="true" outlineLevel="0" collapsed="false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customFormat="false" ht="15" hidden="false" customHeight="true" outlineLevel="0" collapsed="false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customFormat="false" ht="15" hidden="false" customHeight="true" outlineLevel="0" collapsed="false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customFormat="false" ht="15" hidden="false" customHeight="true" outlineLevel="0" collapsed="false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customFormat="false" ht="15" hidden="false" customHeight="true" outlineLevel="0" collapsed="false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customFormat="false" ht="15" hidden="false" customHeight="true" outlineLevel="0" collapsed="false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customFormat="false" ht="15" hidden="false" customHeight="true" outlineLevel="0" collapsed="false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customFormat="false" ht="15" hidden="false" customHeight="true" outlineLevel="0" collapsed="false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customFormat="false" ht="15" hidden="false" customHeight="true" outlineLevel="0" collapsed="false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customFormat="false" ht="15" hidden="false" customHeight="true" outlineLevel="0" collapsed="false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 customFormat="false" ht="15" hidden="false" customHeight="true" outlineLevel="0" collapsed="false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 customFormat="false" ht="15" hidden="false" customHeight="true" outlineLevel="0" collapsed="false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customFormat="false" ht="15" hidden="false" customHeight="true" outlineLevel="0" collapsed="false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customFormat="false" ht="15" hidden="false" customHeight="true" outlineLevel="0" collapsed="false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customFormat="false" ht="15" hidden="false" customHeight="true" outlineLevel="0" collapsed="false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customFormat="false" ht="15" hidden="false" customHeight="true" outlineLevel="0" collapsed="false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customFormat="false" ht="15" hidden="false" customHeight="true" outlineLevel="0" collapsed="false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customFormat="false" ht="15" hidden="false" customHeight="true" outlineLevel="0" collapsed="false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 customFormat="false" ht="15" hidden="false" customHeight="true" outlineLevel="0" collapsed="false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 customFormat="false" ht="15" hidden="false" customHeight="true" outlineLevel="0" collapsed="false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customFormat="false" ht="15" hidden="false" customHeight="true" outlineLevel="0" collapsed="false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customFormat="false" ht="15" hidden="false" customHeight="true" outlineLevel="0" collapsed="false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 customFormat="false" ht="15" hidden="false" customHeight="true" outlineLevel="0" collapsed="false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 customFormat="false" ht="15" hidden="false" customHeight="true" outlineLevel="0" collapsed="false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customFormat="false" ht="15" hidden="false" customHeight="true" outlineLevel="0" collapsed="false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customFormat="false" ht="15" hidden="false" customHeight="true" outlineLevel="0" collapsed="false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customFormat="false" ht="15" hidden="false" customHeight="true" outlineLevel="0" collapsed="false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</row>
    <row r="159" customFormat="false" ht="15" hidden="false" customHeight="true" outlineLevel="0" collapsed="false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</row>
    <row r="160" customFormat="false" ht="15" hidden="false" customHeight="true" outlineLevel="0" collapsed="false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</row>
    <row r="161" customFormat="false" ht="15" hidden="false" customHeight="true" outlineLevel="0" collapsed="false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</row>
    <row r="162" customFormat="false" ht="15" hidden="false" customHeight="true" outlineLevel="0" collapsed="false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  <row r="163" customFormat="false" ht="15" hidden="false" customHeight="true" outlineLevel="0" collapsed="false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</row>
    <row r="164" customFormat="false" ht="15" hidden="false" customHeight="true" outlineLevel="0" collapsed="false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</row>
    <row r="165" customFormat="false" ht="15" hidden="false" customHeight="true" outlineLevel="0" collapsed="false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</row>
    <row r="166" customFormat="false" ht="15" hidden="false" customHeight="true" outlineLevel="0" collapsed="false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</row>
    <row r="167" customFormat="false" ht="15" hidden="false" customHeight="true" outlineLevel="0" collapsed="false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</row>
    <row r="168" customFormat="false" ht="15" hidden="false" customHeight="true" outlineLevel="0" collapsed="false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</row>
    <row r="169" customFormat="false" ht="15" hidden="false" customHeight="true" outlineLevel="0" collapsed="false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</row>
    <row r="170" customFormat="false" ht="15" hidden="false" customHeight="true" outlineLevel="0" collapsed="false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</row>
    <row r="171" customFormat="false" ht="15" hidden="false" customHeight="true" outlineLevel="0" collapsed="false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</row>
    <row r="172" customFormat="false" ht="15" hidden="false" customHeight="true" outlineLevel="0" collapsed="false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</row>
    <row r="173" customFormat="false" ht="15" hidden="false" customHeight="true" outlineLevel="0" collapsed="false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</row>
    <row r="174" customFormat="false" ht="15" hidden="false" customHeight="true" outlineLevel="0" collapsed="false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</row>
    <row r="175" customFormat="false" ht="15" hidden="false" customHeight="true" outlineLevel="0" collapsed="false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</row>
    <row r="176" customFormat="false" ht="15" hidden="false" customHeight="true" outlineLevel="0" collapsed="false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</row>
    <row r="177" customFormat="false" ht="15" hidden="false" customHeight="true" outlineLevel="0" collapsed="false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</row>
    <row r="178" customFormat="false" ht="15" hidden="false" customHeight="true" outlineLevel="0" collapsed="false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</row>
    <row r="179" customFormat="false" ht="15" hidden="false" customHeight="true" outlineLevel="0" collapsed="false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</row>
    <row r="180" customFormat="false" ht="15" hidden="false" customHeight="true" outlineLevel="0" collapsed="false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</row>
    <row r="181" customFormat="false" ht="15" hidden="false" customHeight="true" outlineLevel="0" collapsed="false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</row>
    <row r="182" customFormat="false" ht="15" hidden="false" customHeight="true" outlineLevel="0" collapsed="false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</row>
    <row r="183" customFormat="false" ht="15" hidden="false" customHeight="true" outlineLevel="0" collapsed="false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</row>
    <row r="184" customFormat="false" ht="15" hidden="false" customHeight="true" outlineLevel="0" collapsed="false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</row>
    <row r="185" customFormat="false" ht="15" hidden="false" customHeight="true" outlineLevel="0" collapsed="false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</row>
    <row r="186" customFormat="false" ht="15" hidden="false" customHeight="true" outlineLevel="0" collapsed="false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</row>
    <row r="187" customFormat="false" ht="15" hidden="false" customHeight="true" outlineLevel="0" collapsed="false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</row>
    <row r="188" customFormat="false" ht="15" hidden="false" customHeight="true" outlineLevel="0" collapsed="false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</row>
    <row r="189" customFormat="false" ht="15" hidden="false" customHeight="true" outlineLevel="0" collapsed="false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</row>
    <row r="190" customFormat="false" ht="15" hidden="false" customHeight="true" outlineLevel="0" collapsed="false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</row>
    <row r="191" customFormat="false" ht="15" hidden="false" customHeight="true" outlineLevel="0" collapsed="false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</row>
    <row r="192" customFormat="false" ht="15" hidden="false" customHeight="true" outlineLevel="0" collapsed="false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</row>
    <row r="193" customFormat="false" ht="15" hidden="false" customHeight="true" outlineLevel="0" collapsed="false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</row>
    <row r="194" customFormat="false" ht="15" hidden="false" customHeight="true" outlineLevel="0" collapsed="false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</row>
    <row r="195" customFormat="false" ht="15" hidden="false" customHeight="true" outlineLevel="0" collapsed="false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</row>
    <row r="196" customFormat="false" ht="15" hidden="false" customHeight="true" outlineLevel="0" collapsed="false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</row>
    <row r="197" customFormat="false" ht="15" hidden="false" customHeight="true" outlineLevel="0" collapsed="false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</row>
    <row r="198" customFormat="false" ht="15" hidden="false" customHeight="tru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</row>
    <row r="199" customFormat="false" ht="15" hidden="false" customHeight="true" outlineLevel="0" collapsed="false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</row>
    <row r="200" customFormat="false" ht="15" hidden="false" customHeight="tru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</row>
    <row r="201" customFormat="false" ht="15" hidden="false" customHeight="true" outlineLevel="0" collapsed="false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</row>
    <row r="202" customFormat="false" ht="15" hidden="false" customHeight="true" outlineLevel="0" collapsed="false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</row>
    <row r="203" customFormat="false" ht="15" hidden="false" customHeight="true" outlineLevel="0" collapsed="false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</row>
    <row r="204" customFormat="false" ht="15" hidden="false" customHeight="true" outlineLevel="0" collapsed="false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</row>
    <row r="205" customFormat="false" ht="15" hidden="false" customHeight="true" outlineLevel="0" collapsed="false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</row>
    <row r="206" customFormat="false" ht="15" hidden="false" customHeight="true" outlineLevel="0" collapsed="false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</row>
    <row r="207" customFormat="false" ht="15" hidden="false" customHeight="true" outlineLevel="0" collapsed="false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</row>
    <row r="208" customFormat="false" ht="15" hidden="false" customHeight="true" outlineLevel="0" collapsed="false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</row>
    <row r="209" customFormat="false" ht="15" hidden="false" customHeight="true" outlineLevel="0" collapsed="false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</row>
    <row r="210" customFormat="false" ht="15" hidden="false" customHeight="true" outlineLevel="0" collapsed="false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</row>
    <row r="211" customFormat="false" ht="15" hidden="false" customHeight="true" outlineLevel="0" collapsed="false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</row>
    <row r="212" customFormat="false" ht="15" hidden="false" customHeight="true" outlineLevel="0" collapsed="false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</row>
    <row r="213" customFormat="false" ht="15" hidden="false" customHeight="true" outlineLevel="0" collapsed="false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</row>
    <row r="214" customFormat="false" ht="15" hidden="false" customHeight="true" outlineLevel="0" collapsed="false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</row>
    <row r="215" customFormat="false" ht="15" hidden="false" customHeight="true" outlineLevel="0" collapsed="false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</row>
    <row r="216" customFormat="false" ht="15" hidden="false" customHeight="true" outlineLevel="0" collapsed="false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</row>
    <row r="217" customFormat="false" ht="15" hidden="false" customHeight="true" outlineLevel="0" collapsed="false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</row>
    <row r="218" customFormat="false" ht="15" hidden="false" customHeight="true" outlineLevel="0" collapsed="false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</row>
    <row r="219" customFormat="false" ht="15" hidden="false" customHeight="true" outlineLevel="0" collapsed="false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</row>
    <row r="220" customFormat="false" ht="15" hidden="false" customHeight="true" outlineLevel="0" collapsed="false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</row>
    <row r="221" customFormat="false" ht="15" hidden="false" customHeight="true" outlineLevel="0" collapsed="false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</row>
    <row r="222" customFormat="false" ht="15" hidden="false" customHeight="true" outlineLevel="0" collapsed="false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</row>
    <row r="223" customFormat="false" ht="15" hidden="false" customHeight="true" outlineLevel="0" collapsed="false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</row>
    <row r="224" customFormat="false" ht="15" hidden="false" customHeight="true" outlineLevel="0" collapsed="false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</row>
    <row r="225" customFormat="false" ht="15" hidden="false" customHeight="true" outlineLevel="0" collapsed="false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</row>
    <row r="226" customFormat="false" ht="15" hidden="false" customHeight="true" outlineLevel="0" collapsed="false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</row>
    <row r="227" customFormat="false" ht="15" hidden="false" customHeight="true" outlineLevel="0" collapsed="false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</row>
    <row r="228" customFormat="false" ht="15" hidden="false" customHeight="true" outlineLevel="0" collapsed="false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</row>
    <row r="229" customFormat="false" ht="15" hidden="false" customHeight="true" outlineLevel="0" collapsed="false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</row>
    <row r="230" customFormat="false" ht="15" hidden="false" customHeight="true" outlineLevel="0" collapsed="false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</row>
    <row r="231" customFormat="false" ht="15" hidden="false" customHeight="true" outlineLevel="0" collapsed="false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</row>
    <row r="232" customFormat="false" ht="15" hidden="false" customHeight="true" outlineLevel="0" collapsed="false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</row>
    <row r="233" customFormat="false" ht="15" hidden="false" customHeight="true" outlineLevel="0" collapsed="false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</row>
    <row r="234" customFormat="false" ht="15" hidden="false" customHeight="true" outlineLevel="0" collapsed="false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</row>
    <row r="235" customFormat="false" ht="15" hidden="false" customHeight="true" outlineLevel="0" collapsed="false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</row>
    <row r="236" customFormat="false" ht="15" hidden="false" customHeight="true" outlineLevel="0" collapsed="false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</row>
    <row r="237" customFormat="false" ht="15" hidden="false" customHeight="true" outlineLevel="0" collapsed="false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</row>
    <row r="238" customFormat="false" ht="15" hidden="false" customHeight="true" outlineLevel="0" collapsed="false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</row>
    <row r="239" customFormat="false" ht="15" hidden="false" customHeight="true" outlineLevel="0" collapsed="false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</row>
    <row r="240" customFormat="false" ht="15" hidden="false" customHeight="true" outlineLevel="0" collapsed="false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</row>
    <row r="241" customFormat="false" ht="15" hidden="false" customHeight="true" outlineLevel="0" collapsed="false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</row>
    <row r="242" customFormat="false" ht="15" hidden="false" customHeight="true" outlineLevel="0" collapsed="false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</row>
    <row r="243" customFormat="false" ht="15" hidden="false" customHeight="true" outlineLevel="0" collapsed="false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</row>
    <row r="244" customFormat="false" ht="15" hidden="false" customHeight="true" outlineLevel="0" collapsed="false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</row>
    <row r="245" customFormat="false" ht="15" hidden="false" customHeight="true" outlineLevel="0" collapsed="false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</row>
    <row r="246" customFormat="false" ht="15" hidden="false" customHeight="true" outlineLevel="0" collapsed="false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</row>
    <row r="247" customFormat="false" ht="15" hidden="false" customHeight="true" outlineLevel="0" collapsed="false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</row>
    <row r="248" customFormat="false" ht="15" hidden="false" customHeight="true" outlineLevel="0" collapsed="false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</row>
    <row r="249" customFormat="false" ht="15" hidden="false" customHeight="true" outlineLevel="0" collapsed="false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</row>
    <row r="250" customFormat="false" ht="15" hidden="false" customHeight="true" outlineLevel="0" collapsed="false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</row>
    <row r="251" customFormat="false" ht="15" hidden="false" customHeight="true" outlineLevel="0" collapsed="false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</row>
    <row r="252" customFormat="false" ht="15" hidden="false" customHeight="true" outlineLevel="0" collapsed="false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</row>
    <row r="253" customFormat="false" ht="15" hidden="false" customHeight="true" outlineLevel="0" collapsed="false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</row>
    <row r="254" customFormat="false" ht="15" hidden="false" customHeight="true" outlineLevel="0" collapsed="false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</row>
    <row r="255" customFormat="false" ht="15" hidden="false" customHeight="true" outlineLevel="0" collapsed="false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</row>
    <row r="256" customFormat="false" ht="15" hidden="false" customHeight="true" outlineLevel="0" collapsed="false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</row>
    <row r="257" customFormat="false" ht="15" hidden="false" customHeight="true" outlineLevel="0" collapsed="false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</row>
    <row r="258" customFormat="false" ht="15" hidden="false" customHeight="true" outlineLevel="0" collapsed="false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</row>
    <row r="259" customFormat="false" ht="15" hidden="false" customHeight="true" outlineLevel="0" collapsed="false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</row>
    <row r="260" customFormat="false" ht="15" hidden="false" customHeight="true" outlineLevel="0" collapsed="false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</row>
    <row r="261" customFormat="false" ht="15" hidden="false" customHeight="true" outlineLevel="0" collapsed="false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</row>
    <row r="262" customFormat="false" ht="15" hidden="false" customHeight="true" outlineLevel="0" collapsed="false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</row>
    <row r="263" customFormat="false" ht="15" hidden="false" customHeight="true" outlineLevel="0" collapsed="false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</row>
    <row r="264" customFormat="false" ht="15" hidden="false" customHeight="true" outlineLevel="0" collapsed="false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</row>
    <row r="265" customFormat="false" ht="15" hidden="false" customHeight="true" outlineLevel="0" collapsed="false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</row>
    <row r="266" customFormat="false" ht="15" hidden="false" customHeight="true" outlineLevel="0" collapsed="false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</row>
    <row r="267" customFormat="false" ht="15" hidden="false" customHeight="true" outlineLevel="0" collapsed="false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</row>
    <row r="268" customFormat="false" ht="15" hidden="false" customHeight="true" outlineLevel="0" collapsed="false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</row>
    <row r="269" customFormat="false" ht="15" hidden="false" customHeight="true" outlineLevel="0" collapsed="false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</row>
    <row r="270" customFormat="false" ht="15" hidden="false" customHeight="true" outlineLevel="0" collapsed="false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</row>
    <row r="271" customFormat="false" ht="15" hidden="false" customHeight="true" outlineLevel="0" collapsed="false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</row>
    <row r="272" customFormat="false" ht="15" hidden="false" customHeight="true" outlineLevel="0" collapsed="false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</row>
    <row r="273" customFormat="false" ht="15" hidden="false" customHeight="true" outlineLevel="0" collapsed="false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</row>
    <row r="274" customFormat="false" ht="15" hidden="false" customHeight="true" outlineLevel="0" collapsed="false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</row>
    <row r="275" customFormat="false" ht="15" hidden="false" customHeight="true" outlineLevel="0" collapsed="false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</row>
    <row r="276" customFormat="false" ht="15" hidden="false" customHeight="true" outlineLevel="0" collapsed="false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</row>
    <row r="277" customFormat="false" ht="15" hidden="false" customHeight="true" outlineLevel="0" collapsed="false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</row>
    <row r="278" customFormat="false" ht="15" hidden="false" customHeight="true" outlineLevel="0" collapsed="false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</row>
    <row r="279" customFormat="false" ht="15" hidden="false" customHeight="true" outlineLevel="0" collapsed="false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</row>
    <row r="280" customFormat="false" ht="15" hidden="false" customHeight="true" outlineLevel="0" collapsed="false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</row>
    <row r="281" customFormat="false" ht="15" hidden="false" customHeight="true" outlineLevel="0" collapsed="false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</row>
    <row r="282" customFormat="false" ht="15" hidden="false" customHeight="true" outlineLevel="0" collapsed="false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</row>
    <row r="283" customFormat="false" ht="15" hidden="false" customHeight="true" outlineLevel="0" collapsed="false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</row>
    <row r="284" customFormat="false" ht="15" hidden="false" customHeight="true" outlineLevel="0" collapsed="false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</row>
    <row r="285" customFormat="false" ht="15" hidden="false" customHeight="true" outlineLevel="0" collapsed="false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</row>
    <row r="286" customFormat="false" ht="15" hidden="false" customHeight="true" outlineLevel="0" collapsed="false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</row>
    <row r="287" customFormat="false" ht="15" hidden="false" customHeight="true" outlineLevel="0" collapsed="false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</row>
    <row r="288" customFormat="false" ht="15" hidden="false" customHeight="true" outlineLevel="0" collapsed="false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</row>
    <row r="289" customFormat="false" ht="15" hidden="false" customHeight="true" outlineLevel="0" collapsed="false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customFormat="false" ht="15" hidden="false" customHeight="true" outlineLevel="0" collapsed="false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customFormat="false" ht="15" hidden="false" customHeight="true" outlineLevel="0" collapsed="false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customFormat="false" ht="15" hidden="false" customHeight="true" outlineLevel="0" collapsed="false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customFormat="false" ht="15" hidden="false" customHeight="true" outlineLevel="0" collapsed="false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customFormat="false" ht="15" hidden="false" customHeight="true" outlineLevel="0" collapsed="false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customFormat="false" ht="15" hidden="false" customHeight="true" outlineLevel="0" collapsed="false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customFormat="false" ht="15" hidden="false" customHeight="true" outlineLevel="0" collapsed="false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customFormat="false" ht="15" hidden="false" customHeight="true" outlineLevel="0" collapsed="false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customFormat="false" ht="15" hidden="false" customHeight="true" outlineLevel="0" collapsed="false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customFormat="false" ht="15" hidden="false" customHeight="true" outlineLevel="0" collapsed="false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customFormat="false" ht="15" hidden="false" customHeight="true" outlineLevel="0" collapsed="false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customFormat="false" ht="15" hidden="false" customHeight="true" outlineLevel="0" collapsed="false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customFormat="false" ht="15" hidden="false" customHeight="true" outlineLevel="0" collapsed="false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customFormat="false" ht="15" hidden="false" customHeight="true" outlineLevel="0" collapsed="false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customFormat="false" ht="15" hidden="false" customHeight="true" outlineLevel="0" collapsed="false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customFormat="false" ht="15" hidden="false" customHeight="true" outlineLevel="0" collapsed="false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customFormat="false" ht="15" hidden="false" customHeight="true" outlineLevel="0" collapsed="false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customFormat="false" ht="15" hidden="false" customHeight="true" outlineLevel="0" collapsed="false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customFormat="false" ht="15" hidden="false" customHeight="true" outlineLevel="0" collapsed="false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customFormat="false" ht="15" hidden="false" customHeight="true" outlineLevel="0" collapsed="false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</row>
    <row r="310" customFormat="false" ht="15" hidden="false" customHeight="true" outlineLevel="0" collapsed="false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</row>
    <row r="311" customFormat="false" ht="15" hidden="false" customHeight="true" outlineLevel="0" collapsed="false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</row>
    <row r="312" customFormat="false" ht="15" hidden="false" customHeight="true" outlineLevel="0" collapsed="false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</row>
    <row r="313" customFormat="false" ht="15" hidden="false" customHeight="true" outlineLevel="0" collapsed="false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</row>
    <row r="314" customFormat="false" ht="15" hidden="false" customHeight="true" outlineLevel="0" collapsed="false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</row>
    <row r="315" customFormat="false" ht="15" hidden="false" customHeight="true" outlineLevel="0" collapsed="false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</row>
    <row r="316" customFormat="false" ht="15" hidden="false" customHeight="true" outlineLevel="0" collapsed="false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</row>
    <row r="317" customFormat="false" ht="15" hidden="false" customHeight="true" outlineLevel="0" collapsed="false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</row>
    <row r="318" customFormat="false" ht="15" hidden="false" customHeight="true" outlineLevel="0" collapsed="false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</row>
    <row r="319" customFormat="false" ht="15" hidden="false" customHeight="true" outlineLevel="0" collapsed="false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</row>
    <row r="320" customFormat="false" ht="15" hidden="false" customHeight="true" outlineLevel="0" collapsed="false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</row>
    <row r="321" customFormat="false" ht="15" hidden="false" customHeight="true" outlineLevel="0" collapsed="false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</row>
    <row r="322" customFormat="false" ht="15" hidden="false" customHeight="true" outlineLevel="0" collapsed="false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</row>
    <row r="323" customFormat="false" ht="15" hidden="false" customHeight="true" outlineLevel="0" collapsed="false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</row>
    <row r="324" customFormat="false" ht="15" hidden="false" customHeight="true" outlineLevel="0" collapsed="false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</row>
    <row r="325" customFormat="false" ht="15" hidden="false" customHeight="true" outlineLevel="0" collapsed="false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</row>
    <row r="326" customFormat="false" ht="15" hidden="false" customHeight="true" outlineLevel="0" collapsed="false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</row>
    <row r="327" customFormat="false" ht="15" hidden="false" customHeight="true" outlineLevel="0" collapsed="false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</row>
    <row r="328" customFormat="false" ht="15" hidden="false" customHeight="true" outlineLevel="0" collapsed="false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</row>
    <row r="329" customFormat="false" ht="15" hidden="false" customHeight="true" outlineLevel="0" collapsed="false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</row>
    <row r="330" customFormat="false" ht="15" hidden="false" customHeight="true" outlineLevel="0" collapsed="false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</row>
    <row r="331" customFormat="false" ht="15" hidden="false" customHeight="true" outlineLevel="0" collapsed="false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</row>
    <row r="332" customFormat="false" ht="15" hidden="false" customHeight="true" outlineLevel="0" collapsed="false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</row>
    <row r="333" customFormat="false" ht="15" hidden="false" customHeight="true" outlineLevel="0" collapsed="false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</row>
    <row r="334" customFormat="false" ht="15" hidden="false" customHeight="true" outlineLevel="0" collapsed="false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</row>
    <row r="335" customFormat="false" ht="15" hidden="false" customHeight="true" outlineLevel="0" collapsed="false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</row>
    <row r="336" customFormat="false" ht="15" hidden="false" customHeight="true" outlineLevel="0" collapsed="false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</row>
    <row r="337" customFormat="false" ht="15" hidden="false" customHeight="true" outlineLevel="0" collapsed="false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</row>
    <row r="338" customFormat="false" ht="15" hidden="false" customHeight="true" outlineLevel="0" collapsed="false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</row>
    <row r="339" customFormat="false" ht="15" hidden="false" customHeight="true" outlineLevel="0" collapsed="false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</row>
    <row r="340" customFormat="false" ht="15" hidden="false" customHeight="true" outlineLevel="0" collapsed="false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</row>
    <row r="341" customFormat="false" ht="15" hidden="false" customHeight="true" outlineLevel="0" collapsed="false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</row>
    <row r="342" customFormat="false" ht="15" hidden="false" customHeight="true" outlineLevel="0" collapsed="false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</row>
    <row r="343" customFormat="false" ht="15" hidden="false" customHeight="true" outlineLevel="0" collapsed="false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</row>
    <row r="344" customFormat="false" ht="15" hidden="false" customHeight="true" outlineLevel="0" collapsed="false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</row>
    <row r="345" customFormat="false" ht="15" hidden="false" customHeight="true" outlineLevel="0" collapsed="false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</row>
    <row r="346" customFormat="false" ht="15" hidden="false" customHeight="true" outlineLevel="0" collapsed="false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</row>
    <row r="347" customFormat="false" ht="15" hidden="false" customHeight="true" outlineLevel="0" collapsed="false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</row>
    <row r="348" customFormat="false" ht="15" hidden="false" customHeight="true" outlineLevel="0" collapsed="false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</row>
    <row r="349" customFormat="false" ht="15" hidden="false" customHeight="true" outlineLevel="0" collapsed="false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</row>
    <row r="350" customFormat="false" ht="15" hidden="false" customHeight="true" outlineLevel="0" collapsed="false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</row>
    <row r="351" customFormat="false" ht="15" hidden="false" customHeight="true" outlineLevel="0" collapsed="false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</row>
    <row r="352" customFormat="false" ht="15" hidden="false" customHeight="true" outlineLevel="0" collapsed="false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</row>
    <row r="353" customFormat="false" ht="15" hidden="false" customHeight="true" outlineLevel="0" collapsed="false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</row>
    <row r="354" customFormat="false" ht="15" hidden="false" customHeight="true" outlineLevel="0" collapsed="false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</row>
    <row r="355" customFormat="false" ht="15" hidden="false" customHeight="true" outlineLevel="0" collapsed="false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</row>
    <row r="356" customFormat="false" ht="15" hidden="false" customHeight="true" outlineLevel="0" collapsed="false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</row>
    <row r="357" customFormat="false" ht="15" hidden="false" customHeight="true" outlineLevel="0" collapsed="false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</row>
    <row r="358" customFormat="false" ht="15" hidden="false" customHeight="true" outlineLevel="0" collapsed="false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</row>
    <row r="359" customFormat="false" ht="15" hidden="false" customHeight="true" outlineLevel="0" collapsed="false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</row>
    <row r="360" customFormat="false" ht="15" hidden="false" customHeight="true" outlineLevel="0" collapsed="false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</row>
    <row r="361" customFormat="false" ht="15" hidden="false" customHeight="true" outlineLevel="0" collapsed="false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</row>
    <row r="362" customFormat="false" ht="15" hidden="false" customHeight="true" outlineLevel="0" collapsed="false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</row>
    <row r="363" customFormat="false" ht="15" hidden="false" customHeight="true" outlineLevel="0" collapsed="false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</row>
    <row r="364" customFormat="false" ht="15" hidden="false" customHeight="true" outlineLevel="0" collapsed="false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</row>
    <row r="365" customFormat="false" ht="15" hidden="false" customHeight="true" outlineLevel="0" collapsed="false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</row>
    <row r="366" customFormat="false" ht="15" hidden="false" customHeight="true" outlineLevel="0" collapsed="false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</row>
    <row r="367" customFormat="false" ht="15" hidden="false" customHeight="true" outlineLevel="0" collapsed="false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</row>
    <row r="368" customFormat="false" ht="15" hidden="false" customHeight="true" outlineLevel="0" collapsed="false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</row>
    <row r="369" customFormat="false" ht="15" hidden="false" customHeight="true" outlineLevel="0" collapsed="false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</row>
    <row r="370" customFormat="false" ht="15" hidden="false" customHeight="true" outlineLevel="0" collapsed="false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</row>
    <row r="371" customFormat="false" ht="15" hidden="false" customHeight="true" outlineLevel="0" collapsed="false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</row>
    <row r="372" customFormat="false" ht="15" hidden="false" customHeight="true" outlineLevel="0" collapsed="false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</row>
    <row r="373" customFormat="false" ht="15" hidden="false" customHeight="true" outlineLevel="0" collapsed="false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</row>
    <row r="374" customFormat="false" ht="15" hidden="false" customHeight="true" outlineLevel="0" collapsed="false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</row>
    <row r="375" customFormat="false" ht="15" hidden="false" customHeight="true" outlineLevel="0" collapsed="false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</row>
    <row r="376" customFormat="false" ht="15" hidden="false" customHeight="true" outlineLevel="0" collapsed="false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</row>
    <row r="377" customFormat="false" ht="15" hidden="false" customHeight="true" outlineLevel="0" collapsed="false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</row>
    <row r="378" customFormat="false" ht="15" hidden="false" customHeight="true" outlineLevel="0" collapsed="false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</row>
    <row r="379" customFormat="false" ht="15" hidden="false" customHeight="true" outlineLevel="0" collapsed="false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</row>
    <row r="380" customFormat="false" ht="15" hidden="false" customHeight="true" outlineLevel="0" collapsed="false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</row>
    <row r="381" customFormat="false" ht="15" hidden="false" customHeight="true" outlineLevel="0" collapsed="false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</row>
    <row r="382" customFormat="false" ht="15" hidden="false" customHeight="true" outlineLevel="0" collapsed="false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</row>
    <row r="383" customFormat="false" ht="15" hidden="false" customHeight="true" outlineLevel="0" collapsed="false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</row>
    <row r="384" customFormat="false" ht="15" hidden="false" customHeight="true" outlineLevel="0" collapsed="false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</row>
    <row r="385" customFormat="false" ht="15" hidden="false" customHeight="true" outlineLevel="0" collapsed="false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</row>
    <row r="386" customFormat="false" ht="15" hidden="false" customHeight="true" outlineLevel="0" collapsed="false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</row>
    <row r="387" customFormat="false" ht="15" hidden="false" customHeight="true" outlineLevel="0" collapsed="false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</row>
    <row r="388" customFormat="false" ht="15" hidden="false" customHeight="true" outlineLevel="0" collapsed="false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</row>
    <row r="389" customFormat="false" ht="15" hidden="false" customHeight="true" outlineLevel="0" collapsed="false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</row>
    <row r="390" customFormat="false" ht="15" hidden="false" customHeight="true" outlineLevel="0" collapsed="false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</row>
    <row r="391" customFormat="false" ht="15" hidden="false" customHeight="true" outlineLevel="0" collapsed="false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</row>
    <row r="392" customFormat="false" ht="15" hidden="false" customHeight="true" outlineLevel="0" collapsed="false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</row>
    <row r="393" customFormat="false" ht="15" hidden="false" customHeight="true" outlineLevel="0" collapsed="false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</row>
    <row r="394" customFormat="false" ht="15" hidden="false" customHeight="true" outlineLevel="0" collapsed="false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</row>
    <row r="395" customFormat="false" ht="15" hidden="false" customHeight="true" outlineLevel="0" collapsed="false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</row>
    <row r="396" customFormat="false" ht="15" hidden="false" customHeight="true" outlineLevel="0" collapsed="false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</row>
    <row r="397" customFormat="false" ht="15" hidden="false" customHeight="true" outlineLevel="0" collapsed="false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</row>
    <row r="398" customFormat="false" ht="15" hidden="false" customHeight="true" outlineLevel="0" collapsed="false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</row>
    <row r="399" customFormat="false" ht="15" hidden="false" customHeight="true" outlineLevel="0" collapsed="false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</row>
    <row r="400" customFormat="false" ht="15" hidden="false" customHeight="true" outlineLevel="0" collapsed="false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</row>
    <row r="401" customFormat="false" ht="15" hidden="false" customHeight="true" outlineLevel="0" collapsed="false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</row>
    <row r="402" customFormat="false" ht="15" hidden="false" customHeight="true" outlineLevel="0" collapsed="false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</row>
    <row r="403" customFormat="false" ht="15" hidden="false" customHeight="true" outlineLevel="0" collapsed="false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</row>
    <row r="404" customFormat="false" ht="15" hidden="false" customHeight="true" outlineLevel="0" collapsed="false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</row>
    <row r="405" customFormat="false" ht="15" hidden="false" customHeight="true" outlineLevel="0" collapsed="false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</row>
    <row r="406" customFormat="false" ht="15" hidden="false" customHeight="true" outlineLevel="0" collapsed="false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</row>
    <row r="407" customFormat="false" ht="15" hidden="false" customHeight="true" outlineLevel="0" collapsed="false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</row>
    <row r="408" customFormat="false" ht="15" hidden="false" customHeight="true" outlineLevel="0" collapsed="false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</row>
    <row r="410" customFormat="false" ht="15" hidden="false" customHeight="false" outlineLevel="0" collapsed="false">
      <c r="BR410" s="11" t="s">
        <v>299</v>
      </c>
    </row>
  </sheetData>
  <autoFilter ref="A7:L7"/>
  <mergeCells count="6">
    <mergeCell ref="A1:L1"/>
    <mergeCell ref="A2:L2"/>
    <mergeCell ref="B6:D6"/>
    <mergeCell ref="E6:G6"/>
    <mergeCell ref="H6:I6"/>
    <mergeCell ref="J6:K6"/>
  </mergeCells>
  <printOptions headings="false" gridLines="false" gridLinesSet="true" horizontalCentered="true" verticalCentered="false"/>
  <pageMargins left="0.35" right="0.35" top="0.4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Affaire 2024_06_264 - REPORTS - TOUT OU RIEN (%MX)&amp;C&amp;7 &amp;D&amp;R&amp;7 page &amp;P /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6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.4"/>
    <col collapsed="false" customWidth="true" hidden="false" outlineLevel="0" max="7" min="3" style="0" width="6"/>
    <col collapsed="false" customWidth="true" hidden="false" outlineLevel="0" max="10" min="8" style="0" width="6.9"/>
    <col collapsed="false" customWidth="true" hidden="false" outlineLevel="0" max="11" min="11" style="0" width="6"/>
    <col collapsed="false" customWidth="true" hidden="false" outlineLevel="0" max="12" min="12" style="0" width="28"/>
  </cols>
  <sheetData>
    <row r="1" customFormat="false" ht="25.5" hidden="false" customHeight="true" outlineLevel="0" collapsed="false">
      <c r="A1" s="1" t="s">
        <v>300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287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.75" hidden="false" customHeight="true" outlineLevel="0" collapsed="false">
      <c r="A4" s="3" t="s">
        <v>6</v>
      </c>
      <c r="B4" s="4" t="s">
        <v>7</v>
      </c>
      <c r="D4" s="3" t="s">
        <v>8</v>
      </c>
      <c r="E4" s="4" t="s">
        <v>9</v>
      </c>
    </row>
    <row r="6" customFormat="false" ht="15" hidden="false" customHeight="true" outlineLevel="0" collapsed="false">
      <c r="B6" s="16" t="s">
        <v>265</v>
      </c>
      <c r="C6" s="16"/>
      <c r="D6" s="17" t="s">
        <v>221</v>
      </c>
      <c r="E6" s="17"/>
      <c r="F6" s="17"/>
      <c r="H6" s="18" t="s">
        <v>288</v>
      </c>
      <c r="I6" s="18"/>
      <c r="J6" s="33" t="s">
        <v>289</v>
      </c>
      <c r="K6" s="33"/>
    </row>
    <row r="7" customFormat="false" ht="30" hidden="false" customHeight="true" outlineLevel="0" collapsed="false">
      <c r="A7" s="20" t="s">
        <v>151</v>
      </c>
      <c r="B7" s="20" t="s">
        <v>301</v>
      </c>
      <c r="C7" s="20" t="s">
        <v>302</v>
      </c>
      <c r="D7" s="20" t="s">
        <v>292</v>
      </c>
      <c r="E7" s="20" t="s">
        <v>293</v>
      </c>
      <c r="F7" s="20" t="s">
        <v>294</v>
      </c>
      <c r="G7" s="20" t="s">
        <v>303</v>
      </c>
      <c r="H7" s="20" t="s">
        <v>295</v>
      </c>
      <c r="I7" s="20" t="s">
        <v>296</v>
      </c>
      <c r="J7" s="20" t="s">
        <v>295</v>
      </c>
      <c r="K7" s="20" t="s">
        <v>297</v>
      </c>
      <c r="L7" s="20" t="s">
        <v>81</v>
      </c>
    </row>
    <row r="8" customFormat="false" ht="12.75" hidden="false" customHeight="true" outlineLevel="0" collapsed="false">
      <c r="A8" s="21"/>
      <c r="B8" s="21"/>
      <c r="C8" s="21" t="s">
        <v>304</v>
      </c>
      <c r="D8" s="21"/>
      <c r="E8" s="21"/>
      <c r="F8" s="21"/>
      <c r="G8" s="21"/>
      <c r="H8" s="21"/>
      <c r="I8" s="21"/>
      <c r="J8" s="21"/>
      <c r="K8" s="21"/>
      <c r="L8" s="21"/>
    </row>
    <row r="9" customFormat="false" ht="15" hidden="false" customHeight="true" outlineLevel="0" collapsed="false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customFormat="false" ht="15" hidden="false" customHeight="true" outlineLevel="0" collapsed="false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customFormat="false" ht="15" hidden="false" customHeight="true" outlineLevel="0" collapsed="false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customFormat="false" ht="15" hidden="false" customHeight="true" outlineLevel="0" collapsed="false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customFormat="false" ht="15" hidden="false" customHeight="true" outlineLevel="0" collapsed="false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customFormat="false" ht="15" hidden="false" customHeight="true" outlineLevel="0" collapsed="false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customFormat="false" ht="15" hidden="false" customHeight="true" outlineLevel="0" collapsed="false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customFormat="false" ht="15" hidden="false" customHeight="true" outlineLevel="0" collapsed="false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customFormat="false" ht="15" hidden="false" customHeight="true" outlineLevel="0" collapsed="false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customFormat="false" ht="15" hidden="false" customHeight="true" outlineLevel="0" collapsed="false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customFormat="false" ht="15" hidden="false" customHeight="true" outlineLevel="0" collapsed="false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customFormat="false" ht="15" hidden="false" customHeight="true" outlineLevel="0" collapsed="false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customFormat="false" ht="15" hidden="false" customHeight="true" outlineLevel="0" collapsed="false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customFormat="false" ht="15" hidden="false" customHeight="true" outlineLevel="0" collapsed="false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customFormat="false" ht="15" hidden="false" customHeight="true" outlineLevel="0" collapsed="false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customFormat="false" ht="15" hidden="false" customHeight="true" outlineLevel="0" collapsed="false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customFormat="false" ht="15" hidden="false" customHeight="true" outlineLevel="0" collapsed="false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customFormat="false" ht="15" hidden="false" customHeight="true" outlineLevel="0" collapsed="false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customFormat="false" ht="15" hidden="false" customHeight="true" outlineLevel="0" collapsed="false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customFormat="false" ht="15" hidden="false" customHeight="true" outlineLevel="0" collapsed="false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customFormat="false" ht="15" hidden="false" customHeight="true" outlineLevel="0" collapsed="false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customFormat="false" ht="15" hidden="false" customHeight="true" outlineLevel="0" collapsed="false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customFormat="false" ht="15" hidden="false" customHeight="true" outlineLevel="0" collapsed="false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customFormat="false" ht="15" hidden="false" customHeight="true" outlineLevel="0" collapsed="false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customFormat="false" ht="15" hidden="false" customHeight="true" outlineLevel="0" collapsed="false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customFormat="false" ht="15" hidden="false" customHeight="true" outlineLevel="0" collapsed="false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customFormat="false" ht="15" hidden="false" customHeight="true" outlineLevel="0" collapsed="false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customFormat="false" ht="15" hidden="false" customHeight="true" outlineLevel="0" collapsed="false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customFormat="false" ht="15" hidden="false" customHeight="true" outlineLevel="0" collapsed="false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customFormat="false" ht="1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customFormat="false" ht="15" hidden="false" customHeight="true" outlineLevel="0" collapsed="false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customFormat="false" ht="15" hidden="false" customHeight="true" outlineLevel="0" collapsed="false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customFormat="false" ht="15" hidden="false" customHeight="true" outlineLevel="0" collapsed="false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customFormat="false" ht="15" hidden="false" customHeight="true" outlineLevel="0" collapsed="false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customFormat="false" ht="15" hidden="false" customHeight="true" outlineLevel="0" collapsed="false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customFormat="false" ht="15" hidden="false" customHeight="true" outlineLevel="0" collapsed="false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customFormat="false" ht="15" hidden="false" customHeight="tru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customFormat="false" ht="15" hidden="false" customHeight="tru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customFormat="false" ht="15" hidden="false" customHeight="tru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customFormat="false" ht="15" hidden="false" customHeight="true" outlineLevel="0" collapsed="false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customFormat="false" ht="15" hidden="false" customHeight="true" outlineLevel="0" collapsed="false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customFormat="false" ht="15" hidden="false" customHeight="true" outlineLevel="0" collapsed="false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customFormat="false" ht="15" hidden="false" customHeight="true" outlineLevel="0" collapsed="false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customFormat="false" ht="15" hidden="false" customHeight="true" outlineLevel="0" collapsed="false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customFormat="false" ht="15" hidden="false" customHeight="true" outlineLevel="0" collapsed="false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customFormat="false" ht="15" hidden="false" customHeight="true" outlineLevel="0" collapsed="false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customFormat="false" ht="15" hidden="false" customHeight="true" outlineLevel="0" collapsed="false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customFormat="false" ht="15" hidden="false" customHeight="true" outlineLevel="0" collapsed="false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customFormat="false" ht="15" hidden="false" customHeight="true" outlineLevel="0" collapsed="false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customFormat="false" ht="15" hidden="false" customHeight="true" outlineLevel="0" collapsed="false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customFormat="false" ht="15" hidden="false" customHeight="true" outlineLevel="0" collapsed="false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customFormat="false" ht="15" hidden="false" customHeight="true" outlineLevel="0" collapsed="false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customFormat="false" ht="15" hidden="false" customHeight="true" outlineLevel="0" collapsed="false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customFormat="false" ht="15" hidden="false" customHeight="true" outlineLevel="0" collapsed="false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customFormat="false" ht="15" hidden="false" customHeight="true" outlineLevel="0" collapsed="false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customFormat="false" ht="15" hidden="false" customHeight="true" outlineLevel="0" collapsed="false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customFormat="false" ht="15" hidden="false" customHeight="true" outlineLevel="0" collapsed="false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customFormat="false" ht="15" hidden="false" customHeight="true" outlineLevel="0" collapsed="false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customFormat="false" ht="15" hidden="false" customHeight="true" outlineLevel="0" collapsed="false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customFormat="false" ht="15" hidden="false" customHeight="true" outlineLevel="0" collapsed="false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customFormat="false" ht="15" hidden="false" customHeight="true" outlineLevel="0" collapsed="false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 customFormat="false" ht="15" hidden="false" customHeight="true" outlineLevel="0" collapsed="false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customFormat="false" ht="15" hidden="false" customHeight="true" outlineLevel="0" collapsed="false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customFormat="false" ht="15" hidden="false" customHeight="true" outlineLevel="0" collapsed="false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customFormat="false" ht="15" hidden="false" customHeight="true" outlineLevel="0" collapsed="false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customFormat="false" ht="15" hidden="false" customHeight="true" outlineLevel="0" collapsed="false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customFormat="false" ht="15" hidden="false" customHeight="true" outlineLevel="0" collapsed="false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customFormat="false" ht="15" hidden="false" customHeight="true" outlineLevel="0" collapsed="false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customFormat="false" ht="15" hidden="false" customHeight="true" outlineLevel="0" collapsed="false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customFormat="false" ht="15" hidden="false" customHeight="tru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customFormat="false" ht="15" hidden="false" customHeight="true" outlineLevel="0" collapsed="false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customFormat="false" ht="15" hidden="false" customHeight="true" outlineLevel="0" collapsed="false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customFormat="false" ht="15" hidden="false" customHeight="true" outlineLevel="0" collapsed="false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customFormat="false" ht="15" hidden="false" customHeight="true" outlineLevel="0" collapsed="false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 customFormat="false" ht="15" hidden="false" customHeight="true" outlineLevel="0" collapsed="false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customFormat="false" ht="15" hidden="false" customHeight="true" outlineLevel="0" collapsed="false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customFormat="false" ht="15" hidden="false" customHeight="true" outlineLevel="0" collapsed="false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customFormat="false" ht="15" hidden="false" customHeight="true" outlineLevel="0" collapsed="false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customFormat="false" ht="15" hidden="false" customHeight="true" outlineLevel="0" collapsed="false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customFormat="false" ht="15" hidden="false" customHeight="true" outlineLevel="0" collapsed="false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customFormat="false" ht="15" hidden="false" customHeight="true" outlineLevel="0" collapsed="false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customFormat="false" ht="15" hidden="false" customHeight="true" outlineLevel="0" collapsed="false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customFormat="false" ht="15" hidden="false" customHeight="true" outlineLevel="0" collapsed="false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customFormat="false" ht="15" hidden="false" customHeight="true" outlineLevel="0" collapsed="false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customFormat="false" ht="15" hidden="false" customHeight="true" outlineLevel="0" collapsed="false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customFormat="false" ht="15" hidden="false" customHeight="true" outlineLevel="0" collapsed="false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customFormat="false" ht="15" hidden="false" customHeight="true" outlineLevel="0" collapsed="false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customFormat="false" ht="15" hidden="false" customHeight="true" outlineLevel="0" collapsed="false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customFormat="false" ht="15" hidden="false" customHeight="true" outlineLevel="0" collapsed="false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customFormat="false" ht="15" hidden="false" customHeight="true" outlineLevel="0" collapsed="false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customFormat="false" ht="15" hidden="false" customHeight="true" outlineLevel="0" collapsed="false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customFormat="false" ht="15" hidden="false" customHeight="true" outlineLevel="0" collapsed="false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customFormat="false" ht="15" hidden="false" customHeight="true" outlineLevel="0" collapsed="false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customFormat="false" ht="15" hidden="false" customHeight="true" outlineLevel="0" collapsed="false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customFormat="false" ht="15" hidden="false" customHeight="true" outlineLevel="0" collapsed="false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customFormat="false" ht="15" hidden="false" customHeight="true" outlineLevel="0" collapsed="false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customFormat="false" ht="15" hidden="false" customHeight="true" outlineLevel="0" collapsed="false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customFormat="false" ht="15" hidden="false" customHeight="true" outlineLevel="0" collapsed="false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customFormat="false" ht="15" hidden="false" customHeight="true" outlineLevel="0" collapsed="false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customFormat="false" ht="15" hidden="false" customHeight="true" outlineLevel="0" collapsed="false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customFormat="false" ht="15" hidden="false" customHeight="true" outlineLevel="0" collapsed="false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customFormat="false" ht="15" hidden="false" customHeight="true" outlineLevel="0" collapsed="false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customFormat="false" ht="15" hidden="false" customHeight="true" outlineLevel="0" collapsed="false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customFormat="false" ht="15" hidden="false" customHeight="true" outlineLevel="0" collapsed="false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customFormat="false" ht="15" hidden="false" customHeight="true" outlineLevel="0" collapsed="false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customFormat="false" ht="15" hidden="false" customHeight="true" outlineLevel="0" collapsed="false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customFormat="false" ht="15" hidden="false" customHeight="true" outlineLevel="0" collapsed="false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customFormat="false" ht="15" hidden="false" customHeight="true" outlineLevel="0" collapsed="false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customFormat="false" ht="15" hidden="false" customHeight="true" outlineLevel="0" collapsed="false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customFormat="false" ht="15" hidden="false" customHeight="true" outlineLevel="0" collapsed="false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customFormat="false" ht="15" hidden="false" customHeight="true" outlineLevel="0" collapsed="false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customFormat="false" ht="15" hidden="false" customHeight="true" outlineLevel="0" collapsed="false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customFormat="false" ht="15" hidden="false" customHeight="true" outlineLevel="0" collapsed="false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customFormat="false" ht="15" hidden="false" customHeight="true" outlineLevel="0" collapsed="false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customFormat="false" ht="15" hidden="false" customHeight="true" outlineLevel="0" collapsed="false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customFormat="false" ht="15" hidden="false" customHeight="true" outlineLevel="0" collapsed="false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customFormat="false" ht="15" hidden="false" customHeight="true" outlineLevel="0" collapsed="false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customFormat="false" ht="15" hidden="false" customHeight="true" outlineLevel="0" collapsed="false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customFormat="false" ht="15" hidden="false" customHeight="true" outlineLevel="0" collapsed="false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customFormat="false" ht="15" hidden="false" customHeight="true" outlineLevel="0" collapsed="false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customFormat="false" ht="15" hidden="false" customHeight="true" outlineLevel="0" collapsed="false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customFormat="false" ht="15" hidden="false" customHeight="true" outlineLevel="0" collapsed="false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customFormat="false" ht="15" hidden="false" customHeight="true" outlineLevel="0" collapsed="false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customFormat="false" ht="15" hidden="false" customHeight="true" outlineLevel="0" collapsed="false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customFormat="false" ht="15" hidden="false" customHeight="true" outlineLevel="0" collapsed="false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customFormat="false" ht="15" hidden="false" customHeight="true" outlineLevel="0" collapsed="false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customFormat="false" ht="15" hidden="false" customHeight="true" outlineLevel="0" collapsed="false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customFormat="false" ht="15" hidden="false" customHeight="true" outlineLevel="0" collapsed="false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customFormat="false" ht="15" hidden="false" customHeight="true" outlineLevel="0" collapsed="false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customFormat="false" ht="15" hidden="false" customHeight="true" outlineLevel="0" collapsed="false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customFormat="false" ht="15" hidden="false" customHeight="true" outlineLevel="0" collapsed="false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customFormat="false" ht="15" hidden="false" customHeight="true" outlineLevel="0" collapsed="false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customFormat="false" ht="15" hidden="false" customHeight="true" outlineLevel="0" collapsed="false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 customFormat="false" ht="15" hidden="false" customHeight="true" outlineLevel="0" collapsed="false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 customFormat="false" ht="15" hidden="false" customHeight="true" outlineLevel="0" collapsed="false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customFormat="false" ht="15" hidden="false" customHeight="true" outlineLevel="0" collapsed="false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customFormat="false" ht="15" hidden="false" customHeight="true" outlineLevel="0" collapsed="false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customFormat="false" ht="15" hidden="false" customHeight="true" outlineLevel="0" collapsed="false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customFormat="false" ht="15" hidden="false" customHeight="true" outlineLevel="0" collapsed="false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customFormat="false" ht="15" hidden="false" customHeight="true" outlineLevel="0" collapsed="false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customFormat="false" ht="15" hidden="false" customHeight="true" outlineLevel="0" collapsed="false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 customFormat="false" ht="15" hidden="false" customHeight="true" outlineLevel="0" collapsed="false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 customFormat="false" ht="15" hidden="false" customHeight="true" outlineLevel="0" collapsed="false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customFormat="false" ht="15" hidden="false" customHeight="true" outlineLevel="0" collapsed="false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customFormat="false" ht="15" hidden="false" customHeight="true" outlineLevel="0" collapsed="false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 customFormat="false" ht="15" hidden="false" customHeight="true" outlineLevel="0" collapsed="false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 customFormat="false" ht="15" hidden="false" customHeight="true" outlineLevel="0" collapsed="false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customFormat="false" ht="15" hidden="false" customHeight="true" outlineLevel="0" collapsed="false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customFormat="false" ht="15" hidden="false" customHeight="true" outlineLevel="0" collapsed="false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customFormat="false" ht="15" hidden="false" customHeight="true" outlineLevel="0" collapsed="false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</row>
    <row r="159" customFormat="false" ht="15" hidden="false" customHeight="true" outlineLevel="0" collapsed="false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</row>
    <row r="160" customFormat="false" ht="15" hidden="false" customHeight="true" outlineLevel="0" collapsed="false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</row>
    <row r="161" customFormat="false" ht="15" hidden="false" customHeight="true" outlineLevel="0" collapsed="false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</row>
    <row r="162" customFormat="false" ht="15" hidden="false" customHeight="true" outlineLevel="0" collapsed="false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  <row r="163" customFormat="false" ht="15" hidden="false" customHeight="true" outlineLevel="0" collapsed="false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</row>
    <row r="164" customFormat="false" ht="15" hidden="false" customHeight="true" outlineLevel="0" collapsed="false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</row>
    <row r="165" customFormat="false" ht="15" hidden="false" customHeight="true" outlineLevel="0" collapsed="false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</row>
    <row r="166" customFormat="false" ht="15" hidden="false" customHeight="true" outlineLevel="0" collapsed="false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</row>
    <row r="167" customFormat="false" ht="15" hidden="false" customHeight="true" outlineLevel="0" collapsed="false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</row>
    <row r="168" customFormat="false" ht="15" hidden="false" customHeight="true" outlineLevel="0" collapsed="false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</row>
    <row r="169" customFormat="false" ht="15" hidden="false" customHeight="true" outlineLevel="0" collapsed="false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</row>
    <row r="170" customFormat="false" ht="15" hidden="false" customHeight="true" outlineLevel="0" collapsed="false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</row>
    <row r="171" customFormat="false" ht="15" hidden="false" customHeight="true" outlineLevel="0" collapsed="false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</row>
    <row r="172" customFormat="false" ht="15" hidden="false" customHeight="true" outlineLevel="0" collapsed="false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</row>
    <row r="173" customFormat="false" ht="15" hidden="false" customHeight="true" outlineLevel="0" collapsed="false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</row>
    <row r="174" customFormat="false" ht="15" hidden="false" customHeight="true" outlineLevel="0" collapsed="false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</row>
    <row r="175" customFormat="false" ht="15" hidden="false" customHeight="true" outlineLevel="0" collapsed="false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</row>
    <row r="176" customFormat="false" ht="15" hidden="false" customHeight="true" outlineLevel="0" collapsed="false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</row>
    <row r="177" customFormat="false" ht="15" hidden="false" customHeight="true" outlineLevel="0" collapsed="false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</row>
    <row r="178" customFormat="false" ht="15" hidden="false" customHeight="true" outlineLevel="0" collapsed="false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</row>
    <row r="179" customFormat="false" ht="15" hidden="false" customHeight="true" outlineLevel="0" collapsed="false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</row>
    <row r="180" customFormat="false" ht="15" hidden="false" customHeight="true" outlineLevel="0" collapsed="false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</row>
    <row r="181" customFormat="false" ht="15" hidden="false" customHeight="true" outlineLevel="0" collapsed="false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</row>
    <row r="182" customFormat="false" ht="15" hidden="false" customHeight="true" outlineLevel="0" collapsed="false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</row>
    <row r="183" customFormat="false" ht="15" hidden="false" customHeight="true" outlineLevel="0" collapsed="false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</row>
    <row r="184" customFormat="false" ht="15" hidden="false" customHeight="true" outlineLevel="0" collapsed="false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</row>
    <row r="185" customFormat="false" ht="15" hidden="false" customHeight="true" outlineLevel="0" collapsed="false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</row>
    <row r="186" customFormat="false" ht="15" hidden="false" customHeight="true" outlineLevel="0" collapsed="false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</row>
    <row r="187" customFormat="false" ht="15" hidden="false" customHeight="true" outlineLevel="0" collapsed="false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</row>
    <row r="188" customFormat="false" ht="15" hidden="false" customHeight="true" outlineLevel="0" collapsed="false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</row>
    <row r="189" customFormat="false" ht="15" hidden="false" customHeight="true" outlineLevel="0" collapsed="false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</row>
    <row r="190" customFormat="false" ht="15" hidden="false" customHeight="true" outlineLevel="0" collapsed="false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</row>
    <row r="191" customFormat="false" ht="15" hidden="false" customHeight="true" outlineLevel="0" collapsed="false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</row>
    <row r="192" customFormat="false" ht="15" hidden="false" customHeight="true" outlineLevel="0" collapsed="false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</row>
    <row r="193" customFormat="false" ht="15" hidden="false" customHeight="true" outlineLevel="0" collapsed="false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</row>
    <row r="194" customFormat="false" ht="15" hidden="false" customHeight="true" outlineLevel="0" collapsed="false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</row>
    <row r="195" customFormat="false" ht="15" hidden="false" customHeight="true" outlineLevel="0" collapsed="false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</row>
    <row r="196" customFormat="false" ht="15" hidden="false" customHeight="true" outlineLevel="0" collapsed="false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</row>
    <row r="197" customFormat="false" ht="15" hidden="false" customHeight="true" outlineLevel="0" collapsed="false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</row>
    <row r="198" customFormat="false" ht="15" hidden="false" customHeight="tru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</row>
    <row r="199" customFormat="false" ht="15" hidden="false" customHeight="true" outlineLevel="0" collapsed="false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</row>
    <row r="200" customFormat="false" ht="15" hidden="false" customHeight="tru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</row>
    <row r="201" customFormat="false" ht="15" hidden="false" customHeight="true" outlineLevel="0" collapsed="false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</row>
    <row r="202" customFormat="false" ht="15" hidden="false" customHeight="true" outlineLevel="0" collapsed="false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</row>
    <row r="203" customFormat="false" ht="15" hidden="false" customHeight="true" outlineLevel="0" collapsed="false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</row>
    <row r="204" customFormat="false" ht="15" hidden="false" customHeight="true" outlineLevel="0" collapsed="false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</row>
    <row r="205" customFormat="false" ht="15" hidden="false" customHeight="true" outlineLevel="0" collapsed="false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</row>
    <row r="206" customFormat="false" ht="15" hidden="false" customHeight="true" outlineLevel="0" collapsed="false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</row>
    <row r="207" customFormat="false" ht="15" hidden="false" customHeight="true" outlineLevel="0" collapsed="false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</row>
    <row r="208" customFormat="false" ht="15" hidden="false" customHeight="true" outlineLevel="0" collapsed="false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</row>
    <row r="209" customFormat="false" ht="15" hidden="false" customHeight="true" outlineLevel="0" collapsed="false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</row>
    <row r="210" customFormat="false" ht="15" hidden="false" customHeight="true" outlineLevel="0" collapsed="false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</row>
    <row r="211" customFormat="false" ht="15" hidden="false" customHeight="true" outlineLevel="0" collapsed="false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</row>
    <row r="212" customFormat="false" ht="15" hidden="false" customHeight="true" outlineLevel="0" collapsed="false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</row>
    <row r="213" customFormat="false" ht="15" hidden="false" customHeight="true" outlineLevel="0" collapsed="false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</row>
    <row r="214" customFormat="false" ht="15" hidden="false" customHeight="true" outlineLevel="0" collapsed="false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</row>
    <row r="215" customFormat="false" ht="15" hidden="false" customHeight="true" outlineLevel="0" collapsed="false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</row>
    <row r="216" customFormat="false" ht="15" hidden="false" customHeight="true" outlineLevel="0" collapsed="false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</row>
    <row r="217" customFormat="false" ht="15" hidden="false" customHeight="true" outlineLevel="0" collapsed="false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</row>
    <row r="218" customFormat="false" ht="15" hidden="false" customHeight="true" outlineLevel="0" collapsed="false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</row>
    <row r="219" customFormat="false" ht="15" hidden="false" customHeight="true" outlineLevel="0" collapsed="false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</row>
    <row r="220" customFormat="false" ht="15" hidden="false" customHeight="true" outlineLevel="0" collapsed="false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</row>
    <row r="221" customFormat="false" ht="15" hidden="false" customHeight="true" outlineLevel="0" collapsed="false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</row>
    <row r="222" customFormat="false" ht="15" hidden="false" customHeight="true" outlineLevel="0" collapsed="false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</row>
    <row r="223" customFormat="false" ht="15" hidden="false" customHeight="true" outlineLevel="0" collapsed="false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</row>
    <row r="224" customFormat="false" ht="15" hidden="false" customHeight="true" outlineLevel="0" collapsed="false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</row>
    <row r="225" customFormat="false" ht="15" hidden="false" customHeight="true" outlineLevel="0" collapsed="false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</row>
    <row r="226" customFormat="false" ht="15" hidden="false" customHeight="true" outlineLevel="0" collapsed="false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</row>
    <row r="227" customFormat="false" ht="15" hidden="false" customHeight="true" outlineLevel="0" collapsed="false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</row>
    <row r="228" customFormat="false" ht="15" hidden="false" customHeight="true" outlineLevel="0" collapsed="false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</row>
    <row r="229" customFormat="false" ht="15" hidden="false" customHeight="true" outlineLevel="0" collapsed="false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</row>
    <row r="230" customFormat="false" ht="15" hidden="false" customHeight="true" outlineLevel="0" collapsed="false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</row>
    <row r="231" customFormat="false" ht="15" hidden="false" customHeight="true" outlineLevel="0" collapsed="false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</row>
    <row r="232" customFormat="false" ht="15" hidden="false" customHeight="true" outlineLevel="0" collapsed="false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</row>
    <row r="233" customFormat="false" ht="15" hidden="false" customHeight="true" outlineLevel="0" collapsed="false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</row>
    <row r="234" customFormat="false" ht="15" hidden="false" customHeight="true" outlineLevel="0" collapsed="false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</row>
    <row r="235" customFormat="false" ht="15" hidden="false" customHeight="true" outlineLevel="0" collapsed="false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</row>
    <row r="236" customFormat="false" ht="15" hidden="false" customHeight="true" outlineLevel="0" collapsed="false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</row>
    <row r="237" customFormat="false" ht="15" hidden="false" customHeight="true" outlineLevel="0" collapsed="false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</row>
    <row r="238" customFormat="false" ht="15" hidden="false" customHeight="true" outlineLevel="0" collapsed="false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</row>
    <row r="239" customFormat="false" ht="15" hidden="false" customHeight="true" outlineLevel="0" collapsed="false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</row>
    <row r="240" customFormat="false" ht="15" hidden="false" customHeight="true" outlineLevel="0" collapsed="false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</row>
    <row r="241" customFormat="false" ht="15" hidden="false" customHeight="true" outlineLevel="0" collapsed="false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</row>
    <row r="242" customFormat="false" ht="15" hidden="false" customHeight="true" outlineLevel="0" collapsed="false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</row>
    <row r="243" customFormat="false" ht="15" hidden="false" customHeight="true" outlineLevel="0" collapsed="false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</row>
    <row r="244" customFormat="false" ht="15" hidden="false" customHeight="true" outlineLevel="0" collapsed="false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</row>
    <row r="245" customFormat="false" ht="15" hidden="false" customHeight="true" outlineLevel="0" collapsed="false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</row>
    <row r="246" customFormat="false" ht="15" hidden="false" customHeight="true" outlineLevel="0" collapsed="false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</row>
    <row r="247" customFormat="false" ht="15" hidden="false" customHeight="true" outlineLevel="0" collapsed="false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</row>
    <row r="248" customFormat="false" ht="15" hidden="false" customHeight="true" outlineLevel="0" collapsed="false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</row>
    <row r="249" customFormat="false" ht="15" hidden="false" customHeight="true" outlineLevel="0" collapsed="false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</row>
    <row r="250" customFormat="false" ht="15" hidden="false" customHeight="true" outlineLevel="0" collapsed="false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</row>
    <row r="251" customFormat="false" ht="15" hidden="false" customHeight="true" outlineLevel="0" collapsed="false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</row>
    <row r="252" customFormat="false" ht="15" hidden="false" customHeight="true" outlineLevel="0" collapsed="false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</row>
    <row r="253" customFormat="false" ht="15" hidden="false" customHeight="true" outlineLevel="0" collapsed="false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</row>
    <row r="254" customFormat="false" ht="15" hidden="false" customHeight="true" outlineLevel="0" collapsed="false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</row>
    <row r="255" customFormat="false" ht="15" hidden="false" customHeight="true" outlineLevel="0" collapsed="false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</row>
    <row r="256" customFormat="false" ht="15" hidden="false" customHeight="true" outlineLevel="0" collapsed="false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</row>
    <row r="257" customFormat="false" ht="15" hidden="false" customHeight="true" outlineLevel="0" collapsed="false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</row>
    <row r="258" customFormat="false" ht="15" hidden="false" customHeight="true" outlineLevel="0" collapsed="false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</row>
    <row r="259" customFormat="false" ht="15" hidden="false" customHeight="true" outlineLevel="0" collapsed="false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</row>
    <row r="260" customFormat="false" ht="15" hidden="false" customHeight="true" outlineLevel="0" collapsed="false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</row>
    <row r="261" customFormat="false" ht="15" hidden="false" customHeight="true" outlineLevel="0" collapsed="false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</row>
    <row r="262" customFormat="false" ht="15" hidden="false" customHeight="true" outlineLevel="0" collapsed="false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</row>
    <row r="263" customFormat="false" ht="15" hidden="false" customHeight="true" outlineLevel="0" collapsed="false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</row>
    <row r="264" customFormat="false" ht="15" hidden="false" customHeight="true" outlineLevel="0" collapsed="false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</row>
    <row r="265" customFormat="false" ht="15" hidden="false" customHeight="true" outlineLevel="0" collapsed="false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</row>
    <row r="266" customFormat="false" ht="15" hidden="false" customHeight="true" outlineLevel="0" collapsed="false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</row>
    <row r="267" customFormat="false" ht="15" hidden="false" customHeight="true" outlineLevel="0" collapsed="false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</row>
    <row r="268" customFormat="false" ht="15" hidden="false" customHeight="true" outlineLevel="0" collapsed="false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</row>
    <row r="269" customFormat="false" ht="15" hidden="false" customHeight="true" outlineLevel="0" collapsed="false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</row>
    <row r="270" customFormat="false" ht="15" hidden="false" customHeight="true" outlineLevel="0" collapsed="false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</row>
    <row r="271" customFormat="false" ht="15" hidden="false" customHeight="true" outlineLevel="0" collapsed="false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</row>
    <row r="272" customFormat="false" ht="15" hidden="false" customHeight="true" outlineLevel="0" collapsed="false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</row>
    <row r="273" customFormat="false" ht="15" hidden="false" customHeight="true" outlineLevel="0" collapsed="false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</row>
    <row r="274" customFormat="false" ht="15" hidden="false" customHeight="true" outlineLevel="0" collapsed="false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</row>
    <row r="275" customFormat="false" ht="15" hidden="false" customHeight="true" outlineLevel="0" collapsed="false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</row>
    <row r="276" customFormat="false" ht="15" hidden="false" customHeight="true" outlineLevel="0" collapsed="false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</row>
    <row r="277" customFormat="false" ht="15" hidden="false" customHeight="true" outlineLevel="0" collapsed="false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</row>
    <row r="278" customFormat="false" ht="15" hidden="false" customHeight="true" outlineLevel="0" collapsed="false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</row>
    <row r="279" customFormat="false" ht="15" hidden="false" customHeight="true" outlineLevel="0" collapsed="false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</row>
    <row r="280" customFormat="false" ht="15" hidden="false" customHeight="true" outlineLevel="0" collapsed="false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</row>
    <row r="281" customFormat="false" ht="15" hidden="false" customHeight="true" outlineLevel="0" collapsed="false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</row>
    <row r="282" customFormat="false" ht="15" hidden="false" customHeight="true" outlineLevel="0" collapsed="false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</row>
    <row r="283" customFormat="false" ht="15" hidden="false" customHeight="true" outlineLevel="0" collapsed="false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</row>
    <row r="284" customFormat="false" ht="15" hidden="false" customHeight="true" outlineLevel="0" collapsed="false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</row>
    <row r="285" customFormat="false" ht="15" hidden="false" customHeight="true" outlineLevel="0" collapsed="false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</row>
    <row r="286" customFormat="false" ht="15" hidden="false" customHeight="true" outlineLevel="0" collapsed="false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</row>
    <row r="287" customFormat="false" ht="15" hidden="false" customHeight="true" outlineLevel="0" collapsed="false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</row>
    <row r="288" customFormat="false" ht="15" hidden="false" customHeight="true" outlineLevel="0" collapsed="false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</row>
    <row r="289" customFormat="false" ht="15" hidden="false" customHeight="true" outlineLevel="0" collapsed="false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customFormat="false" ht="15" hidden="false" customHeight="true" outlineLevel="0" collapsed="false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customFormat="false" ht="15" hidden="false" customHeight="true" outlineLevel="0" collapsed="false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customFormat="false" ht="15" hidden="false" customHeight="true" outlineLevel="0" collapsed="false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customFormat="false" ht="15" hidden="false" customHeight="true" outlineLevel="0" collapsed="false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customFormat="false" ht="15" hidden="false" customHeight="true" outlineLevel="0" collapsed="false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customFormat="false" ht="15" hidden="false" customHeight="true" outlineLevel="0" collapsed="false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customFormat="false" ht="15" hidden="false" customHeight="true" outlineLevel="0" collapsed="false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customFormat="false" ht="15" hidden="false" customHeight="true" outlineLevel="0" collapsed="false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customFormat="false" ht="15" hidden="false" customHeight="true" outlineLevel="0" collapsed="false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customFormat="false" ht="15" hidden="false" customHeight="true" outlineLevel="0" collapsed="false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customFormat="false" ht="15" hidden="false" customHeight="true" outlineLevel="0" collapsed="false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customFormat="false" ht="15" hidden="false" customHeight="true" outlineLevel="0" collapsed="false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customFormat="false" ht="15" hidden="false" customHeight="true" outlineLevel="0" collapsed="false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customFormat="false" ht="15" hidden="false" customHeight="true" outlineLevel="0" collapsed="false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customFormat="false" ht="15" hidden="false" customHeight="true" outlineLevel="0" collapsed="false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customFormat="false" ht="15" hidden="false" customHeight="true" outlineLevel="0" collapsed="false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customFormat="false" ht="15" hidden="false" customHeight="true" outlineLevel="0" collapsed="false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customFormat="false" ht="15" hidden="false" customHeight="true" outlineLevel="0" collapsed="false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customFormat="false" ht="15" hidden="false" customHeight="true" outlineLevel="0" collapsed="false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customFormat="false" ht="15" hidden="false" customHeight="true" outlineLevel="0" collapsed="false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</row>
    <row r="310" customFormat="false" ht="15" hidden="false" customHeight="true" outlineLevel="0" collapsed="false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</row>
    <row r="311" customFormat="false" ht="15" hidden="false" customHeight="true" outlineLevel="0" collapsed="false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</row>
    <row r="312" customFormat="false" ht="15" hidden="false" customHeight="true" outlineLevel="0" collapsed="false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</row>
    <row r="313" customFormat="false" ht="15" hidden="false" customHeight="true" outlineLevel="0" collapsed="false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</row>
    <row r="314" customFormat="false" ht="15" hidden="false" customHeight="true" outlineLevel="0" collapsed="false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</row>
    <row r="315" customFormat="false" ht="15" hidden="false" customHeight="true" outlineLevel="0" collapsed="false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</row>
    <row r="316" customFormat="false" ht="15" hidden="false" customHeight="true" outlineLevel="0" collapsed="false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</row>
    <row r="317" customFormat="false" ht="15" hidden="false" customHeight="true" outlineLevel="0" collapsed="false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</row>
    <row r="318" customFormat="false" ht="15" hidden="false" customHeight="true" outlineLevel="0" collapsed="false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</row>
    <row r="319" customFormat="false" ht="15" hidden="false" customHeight="true" outlineLevel="0" collapsed="false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</row>
    <row r="320" customFormat="false" ht="15" hidden="false" customHeight="true" outlineLevel="0" collapsed="false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</row>
    <row r="321" customFormat="false" ht="15" hidden="false" customHeight="true" outlineLevel="0" collapsed="false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</row>
    <row r="322" customFormat="false" ht="15" hidden="false" customHeight="true" outlineLevel="0" collapsed="false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</row>
    <row r="323" customFormat="false" ht="15" hidden="false" customHeight="true" outlineLevel="0" collapsed="false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</row>
    <row r="324" customFormat="false" ht="15" hidden="false" customHeight="true" outlineLevel="0" collapsed="false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</row>
    <row r="325" customFormat="false" ht="15" hidden="false" customHeight="true" outlineLevel="0" collapsed="false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</row>
    <row r="326" customFormat="false" ht="15" hidden="false" customHeight="true" outlineLevel="0" collapsed="false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</row>
    <row r="327" customFormat="false" ht="15" hidden="false" customHeight="true" outlineLevel="0" collapsed="false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</row>
    <row r="328" customFormat="false" ht="15" hidden="false" customHeight="true" outlineLevel="0" collapsed="false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</row>
    <row r="329" customFormat="false" ht="15" hidden="false" customHeight="true" outlineLevel="0" collapsed="false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</row>
    <row r="330" customFormat="false" ht="15" hidden="false" customHeight="true" outlineLevel="0" collapsed="false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</row>
    <row r="331" customFormat="false" ht="15" hidden="false" customHeight="true" outlineLevel="0" collapsed="false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</row>
    <row r="332" customFormat="false" ht="15" hidden="false" customHeight="true" outlineLevel="0" collapsed="false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</row>
    <row r="333" customFormat="false" ht="15" hidden="false" customHeight="true" outlineLevel="0" collapsed="false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</row>
    <row r="334" customFormat="false" ht="15" hidden="false" customHeight="true" outlineLevel="0" collapsed="false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</row>
    <row r="335" customFormat="false" ht="15" hidden="false" customHeight="true" outlineLevel="0" collapsed="false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</row>
    <row r="336" customFormat="false" ht="15" hidden="false" customHeight="true" outlineLevel="0" collapsed="false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</row>
    <row r="337" customFormat="false" ht="15" hidden="false" customHeight="true" outlineLevel="0" collapsed="false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</row>
    <row r="338" customFormat="false" ht="15" hidden="false" customHeight="true" outlineLevel="0" collapsed="false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</row>
    <row r="339" customFormat="false" ht="15" hidden="false" customHeight="true" outlineLevel="0" collapsed="false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</row>
    <row r="340" customFormat="false" ht="15" hidden="false" customHeight="true" outlineLevel="0" collapsed="false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</row>
    <row r="341" customFormat="false" ht="15" hidden="false" customHeight="true" outlineLevel="0" collapsed="false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</row>
    <row r="342" customFormat="false" ht="15" hidden="false" customHeight="true" outlineLevel="0" collapsed="false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</row>
    <row r="343" customFormat="false" ht="15" hidden="false" customHeight="true" outlineLevel="0" collapsed="false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</row>
    <row r="344" customFormat="false" ht="15" hidden="false" customHeight="true" outlineLevel="0" collapsed="false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</row>
    <row r="345" customFormat="false" ht="15" hidden="false" customHeight="true" outlineLevel="0" collapsed="false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</row>
    <row r="346" customFormat="false" ht="15" hidden="false" customHeight="true" outlineLevel="0" collapsed="false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</row>
    <row r="347" customFormat="false" ht="15" hidden="false" customHeight="true" outlineLevel="0" collapsed="false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</row>
    <row r="348" customFormat="false" ht="15" hidden="false" customHeight="true" outlineLevel="0" collapsed="false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</row>
    <row r="349" customFormat="false" ht="15" hidden="false" customHeight="true" outlineLevel="0" collapsed="false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</row>
    <row r="350" customFormat="false" ht="15" hidden="false" customHeight="true" outlineLevel="0" collapsed="false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</row>
    <row r="351" customFormat="false" ht="15" hidden="false" customHeight="true" outlineLevel="0" collapsed="false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</row>
    <row r="352" customFormat="false" ht="15" hidden="false" customHeight="true" outlineLevel="0" collapsed="false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</row>
    <row r="353" customFormat="false" ht="15" hidden="false" customHeight="true" outlineLevel="0" collapsed="false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</row>
    <row r="354" customFormat="false" ht="15" hidden="false" customHeight="true" outlineLevel="0" collapsed="false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</row>
    <row r="355" customFormat="false" ht="15" hidden="false" customHeight="true" outlineLevel="0" collapsed="false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</row>
    <row r="356" customFormat="false" ht="15" hidden="false" customHeight="true" outlineLevel="0" collapsed="false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</row>
    <row r="357" customFormat="false" ht="15" hidden="false" customHeight="true" outlineLevel="0" collapsed="false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</row>
    <row r="358" customFormat="false" ht="15" hidden="false" customHeight="true" outlineLevel="0" collapsed="false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</row>
    <row r="359" customFormat="false" ht="15" hidden="false" customHeight="true" outlineLevel="0" collapsed="false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</row>
    <row r="360" customFormat="false" ht="15" hidden="false" customHeight="true" outlineLevel="0" collapsed="false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</row>
    <row r="361" customFormat="false" ht="15" hidden="false" customHeight="true" outlineLevel="0" collapsed="false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</row>
    <row r="362" customFormat="false" ht="15" hidden="false" customHeight="true" outlineLevel="0" collapsed="false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</row>
    <row r="363" customFormat="false" ht="15" hidden="false" customHeight="true" outlineLevel="0" collapsed="false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</row>
    <row r="364" customFormat="false" ht="15" hidden="false" customHeight="true" outlineLevel="0" collapsed="false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</row>
    <row r="365" customFormat="false" ht="15" hidden="false" customHeight="true" outlineLevel="0" collapsed="false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</row>
    <row r="366" customFormat="false" ht="15" hidden="false" customHeight="true" outlineLevel="0" collapsed="false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</row>
    <row r="367" customFormat="false" ht="15" hidden="false" customHeight="true" outlineLevel="0" collapsed="false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</row>
    <row r="368" customFormat="false" ht="15" hidden="false" customHeight="true" outlineLevel="0" collapsed="false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</row>
    <row r="369" customFormat="false" ht="15" hidden="false" customHeight="true" outlineLevel="0" collapsed="false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</row>
    <row r="370" customFormat="false" ht="15" hidden="false" customHeight="true" outlineLevel="0" collapsed="false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</row>
    <row r="371" customFormat="false" ht="15" hidden="false" customHeight="true" outlineLevel="0" collapsed="false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</row>
    <row r="372" customFormat="false" ht="15" hidden="false" customHeight="true" outlineLevel="0" collapsed="false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</row>
    <row r="373" customFormat="false" ht="15" hidden="false" customHeight="true" outlineLevel="0" collapsed="false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</row>
    <row r="374" customFormat="false" ht="15" hidden="false" customHeight="true" outlineLevel="0" collapsed="false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</row>
    <row r="375" customFormat="false" ht="15" hidden="false" customHeight="true" outlineLevel="0" collapsed="false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</row>
    <row r="376" customFormat="false" ht="15" hidden="false" customHeight="true" outlineLevel="0" collapsed="false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</row>
    <row r="377" customFormat="false" ht="15" hidden="false" customHeight="true" outlineLevel="0" collapsed="false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</row>
    <row r="378" customFormat="false" ht="15" hidden="false" customHeight="true" outlineLevel="0" collapsed="false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</row>
    <row r="379" customFormat="false" ht="15" hidden="false" customHeight="true" outlineLevel="0" collapsed="false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</row>
    <row r="380" customFormat="false" ht="15" hidden="false" customHeight="true" outlineLevel="0" collapsed="false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</row>
    <row r="381" customFormat="false" ht="15" hidden="false" customHeight="true" outlineLevel="0" collapsed="false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</row>
    <row r="382" customFormat="false" ht="15" hidden="false" customHeight="true" outlineLevel="0" collapsed="false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</row>
    <row r="383" customFormat="false" ht="15" hidden="false" customHeight="true" outlineLevel="0" collapsed="false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</row>
    <row r="384" customFormat="false" ht="15" hidden="false" customHeight="true" outlineLevel="0" collapsed="false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</row>
    <row r="385" customFormat="false" ht="15" hidden="false" customHeight="true" outlineLevel="0" collapsed="false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</row>
    <row r="386" customFormat="false" ht="15" hidden="false" customHeight="true" outlineLevel="0" collapsed="false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</row>
    <row r="387" customFormat="false" ht="15" hidden="false" customHeight="true" outlineLevel="0" collapsed="false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</row>
    <row r="388" customFormat="false" ht="15" hidden="false" customHeight="true" outlineLevel="0" collapsed="false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</row>
    <row r="389" customFormat="false" ht="15" hidden="false" customHeight="true" outlineLevel="0" collapsed="false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</row>
    <row r="390" customFormat="false" ht="15" hidden="false" customHeight="true" outlineLevel="0" collapsed="false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</row>
    <row r="391" customFormat="false" ht="15" hidden="false" customHeight="true" outlineLevel="0" collapsed="false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</row>
    <row r="392" customFormat="false" ht="15" hidden="false" customHeight="true" outlineLevel="0" collapsed="false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</row>
    <row r="393" customFormat="false" ht="15" hidden="false" customHeight="true" outlineLevel="0" collapsed="false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</row>
    <row r="394" customFormat="false" ht="15" hidden="false" customHeight="true" outlineLevel="0" collapsed="false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</row>
    <row r="395" customFormat="false" ht="15" hidden="false" customHeight="true" outlineLevel="0" collapsed="false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</row>
    <row r="396" customFormat="false" ht="15" hidden="false" customHeight="true" outlineLevel="0" collapsed="false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</row>
    <row r="397" customFormat="false" ht="15" hidden="false" customHeight="true" outlineLevel="0" collapsed="false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</row>
    <row r="398" customFormat="false" ht="15" hidden="false" customHeight="true" outlineLevel="0" collapsed="false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</row>
    <row r="399" customFormat="false" ht="15" hidden="false" customHeight="true" outlineLevel="0" collapsed="false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</row>
    <row r="400" customFormat="false" ht="15" hidden="false" customHeight="true" outlineLevel="0" collapsed="false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</row>
    <row r="401" customFormat="false" ht="15" hidden="false" customHeight="true" outlineLevel="0" collapsed="false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</row>
    <row r="402" customFormat="false" ht="15" hidden="false" customHeight="true" outlineLevel="0" collapsed="false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</row>
    <row r="403" customFormat="false" ht="15" hidden="false" customHeight="true" outlineLevel="0" collapsed="false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</row>
    <row r="404" customFormat="false" ht="15" hidden="false" customHeight="true" outlineLevel="0" collapsed="false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</row>
    <row r="405" customFormat="false" ht="15" hidden="false" customHeight="true" outlineLevel="0" collapsed="false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</row>
    <row r="406" customFormat="false" ht="15" hidden="false" customHeight="true" outlineLevel="0" collapsed="false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</row>
    <row r="407" customFormat="false" ht="15" hidden="false" customHeight="true" outlineLevel="0" collapsed="false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</row>
    <row r="408" customFormat="false" ht="15" hidden="false" customHeight="true" outlineLevel="0" collapsed="false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</row>
    <row r="409" customFormat="false" ht="15" hidden="false" customHeight="true" outlineLevel="0" collapsed="false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</row>
    <row r="410" customFormat="false" ht="15" hidden="false" customHeight="true" outlineLevel="0" collapsed="false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</row>
    <row r="411" customFormat="false" ht="15" hidden="false" customHeight="true" outlineLevel="0" collapsed="false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</row>
    <row r="412" customFormat="false" ht="15" hidden="false" customHeight="true" outlineLevel="0" collapsed="false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</row>
    <row r="413" customFormat="false" ht="15" hidden="false" customHeight="true" outlineLevel="0" collapsed="false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</row>
    <row r="414" customFormat="false" ht="15" hidden="false" customHeight="true" outlineLevel="0" collapsed="false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</row>
    <row r="415" customFormat="false" ht="15" hidden="false" customHeight="true" outlineLevel="0" collapsed="false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</row>
    <row r="416" customFormat="false" ht="15" hidden="false" customHeight="true" outlineLevel="0" collapsed="false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</row>
    <row r="417" customFormat="false" ht="15" hidden="false" customHeight="true" outlineLevel="0" collapsed="false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</row>
    <row r="418" customFormat="false" ht="15" hidden="false" customHeight="true" outlineLevel="0" collapsed="false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</row>
    <row r="419" customFormat="false" ht="15" hidden="false" customHeight="true" outlineLevel="0" collapsed="false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</row>
    <row r="420" customFormat="false" ht="15" hidden="false" customHeight="true" outlineLevel="0" collapsed="false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</row>
    <row r="421" customFormat="false" ht="15" hidden="false" customHeight="true" outlineLevel="0" collapsed="false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</row>
    <row r="422" customFormat="false" ht="15" hidden="false" customHeight="true" outlineLevel="0" collapsed="false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</row>
    <row r="423" customFormat="false" ht="15" hidden="false" customHeight="true" outlineLevel="0" collapsed="false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</row>
    <row r="424" customFormat="false" ht="15" hidden="false" customHeight="true" outlineLevel="0" collapsed="false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</row>
    <row r="425" customFormat="false" ht="15" hidden="false" customHeight="true" outlineLevel="0" collapsed="false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</row>
    <row r="426" customFormat="false" ht="15" hidden="false" customHeight="true" outlineLevel="0" collapsed="false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</row>
    <row r="427" customFormat="false" ht="15" hidden="false" customHeight="true" outlineLevel="0" collapsed="false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</row>
    <row r="428" customFormat="false" ht="15" hidden="false" customHeight="true" outlineLevel="0" collapsed="false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</row>
    <row r="429" customFormat="false" ht="15" hidden="false" customHeight="true" outlineLevel="0" collapsed="false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</row>
    <row r="430" customFormat="false" ht="15" hidden="false" customHeight="true" outlineLevel="0" collapsed="false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</row>
    <row r="431" customFormat="false" ht="15" hidden="false" customHeight="true" outlineLevel="0" collapsed="false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</row>
    <row r="432" customFormat="false" ht="15" hidden="false" customHeight="true" outlineLevel="0" collapsed="false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</row>
    <row r="433" customFormat="false" ht="15" hidden="false" customHeight="true" outlineLevel="0" collapsed="false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</row>
    <row r="434" customFormat="false" ht="15" hidden="false" customHeight="true" outlineLevel="0" collapsed="false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</row>
    <row r="435" customFormat="false" ht="15" hidden="false" customHeight="true" outlineLevel="0" collapsed="false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</row>
    <row r="436" customFormat="false" ht="15" hidden="false" customHeight="true" outlineLevel="0" collapsed="false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</row>
    <row r="437" customFormat="false" ht="15" hidden="false" customHeight="true" outlineLevel="0" collapsed="false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</row>
    <row r="438" customFormat="false" ht="15" hidden="false" customHeight="true" outlineLevel="0" collapsed="false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</row>
    <row r="439" customFormat="false" ht="15" hidden="false" customHeight="true" outlineLevel="0" collapsed="false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</row>
    <row r="440" customFormat="false" ht="15" hidden="false" customHeight="true" outlineLevel="0" collapsed="false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</row>
    <row r="441" customFormat="false" ht="15" hidden="false" customHeight="true" outlineLevel="0" collapsed="false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</row>
    <row r="442" customFormat="false" ht="15" hidden="false" customHeight="true" outlineLevel="0" collapsed="false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</row>
    <row r="443" customFormat="false" ht="15" hidden="false" customHeight="true" outlineLevel="0" collapsed="false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</row>
    <row r="444" customFormat="false" ht="15" hidden="false" customHeight="true" outlineLevel="0" collapsed="false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</row>
    <row r="445" customFormat="false" ht="15" hidden="false" customHeight="true" outlineLevel="0" collapsed="false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</row>
    <row r="446" customFormat="false" ht="15" hidden="false" customHeight="true" outlineLevel="0" collapsed="false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</row>
    <row r="447" customFormat="false" ht="15" hidden="false" customHeight="true" outlineLevel="0" collapsed="false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</row>
    <row r="448" customFormat="false" ht="15" hidden="false" customHeight="true" outlineLevel="0" collapsed="false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</row>
    <row r="449" customFormat="false" ht="15" hidden="false" customHeight="true" outlineLevel="0" collapsed="false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</row>
    <row r="450" customFormat="false" ht="15" hidden="false" customHeight="true" outlineLevel="0" collapsed="false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</row>
    <row r="451" customFormat="false" ht="15" hidden="false" customHeight="true" outlineLevel="0" collapsed="false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</row>
    <row r="452" customFormat="false" ht="15" hidden="false" customHeight="true" outlineLevel="0" collapsed="false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</row>
    <row r="453" customFormat="false" ht="15" hidden="false" customHeight="true" outlineLevel="0" collapsed="false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</row>
    <row r="454" customFormat="false" ht="15" hidden="false" customHeight="true" outlineLevel="0" collapsed="false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</row>
    <row r="455" customFormat="false" ht="15" hidden="false" customHeight="true" outlineLevel="0" collapsed="false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</row>
    <row r="456" customFormat="false" ht="15" hidden="false" customHeight="true" outlineLevel="0" collapsed="false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</row>
    <row r="457" customFormat="false" ht="15" hidden="false" customHeight="true" outlineLevel="0" collapsed="false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</row>
    <row r="458" customFormat="false" ht="15" hidden="false" customHeight="true" outlineLevel="0" collapsed="false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</row>
    <row r="459" customFormat="false" ht="15" hidden="false" customHeight="true" outlineLevel="0" collapsed="false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</row>
    <row r="460" customFormat="false" ht="15" hidden="false" customHeight="true" outlineLevel="0" collapsed="false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</row>
    <row r="461" customFormat="false" ht="15" hidden="false" customHeight="true" outlineLevel="0" collapsed="false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</row>
    <row r="462" customFormat="false" ht="15" hidden="false" customHeight="true" outlineLevel="0" collapsed="false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</row>
    <row r="463" customFormat="false" ht="15" hidden="false" customHeight="true" outlineLevel="0" collapsed="false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</row>
    <row r="464" customFormat="false" ht="15" hidden="false" customHeight="true" outlineLevel="0" collapsed="false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</row>
    <row r="465" customFormat="false" ht="15" hidden="false" customHeight="true" outlineLevel="0" collapsed="false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</row>
    <row r="466" customFormat="false" ht="15" hidden="false" customHeight="true" outlineLevel="0" collapsed="false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</row>
    <row r="467" customFormat="false" ht="15" hidden="false" customHeight="true" outlineLevel="0" collapsed="false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</row>
    <row r="468" customFormat="false" ht="15" hidden="false" customHeight="true" outlineLevel="0" collapsed="false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</row>
    <row r="469" customFormat="false" ht="15" hidden="false" customHeight="true" outlineLevel="0" collapsed="false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</row>
    <row r="470" customFormat="false" ht="15" hidden="false" customHeight="true" outlineLevel="0" collapsed="false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</row>
    <row r="471" customFormat="false" ht="15" hidden="false" customHeight="true" outlineLevel="0" collapsed="false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</row>
    <row r="472" customFormat="false" ht="15" hidden="false" customHeight="true" outlineLevel="0" collapsed="false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</row>
    <row r="473" customFormat="false" ht="15" hidden="false" customHeight="true" outlineLevel="0" collapsed="false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</row>
    <row r="474" customFormat="false" ht="15" hidden="false" customHeight="true" outlineLevel="0" collapsed="false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</row>
    <row r="475" customFormat="false" ht="15" hidden="false" customHeight="true" outlineLevel="0" collapsed="false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</row>
    <row r="476" customFormat="false" ht="15" hidden="false" customHeight="true" outlineLevel="0" collapsed="false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</row>
    <row r="477" customFormat="false" ht="15" hidden="false" customHeight="true" outlineLevel="0" collapsed="false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</row>
    <row r="478" customFormat="false" ht="15" hidden="false" customHeight="true" outlineLevel="0" collapsed="false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</row>
    <row r="479" customFormat="false" ht="15" hidden="false" customHeight="true" outlineLevel="0" collapsed="false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</row>
    <row r="480" customFormat="false" ht="15" hidden="false" customHeight="true" outlineLevel="0" collapsed="false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</row>
    <row r="481" customFormat="false" ht="15" hidden="false" customHeight="true" outlineLevel="0" collapsed="false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</row>
    <row r="482" customFormat="false" ht="15" hidden="false" customHeight="true" outlineLevel="0" collapsed="false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</row>
    <row r="483" customFormat="false" ht="15" hidden="false" customHeight="true" outlineLevel="0" collapsed="false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</row>
    <row r="484" customFormat="false" ht="15" hidden="false" customHeight="true" outlineLevel="0" collapsed="false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</row>
    <row r="485" customFormat="false" ht="15" hidden="false" customHeight="true" outlineLevel="0" collapsed="false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</row>
    <row r="486" customFormat="false" ht="15" hidden="false" customHeight="true" outlineLevel="0" collapsed="false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</row>
    <row r="487" customFormat="false" ht="15" hidden="false" customHeight="true" outlineLevel="0" collapsed="false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</row>
    <row r="488" customFormat="false" ht="15" hidden="false" customHeight="true" outlineLevel="0" collapsed="false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</row>
    <row r="489" customFormat="false" ht="15" hidden="false" customHeight="true" outlineLevel="0" collapsed="false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</row>
    <row r="490" customFormat="false" ht="15" hidden="false" customHeight="true" outlineLevel="0" collapsed="false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</row>
    <row r="491" customFormat="false" ht="15" hidden="false" customHeight="true" outlineLevel="0" collapsed="false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</row>
    <row r="492" customFormat="false" ht="15" hidden="false" customHeight="true" outlineLevel="0" collapsed="false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</row>
    <row r="493" customFormat="false" ht="15" hidden="false" customHeight="true" outlineLevel="0" collapsed="false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</row>
    <row r="494" customFormat="false" ht="15" hidden="false" customHeight="true" outlineLevel="0" collapsed="false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</row>
    <row r="495" customFormat="false" ht="15" hidden="false" customHeight="true" outlineLevel="0" collapsed="false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</row>
    <row r="496" customFormat="false" ht="15" hidden="false" customHeight="true" outlineLevel="0" collapsed="false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</row>
    <row r="497" customFormat="false" ht="15" hidden="false" customHeight="true" outlineLevel="0" collapsed="false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</row>
    <row r="498" customFormat="false" ht="15" hidden="false" customHeight="true" outlineLevel="0" collapsed="false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</row>
    <row r="499" customFormat="false" ht="15" hidden="false" customHeight="true" outlineLevel="0" collapsed="false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</row>
    <row r="500" customFormat="false" ht="15" hidden="false" customHeight="true" outlineLevel="0" collapsed="false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</row>
    <row r="501" customFormat="false" ht="15" hidden="false" customHeight="true" outlineLevel="0" collapsed="false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</row>
    <row r="502" customFormat="false" ht="15" hidden="false" customHeight="true" outlineLevel="0" collapsed="false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</row>
    <row r="503" customFormat="false" ht="15" hidden="false" customHeight="true" outlineLevel="0" collapsed="false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</row>
    <row r="504" customFormat="false" ht="15" hidden="false" customHeight="true" outlineLevel="0" collapsed="false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</row>
    <row r="505" customFormat="false" ht="15" hidden="false" customHeight="true" outlineLevel="0" collapsed="false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</row>
    <row r="506" customFormat="false" ht="15" hidden="false" customHeight="true" outlineLevel="0" collapsed="false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</row>
    <row r="507" customFormat="false" ht="15" hidden="false" customHeight="true" outlineLevel="0" collapsed="false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</row>
    <row r="508" customFormat="false" ht="15" hidden="false" customHeight="true" outlineLevel="0" collapsed="false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</row>
    <row r="509" customFormat="false" ht="15" hidden="false" customHeight="true" outlineLevel="0" collapsed="false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</row>
    <row r="510" customFormat="false" ht="15" hidden="false" customHeight="true" outlineLevel="0" collapsed="false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</row>
    <row r="511" customFormat="false" ht="15" hidden="false" customHeight="true" outlineLevel="0" collapsed="false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</row>
    <row r="512" customFormat="false" ht="15" hidden="false" customHeight="true" outlineLevel="0" collapsed="false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</row>
    <row r="513" customFormat="false" ht="15" hidden="false" customHeight="true" outlineLevel="0" collapsed="false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</row>
    <row r="514" customFormat="false" ht="15" hidden="false" customHeight="true" outlineLevel="0" collapsed="false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</row>
    <row r="515" customFormat="false" ht="15" hidden="false" customHeight="true" outlineLevel="0" collapsed="false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</row>
    <row r="516" customFormat="false" ht="15" hidden="false" customHeight="true" outlineLevel="0" collapsed="false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</row>
    <row r="517" customFormat="false" ht="15" hidden="false" customHeight="true" outlineLevel="0" collapsed="false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</row>
    <row r="518" customFormat="false" ht="15" hidden="false" customHeight="true" outlineLevel="0" collapsed="false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</row>
    <row r="519" customFormat="false" ht="15" hidden="false" customHeight="true" outlineLevel="0" collapsed="false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</row>
    <row r="520" customFormat="false" ht="15" hidden="false" customHeight="true" outlineLevel="0" collapsed="false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</row>
    <row r="521" customFormat="false" ht="15" hidden="false" customHeight="true" outlineLevel="0" collapsed="false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</row>
    <row r="522" customFormat="false" ht="15" hidden="false" customHeight="true" outlineLevel="0" collapsed="false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</row>
    <row r="523" customFormat="false" ht="15" hidden="false" customHeight="true" outlineLevel="0" collapsed="false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</row>
    <row r="524" customFormat="false" ht="15" hidden="false" customHeight="true" outlineLevel="0" collapsed="false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</row>
    <row r="525" customFormat="false" ht="15" hidden="false" customHeight="true" outlineLevel="0" collapsed="false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</row>
    <row r="526" customFormat="false" ht="15" hidden="false" customHeight="true" outlineLevel="0" collapsed="false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</row>
    <row r="527" customFormat="false" ht="15" hidden="false" customHeight="true" outlineLevel="0" collapsed="false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</row>
    <row r="528" customFormat="false" ht="15" hidden="false" customHeight="true" outlineLevel="0" collapsed="false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</row>
    <row r="529" customFormat="false" ht="15" hidden="false" customHeight="true" outlineLevel="0" collapsed="false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</row>
    <row r="530" customFormat="false" ht="15" hidden="false" customHeight="true" outlineLevel="0" collapsed="false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</row>
    <row r="531" customFormat="false" ht="15" hidden="false" customHeight="true" outlineLevel="0" collapsed="false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</row>
    <row r="532" customFormat="false" ht="15" hidden="false" customHeight="true" outlineLevel="0" collapsed="false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</row>
    <row r="533" customFormat="false" ht="15" hidden="false" customHeight="true" outlineLevel="0" collapsed="false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</row>
    <row r="534" customFormat="false" ht="15" hidden="false" customHeight="true" outlineLevel="0" collapsed="false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</row>
    <row r="535" customFormat="false" ht="15" hidden="false" customHeight="true" outlineLevel="0" collapsed="false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</row>
    <row r="536" customFormat="false" ht="15" hidden="false" customHeight="true" outlineLevel="0" collapsed="false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</row>
    <row r="537" customFormat="false" ht="15" hidden="false" customHeight="true" outlineLevel="0" collapsed="false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</row>
    <row r="538" customFormat="false" ht="15" hidden="false" customHeight="true" outlineLevel="0" collapsed="false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</row>
    <row r="539" customFormat="false" ht="15" hidden="false" customHeight="true" outlineLevel="0" collapsed="false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</row>
    <row r="540" customFormat="false" ht="15" hidden="false" customHeight="true" outlineLevel="0" collapsed="false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</row>
    <row r="541" customFormat="false" ht="15" hidden="false" customHeight="true" outlineLevel="0" collapsed="false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</row>
    <row r="542" customFormat="false" ht="15" hidden="false" customHeight="true" outlineLevel="0" collapsed="false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</row>
    <row r="543" customFormat="false" ht="15" hidden="false" customHeight="true" outlineLevel="0" collapsed="false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</row>
    <row r="544" customFormat="false" ht="15" hidden="false" customHeight="true" outlineLevel="0" collapsed="false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</row>
    <row r="545" customFormat="false" ht="15" hidden="false" customHeight="true" outlineLevel="0" collapsed="false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</row>
    <row r="546" customFormat="false" ht="15" hidden="false" customHeight="true" outlineLevel="0" collapsed="false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</row>
    <row r="547" customFormat="false" ht="15" hidden="false" customHeight="true" outlineLevel="0" collapsed="false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</row>
    <row r="548" customFormat="false" ht="15" hidden="false" customHeight="true" outlineLevel="0" collapsed="false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</row>
    <row r="549" customFormat="false" ht="15" hidden="false" customHeight="true" outlineLevel="0" collapsed="false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</row>
    <row r="550" customFormat="false" ht="15" hidden="false" customHeight="true" outlineLevel="0" collapsed="false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</row>
    <row r="551" customFormat="false" ht="15" hidden="false" customHeight="true" outlineLevel="0" collapsed="false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</row>
    <row r="552" customFormat="false" ht="15" hidden="false" customHeight="true" outlineLevel="0" collapsed="false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</row>
    <row r="553" customFormat="false" ht="15" hidden="false" customHeight="true" outlineLevel="0" collapsed="false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</row>
    <row r="554" customFormat="false" ht="15" hidden="false" customHeight="true" outlineLevel="0" collapsed="false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</row>
    <row r="555" customFormat="false" ht="15" hidden="false" customHeight="true" outlineLevel="0" collapsed="false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</row>
    <row r="556" customFormat="false" ht="15" hidden="false" customHeight="true" outlineLevel="0" collapsed="false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</row>
    <row r="557" customFormat="false" ht="15" hidden="false" customHeight="true" outlineLevel="0" collapsed="false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</row>
    <row r="558" customFormat="false" ht="15" hidden="false" customHeight="true" outlineLevel="0" collapsed="false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</row>
    <row r="559" customFormat="false" ht="15" hidden="false" customHeight="true" outlineLevel="0" collapsed="false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</row>
    <row r="560" customFormat="false" ht="15" hidden="false" customHeight="true" outlineLevel="0" collapsed="false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</row>
    <row r="561" customFormat="false" ht="15" hidden="false" customHeight="true" outlineLevel="0" collapsed="false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</row>
    <row r="562" customFormat="false" ht="15" hidden="false" customHeight="true" outlineLevel="0" collapsed="false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</row>
    <row r="563" customFormat="false" ht="15" hidden="false" customHeight="true" outlineLevel="0" collapsed="false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</row>
    <row r="564" customFormat="false" ht="15" hidden="false" customHeight="true" outlineLevel="0" collapsed="false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</row>
    <row r="565" customFormat="false" ht="15" hidden="false" customHeight="true" outlineLevel="0" collapsed="false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</row>
    <row r="566" customFormat="false" ht="15" hidden="false" customHeight="true" outlineLevel="0" collapsed="false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</row>
    <row r="567" customFormat="false" ht="15" hidden="false" customHeight="true" outlineLevel="0" collapsed="false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</row>
    <row r="568" customFormat="false" ht="15" hidden="false" customHeight="true" outlineLevel="0" collapsed="false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</row>
    <row r="569" customFormat="false" ht="15" hidden="false" customHeight="true" outlineLevel="0" collapsed="false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</row>
    <row r="570" customFormat="false" ht="15" hidden="false" customHeight="true" outlineLevel="0" collapsed="false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</row>
    <row r="571" customFormat="false" ht="15" hidden="false" customHeight="true" outlineLevel="0" collapsed="false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</row>
    <row r="572" customFormat="false" ht="15" hidden="false" customHeight="true" outlineLevel="0" collapsed="false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</row>
    <row r="573" customFormat="false" ht="15" hidden="false" customHeight="true" outlineLevel="0" collapsed="false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</row>
    <row r="574" customFormat="false" ht="15" hidden="false" customHeight="true" outlineLevel="0" collapsed="false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</row>
    <row r="575" customFormat="false" ht="15" hidden="false" customHeight="true" outlineLevel="0" collapsed="false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</row>
    <row r="576" customFormat="false" ht="15" hidden="false" customHeight="true" outlineLevel="0" collapsed="false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</row>
    <row r="577" customFormat="false" ht="15" hidden="false" customHeight="true" outlineLevel="0" collapsed="false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</row>
    <row r="578" customFormat="false" ht="15" hidden="false" customHeight="true" outlineLevel="0" collapsed="false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</row>
    <row r="579" customFormat="false" ht="15" hidden="false" customHeight="true" outlineLevel="0" collapsed="false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</row>
    <row r="580" customFormat="false" ht="15" hidden="false" customHeight="true" outlineLevel="0" collapsed="false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</row>
    <row r="581" customFormat="false" ht="15" hidden="false" customHeight="true" outlineLevel="0" collapsed="false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</row>
    <row r="582" customFormat="false" ht="15" hidden="false" customHeight="true" outlineLevel="0" collapsed="false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</row>
    <row r="583" customFormat="false" ht="15" hidden="false" customHeight="true" outlineLevel="0" collapsed="false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</row>
    <row r="584" customFormat="false" ht="15" hidden="false" customHeight="true" outlineLevel="0" collapsed="false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</row>
    <row r="585" customFormat="false" ht="15" hidden="false" customHeight="true" outlineLevel="0" collapsed="false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</row>
    <row r="586" customFormat="false" ht="15" hidden="false" customHeight="true" outlineLevel="0" collapsed="false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</row>
    <row r="587" customFormat="false" ht="15" hidden="false" customHeight="true" outlineLevel="0" collapsed="false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</row>
    <row r="588" customFormat="false" ht="15" hidden="false" customHeight="true" outlineLevel="0" collapsed="false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</row>
    <row r="589" customFormat="false" ht="15" hidden="false" customHeight="true" outlineLevel="0" collapsed="false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</row>
    <row r="590" customFormat="false" ht="15" hidden="false" customHeight="true" outlineLevel="0" collapsed="false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</row>
    <row r="591" customFormat="false" ht="15" hidden="false" customHeight="true" outlineLevel="0" collapsed="false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</row>
    <row r="592" customFormat="false" ht="15" hidden="false" customHeight="true" outlineLevel="0" collapsed="false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</row>
    <row r="593" customFormat="false" ht="15" hidden="false" customHeight="true" outlineLevel="0" collapsed="false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</row>
    <row r="594" customFormat="false" ht="15" hidden="false" customHeight="true" outlineLevel="0" collapsed="false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</row>
    <row r="595" customFormat="false" ht="15" hidden="false" customHeight="true" outlineLevel="0" collapsed="false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</row>
    <row r="596" customFormat="false" ht="15" hidden="false" customHeight="true" outlineLevel="0" collapsed="false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</row>
    <row r="597" customFormat="false" ht="15" hidden="false" customHeight="true" outlineLevel="0" collapsed="false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</row>
    <row r="598" customFormat="false" ht="15" hidden="false" customHeight="true" outlineLevel="0" collapsed="false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</row>
    <row r="599" customFormat="false" ht="15" hidden="false" customHeight="true" outlineLevel="0" collapsed="false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</row>
    <row r="600" customFormat="false" ht="15" hidden="false" customHeight="true" outlineLevel="0" collapsed="false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</row>
    <row r="601" customFormat="false" ht="15" hidden="false" customHeight="true" outlineLevel="0" collapsed="false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</row>
    <row r="602" customFormat="false" ht="15" hidden="false" customHeight="true" outlineLevel="0" collapsed="false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</row>
    <row r="603" customFormat="false" ht="15" hidden="false" customHeight="true" outlineLevel="0" collapsed="false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</row>
    <row r="604" customFormat="false" ht="15" hidden="false" customHeight="true" outlineLevel="0" collapsed="false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</row>
    <row r="605" customFormat="false" ht="15" hidden="false" customHeight="true" outlineLevel="0" collapsed="false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</row>
    <row r="606" customFormat="false" ht="15" hidden="false" customHeight="true" outlineLevel="0" collapsed="false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</row>
    <row r="607" customFormat="false" ht="15" hidden="false" customHeight="true" outlineLevel="0" collapsed="false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</row>
    <row r="608" customFormat="false" ht="15" hidden="false" customHeight="true" outlineLevel="0" collapsed="false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</row>
    <row r="610" customFormat="false" ht="15" hidden="false" customHeight="false" outlineLevel="0" collapsed="false">
      <c r="BR610" s="11" t="s">
        <v>299</v>
      </c>
    </row>
  </sheetData>
  <autoFilter ref="A7:L7"/>
  <mergeCells count="6">
    <mergeCell ref="A1:L1"/>
    <mergeCell ref="A2:L2"/>
    <mergeCell ref="B6:C6"/>
    <mergeCell ref="D6:F6"/>
    <mergeCell ref="H6:I6"/>
    <mergeCell ref="J6:K6"/>
  </mergeCells>
  <printOptions headings="false" gridLines="false" gridLinesSet="true" horizontalCentered="true" verticalCentered="false"/>
  <pageMargins left="0.35" right="0.35" top="0.4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Affaire 2024_06_264 - REPORTS - BITS DE MOTS (%MW)&amp;C&amp;7 &amp;D&amp;R&amp;7 page &amp;P /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4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.4"/>
    <col collapsed="false" customWidth="true" hidden="false" outlineLevel="0" max="4" min="3" style="0" width="6"/>
    <col collapsed="false" customWidth="true" hidden="false" outlineLevel="0" max="5" min="5" style="0" width="6.39"/>
    <col collapsed="false" customWidth="true" hidden="false" outlineLevel="0" max="7" min="6" style="0" width="6"/>
    <col collapsed="false" customWidth="true" hidden="false" outlineLevel="0" max="8" min="8" style="0" width="7.4"/>
    <col collapsed="false" customWidth="true" hidden="false" outlineLevel="0" max="11" min="9" style="0" width="6.9"/>
    <col collapsed="false" customWidth="true" hidden="false" outlineLevel="0" max="12" min="12" style="0" width="28"/>
  </cols>
  <sheetData>
    <row r="1" customFormat="false" ht="25.5" hidden="false" customHeight="true" outlineLevel="0" collapsed="false">
      <c r="A1" s="1" t="s">
        <v>305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287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.75" hidden="false" customHeight="true" outlineLevel="0" collapsed="false">
      <c r="A4" s="3" t="s">
        <v>6</v>
      </c>
      <c r="B4" s="4" t="s">
        <v>7</v>
      </c>
      <c r="D4" s="3" t="s">
        <v>8</v>
      </c>
      <c r="E4" s="4" t="s">
        <v>9</v>
      </c>
    </row>
    <row r="6" customFormat="false" ht="15" hidden="false" customHeight="true" outlineLevel="0" collapsed="false">
      <c r="B6" s="34" t="s">
        <v>265</v>
      </c>
      <c r="C6" s="17" t="s">
        <v>221</v>
      </c>
      <c r="D6" s="17"/>
      <c r="E6" s="18" t="s">
        <v>259</v>
      </c>
      <c r="F6" s="18"/>
      <c r="G6" s="18"/>
      <c r="H6" s="18"/>
      <c r="I6" s="33" t="s">
        <v>288</v>
      </c>
      <c r="J6" s="33"/>
      <c r="K6" s="36" t="s">
        <v>289</v>
      </c>
    </row>
    <row r="7" customFormat="false" ht="30" hidden="false" customHeight="true" outlineLevel="0" collapsed="false">
      <c r="A7" s="20" t="s">
        <v>151</v>
      </c>
      <c r="B7" s="20" t="s">
        <v>265</v>
      </c>
      <c r="C7" s="20" t="s">
        <v>292</v>
      </c>
      <c r="D7" s="20" t="s">
        <v>294</v>
      </c>
      <c r="E7" s="20" t="s">
        <v>163</v>
      </c>
      <c r="F7" s="20" t="s">
        <v>306</v>
      </c>
      <c r="G7" s="20" t="s">
        <v>307</v>
      </c>
      <c r="H7" s="20" t="s">
        <v>308</v>
      </c>
      <c r="I7" s="20" t="s">
        <v>295</v>
      </c>
      <c r="J7" s="20" t="s">
        <v>296</v>
      </c>
      <c r="K7" s="20" t="s">
        <v>295</v>
      </c>
      <c r="L7" s="20" t="s">
        <v>81</v>
      </c>
    </row>
    <row r="8" customFormat="false" ht="12.75" hidden="false" customHeight="true" outlineLevel="0" collapsed="false">
      <c r="A8" s="21"/>
      <c r="B8" s="21" t="s">
        <v>298</v>
      </c>
      <c r="C8" s="21"/>
      <c r="D8" s="21"/>
      <c r="E8" s="21"/>
      <c r="F8" s="21"/>
      <c r="G8" s="21"/>
      <c r="H8" s="21"/>
      <c r="I8" s="21"/>
      <c r="J8" s="21"/>
      <c r="K8" s="21"/>
      <c r="L8" s="21"/>
    </row>
    <row r="9" customFormat="false" ht="15" hidden="false" customHeight="true" outlineLevel="0" collapsed="false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customFormat="false" ht="15" hidden="false" customHeight="true" outlineLevel="0" collapsed="false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customFormat="false" ht="15" hidden="false" customHeight="true" outlineLevel="0" collapsed="false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customFormat="false" ht="15" hidden="false" customHeight="true" outlineLevel="0" collapsed="false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customFormat="false" ht="15" hidden="false" customHeight="true" outlineLevel="0" collapsed="false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customFormat="false" ht="15" hidden="false" customHeight="true" outlineLevel="0" collapsed="false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customFormat="false" ht="15" hidden="false" customHeight="true" outlineLevel="0" collapsed="false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customFormat="false" ht="15" hidden="false" customHeight="true" outlineLevel="0" collapsed="false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customFormat="false" ht="15" hidden="false" customHeight="true" outlineLevel="0" collapsed="false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customFormat="false" ht="15" hidden="false" customHeight="true" outlineLevel="0" collapsed="false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customFormat="false" ht="15" hidden="false" customHeight="true" outlineLevel="0" collapsed="false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customFormat="false" ht="15" hidden="false" customHeight="true" outlineLevel="0" collapsed="false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customFormat="false" ht="15" hidden="false" customHeight="true" outlineLevel="0" collapsed="false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customFormat="false" ht="15" hidden="false" customHeight="true" outlineLevel="0" collapsed="false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customFormat="false" ht="15" hidden="false" customHeight="true" outlineLevel="0" collapsed="false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customFormat="false" ht="15" hidden="false" customHeight="true" outlineLevel="0" collapsed="false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customFormat="false" ht="15" hidden="false" customHeight="true" outlineLevel="0" collapsed="false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customFormat="false" ht="15" hidden="false" customHeight="true" outlineLevel="0" collapsed="false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customFormat="false" ht="15" hidden="false" customHeight="true" outlineLevel="0" collapsed="false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customFormat="false" ht="15" hidden="false" customHeight="true" outlineLevel="0" collapsed="false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customFormat="false" ht="15" hidden="false" customHeight="true" outlineLevel="0" collapsed="false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customFormat="false" ht="15" hidden="false" customHeight="true" outlineLevel="0" collapsed="false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customFormat="false" ht="15" hidden="false" customHeight="true" outlineLevel="0" collapsed="false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customFormat="false" ht="15" hidden="false" customHeight="true" outlineLevel="0" collapsed="false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customFormat="false" ht="15" hidden="false" customHeight="true" outlineLevel="0" collapsed="false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customFormat="false" ht="15" hidden="false" customHeight="true" outlineLevel="0" collapsed="false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customFormat="false" ht="15" hidden="false" customHeight="true" outlineLevel="0" collapsed="false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customFormat="false" ht="15" hidden="false" customHeight="true" outlineLevel="0" collapsed="false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customFormat="false" ht="15" hidden="false" customHeight="true" outlineLevel="0" collapsed="false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customFormat="false" ht="1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customFormat="false" ht="15" hidden="false" customHeight="true" outlineLevel="0" collapsed="false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customFormat="false" ht="15" hidden="false" customHeight="true" outlineLevel="0" collapsed="false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customFormat="false" ht="15" hidden="false" customHeight="true" outlineLevel="0" collapsed="false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customFormat="false" ht="15" hidden="false" customHeight="true" outlineLevel="0" collapsed="false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customFormat="false" ht="15" hidden="false" customHeight="true" outlineLevel="0" collapsed="false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customFormat="false" ht="15" hidden="false" customHeight="true" outlineLevel="0" collapsed="false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customFormat="false" ht="15" hidden="false" customHeight="tru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customFormat="false" ht="15" hidden="false" customHeight="tru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customFormat="false" ht="15" hidden="false" customHeight="tru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customFormat="false" ht="15" hidden="false" customHeight="true" outlineLevel="0" collapsed="false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customFormat="false" ht="15" hidden="false" customHeight="true" outlineLevel="0" collapsed="false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customFormat="false" ht="15" hidden="false" customHeight="true" outlineLevel="0" collapsed="false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customFormat="false" ht="15" hidden="false" customHeight="true" outlineLevel="0" collapsed="false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customFormat="false" ht="15" hidden="false" customHeight="true" outlineLevel="0" collapsed="false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customFormat="false" ht="15" hidden="false" customHeight="true" outlineLevel="0" collapsed="false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customFormat="false" ht="15" hidden="false" customHeight="true" outlineLevel="0" collapsed="false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customFormat="false" ht="15" hidden="false" customHeight="true" outlineLevel="0" collapsed="false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customFormat="false" ht="15" hidden="false" customHeight="true" outlineLevel="0" collapsed="false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customFormat="false" ht="15" hidden="false" customHeight="true" outlineLevel="0" collapsed="false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customFormat="false" ht="15" hidden="false" customHeight="true" outlineLevel="0" collapsed="false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customFormat="false" ht="15" hidden="false" customHeight="true" outlineLevel="0" collapsed="false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customFormat="false" ht="15" hidden="false" customHeight="true" outlineLevel="0" collapsed="false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customFormat="false" ht="15" hidden="false" customHeight="true" outlineLevel="0" collapsed="false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customFormat="false" ht="15" hidden="false" customHeight="true" outlineLevel="0" collapsed="false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customFormat="false" ht="15" hidden="false" customHeight="true" outlineLevel="0" collapsed="false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customFormat="false" ht="15" hidden="false" customHeight="true" outlineLevel="0" collapsed="false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customFormat="false" ht="15" hidden="false" customHeight="true" outlineLevel="0" collapsed="false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customFormat="false" ht="15" hidden="false" customHeight="true" outlineLevel="0" collapsed="false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customFormat="false" ht="15" hidden="false" customHeight="true" outlineLevel="0" collapsed="false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customFormat="false" ht="15" hidden="false" customHeight="true" outlineLevel="0" collapsed="false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customFormat="false" ht="15" hidden="false" customHeight="true" outlineLevel="0" collapsed="false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 customFormat="false" ht="15" hidden="false" customHeight="true" outlineLevel="0" collapsed="false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customFormat="false" ht="15" hidden="false" customHeight="true" outlineLevel="0" collapsed="false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customFormat="false" ht="15" hidden="false" customHeight="true" outlineLevel="0" collapsed="false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customFormat="false" ht="15" hidden="false" customHeight="true" outlineLevel="0" collapsed="false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customFormat="false" ht="15" hidden="false" customHeight="true" outlineLevel="0" collapsed="false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customFormat="false" ht="15" hidden="false" customHeight="true" outlineLevel="0" collapsed="false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customFormat="false" ht="15" hidden="false" customHeight="true" outlineLevel="0" collapsed="false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customFormat="false" ht="15" hidden="false" customHeight="true" outlineLevel="0" collapsed="false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customFormat="false" ht="15" hidden="false" customHeight="tru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customFormat="false" ht="15" hidden="false" customHeight="true" outlineLevel="0" collapsed="false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customFormat="false" ht="15" hidden="false" customHeight="true" outlineLevel="0" collapsed="false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customFormat="false" ht="15" hidden="false" customHeight="true" outlineLevel="0" collapsed="false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customFormat="false" ht="15" hidden="false" customHeight="true" outlineLevel="0" collapsed="false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 customFormat="false" ht="15" hidden="false" customHeight="true" outlineLevel="0" collapsed="false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customFormat="false" ht="15" hidden="false" customHeight="true" outlineLevel="0" collapsed="false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customFormat="false" ht="15" hidden="false" customHeight="true" outlineLevel="0" collapsed="false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customFormat="false" ht="15" hidden="false" customHeight="true" outlineLevel="0" collapsed="false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customFormat="false" ht="15" hidden="false" customHeight="true" outlineLevel="0" collapsed="false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customFormat="false" ht="15" hidden="false" customHeight="true" outlineLevel="0" collapsed="false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customFormat="false" ht="15" hidden="false" customHeight="true" outlineLevel="0" collapsed="false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customFormat="false" ht="15" hidden="false" customHeight="true" outlineLevel="0" collapsed="false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customFormat="false" ht="15" hidden="false" customHeight="true" outlineLevel="0" collapsed="false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customFormat="false" ht="15" hidden="false" customHeight="true" outlineLevel="0" collapsed="false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customFormat="false" ht="15" hidden="false" customHeight="true" outlineLevel="0" collapsed="false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customFormat="false" ht="15" hidden="false" customHeight="true" outlineLevel="0" collapsed="false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customFormat="false" ht="15" hidden="false" customHeight="true" outlineLevel="0" collapsed="false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customFormat="false" ht="15" hidden="false" customHeight="true" outlineLevel="0" collapsed="false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customFormat="false" ht="15" hidden="false" customHeight="true" outlineLevel="0" collapsed="false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customFormat="false" ht="15" hidden="false" customHeight="true" outlineLevel="0" collapsed="false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customFormat="false" ht="15" hidden="false" customHeight="true" outlineLevel="0" collapsed="false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customFormat="false" ht="15" hidden="false" customHeight="true" outlineLevel="0" collapsed="false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customFormat="false" ht="15" hidden="false" customHeight="true" outlineLevel="0" collapsed="false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customFormat="false" ht="15" hidden="false" customHeight="true" outlineLevel="0" collapsed="false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customFormat="false" ht="15" hidden="false" customHeight="true" outlineLevel="0" collapsed="false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customFormat="false" ht="15" hidden="false" customHeight="true" outlineLevel="0" collapsed="false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customFormat="false" ht="15" hidden="false" customHeight="true" outlineLevel="0" collapsed="false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customFormat="false" ht="15" hidden="false" customHeight="true" outlineLevel="0" collapsed="false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customFormat="false" ht="15" hidden="false" customHeight="true" outlineLevel="0" collapsed="false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customFormat="false" ht="15" hidden="false" customHeight="true" outlineLevel="0" collapsed="false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customFormat="false" ht="15" hidden="false" customHeight="true" outlineLevel="0" collapsed="false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customFormat="false" ht="15" hidden="false" customHeight="true" outlineLevel="0" collapsed="false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customFormat="false" ht="15" hidden="false" customHeight="true" outlineLevel="0" collapsed="false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customFormat="false" ht="15" hidden="false" customHeight="true" outlineLevel="0" collapsed="false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customFormat="false" ht="15" hidden="false" customHeight="true" outlineLevel="0" collapsed="false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customFormat="false" ht="15" hidden="false" customHeight="true" outlineLevel="0" collapsed="false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customFormat="false" ht="15" hidden="false" customHeight="true" outlineLevel="0" collapsed="false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customFormat="false" ht="15" hidden="false" customHeight="true" outlineLevel="0" collapsed="false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customFormat="false" ht="15" hidden="false" customHeight="true" outlineLevel="0" collapsed="false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customFormat="false" ht="15" hidden="false" customHeight="true" outlineLevel="0" collapsed="false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customFormat="false" ht="15" hidden="false" customHeight="true" outlineLevel="0" collapsed="false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customFormat="false" ht="15" hidden="false" customHeight="true" outlineLevel="0" collapsed="false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customFormat="false" ht="15" hidden="false" customHeight="true" outlineLevel="0" collapsed="false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customFormat="false" ht="15" hidden="false" customHeight="true" outlineLevel="0" collapsed="false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customFormat="false" ht="15" hidden="false" customHeight="true" outlineLevel="0" collapsed="false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customFormat="false" ht="15" hidden="false" customHeight="true" outlineLevel="0" collapsed="false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customFormat="false" ht="15" hidden="false" customHeight="true" outlineLevel="0" collapsed="false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customFormat="false" ht="15" hidden="false" customHeight="true" outlineLevel="0" collapsed="false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customFormat="false" ht="15" hidden="false" customHeight="true" outlineLevel="0" collapsed="false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customFormat="false" ht="15" hidden="false" customHeight="true" outlineLevel="0" collapsed="false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customFormat="false" ht="15" hidden="false" customHeight="true" outlineLevel="0" collapsed="false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customFormat="false" ht="15" hidden="false" customHeight="true" outlineLevel="0" collapsed="false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customFormat="false" ht="15" hidden="false" customHeight="true" outlineLevel="0" collapsed="false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customFormat="false" ht="15" hidden="false" customHeight="true" outlineLevel="0" collapsed="false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customFormat="false" ht="15" hidden="false" customHeight="true" outlineLevel="0" collapsed="false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customFormat="false" ht="15" hidden="false" customHeight="true" outlineLevel="0" collapsed="false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customFormat="false" ht="15" hidden="false" customHeight="true" outlineLevel="0" collapsed="false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customFormat="false" ht="15" hidden="false" customHeight="true" outlineLevel="0" collapsed="false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customFormat="false" ht="15" hidden="false" customHeight="true" outlineLevel="0" collapsed="false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customFormat="false" ht="15" hidden="false" customHeight="true" outlineLevel="0" collapsed="false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customFormat="false" ht="15" hidden="false" customHeight="true" outlineLevel="0" collapsed="false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customFormat="false" ht="15" hidden="false" customHeight="true" outlineLevel="0" collapsed="false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customFormat="false" ht="15" hidden="false" customHeight="true" outlineLevel="0" collapsed="false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 customFormat="false" ht="15" hidden="false" customHeight="true" outlineLevel="0" collapsed="false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 customFormat="false" ht="15" hidden="false" customHeight="true" outlineLevel="0" collapsed="false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customFormat="false" ht="15" hidden="false" customHeight="true" outlineLevel="0" collapsed="false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customFormat="false" ht="15" hidden="false" customHeight="true" outlineLevel="0" collapsed="false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customFormat="false" ht="15" hidden="false" customHeight="true" outlineLevel="0" collapsed="false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customFormat="false" ht="15" hidden="false" customHeight="true" outlineLevel="0" collapsed="false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customFormat="false" ht="15" hidden="false" customHeight="true" outlineLevel="0" collapsed="false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customFormat="false" ht="15" hidden="false" customHeight="true" outlineLevel="0" collapsed="false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 customFormat="false" ht="15" hidden="false" customHeight="true" outlineLevel="0" collapsed="false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 customFormat="false" ht="15" hidden="false" customHeight="true" outlineLevel="0" collapsed="false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customFormat="false" ht="15" hidden="false" customHeight="true" outlineLevel="0" collapsed="false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customFormat="false" ht="15" hidden="false" customHeight="true" outlineLevel="0" collapsed="false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 customFormat="false" ht="15" hidden="false" customHeight="true" outlineLevel="0" collapsed="false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 customFormat="false" ht="15" hidden="false" customHeight="true" outlineLevel="0" collapsed="false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customFormat="false" ht="15" hidden="false" customHeight="true" outlineLevel="0" collapsed="false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customFormat="false" ht="15" hidden="false" customHeight="true" outlineLevel="0" collapsed="false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customFormat="false" ht="15" hidden="false" customHeight="true" outlineLevel="0" collapsed="false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</row>
    <row r="159" customFormat="false" ht="15" hidden="false" customHeight="true" outlineLevel="0" collapsed="false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</row>
    <row r="160" customFormat="false" ht="15" hidden="false" customHeight="true" outlineLevel="0" collapsed="false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</row>
    <row r="161" customFormat="false" ht="15" hidden="false" customHeight="true" outlineLevel="0" collapsed="false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</row>
    <row r="162" customFormat="false" ht="15" hidden="false" customHeight="true" outlineLevel="0" collapsed="false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  <row r="163" customFormat="false" ht="15" hidden="false" customHeight="true" outlineLevel="0" collapsed="false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</row>
    <row r="164" customFormat="false" ht="15" hidden="false" customHeight="true" outlineLevel="0" collapsed="false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</row>
    <row r="165" customFormat="false" ht="15" hidden="false" customHeight="true" outlineLevel="0" collapsed="false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</row>
    <row r="166" customFormat="false" ht="15" hidden="false" customHeight="true" outlineLevel="0" collapsed="false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</row>
    <row r="167" customFormat="false" ht="15" hidden="false" customHeight="true" outlineLevel="0" collapsed="false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</row>
    <row r="168" customFormat="false" ht="15" hidden="false" customHeight="true" outlineLevel="0" collapsed="false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</row>
    <row r="169" customFormat="false" ht="15" hidden="false" customHeight="true" outlineLevel="0" collapsed="false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</row>
    <row r="170" customFormat="false" ht="15" hidden="false" customHeight="true" outlineLevel="0" collapsed="false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</row>
    <row r="171" customFormat="false" ht="15" hidden="false" customHeight="true" outlineLevel="0" collapsed="false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</row>
    <row r="172" customFormat="false" ht="15" hidden="false" customHeight="true" outlineLevel="0" collapsed="false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</row>
    <row r="173" customFormat="false" ht="15" hidden="false" customHeight="true" outlineLevel="0" collapsed="false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</row>
    <row r="174" customFormat="false" ht="15" hidden="false" customHeight="true" outlineLevel="0" collapsed="false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</row>
    <row r="175" customFormat="false" ht="15" hidden="false" customHeight="true" outlineLevel="0" collapsed="false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</row>
    <row r="176" customFormat="false" ht="15" hidden="false" customHeight="true" outlineLevel="0" collapsed="false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</row>
    <row r="177" customFormat="false" ht="15" hidden="false" customHeight="true" outlineLevel="0" collapsed="false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</row>
    <row r="178" customFormat="false" ht="15" hidden="false" customHeight="true" outlineLevel="0" collapsed="false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</row>
    <row r="179" customFormat="false" ht="15" hidden="false" customHeight="true" outlineLevel="0" collapsed="false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</row>
    <row r="180" customFormat="false" ht="15" hidden="false" customHeight="true" outlineLevel="0" collapsed="false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</row>
    <row r="181" customFormat="false" ht="15" hidden="false" customHeight="true" outlineLevel="0" collapsed="false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</row>
    <row r="182" customFormat="false" ht="15" hidden="false" customHeight="true" outlineLevel="0" collapsed="false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</row>
    <row r="183" customFormat="false" ht="15" hidden="false" customHeight="true" outlineLevel="0" collapsed="false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</row>
    <row r="184" customFormat="false" ht="15" hidden="false" customHeight="true" outlineLevel="0" collapsed="false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</row>
    <row r="185" customFormat="false" ht="15" hidden="false" customHeight="true" outlineLevel="0" collapsed="false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</row>
    <row r="186" customFormat="false" ht="15" hidden="false" customHeight="true" outlineLevel="0" collapsed="false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</row>
    <row r="187" customFormat="false" ht="15" hidden="false" customHeight="true" outlineLevel="0" collapsed="false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</row>
    <row r="188" customFormat="false" ht="15" hidden="false" customHeight="true" outlineLevel="0" collapsed="false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</row>
    <row r="189" customFormat="false" ht="15" hidden="false" customHeight="true" outlineLevel="0" collapsed="false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</row>
    <row r="190" customFormat="false" ht="15" hidden="false" customHeight="true" outlineLevel="0" collapsed="false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</row>
    <row r="191" customFormat="false" ht="15" hidden="false" customHeight="true" outlineLevel="0" collapsed="false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</row>
    <row r="192" customFormat="false" ht="15" hidden="false" customHeight="true" outlineLevel="0" collapsed="false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</row>
    <row r="193" customFormat="false" ht="15" hidden="false" customHeight="true" outlineLevel="0" collapsed="false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</row>
    <row r="194" customFormat="false" ht="15" hidden="false" customHeight="true" outlineLevel="0" collapsed="false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</row>
    <row r="195" customFormat="false" ht="15" hidden="false" customHeight="true" outlineLevel="0" collapsed="false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</row>
    <row r="196" customFormat="false" ht="15" hidden="false" customHeight="true" outlineLevel="0" collapsed="false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</row>
    <row r="197" customFormat="false" ht="15" hidden="false" customHeight="true" outlineLevel="0" collapsed="false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</row>
    <row r="198" customFormat="false" ht="15" hidden="false" customHeight="tru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</row>
    <row r="199" customFormat="false" ht="15" hidden="false" customHeight="true" outlineLevel="0" collapsed="false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</row>
    <row r="200" customFormat="false" ht="15" hidden="false" customHeight="tru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</row>
    <row r="201" customFormat="false" ht="15" hidden="false" customHeight="true" outlineLevel="0" collapsed="false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</row>
    <row r="202" customFormat="false" ht="15" hidden="false" customHeight="true" outlineLevel="0" collapsed="false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</row>
    <row r="203" customFormat="false" ht="15" hidden="false" customHeight="true" outlineLevel="0" collapsed="false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</row>
    <row r="204" customFormat="false" ht="15" hidden="false" customHeight="true" outlineLevel="0" collapsed="false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</row>
    <row r="205" customFormat="false" ht="15" hidden="false" customHeight="true" outlineLevel="0" collapsed="false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</row>
    <row r="206" customFormat="false" ht="15" hidden="false" customHeight="true" outlineLevel="0" collapsed="false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</row>
    <row r="207" customFormat="false" ht="15" hidden="false" customHeight="true" outlineLevel="0" collapsed="false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</row>
    <row r="208" customFormat="false" ht="15" hidden="false" customHeight="true" outlineLevel="0" collapsed="false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</row>
    <row r="209" customFormat="false" ht="15" hidden="false" customHeight="true" outlineLevel="0" collapsed="false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</row>
    <row r="210" customFormat="false" ht="15" hidden="false" customHeight="true" outlineLevel="0" collapsed="false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</row>
    <row r="211" customFormat="false" ht="15" hidden="false" customHeight="true" outlineLevel="0" collapsed="false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</row>
    <row r="212" customFormat="false" ht="15" hidden="false" customHeight="true" outlineLevel="0" collapsed="false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</row>
    <row r="213" customFormat="false" ht="15" hidden="false" customHeight="true" outlineLevel="0" collapsed="false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</row>
    <row r="214" customFormat="false" ht="15" hidden="false" customHeight="true" outlineLevel="0" collapsed="false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</row>
    <row r="215" customFormat="false" ht="15" hidden="false" customHeight="true" outlineLevel="0" collapsed="false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</row>
    <row r="216" customFormat="false" ht="15" hidden="false" customHeight="true" outlineLevel="0" collapsed="false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</row>
    <row r="217" customFormat="false" ht="15" hidden="false" customHeight="true" outlineLevel="0" collapsed="false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</row>
    <row r="218" customFormat="false" ht="15" hidden="false" customHeight="true" outlineLevel="0" collapsed="false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</row>
    <row r="219" customFormat="false" ht="15" hidden="false" customHeight="true" outlineLevel="0" collapsed="false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</row>
    <row r="220" customFormat="false" ht="15" hidden="false" customHeight="true" outlineLevel="0" collapsed="false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</row>
    <row r="221" customFormat="false" ht="15" hidden="false" customHeight="true" outlineLevel="0" collapsed="false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</row>
    <row r="222" customFormat="false" ht="15" hidden="false" customHeight="true" outlineLevel="0" collapsed="false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</row>
    <row r="223" customFormat="false" ht="15" hidden="false" customHeight="true" outlineLevel="0" collapsed="false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</row>
    <row r="224" customFormat="false" ht="15" hidden="false" customHeight="true" outlineLevel="0" collapsed="false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</row>
    <row r="225" customFormat="false" ht="15" hidden="false" customHeight="true" outlineLevel="0" collapsed="false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</row>
    <row r="226" customFormat="false" ht="15" hidden="false" customHeight="true" outlineLevel="0" collapsed="false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</row>
    <row r="227" customFormat="false" ht="15" hidden="false" customHeight="true" outlineLevel="0" collapsed="false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</row>
    <row r="228" customFormat="false" ht="15" hidden="false" customHeight="true" outlineLevel="0" collapsed="false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</row>
    <row r="229" customFormat="false" ht="15" hidden="false" customHeight="true" outlineLevel="0" collapsed="false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</row>
    <row r="230" customFormat="false" ht="15" hidden="false" customHeight="true" outlineLevel="0" collapsed="false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</row>
    <row r="231" customFormat="false" ht="15" hidden="false" customHeight="true" outlineLevel="0" collapsed="false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</row>
    <row r="232" customFormat="false" ht="15" hidden="false" customHeight="true" outlineLevel="0" collapsed="false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</row>
    <row r="233" customFormat="false" ht="15" hidden="false" customHeight="true" outlineLevel="0" collapsed="false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</row>
    <row r="234" customFormat="false" ht="15" hidden="false" customHeight="true" outlineLevel="0" collapsed="false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</row>
    <row r="235" customFormat="false" ht="15" hidden="false" customHeight="true" outlineLevel="0" collapsed="false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</row>
    <row r="236" customFormat="false" ht="15" hidden="false" customHeight="true" outlineLevel="0" collapsed="false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</row>
    <row r="237" customFormat="false" ht="15" hidden="false" customHeight="true" outlineLevel="0" collapsed="false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</row>
    <row r="238" customFormat="false" ht="15" hidden="false" customHeight="true" outlineLevel="0" collapsed="false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</row>
    <row r="239" customFormat="false" ht="15" hidden="false" customHeight="true" outlineLevel="0" collapsed="false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</row>
    <row r="240" customFormat="false" ht="15" hidden="false" customHeight="true" outlineLevel="0" collapsed="false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</row>
    <row r="241" customFormat="false" ht="15" hidden="false" customHeight="true" outlineLevel="0" collapsed="false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</row>
    <row r="242" customFormat="false" ht="15" hidden="false" customHeight="true" outlineLevel="0" collapsed="false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</row>
    <row r="243" customFormat="false" ht="15" hidden="false" customHeight="true" outlineLevel="0" collapsed="false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</row>
    <row r="244" customFormat="false" ht="15" hidden="false" customHeight="true" outlineLevel="0" collapsed="false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</row>
    <row r="245" customFormat="false" ht="15" hidden="false" customHeight="true" outlineLevel="0" collapsed="false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</row>
    <row r="246" customFormat="false" ht="15" hidden="false" customHeight="true" outlineLevel="0" collapsed="false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</row>
    <row r="247" customFormat="false" ht="15" hidden="false" customHeight="true" outlineLevel="0" collapsed="false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</row>
    <row r="248" customFormat="false" ht="15" hidden="false" customHeight="true" outlineLevel="0" collapsed="false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</row>
    <row r="249" customFormat="false" ht="15" hidden="false" customHeight="true" outlineLevel="0" collapsed="false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</row>
    <row r="250" customFormat="false" ht="15" hidden="false" customHeight="true" outlineLevel="0" collapsed="false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</row>
    <row r="251" customFormat="false" ht="15" hidden="false" customHeight="true" outlineLevel="0" collapsed="false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</row>
    <row r="252" customFormat="false" ht="15" hidden="false" customHeight="true" outlineLevel="0" collapsed="false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</row>
    <row r="253" customFormat="false" ht="15" hidden="false" customHeight="true" outlineLevel="0" collapsed="false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</row>
    <row r="254" customFormat="false" ht="15" hidden="false" customHeight="true" outlineLevel="0" collapsed="false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</row>
    <row r="255" customFormat="false" ht="15" hidden="false" customHeight="true" outlineLevel="0" collapsed="false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</row>
    <row r="256" customFormat="false" ht="15" hidden="false" customHeight="true" outlineLevel="0" collapsed="false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</row>
    <row r="257" customFormat="false" ht="15" hidden="false" customHeight="true" outlineLevel="0" collapsed="false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</row>
    <row r="258" customFormat="false" ht="15" hidden="false" customHeight="true" outlineLevel="0" collapsed="false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</row>
    <row r="259" customFormat="false" ht="15" hidden="false" customHeight="true" outlineLevel="0" collapsed="false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</row>
    <row r="260" customFormat="false" ht="15" hidden="false" customHeight="true" outlineLevel="0" collapsed="false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</row>
    <row r="261" customFormat="false" ht="15" hidden="false" customHeight="true" outlineLevel="0" collapsed="false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</row>
    <row r="262" customFormat="false" ht="15" hidden="false" customHeight="true" outlineLevel="0" collapsed="false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</row>
    <row r="263" customFormat="false" ht="15" hidden="false" customHeight="true" outlineLevel="0" collapsed="false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</row>
    <row r="264" customFormat="false" ht="15" hidden="false" customHeight="true" outlineLevel="0" collapsed="false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</row>
    <row r="265" customFormat="false" ht="15" hidden="false" customHeight="true" outlineLevel="0" collapsed="false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</row>
    <row r="266" customFormat="false" ht="15" hidden="false" customHeight="true" outlineLevel="0" collapsed="false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</row>
    <row r="267" customFormat="false" ht="15" hidden="false" customHeight="true" outlineLevel="0" collapsed="false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</row>
    <row r="268" customFormat="false" ht="15" hidden="false" customHeight="true" outlineLevel="0" collapsed="false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</row>
    <row r="269" customFormat="false" ht="15" hidden="false" customHeight="true" outlineLevel="0" collapsed="false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</row>
    <row r="270" customFormat="false" ht="15" hidden="false" customHeight="true" outlineLevel="0" collapsed="false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</row>
    <row r="271" customFormat="false" ht="15" hidden="false" customHeight="true" outlineLevel="0" collapsed="false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</row>
    <row r="272" customFormat="false" ht="15" hidden="false" customHeight="true" outlineLevel="0" collapsed="false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</row>
    <row r="273" customFormat="false" ht="15" hidden="false" customHeight="true" outlineLevel="0" collapsed="false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</row>
    <row r="274" customFormat="false" ht="15" hidden="false" customHeight="true" outlineLevel="0" collapsed="false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</row>
    <row r="275" customFormat="false" ht="15" hidden="false" customHeight="true" outlineLevel="0" collapsed="false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</row>
    <row r="276" customFormat="false" ht="15" hidden="false" customHeight="true" outlineLevel="0" collapsed="false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</row>
    <row r="277" customFormat="false" ht="15" hidden="false" customHeight="true" outlineLevel="0" collapsed="false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</row>
    <row r="278" customFormat="false" ht="15" hidden="false" customHeight="true" outlineLevel="0" collapsed="false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</row>
    <row r="279" customFormat="false" ht="15" hidden="false" customHeight="true" outlineLevel="0" collapsed="false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</row>
    <row r="280" customFormat="false" ht="15" hidden="false" customHeight="true" outlineLevel="0" collapsed="false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</row>
    <row r="281" customFormat="false" ht="15" hidden="false" customHeight="true" outlineLevel="0" collapsed="false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</row>
    <row r="282" customFormat="false" ht="15" hidden="false" customHeight="true" outlineLevel="0" collapsed="false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</row>
    <row r="283" customFormat="false" ht="15" hidden="false" customHeight="true" outlineLevel="0" collapsed="false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</row>
    <row r="284" customFormat="false" ht="15" hidden="false" customHeight="true" outlineLevel="0" collapsed="false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</row>
    <row r="285" customFormat="false" ht="15" hidden="false" customHeight="true" outlineLevel="0" collapsed="false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</row>
    <row r="286" customFormat="false" ht="15" hidden="false" customHeight="true" outlineLevel="0" collapsed="false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</row>
    <row r="287" customFormat="false" ht="15" hidden="false" customHeight="true" outlineLevel="0" collapsed="false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</row>
    <row r="288" customFormat="false" ht="15" hidden="false" customHeight="true" outlineLevel="0" collapsed="false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</row>
    <row r="289" customFormat="false" ht="15" hidden="false" customHeight="true" outlineLevel="0" collapsed="false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customFormat="false" ht="15" hidden="false" customHeight="true" outlineLevel="0" collapsed="false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customFormat="false" ht="15" hidden="false" customHeight="true" outlineLevel="0" collapsed="false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customFormat="false" ht="15" hidden="false" customHeight="true" outlineLevel="0" collapsed="false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customFormat="false" ht="15" hidden="false" customHeight="true" outlineLevel="0" collapsed="false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customFormat="false" ht="15" hidden="false" customHeight="true" outlineLevel="0" collapsed="false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customFormat="false" ht="15" hidden="false" customHeight="true" outlineLevel="0" collapsed="false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customFormat="false" ht="15" hidden="false" customHeight="true" outlineLevel="0" collapsed="false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customFormat="false" ht="15" hidden="false" customHeight="true" outlineLevel="0" collapsed="false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customFormat="false" ht="15" hidden="false" customHeight="true" outlineLevel="0" collapsed="false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customFormat="false" ht="15" hidden="false" customHeight="true" outlineLevel="0" collapsed="false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customFormat="false" ht="15" hidden="false" customHeight="true" outlineLevel="0" collapsed="false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customFormat="false" ht="15" hidden="false" customHeight="true" outlineLevel="0" collapsed="false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customFormat="false" ht="15" hidden="false" customHeight="true" outlineLevel="0" collapsed="false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customFormat="false" ht="15" hidden="false" customHeight="true" outlineLevel="0" collapsed="false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customFormat="false" ht="15" hidden="false" customHeight="true" outlineLevel="0" collapsed="false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customFormat="false" ht="15" hidden="false" customHeight="true" outlineLevel="0" collapsed="false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customFormat="false" ht="15" hidden="false" customHeight="true" outlineLevel="0" collapsed="false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customFormat="false" ht="15" hidden="false" customHeight="true" outlineLevel="0" collapsed="false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customFormat="false" ht="15" hidden="false" customHeight="true" outlineLevel="0" collapsed="false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customFormat="false" ht="15" hidden="false" customHeight="true" outlineLevel="0" collapsed="false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</row>
    <row r="310" customFormat="false" ht="15" hidden="false" customHeight="true" outlineLevel="0" collapsed="false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</row>
    <row r="311" customFormat="false" ht="15" hidden="false" customHeight="true" outlineLevel="0" collapsed="false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</row>
    <row r="312" customFormat="false" ht="15" hidden="false" customHeight="true" outlineLevel="0" collapsed="false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</row>
    <row r="313" customFormat="false" ht="15" hidden="false" customHeight="true" outlineLevel="0" collapsed="false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</row>
    <row r="314" customFormat="false" ht="15" hidden="false" customHeight="true" outlineLevel="0" collapsed="false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</row>
    <row r="315" customFormat="false" ht="15" hidden="false" customHeight="true" outlineLevel="0" collapsed="false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</row>
    <row r="316" customFormat="false" ht="15" hidden="false" customHeight="true" outlineLevel="0" collapsed="false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</row>
    <row r="317" customFormat="false" ht="15" hidden="false" customHeight="true" outlineLevel="0" collapsed="false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</row>
    <row r="318" customFormat="false" ht="15" hidden="false" customHeight="true" outlineLevel="0" collapsed="false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</row>
    <row r="319" customFormat="false" ht="15" hidden="false" customHeight="true" outlineLevel="0" collapsed="false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</row>
    <row r="320" customFormat="false" ht="15" hidden="false" customHeight="true" outlineLevel="0" collapsed="false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</row>
    <row r="321" customFormat="false" ht="15" hidden="false" customHeight="true" outlineLevel="0" collapsed="false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</row>
    <row r="322" customFormat="false" ht="15" hidden="false" customHeight="true" outlineLevel="0" collapsed="false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</row>
    <row r="323" customFormat="false" ht="15" hidden="false" customHeight="true" outlineLevel="0" collapsed="false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</row>
    <row r="324" customFormat="false" ht="15" hidden="false" customHeight="true" outlineLevel="0" collapsed="false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</row>
    <row r="325" customFormat="false" ht="15" hidden="false" customHeight="true" outlineLevel="0" collapsed="false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</row>
    <row r="326" customFormat="false" ht="15" hidden="false" customHeight="true" outlineLevel="0" collapsed="false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</row>
    <row r="327" customFormat="false" ht="15" hidden="false" customHeight="true" outlineLevel="0" collapsed="false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</row>
    <row r="328" customFormat="false" ht="15" hidden="false" customHeight="true" outlineLevel="0" collapsed="false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</row>
    <row r="329" customFormat="false" ht="15" hidden="false" customHeight="true" outlineLevel="0" collapsed="false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</row>
    <row r="330" customFormat="false" ht="15" hidden="false" customHeight="true" outlineLevel="0" collapsed="false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</row>
    <row r="331" customFormat="false" ht="15" hidden="false" customHeight="true" outlineLevel="0" collapsed="false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</row>
    <row r="332" customFormat="false" ht="15" hidden="false" customHeight="true" outlineLevel="0" collapsed="false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</row>
    <row r="333" customFormat="false" ht="15" hidden="false" customHeight="true" outlineLevel="0" collapsed="false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</row>
    <row r="334" customFormat="false" ht="15" hidden="false" customHeight="true" outlineLevel="0" collapsed="false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</row>
    <row r="335" customFormat="false" ht="15" hidden="false" customHeight="true" outlineLevel="0" collapsed="false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</row>
    <row r="336" customFormat="false" ht="15" hidden="false" customHeight="true" outlineLevel="0" collapsed="false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</row>
    <row r="337" customFormat="false" ht="15" hidden="false" customHeight="true" outlineLevel="0" collapsed="false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</row>
    <row r="338" customFormat="false" ht="15" hidden="false" customHeight="true" outlineLevel="0" collapsed="false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</row>
    <row r="339" customFormat="false" ht="15" hidden="false" customHeight="true" outlineLevel="0" collapsed="false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</row>
    <row r="340" customFormat="false" ht="15" hidden="false" customHeight="true" outlineLevel="0" collapsed="false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</row>
    <row r="341" customFormat="false" ht="15" hidden="false" customHeight="true" outlineLevel="0" collapsed="false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</row>
    <row r="342" customFormat="false" ht="15" hidden="false" customHeight="true" outlineLevel="0" collapsed="false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</row>
    <row r="343" customFormat="false" ht="15" hidden="false" customHeight="true" outlineLevel="0" collapsed="false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</row>
    <row r="344" customFormat="false" ht="15" hidden="false" customHeight="true" outlineLevel="0" collapsed="false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</row>
    <row r="345" customFormat="false" ht="15" hidden="false" customHeight="true" outlineLevel="0" collapsed="false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</row>
    <row r="346" customFormat="false" ht="15" hidden="false" customHeight="true" outlineLevel="0" collapsed="false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</row>
    <row r="347" customFormat="false" ht="15" hidden="false" customHeight="true" outlineLevel="0" collapsed="false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</row>
    <row r="348" customFormat="false" ht="15" hidden="false" customHeight="true" outlineLevel="0" collapsed="false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</row>
    <row r="349" customFormat="false" ht="15" hidden="false" customHeight="true" outlineLevel="0" collapsed="false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</row>
    <row r="350" customFormat="false" ht="15" hidden="false" customHeight="true" outlineLevel="0" collapsed="false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</row>
    <row r="351" customFormat="false" ht="15" hidden="false" customHeight="true" outlineLevel="0" collapsed="false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</row>
    <row r="352" customFormat="false" ht="15" hidden="false" customHeight="true" outlineLevel="0" collapsed="false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</row>
    <row r="353" customFormat="false" ht="15" hidden="false" customHeight="true" outlineLevel="0" collapsed="false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</row>
    <row r="354" customFormat="false" ht="15" hidden="false" customHeight="true" outlineLevel="0" collapsed="false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</row>
    <row r="355" customFormat="false" ht="15" hidden="false" customHeight="true" outlineLevel="0" collapsed="false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</row>
    <row r="356" customFormat="false" ht="15" hidden="false" customHeight="true" outlineLevel="0" collapsed="false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</row>
    <row r="357" customFormat="false" ht="15" hidden="false" customHeight="true" outlineLevel="0" collapsed="false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</row>
    <row r="358" customFormat="false" ht="15" hidden="false" customHeight="true" outlineLevel="0" collapsed="false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</row>
    <row r="359" customFormat="false" ht="15" hidden="false" customHeight="true" outlineLevel="0" collapsed="false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</row>
    <row r="360" customFormat="false" ht="15" hidden="false" customHeight="true" outlineLevel="0" collapsed="false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</row>
    <row r="361" customFormat="false" ht="15" hidden="false" customHeight="true" outlineLevel="0" collapsed="false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</row>
    <row r="362" customFormat="false" ht="15" hidden="false" customHeight="true" outlineLevel="0" collapsed="false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</row>
    <row r="363" customFormat="false" ht="15" hidden="false" customHeight="true" outlineLevel="0" collapsed="false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</row>
    <row r="364" customFormat="false" ht="15" hidden="false" customHeight="true" outlineLevel="0" collapsed="false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</row>
    <row r="365" customFormat="false" ht="15" hidden="false" customHeight="true" outlineLevel="0" collapsed="false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</row>
    <row r="366" customFormat="false" ht="15" hidden="false" customHeight="true" outlineLevel="0" collapsed="false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</row>
    <row r="367" customFormat="false" ht="15" hidden="false" customHeight="true" outlineLevel="0" collapsed="false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</row>
    <row r="368" customFormat="false" ht="15" hidden="false" customHeight="true" outlineLevel="0" collapsed="false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</row>
    <row r="369" customFormat="false" ht="15" hidden="false" customHeight="true" outlineLevel="0" collapsed="false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</row>
    <row r="370" customFormat="false" ht="15" hidden="false" customHeight="true" outlineLevel="0" collapsed="false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</row>
    <row r="371" customFormat="false" ht="15" hidden="false" customHeight="true" outlineLevel="0" collapsed="false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</row>
    <row r="372" customFormat="false" ht="15" hidden="false" customHeight="true" outlineLevel="0" collapsed="false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</row>
    <row r="373" customFormat="false" ht="15" hidden="false" customHeight="true" outlineLevel="0" collapsed="false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</row>
    <row r="374" customFormat="false" ht="15" hidden="false" customHeight="true" outlineLevel="0" collapsed="false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</row>
    <row r="375" customFormat="false" ht="15" hidden="false" customHeight="true" outlineLevel="0" collapsed="false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</row>
    <row r="376" customFormat="false" ht="15" hidden="false" customHeight="true" outlineLevel="0" collapsed="false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</row>
    <row r="377" customFormat="false" ht="15" hidden="false" customHeight="true" outlineLevel="0" collapsed="false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</row>
    <row r="378" customFormat="false" ht="15" hidden="false" customHeight="true" outlineLevel="0" collapsed="false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</row>
    <row r="379" customFormat="false" ht="15" hidden="false" customHeight="true" outlineLevel="0" collapsed="false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</row>
    <row r="380" customFormat="false" ht="15" hidden="false" customHeight="true" outlineLevel="0" collapsed="false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</row>
    <row r="381" customFormat="false" ht="15" hidden="false" customHeight="true" outlineLevel="0" collapsed="false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</row>
    <row r="382" customFormat="false" ht="15" hidden="false" customHeight="true" outlineLevel="0" collapsed="false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</row>
    <row r="383" customFormat="false" ht="15" hidden="false" customHeight="true" outlineLevel="0" collapsed="false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</row>
    <row r="384" customFormat="false" ht="15" hidden="false" customHeight="true" outlineLevel="0" collapsed="false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</row>
    <row r="385" customFormat="false" ht="15" hidden="false" customHeight="true" outlineLevel="0" collapsed="false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</row>
    <row r="386" customFormat="false" ht="15" hidden="false" customHeight="true" outlineLevel="0" collapsed="false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</row>
    <row r="387" customFormat="false" ht="15" hidden="false" customHeight="true" outlineLevel="0" collapsed="false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</row>
    <row r="388" customFormat="false" ht="15" hidden="false" customHeight="true" outlineLevel="0" collapsed="false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</row>
    <row r="389" customFormat="false" ht="15" hidden="false" customHeight="true" outlineLevel="0" collapsed="false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</row>
    <row r="390" customFormat="false" ht="15" hidden="false" customHeight="true" outlineLevel="0" collapsed="false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</row>
    <row r="391" customFormat="false" ht="15" hidden="false" customHeight="true" outlineLevel="0" collapsed="false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</row>
    <row r="392" customFormat="false" ht="15" hidden="false" customHeight="true" outlineLevel="0" collapsed="false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</row>
    <row r="393" customFormat="false" ht="15" hidden="false" customHeight="true" outlineLevel="0" collapsed="false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</row>
    <row r="394" customFormat="false" ht="15" hidden="false" customHeight="true" outlineLevel="0" collapsed="false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</row>
    <row r="395" customFormat="false" ht="15" hidden="false" customHeight="true" outlineLevel="0" collapsed="false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</row>
    <row r="396" customFormat="false" ht="15" hidden="false" customHeight="true" outlineLevel="0" collapsed="false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</row>
    <row r="397" customFormat="false" ht="15" hidden="false" customHeight="true" outlineLevel="0" collapsed="false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</row>
    <row r="398" customFormat="false" ht="15" hidden="false" customHeight="true" outlineLevel="0" collapsed="false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</row>
    <row r="399" customFormat="false" ht="15" hidden="false" customHeight="true" outlineLevel="0" collapsed="false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</row>
    <row r="400" customFormat="false" ht="15" hidden="false" customHeight="true" outlineLevel="0" collapsed="false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</row>
    <row r="401" customFormat="false" ht="15" hidden="false" customHeight="true" outlineLevel="0" collapsed="false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</row>
    <row r="402" customFormat="false" ht="15" hidden="false" customHeight="true" outlineLevel="0" collapsed="false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</row>
    <row r="403" customFormat="false" ht="15" hidden="false" customHeight="true" outlineLevel="0" collapsed="false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</row>
    <row r="404" customFormat="false" ht="15" hidden="false" customHeight="true" outlineLevel="0" collapsed="false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</row>
    <row r="405" customFormat="false" ht="15" hidden="false" customHeight="true" outlineLevel="0" collapsed="false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</row>
    <row r="406" customFormat="false" ht="15" hidden="false" customHeight="true" outlineLevel="0" collapsed="false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</row>
    <row r="407" customFormat="false" ht="15" hidden="false" customHeight="true" outlineLevel="0" collapsed="false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</row>
    <row r="408" customFormat="false" ht="15" hidden="false" customHeight="true" outlineLevel="0" collapsed="false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</row>
    <row r="410" customFormat="false" ht="15" hidden="false" customHeight="false" outlineLevel="0" collapsed="false">
      <c r="BR410" s="11" t="s">
        <v>299</v>
      </c>
    </row>
  </sheetData>
  <autoFilter ref="A7:L7"/>
  <mergeCells count="5">
    <mergeCell ref="A1:L1"/>
    <mergeCell ref="A2:L2"/>
    <mergeCell ref="C6:D6"/>
    <mergeCell ref="E6:H6"/>
    <mergeCell ref="I6:J6"/>
  </mergeCells>
  <printOptions headings="false" gridLines="false" gridLinesSet="true" horizontalCentered="true" verticalCentered="false"/>
  <pageMargins left="0.35" right="0.35" top="0.4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Affaire 2024_06_264 - REPORTS - ANALOGIQUE (%MW)&amp;C&amp;7 &amp;D&amp;R&amp;7 page &amp;P /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65" min="2" style="0" width="2.9"/>
  </cols>
  <sheetData>
    <row r="1" customFormat="false" ht="25.5" hidden="false" customHeight="true" outlineLevel="0" collapsed="false">
      <c r="A1" s="1" t="s">
        <v>309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customFormat="false" ht="15.75" hidden="false" customHeight="true" outlineLevel="0" collapsed="false">
      <c r="A2" s="2" t="s">
        <v>310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customFormat="false" ht="15.75" hidden="false" customHeight="tru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.75" hidden="false" customHeight="true" outlineLevel="0" collapsed="false">
      <c r="A4" s="3" t="s">
        <v>6</v>
      </c>
      <c r="B4" s="4" t="s">
        <v>7</v>
      </c>
      <c r="D4" s="3" t="s">
        <v>8</v>
      </c>
      <c r="E4" s="4" t="s">
        <v>9</v>
      </c>
    </row>
    <row r="9" customFormat="false" ht="12.75" hidden="false" customHeight="true" outlineLevel="0" collapsed="false">
      <c r="A9" s="25" t="str">
        <f aca="false">IF(MW_Debut+0&gt;MW_Fin,"","%MW"&amp;(MW_Debut+0))</f>
        <v>%MW1000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</row>
    <row r="10" customFormat="false" ht="12.75" hidden="false" customHeight="true" outlineLevel="0" collapsed="false">
      <c r="A10" s="25" t="str">
        <f aca="false">IF(MW_Debut+64&gt;MW_Fin,"","%MW"&amp;(MW_Debut+64))</f>
        <v>%MW1064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</row>
    <row r="11" customFormat="false" ht="12.75" hidden="false" customHeight="true" outlineLevel="0" collapsed="false">
      <c r="A11" s="25" t="str">
        <f aca="false">IF(MW_Debut+128&gt;MW_Fin,"","%MW"&amp;(MW_Debut+128))</f>
        <v>%MW1128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</row>
    <row r="12" customFormat="false" ht="12.75" hidden="false" customHeight="true" outlineLevel="0" collapsed="false">
      <c r="A12" s="25" t="str">
        <f aca="false">IF(MW_Debut+192&gt;MW_Fin,"","%MW"&amp;(MW_Debut+192))</f>
        <v>%MW1192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</row>
    <row r="13" customFormat="false" ht="12.75" hidden="false" customHeight="true" outlineLevel="0" collapsed="false">
      <c r="A13" s="25" t="str">
        <f aca="false">IF(MW_Debut+256&gt;MW_Fin,"","%MW"&amp;(MW_Debut+256))</f>
        <v>%MW1256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</row>
    <row r="14" customFormat="false" ht="12.75" hidden="false" customHeight="true" outlineLevel="0" collapsed="false">
      <c r="A14" s="25" t="str">
        <f aca="false">IF(MW_Debut+320&gt;MW_Fin,"","%MW"&amp;(MW_Debut+320))</f>
        <v>%MW1320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</row>
    <row r="15" customFormat="false" ht="12.75" hidden="false" customHeight="true" outlineLevel="0" collapsed="false">
      <c r="A15" s="25" t="str">
        <f aca="false">IF(MW_Debut+384&gt;MW_Fin,"","%MW"&amp;(MW_Debut+384))</f>
        <v>%MW1384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</row>
    <row r="16" customFormat="false" ht="12.75" hidden="false" customHeight="true" outlineLevel="0" collapsed="false">
      <c r="A16" s="25" t="str">
        <f aca="false">IF(MW_Debut+448&gt;MW_Fin,"","%MW"&amp;(MW_Debut+448))</f>
        <v>%MW1448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</row>
    <row r="17" customFormat="false" ht="12.75" hidden="false" customHeight="true" outlineLevel="0" collapsed="false">
      <c r="A17" s="25" t="str">
        <f aca="false">IF(MW_Debut+512&gt;MW_Fin,"","%MW"&amp;(MW_Debut+512))</f>
        <v>%MW1512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</row>
    <row r="18" customFormat="false" ht="12.75" hidden="false" customHeight="true" outlineLevel="0" collapsed="false">
      <c r="A18" s="25" t="str">
        <f aca="false">IF(MW_Debut+576&gt;MW_Fin,"","%MW"&amp;(MW_Debut+576))</f>
        <v>%MW1576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</row>
    <row r="19" customFormat="false" ht="12.75" hidden="false" customHeight="true" outlineLevel="0" collapsed="false">
      <c r="A19" s="25" t="str">
        <f aca="false">IF(MW_Debut+640&gt;MW_Fin,"","%MW"&amp;(MW_Debut+640))</f>
        <v>%MW1640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</row>
    <row r="20" customFormat="false" ht="12.75" hidden="false" customHeight="true" outlineLevel="0" collapsed="false">
      <c r="A20" s="25" t="str">
        <f aca="false">IF(MW_Debut+704&gt;MW_Fin,"","%MW"&amp;(MW_Debut+704))</f>
        <v>%MW1704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</row>
    <row r="21" customFormat="false" ht="12.75" hidden="false" customHeight="true" outlineLevel="0" collapsed="false">
      <c r="A21" s="25" t="str">
        <f aca="false">IF(MW_Debut+768&gt;MW_Fin,"","%MW"&amp;(MW_Debut+768))</f>
        <v>%MW1768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</row>
    <row r="22" customFormat="false" ht="12.75" hidden="false" customHeight="true" outlineLevel="0" collapsed="false">
      <c r="A22" s="25" t="str">
        <f aca="false">IF(MW_Debut+832&gt;MW_Fin,"","%MW"&amp;(MW_Debut+832))</f>
        <v>%MW1832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</row>
    <row r="23" customFormat="false" ht="12.75" hidden="false" customHeight="true" outlineLevel="0" collapsed="false">
      <c r="A23" s="25" t="str">
        <f aca="false">IF(MW_Debut+896&gt;MW_Fin,"","%MW"&amp;(MW_Debut+896))</f>
        <v>%MW1896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</row>
    <row r="24" customFormat="false" ht="12.75" hidden="false" customHeight="true" outlineLevel="0" collapsed="false">
      <c r="A24" s="25" t="str">
        <f aca="false">IF(MW_Debut+960&gt;MW_Fin,"","%MW"&amp;(MW_Debut+960))</f>
        <v>%MW1960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</row>
    <row r="25" customFormat="false" ht="12.75" hidden="false" customHeight="true" outlineLevel="0" collapsed="false">
      <c r="A25" s="25" t="str">
        <f aca="false">IF(MW_Debut+1024&gt;MW_Fin,"","%MW"&amp;(MW_Debut+1024))</f>
        <v/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</row>
    <row r="26" customFormat="false" ht="12.75" hidden="false" customHeight="true" outlineLevel="0" collapsed="false">
      <c r="A26" s="25" t="str">
        <f aca="false">IF(MW_Debut+1088&gt;MW_Fin,"","%MW"&amp;(MW_Debut+1088))</f>
        <v/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</row>
    <row r="27" customFormat="false" ht="12.75" hidden="false" customHeight="true" outlineLevel="0" collapsed="false">
      <c r="A27" s="25" t="str">
        <f aca="false">IF(MW_Debut+1152&gt;MW_Fin,"","%MW"&amp;(MW_Debut+1152))</f>
        <v/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</row>
    <row r="28" customFormat="false" ht="12.75" hidden="false" customHeight="true" outlineLevel="0" collapsed="false">
      <c r="A28" s="25" t="str">
        <f aca="false">IF(MW_Debut+1216&gt;MW_Fin,"","%MW"&amp;(MW_Debut+1216))</f>
        <v/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</row>
    <row r="29" customFormat="false" ht="12.75" hidden="false" customHeight="true" outlineLevel="0" collapsed="false">
      <c r="A29" s="25" t="str">
        <f aca="false">IF(MW_Debut+1280&gt;MW_Fin,"","%MW"&amp;(MW_Debut+1280))</f>
        <v/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</row>
    <row r="30" customFormat="false" ht="12.75" hidden="false" customHeight="true" outlineLevel="0" collapsed="false">
      <c r="A30" s="25" t="str">
        <f aca="false">IF(MW_Debut+1344&gt;MW_Fin,"","%MW"&amp;(MW_Debut+1344))</f>
        <v/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</row>
    <row r="31" customFormat="false" ht="12.75" hidden="false" customHeight="true" outlineLevel="0" collapsed="false">
      <c r="A31" s="25" t="str">
        <f aca="false">IF(MW_Debut+1408&gt;MW_Fin,"","%MW"&amp;(MW_Debut+1408))</f>
        <v/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</row>
    <row r="32" customFormat="false" ht="12.75" hidden="false" customHeight="true" outlineLevel="0" collapsed="false">
      <c r="A32" s="25" t="str">
        <f aca="false">IF(MW_Debut+1472&gt;MW_Fin,"","%MW"&amp;(MW_Debut+1472))</f>
        <v/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</row>
    <row r="33" customFormat="false" ht="12.75" hidden="false" customHeight="true" outlineLevel="0" collapsed="false">
      <c r="A33" s="25" t="str">
        <f aca="false">IF(MW_Debut+1536&gt;MW_Fin,"","%MW"&amp;(MW_Debut+1536))</f>
        <v/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</row>
    <row r="34" customFormat="false" ht="12.75" hidden="false" customHeight="true" outlineLevel="0" collapsed="false">
      <c r="A34" s="25" t="str">
        <f aca="false">IF(MW_Debut+1600&gt;MW_Fin,"","%MW"&amp;(MW_Debut+1600))</f>
        <v/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</row>
    <row r="35" customFormat="false" ht="12.75" hidden="false" customHeight="true" outlineLevel="0" collapsed="false">
      <c r="A35" s="25" t="str">
        <f aca="false">IF(MW_Debut+1664&gt;MW_Fin,"","%MW"&amp;(MW_Debut+1664))</f>
        <v/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</row>
    <row r="36" customFormat="false" ht="12.75" hidden="false" customHeight="true" outlineLevel="0" collapsed="false">
      <c r="A36" s="25" t="str">
        <f aca="false">IF(MW_Debut+1728&gt;MW_Fin,"","%MW"&amp;(MW_Debut+1728))</f>
        <v/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</row>
    <row r="37" customFormat="false" ht="12.75" hidden="false" customHeight="true" outlineLevel="0" collapsed="false">
      <c r="A37" s="25" t="str">
        <f aca="false">IF(MW_Debut+1792&gt;MW_Fin,"","%MW"&amp;(MW_Debut+1792))</f>
        <v/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</row>
    <row r="38" customFormat="false" ht="12.75" hidden="false" customHeight="true" outlineLevel="0" collapsed="false">
      <c r="A38" s="25" t="str">
        <f aca="false">IF(MW_Debut+1856&gt;MW_Fin,"","%MW"&amp;(MW_Debut+1856))</f>
        <v/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</row>
    <row r="39" customFormat="false" ht="12.75" hidden="false" customHeight="true" outlineLevel="0" collapsed="false">
      <c r="A39" s="25" t="str">
        <f aca="false">IF(MW_Debut+1920&gt;MW_Fin,"","%MW"&amp;(MW_Debut+1920))</f>
        <v/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</row>
    <row r="40" customFormat="false" ht="12.75" hidden="false" customHeight="true" outlineLevel="0" collapsed="false">
      <c r="A40" s="25" t="str">
        <f aca="false">IF(MW_Debut+1984&gt;MW_Fin,"","%MW"&amp;(MW_Debut+1984))</f>
        <v/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</row>
    <row r="41" customFormat="false" ht="12.75" hidden="false" customHeight="true" outlineLevel="0" collapsed="false">
      <c r="A41" s="25" t="str">
        <f aca="false">IF(MW_Debut+2048&gt;MW_Fin,"","%MW"&amp;(MW_Debut+2048))</f>
        <v/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</row>
    <row r="42" customFormat="false" ht="12.75" hidden="false" customHeight="true" outlineLevel="0" collapsed="false">
      <c r="A42" s="25" t="str">
        <f aca="false">IF(MW_Debut+2112&gt;MW_Fin,"","%MW"&amp;(MW_Debut+2112))</f>
        <v/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</row>
    <row r="43" customFormat="false" ht="12.75" hidden="false" customHeight="true" outlineLevel="0" collapsed="false">
      <c r="A43" s="25" t="str">
        <f aca="false">IF(MW_Debut+2176&gt;MW_Fin,"","%MW"&amp;(MW_Debut+2176))</f>
        <v/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</row>
    <row r="44" customFormat="false" ht="12.75" hidden="false" customHeight="true" outlineLevel="0" collapsed="false">
      <c r="A44" s="25" t="str">
        <f aca="false">IF(MW_Debut+2240&gt;MW_Fin,"","%MW"&amp;(MW_Debut+2240))</f>
        <v/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</row>
    <row r="45" customFormat="false" ht="12.75" hidden="false" customHeight="true" outlineLevel="0" collapsed="false">
      <c r="A45" s="25" t="str">
        <f aca="false">IF(MW_Debut+2304&gt;MW_Fin,"","%MW"&amp;(MW_Debut+2304))</f>
        <v/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</row>
    <row r="46" customFormat="false" ht="12.75" hidden="false" customHeight="true" outlineLevel="0" collapsed="false">
      <c r="A46" s="25" t="str">
        <f aca="false">IF(MW_Debut+2368&gt;MW_Fin,"","%MW"&amp;(MW_Debut+2368))</f>
        <v/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</row>
    <row r="47" customFormat="false" ht="12.75" hidden="false" customHeight="true" outlineLevel="0" collapsed="false">
      <c r="A47" s="25" t="str">
        <f aca="false">IF(MW_Debut+2432&gt;MW_Fin,"","%MW"&amp;(MW_Debut+2432))</f>
        <v/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</row>
    <row r="48" customFormat="false" ht="12.75" hidden="false" customHeight="true" outlineLevel="0" collapsed="false">
      <c r="A48" s="25" t="str">
        <f aca="false">IF(MW_Debut+2496&gt;MW_Fin,"","%MW"&amp;(MW_Debut+2496))</f>
        <v/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</row>
    <row r="49" customFormat="false" ht="12.75" hidden="false" customHeight="true" outlineLevel="0" collapsed="false">
      <c r="A49" s="25" t="str">
        <f aca="false">IF(MW_Debut+2560&gt;MW_Fin,"","%MW"&amp;(MW_Debut+2560))</f>
        <v/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</row>
    <row r="50" customFormat="false" ht="12.75" hidden="false" customHeight="true" outlineLevel="0" collapsed="false">
      <c r="A50" s="25" t="str">
        <f aca="false">IF(MW_Debut+2624&gt;MW_Fin,"","%MW"&amp;(MW_Debut+2624))</f>
        <v/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</row>
    <row r="51" customFormat="false" ht="12.75" hidden="false" customHeight="true" outlineLevel="0" collapsed="false">
      <c r="A51" s="25" t="str">
        <f aca="false">IF(MW_Debut+2688&gt;MW_Fin,"","%MW"&amp;(MW_Debut+2688))</f>
        <v/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</row>
    <row r="52" customFormat="false" ht="12.75" hidden="false" customHeight="true" outlineLevel="0" collapsed="false">
      <c r="A52" s="25" t="str">
        <f aca="false">IF(MW_Debut+2752&gt;MW_Fin,"","%MW"&amp;(MW_Debut+2752))</f>
        <v/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</row>
    <row r="53" customFormat="false" ht="12.75" hidden="false" customHeight="true" outlineLevel="0" collapsed="false">
      <c r="A53" s="25" t="str">
        <f aca="false">IF(MW_Debut+2816&gt;MW_Fin,"","%MW"&amp;(MW_Debut+2816))</f>
        <v/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</row>
    <row r="54" customFormat="false" ht="12.75" hidden="false" customHeight="true" outlineLevel="0" collapsed="false">
      <c r="A54" s="25" t="str">
        <f aca="false">IF(MW_Debut+2880&gt;MW_Fin,"","%MW"&amp;(MW_Debut+2880))</f>
        <v/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</row>
    <row r="55" customFormat="false" ht="12.75" hidden="false" customHeight="true" outlineLevel="0" collapsed="false">
      <c r="A55" s="25" t="str">
        <f aca="false">IF(MW_Debut+2944&gt;MW_Fin,"","%MW"&amp;(MW_Debut+2944))</f>
        <v/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</row>
    <row r="56" customFormat="false" ht="12.75" hidden="false" customHeight="true" outlineLevel="0" collapsed="false">
      <c r="A56" s="25" t="str">
        <f aca="false">IF(MW_Debut+3008&gt;MW_Fin,"","%MW"&amp;(MW_Debut+3008))</f>
        <v/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</row>
    <row r="57" customFormat="false" ht="12.75" hidden="false" customHeight="true" outlineLevel="0" collapsed="false">
      <c r="A57" s="25" t="str">
        <f aca="false">IF(MW_Debut+3072&gt;MW_Fin,"","%MW"&amp;(MW_Debut+3072))</f>
        <v/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</row>
    <row r="58" customFormat="false" ht="12.75" hidden="false" customHeight="true" outlineLevel="0" collapsed="false">
      <c r="A58" s="25" t="str">
        <f aca="false">IF(MW_Debut+3136&gt;MW_Fin,"","%MW"&amp;(MW_Debut+3136))</f>
        <v/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</row>
    <row r="59" customFormat="false" ht="12.75" hidden="false" customHeight="true" outlineLevel="0" collapsed="false">
      <c r="A59" s="25" t="str">
        <f aca="false">IF(MW_Debut+3200&gt;MW_Fin,"","%MW"&amp;(MW_Debut+3200))</f>
        <v/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</row>
    <row r="60" customFormat="false" ht="12.75" hidden="false" customHeight="true" outlineLevel="0" collapsed="false">
      <c r="A60" s="25" t="str">
        <f aca="false">IF(MW_Debut+3264&gt;MW_Fin,"","%MW"&amp;(MW_Debut+3264))</f>
        <v/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</row>
    <row r="61" customFormat="false" ht="12.75" hidden="false" customHeight="true" outlineLevel="0" collapsed="false">
      <c r="A61" s="25" t="str">
        <f aca="false">IF(MW_Debut+3328&gt;MW_Fin,"","%MW"&amp;(MW_Debut+3328))</f>
        <v/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</row>
    <row r="62" customFormat="false" ht="12.75" hidden="false" customHeight="true" outlineLevel="0" collapsed="false">
      <c r="A62" s="25" t="str">
        <f aca="false">IF(MW_Debut+3392&gt;MW_Fin,"","%MW"&amp;(MW_Debut+3392))</f>
        <v/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</row>
    <row r="63" customFormat="false" ht="12.75" hidden="false" customHeight="true" outlineLevel="0" collapsed="false">
      <c r="A63" s="25" t="str">
        <f aca="false">IF(MW_Debut+3456&gt;MW_Fin,"","%MW"&amp;(MW_Debut+3456))</f>
        <v/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</row>
    <row r="64" customFormat="false" ht="12.75" hidden="false" customHeight="true" outlineLevel="0" collapsed="false">
      <c r="A64" s="25" t="str">
        <f aca="false">IF(MW_Debut+3520&gt;MW_Fin,"","%MW"&amp;(MW_Debut+3520))</f>
        <v/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</row>
    <row r="65" customFormat="false" ht="12.75" hidden="false" customHeight="true" outlineLevel="0" collapsed="false">
      <c r="A65" s="25" t="str">
        <f aca="false">IF(MW_Debut+3584&gt;MW_Fin,"","%MW"&amp;(MW_Debut+3584))</f>
        <v/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</row>
    <row r="66" customFormat="false" ht="12.75" hidden="false" customHeight="true" outlineLevel="0" collapsed="false">
      <c r="A66" s="25" t="str">
        <f aca="false">IF(MW_Debut+3648&gt;MW_Fin,"","%MW"&amp;(MW_Debut+3648))</f>
        <v/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</row>
    <row r="67" customFormat="false" ht="12.75" hidden="false" customHeight="true" outlineLevel="0" collapsed="false">
      <c r="A67" s="25" t="str">
        <f aca="false">IF(MW_Debut+3712&gt;MW_Fin,"","%MW"&amp;(MW_Debut+3712))</f>
        <v/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</row>
    <row r="68" customFormat="false" ht="12.75" hidden="false" customHeight="true" outlineLevel="0" collapsed="false">
      <c r="A68" s="25" t="str">
        <f aca="false">IF(MW_Debut+3776&gt;MW_Fin,"","%MW"&amp;(MW_Debut+3776))</f>
        <v/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</row>
    <row r="69" customFormat="false" ht="12.75" hidden="false" customHeight="true" outlineLevel="0" collapsed="false">
      <c r="A69" s="25" t="str">
        <f aca="false">IF(MW_Debut+3840&gt;MW_Fin,"","%MW"&amp;(MW_Debut+3840))</f>
        <v/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</row>
    <row r="70" customFormat="false" ht="12.75" hidden="false" customHeight="true" outlineLevel="0" collapsed="false">
      <c r="A70" s="25" t="str">
        <f aca="false">IF(MW_Debut+3904&gt;MW_Fin,"","%MW"&amp;(MW_Debut+3904))</f>
        <v/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</row>
    <row r="71" customFormat="false" ht="12.75" hidden="false" customHeight="true" outlineLevel="0" collapsed="false">
      <c r="A71" s="25" t="str">
        <f aca="false">IF(MW_Debut+3968&gt;MW_Fin,"","%MW"&amp;(MW_Debut+3968))</f>
        <v/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</row>
    <row r="72" customFormat="false" ht="12.75" hidden="false" customHeight="true" outlineLevel="0" collapsed="false">
      <c r="A72" s="25" t="str">
        <f aca="false">IF(MW_Debut+4032&gt;MW_Fin,"","%MW"&amp;(MW_Debut+4032))</f>
        <v/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</row>
    <row r="74" customFormat="false" ht="15" hidden="false" customHeight="false" outlineLevel="0" collapsed="false">
      <c r="BR74" s="11" t="s">
        <v>311</v>
      </c>
    </row>
  </sheetData>
  <mergeCells count="2">
    <mergeCell ref="A1:BM1"/>
    <mergeCell ref="A2:BM2"/>
  </mergeCells>
  <printOptions headings="false" gridLines="false" gridLinesSet="true" horizontalCentered="true" verticalCentered="false"/>
  <pageMargins left="0.35" right="0.35" top="0.4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Affaire 2024_06_264 - Cartographie %MW&amp;C&amp;7 &amp;D&amp;R&amp;7 page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65" min="2" style="0" width="2.9"/>
  </cols>
  <sheetData>
    <row r="1" customFormat="false" ht="25.5" hidden="false" customHeight="true" outlineLevel="0" collapsed="false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customFormat="false" ht="15.75" hidden="false" customHeight="true" outlineLevel="0" collapsed="false">
      <c r="A2" s="2" t="s">
        <v>310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customFormat="false" ht="15.75" hidden="false" customHeight="tru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.75" hidden="false" customHeight="true" outlineLevel="0" collapsed="false">
      <c r="A4" s="3" t="s">
        <v>6</v>
      </c>
      <c r="B4" s="4" t="s">
        <v>7</v>
      </c>
      <c r="D4" s="3" t="s">
        <v>8</v>
      </c>
      <c r="E4" s="4" t="s">
        <v>9</v>
      </c>
    </row>
    <row r="9" customFormat="false" ht="12.75" hidden="false" customHeight="true" outlineLevel="0" collapsed="false">
      <c r="A9" s="25" t="str">
        <f aca="false">IF(MX_Debut+0&gt;MX_Fin,"","%MX"&amp;(MX_Debut+0))</f>
        <v>%MX0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</row>
    <row r="10" customFormat="false" ht="12.75" hidden="false" customHeight="true" outlineLevel="0" collapsed="false">
      <c r="A10" s="25" t="str">
        <f aca="false">IF(MX_Debut+64&gt;MX_Fin,"","%MX"&amp;(MX_Debut+64))</f>
        <v>%MX64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</row>
    <row r="11" customFormat="false" ht="12.75" hidden="false" customHeight="true" outlineLevel="0" collapsed="false">
      <c r="A11" s="25" t="str">
        <f aca="false">IF(MX_Debut+128&gt;MX_Fin,"","%MX"&amp;(MX_Debut+128))</f>
        <v>%MX128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</row>
    <row r="12" customFormat="false" ht="12.75" hidden="false" customHeight="true" outlineLevel="0" collapsed="false">
      <c r="A12" s="25" t="str">
        <f aca="false">IF(MX_Debut+192&gt;MX_Fin,"","%MX"&amp;(MX_Debut+192))</f>
        <v>%MX192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</row>
    <row r="13" customFormat="false" ht="12.75" hidden="false" customHeight="true" outlineLevel="0" collapsed="false">
      <c r="A13" s="25" t="str">
        <f aca="false">IF(MX_Debut+256&gt;MX_Fin,"","%MX"&amp;(MX_Debut+256))</f>
        <v>%MX256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</row>
    <row r="14" customFormat="false" ht="12.75" hidden="false" customHeight="true" outlineLevel="0" collapsed="false">
      <c r="A14" s="25" t="str">
        <f aca="false">IF(MX_Debut+320&gt;MX_Fin,"","%MX"&amp;(MX_Debut+320))</f>
        <v>%MX320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</row>
    <row r="15" customFormat="false" ht="12.75" hidden="false" customHeight="true" outlineLevel="0" collapsed="false">
      <c r="A15" s="25" t="str">
        <f aca="false">IF(MX_Debut+384&gt;MX_Fin,"","%MX"&amp;(MX_Debut+384))</f>
        <v>%MX384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</row>
    <row r="16" customFormat="false" ht="12.75" hidden="false" customHeight="true" outlineLevel="0" collapsed="false">
      <c r="A16" s="25" t="str">
        <f aca="false">IF(MX_Debut+448&gt;MX_Fin,"","%MX"&amp;(MX_Debut+448))</f>
        <v>%MX448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</row>
    <row r="17" customFormat="false" ht="12.75" hidden="false" customHeight="true" outlineLevel="0" collapsed="false">
      <c r="A17" s="25" t="str">
        <f aca="false">IF(MX_Debut+512&gt;MX_Fin,"","%MX"&amp;(MX_Debut+512))</f>
        <v/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</row>
    <row r="18" customFormat="false" ht="12.75" hidden="false" customHeight="true" outlineLevel="0" collapsed="false">
      <c r="A18" s="25" t="str">
        <f aca="false">IF(MX_Debut+576&gt;MX_Fin,"","%MX"&amp;(MX_Debut+576))</f>
        <v/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</row>
    <row r="19" customFormat="false" ht="12.75" hidden="false" customHeight="true" outlineLevel="0" collapsed="false">
      <c r="A19" s="25" t="str">
        <f aca="false">IF(MX_Debut+640&gt;MX_Fin,"","%MX"&amp;(MX_Debut+640))</f>
        <v/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</row>
    <row r="20" customFormat="false" ht="12.75" hidden="false" customHeight="true" outlineLevel="0" collapsed="false">
      <c r="A20" s="25" t="str">
        <f aca="false">IF(MX_Debut+704&gt;MX_Fin,"","%MX"&amp;(MX_Debut+704))</f>
        <v/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</row>
    <row r="21" customFormat="false" ht="12.75" hidden="false" customHeight="true" outlineLevel="0" collapsed="false">
      <c r="A21" s="25" t="str">
        <f aca="false">IF(MX_Debut+768&gt;MX_Fin,"","%MX"&amp;(MX_Debut+768))</f>
        <v/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</row>
    <row r="22" customFormat="false" ht="12.75" hidden="false" customHeight="true" outlineLevel="0" collapsed="false">
      <c r="A22" s="25" t="str">
        <f aca="false">IF(MX_Debut+832&gt;MX_Fin,"","%MX"&amp;(MX_Debut+832))</f>
        <v/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</row>
    <row r="23" customFormat="false" ht="12.75" hidden="false" customHeight="true" outlineLevel="0" collapsed="false">
      <c r="A23" s="25" t="str">
        <f aca="false">IF(MX_Debut+896&gt;MX_Fin,"","%MX"&amp;(MX_Debut+896))</f>
        <v/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</row>
    <row r="24" customFormat="false" ht="12.75" hidden="false" customHeight="true" outlineLevel="0" collapsed="false">
      <c r="A24" s="25" t="str">
        <f aca="false">IF(MX_Debut+960&gt;MX_Fin,"","%MX"&amp;(MX_Debut+960))</f>
        <v/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</row>
    <row r="25" customFormat="false" ht="12.75" hidden="false" customHeight="true" outlineLevel="0" collapsed="false">
      <c r="A25" s="25" t="str">
        <f aca="false">IF(MX_Debut+1024&gt;MX_Fin,"","%MX"&amp;(MX_Debut+1024))</f>
        <v/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</row>
    <row r="26" customFormat="false" ht="12.75" hidden="false" customHeight="true" outlineLevel="0" collapsed="false">
      <c r="A26" s="25" t="str">
        <f aca="false">IF(MX_Debut+1088&gt;MX_Fin,"","%MX"&amp;(MX_Debut+1088))</f>
        <v/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</row>
    <row r="27" customFormat="false" ht="12.75" hidden="false" customHeight="true" outlineLevel="0" collapsed="false">
      <c r="A27" s="25" t="str">
        <f aca="false">IF(MX_Debut+1152&gt;MX_Fin,"","%MX"&amp;(MX_Debut+1152))</f>
        <v/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</row>
    <row r="28" customFormat="false" ht="12.75" hidden="false" customHeight="true" outlineLevel="0" collapsed="false">
      <c r="A28" s="25" t="str">
        <f aca="false">IF(MX_Debut+1216&gt;MX_Fin,"","%MX"&amp;(MX_Debut+1216))</f>
        <v/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</row>
    <row r="29" customFormat="false" ht="12.75" hidden="false" customHeight="true" outlineLevel="0" collapsed="false">
      <c r="A29" s="25" t="str">
        <f aca="false">IF(MX_Debut+1280&gt;MX_Fin,"","%MX"&amp;(MX_Debut+1280))</f>
        <v/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</row>
    <row r="30" customFormat="false" ht="12.75" hidden="false" customHeight="true" outlineLevel="0" collapsed="false">
      <c r="A30" s="25" t="str">
        <f aca="false">IF(MX_Debut+1344&gt;MX_Fin,"","%MX"&amp;(MX_Debut+1344))</f>
        <v/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</row>
    <row r="31" customFormat="false" ht="12.75" hidden="false" customHeight="true" outlineLevel="0" collapsed="false">
      <c r="A31" s="25" t="str">
        <f aca="false">IF(MX_Debut+1408&gt;MX_Fin,"","%MX"&amp;(MX_Debut+1408))</f>
        <v/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</row>
    <row r="32" customFormat="false" ht="12.75" hidden="false" customHeight="true" outlineLevel="0" collapsed="false">
      <c r="A32" s="25" t="str">
        <f aca="false">IF(MX_Debut+1472&gt;MX_Fin,"","%MX"&amp;(MX_Debut+1472))</f>
        <v/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</row>
    <row r="33" customFormat="false" ht="12.75" hidden="false" customHeight="true" outlineLevel="0" collapsed="false">
      <c r="A33" s="25" t="str">
        <f aca="false">IF(MX_Debut+1536&gt;MX_Fin,"","%MX"&amp;(MX_Debut+1536))</f>
        <v/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</row>
    <row r="34" customFormat="false" ht="12.75" hidden="false" customHeight="true" outlineLevel="0" collapsed="false">
      <c r="A34" s="25" t="str">
        <f aca="false">IF(MX_Debut+1600&gt;MX_Fin,"","%MX"&amp;(MX_Debut+1600))</f>
        <v/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</row>
    <row r="35" customFormat="false" ht="12.75" hidden="false" customHeight="true" outlineLevel="0" collapsed="false">
      <c r="A35" s="25" t="str">
        <f aca="false">IF(MX_Debut+1664&gt;MX_Fin,"","%MX"&amp;(MX_Debut+1664))</f>
        <v/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</row>
    <row r="36" customFormat="false" ht="12.75" hidden="false" customHeight="true" outlineLevel="0" collapsed="false">
      <c r="A36" s="25" t="str">
        <f aca="false">IF(MX_Debut+1728&gt;MX_Fin,"","%MX"&amp;(MX_Debut+1728))</f>
        <v/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</row>
    <row r="37" customFormat="false" ht="12.75" hidden="false" customHeight="true" outlineLevel="0" collapsed="false">
      <c r="A37" s="25" t="str">
        <f aca="false">IF(MX_Debut+1792&gt;MX_Fin,"","%MX"&amp;(MX_Debut+1792))</f>
        <v/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</row>
    <row r="38" customFormat="false" ht="12.75" hidden="false" customHeight="true" outlineLevel="0" collapsed="false">
      <c r="A38" s="25" t="str">
        <f aca="false">IF(MX_Debut+1856&gt;MX_Fin,"","%MX"&amp;(MX_Debut+1856))</f>
        <v/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</row>
    <row r="39" customFormat="false" ht="12.75" hidden="false" customHeight="true" outlineLevel="0" collapsed="false">
      <c r="A39" s="25" t="str">
        <f aca="false">IF(MX_Debut+1920&gt;MX_Fin,"","%MX"&amp;(MX_Debut+1920))</f>
        <v/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</row>
    <row r="40" customFormat="false" ht="12.75" hidden="false" customHeight="true" outlineLevel="0" collapsed="false">
      <c r="A40" s="25" t="str">
        <f aca="false">IF(MX_Debut+1984&gt;MX_Fin,"","%MX"&amp;(MX_Debut+1984))</f>
        <v/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</row>
    <row r="41" customFormat="false" ht="12.75" hidden="false" customHeight="true" outlineLevel="0" collapsed="false">
      <c r="A41" s="25" t="str">
        <f aca="false">IF(MX_Debut+2048&gt;MX_Fin,"","%MX"&amp;(MX_Debut+2048))</f>
        <v/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</row>
    <row r="42" customFormat="false" ht="12.75" hidden="false" customHeight="true" outlineLevel="0" collapsed="false">
      <c r="A42" s="25" t="str">
        <f aca="false">IF(MX_Debut+2112&gt;MX_Fin,"","%MX"&amp;(MX_Debut+2112))</f>
        <v/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</row>
    <row r="43" customFormat="false" ht="12.75" hidden="false" customHeight="true" outlineLevel="0" collapsed="false">
      <c r="A43" s="25" t="str">
        <f aca="false">IF(MX_Debut+2176&gt;MX_Fin,"","%MX"&amp;(MX_Debut+2176))</f>
        <v/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</row>
    <row r="44" customFormat="false" ht="12.75" hidden="false" customHeight="true" outlineLevel="0" collapsed="false">
      <c r="A44" s="25" t="str">
        <f aca="false">IF(MX_Debut+2240&gt;MX_Fin,"","%MX"&amp;(MX_Debut+2240))</f>
        <v/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</row>
    <row r="45" customFormat="false" ht="12.75" hidden="false" customHeight="true" outlineLevel="0" collapsed="false">
      <c r="A45" s="25" t="str">
        <f aca="false">IF(MX_Debut+2304&gt;MX_Fin,"","%MX"&amp;(MX_Debut+2304))</f>
        <v/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</row>
    <row r="46" customFormat="false" ht="12.75" hidden="false" customHeight="true" outlineLevel="0" collapsed="false">
      <c r="A46" s="25" t="str">
        <f aca="false">IF(MX_Debut+2368&gt;MX_Fin,"","%MX"&amp;(MX_Debut+2368))</f>
        <v/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</row>
    <row r="47" customFormat="false" ht="12.75" hidden="false" customHeight="true" outlineLevel="0" collapsed="false">
      <c r="A47" s="25" t="str">
        <f aca="false">IF(MX_Debut+2432&gt;MX_Fin,"","%MX"&amp;(MX_Debut+2432))</f>
        <v/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</row>
    <row r="48" customFormat="false" ht="12.75" hidden="false" customHeight="true" outlineLevel="0" collapsed="false">
      <c r="A48" s="25" t="str">
        <f aca="false">IF(MX_Debut+2496&gt;MX_Fin,"","%MX"&amp;(MX_Debut+2496))</f>
        <v/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</row>
    <row r="49" customFormat="false" ht="12.75" hidden="false" customHeight="true" outlineLevel="0" collapsed="false">
      <c r="A49" s="25" t="str">
        <f aca="false">IF(MX_Debut+2560&gt;MX_Fin,"","%MX"&amp;(MX_Debut+2560))</f>
        <v/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</row>
    <row r="50" customFormat="false" ht="12.75" hidden="false" customHeight="true" outlineLevel="0" collapsed="false">
      <c r="A50" s="25" t="str">
        <f aca="false">IF(MX_Debut+2624&gt;MX_Fin,"","%MX"&amp;(MX_Debut+2624))</f>
        <v/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</row>
    <row r="51" customFormat="false" ht="12.75" hidden="false" customHeight="true" outlineLevel="0" collapsed="false">
      <c r="A51" s="25" t="str">
        <f aca="false">IF(MX_Debut+2688&gt;MX_Fin,"","%MX"&amp;(MX_Debut+2688))</f>
        <v/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</row>
    <row r="52" customFormat="false" ht="12.75" hidden="false" customHeight="true" outlineLevel="0" collapsed="false">
      <c r="A52" s="25" t="str">
        <f aca="false">IF(MX_Debut+2752&gt;MX_Fin,"","%MX"&amp;(MX_Debut+2752))</f>
        <v/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</row>
    <row r="53" customFormat="false" ht="12.75" hidden="false" customHeight="true" outlineLevel="0" collapsed="false">
      <c r="A53" s="25" t="str">
        <f aca="false">IF(MX_Debut+2816&gt;MX_Fin,"","%MX"&amp;(MX_Debut+2816))</f>
        <v/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</row>
    <row r="54" customFormat="false" ht="12.75" hidden="false" customHeight="true" outlineLevel="0" collapsed="false">
      <c r="A54" s="25" t="str">
        <f aca="false">IF(MX_Debut+2880&gt;MX_Fin,"","%MX"&amp;(MX_Debut+2880))</f>
        <v/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</row>
    <row r="55" customFormat="false" ht="12.75" hidden="false" customHeight="true" outlineLevel="0" collapsed="false">
      <c r="A55" s="25" t="str">
        <f aca="false">IF(MX_Debut+2944&gt;MX_Fin,"","%MX"&amp;(MX_Debut+2944))</f>
        <v/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</row>
    <row r="56" customFormat="false" ht="12.75" hidden="false" customHeight="true" outlineLevel="0" collapsed="false">
      <c r="A56" s="25" t="str">
        <f aca="false">IF(MX_Debut+3008&gt;MX_Fin,"","%MX"&amp;(MX_Debut+3008))</f>
        <v/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</row>
    <row r="57" customFormat="false" ht="12.75" hidden="false" customHeight="true" outlineLevel="0" collapsed="false">
      <c r="A57" s="25" t="str">
        <f aca="false">IF(MX_Debut+3072&gt;MX_Fin,"","%MX"&amp;(MX_Debut+3072))</f>
        <v/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</row>
    <row r="58" customFormat="false" ht="12.75" hidden="false" customHeight="true" outlineLevel="0" collapsed="false">
      <c r="A58" s="25" t="str">
        <f aca="false">IF(MX_Debut+3136&gt;MX_Fin,"","%MX"&amp;(MX_Debut+3136))</f>
        <v/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</row>
    <row r="59" customFormat="false" ht="12.75" hidden="false" customHeight="true" outlineLevel="0" collapsed="false">
      <c r="A59" s="25" t="str">
        <f aca="false">IF(MX_Debut+3200&gt;MX_Fin,"","%MX"&amp;(MX_Debut+3200))</f>
        <v/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</row>
    <row r="60" customFormat="false" ht="12.75" hidden="false" customHeight="true" outlineLevel="0" collapsed="false">
      <c r="A60" s="25" t="str">
        <f aca="false">IF(MX_Debut+3264&gt;MX_Fin,"","%MX"&amp;(MX_Debut+3264))</f>
        <v/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</row>
    <row r="61" customFormat="false" ht="12.75" hidden="false" customHeight="true" outlineLevel="0" collapsed="false">
      <c r="A61" s="25" t="str">
        <f aca="false">IF(MX_Debut+3328&gt;MX_Fin,"","%MX"&amp;(MX_Debut+3328))</f>
        <v/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</row>
    <row r="62" customFormat="false" ht="12.75" hidden="false" customHeight="true" outlineLevel="0" collapsed="false">
      <c r="A62" s="25" t="str">
        <f aca="false">IF(MX_Debut+3392&gt;MX_Fin,"","%MX"&amp;(MX_Debut+3392))</f>
        <v/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</row>
    <row r="63" customFormat="false" ht="12.75" hidden="false" customHeight="true" outlineLevel="0" collapsed="false">
      <c r="A63" s="25" t="str">
        <f aca="false">IF(MX_Debut+3456&gt;MX_Fin,"","%MX"&amp;(MX_Debut+3456))</f>
        <v/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</row>
    <row r="64" customFormat="false" ht="12.75" hidden="false" customHeight="true" outlineLevel="0" collapsed="false">
      <c r="A64" s="25" t="str">
        <f aca="false">IF(MX_Debut+3520&gt;MX_Fin,"","%MX"&amp;(MX_Debut+3520))</f>
        <v/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</row>
    <row r="65" customFormat="false" ht="12.75" hidden="false" customHeight="true" outlineLevel="0" collapsed="false">
      <c r="A65" s="25" t="str">
        <f aca="false">IF(MX_Debut+3584&gt;MX_Fin,"","%MX"&amp;(MX_Debut+3584))</f>
        <v/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</row>
    <row r="66" customFormat="false" ht="12.75" hidden="false" customHeight="true" outlineLevel="0" collapsed="false">
      <c r="A66" s="25" t="str">
        <f aca="false">IF(MX_Debut+3648&gt;MX_Fin,"","%MX"&amp;(MX_Debut+3648))</f>
        <v/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</row>
    <row r="67" customFormat="false" ht="12.75" hidden="false" customHeight="true" outlineLevel="0" collapsed="false">
      <c r="A67" s="25" t="str">
        <f aca="false">IF(MX_Debut+3712&gt;MX_Fin,"","%MX"&amp;(MX_Debut+3712))</f>
        <v/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</row>
    <row r="68" customFormat="false" ht="12.75" hidden="false" customHeight="true" outlineLevel="0" collapsed="false">
      <c r="A68" s="25" t="str">
        <f aca="false">IF(MX_Debut+3776&gt;MX_Fin,"","%MX"&amp;(MX_Debut+3776))</f>
        <v/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</row>
    <row r="69" customFormat="false" ht="12.75" hidden="false" customHeight="true" outlineLevel="0" collapsed="false">
      <c r="A69" s="25" t="str">
        <f aca="false">IF(MX_Debut+3840&gt;MX_Fin,"","%MX"&amp;(MX_Debut+3840))</f>
        <v/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</row>
    <row r="70" customFormat="false" ht="12.75" hidden="false" customHeight="true" outlineLevel="0" collapsed="false">
      <c r="A70" s="25" t="str">
        <f aca="false">IF(MX_Debut+3904&gt;MX_Fin,"","%MX"&amp;(MX_Debut+3904))</f>
        <v/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</row>
    <row r="71" customFormat="false" ht="12.75" hidden="false" customHeight="true" outlineLevel="0" collapsed="false">
      <c r="A71" s="25" t="str">
        <f aca="false">IF(MX_Debut+3968&gt;MX_Fin,"","%MX"&amp;(MX_Debut+3968))</f>
        <v/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</row>
    <row r="72" customFormat="false" ht="12.75" hidden="false" customHeight="true" outlineLevel="0" collapsed="false">
      <c r="A72" s="25" t="str">
        <f aca="false">IF(MX_Debut+4032&gt;MX_Fin,"","%MX"&amp;(MX_Debut+4032))</f>
        <v/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</row>
    <row r="74" customFormat="false" ht="15" hidden="false" customHeight="false" outlineLevel="0" collapsed="false">
      <c r="BR74" s="11" t="s">
        <v>311</v>
      </c>
    </row>
  </sheetData>
  <mergeCells count="2">
    <mergeCell ref="A1:BM1"/>
    <mergeCell ref="A2:BM2"/>
  </mergeCells>
  <printOptions headings="false" gridLines="false" gridLinesSet="true" horizontalCentered="true" verticalCentered="false"/>
  <pageMargins left="0.35" right="0.35" top="0.4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Affaire 2024_06_264 - Cartographie %MX&amp;C&amp;7 &amp;D&amp;R&amp;7 page 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9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314</v>
      </c>
      <c r="B1" s="0" t="n">
        <v>2</v>
      </c>
    </row>
    <row r="2" customFormat="false" ht="15" hidden="false" customHeight="false" outlineLevel="0" collapsed="false">
      <c r="A2" s="0" t="s">
        <v>315</v>
      </c>
    </row>
    <row r="3" customFormat="false" ht="15" hidden="false" customHeight="false" outlineLevel="0" collapsed="false">
      <c r="A3" s="0" t="s">
        <v>316</v>
      </c>
    </row>
    <row r="4" customFormat="false" ht="15" hidden="false" customHeight="false" outlineLevel="0" collapsed="false">
      <c r="A4" s="0" t="s">
        <v>317</v>
      </c>
    </row>
    <row r="5" customFormat="false" ht="15" hidden="false" customHeight="false" outlineLevel="0" collapsed="false">
      <c r="A5" s="0" t="s">
        <v>318</v>
      </c>
    </row>
    <row r="6" customFormat="false" ht="15" hidden="false" customHeight="false" outlineLevel="0" collapsed="false">
      <c r="A6" s="0" t="s">
        <v>319</v>
      </c>
      <c r="B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2026-09-18T06:40:39Z</dcterms:created>
  <dc:creator>openpyxl</dc:creator>
  <dc:description/>
  <dc:language>en-US</dc:language>
  <cp:lastModifiedBy/>
  <dcterms:modified xsi:type="dcterms:W3CDTF">2026-09-18T06:40:44Z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